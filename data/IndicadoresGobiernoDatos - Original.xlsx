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gile\Documents\yontibon\ACM Consulting\Proyectos\Growdata\Nivel 5\Datos\CMMI_Yuri\"/>
    </mc:Choice>
  </mc:AlternateContent>
  <xr:revisionPtr revIDLastSave="0" documentId="13_ncr:1_{002251B4-ECDE-4B29-99BD-3D3A776F94BB}" xr6:coauthVersionLast="47" xr6:coauthVersionMax="47" xr10:uidLastSave="{00000000-0000-0000-0000-000000000000}"/>
  <bookViews>
    <workbookView xWindow="-98" yWindow="-98" windowWidth="19396" windowHeight="10276" firstSheet="2" activeTab="5" xr2:uid="{9B1EB9BC-054F-433F-BE7F-C4C031F66FA3}"/>
  </bookViews>
  <sheets>
    <sheet name="Calidad de Datos" sheetId="1" r:id="rId1"/>
    <sheet name="Uso-Acceso Datos" sheetId="2" r:id="rId2"/>
    <sheet name="Integracion-Flujo Datos" sheetId="5" r:id="rId3"/>
    <sheet name="Gestion Ciclo-Vida Datos" sheetId="4" r:id="rId4"/>
    <sheet name="Hoja1" sheetId="6" r:id="rId5"/>
    <sheet name="Resumen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I4" i="4"/>
  <c r="J4" i="4"/>
  <c r="O4" i="4"/>
  <c r="P4" i="4"/>
  <c r="U4" i="4"/>
  <c r="V4" i="4"/>
  <c r="AA4" i="4"/>
  <c r="AB4" i="4"/>
  <c r="AG4" i="4"/>
  <c r="AH4" i="4"/>
  <c r="AM4" i="4"/>
  <c r="AN4" i="4"/>
  <c r="AS4" i="4"/>
  <c r="AT4" i="4"/>
  <c r="AY4" i="4"/>
  <c r="AZ4" i="4"/>
  <c r="BE4" i="4"/>
  <c r="BF4" i="4"/>
  <c r="BK4" i="4"/>
  <c r="BL4" i="4"/>
  <c r="C4" i="4"/>
  <c r="D4" i="5"/>
  <c r="E4" i="5"/>
  <c r="F4" i="5"/>
  <c r="G4" i="5"/>
  <c r="H4" i="5"/>
  <c r="I4" i="5"/>
  <c r="J4" i="5"/>
  <c r="K4" i="5"/>
  <c r="L4" i="5"/>
  <c r="M4" i="5"/>
  <c r="C4" i="5"/>
  <c r="D4" i="2"/>
  <c r="E4" i="2"/>
  <c r="F4" i="2"/>
  <c r="G4" i="2"/>
  <c r="H4" i="2"/>
  <c r="I4" i="2"/>
  <c r="J4" i="2"/>
  <c r="K4" i="2"/>
  <c r="L4" i="2"/>
  <c r="M4" i="2"/>
  <c r="C4" i="2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C8" i="1"/>
  <c r="BM66" i="4"/>
  <c r="BM139" i="4"/>
  <c r="BM140" i="4"/>
  <c r="BM145" i="4"/>
  <c r="BM148" i="4"/>
  <c r="BM151" i="4"/>
  <c r="BM152" i="4"/>
  <c r="BM153" i="4"/>
  <c r="BM158" i="4"/>
  <c r="BM159" i="4"/>
  <c r="BM160" i="4"/>
  <c r="BM161" i="4"/>
  <c r="BM163" i="4"/>
  <c r="BM176" i="4"/>
  <c r="BM177" i="4"/>
  <c r="BM179" i="4"/>
  <c r="BM187" i="4"/>
  <c r="BM199" i="4"/>
  <c r="BM200" i="4"/>
  <c r="BM210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108" i="4"/>
  <c r="BM109" i="4"/>
  <c r="BM110" i="4"/>
  <c r="BM111" i="4"/>
  <c r="BM112" i="4"/>
  <c r="BM113" i="4"/>
  <c r="BM114" i="4"/>
  <c r="BM115" i="4"/>
  <c r="BM116" i="4"/>
  <c r="BM117" i="4"/>
  <c r="BM118" i="4"/>
  <c r="BM119" i="4"/>
  <c r="BM120" i="4"/>
  <c r="BM121" i="4"/>
  <c r="BM122" i="4"/>
  <c r="BM123" i="4"/>
  <c r="BM124" i="4"/>
  <c r="BM125" i="4"/>
  <c r="BM126" i="4"/>
  <c r="BM127" i="4"/>
  <c r="BM128" i="4"/>
  <c r="BM129" i="4"/>
  <c r="BM130" i="4"/>
  <c r="BM131" i="4"/>
  <c r="BM132" i="4"/>
  <c r="BM133" i="4"/>
  <c r="BM134" i="4"/>
  <c r="BM135" i="4"/>
  <c r="BM136" i="4"/>
  <c r="BM137" i="4"/>
  <c r="BM138" i="4"/>
  <c r="BM141" i="4"/>
  <c r="BM142" i="4"/>
  <c r="BM143" i="4"/>
  <c r="BM144" i="4"/>
  <c r="BM146" i="4"/>
  <c r="BM147" i="4"/>
  <c r="BM149" i="4"/>
  <c r="BM150" i="4"/>
  <c r="BM154" i="4"/>
  <c r="BM155" i="4"/>
  <c r="BM156" i="4"/>
  <c r="BM157" i="4"/>
  <c r="BM162" i="4"/>
  <c r="BM164" i="4"/>
  <c r="BM165" i="4"/>
  <c r="BM166" i="4"/>
  <c r="BM167" i="4"/>
  <c r="BM168" i="4"/>
  <c r="BM169" i="4"/>
  <c r="BM170" i="4"/>
  <c r="BM171" i="4"/>
  <c r="BM172" i="4"/>
  <c r="BM173" i="4"/>
  <c r="BM174" i="4"/>
  <c r="BM175" i="4"/>
  <c r="BM178" i="4"/>
  <c r="BM180" i="4"/>
  <c r="BM181" i="4"/>
  <c r="BM182" i="4"/>
  <c r="BM183" i="4"/>
  <c r="BM184" i="4"/>
  <c r="BM185" i="4"/>
  <c r="BM186" i="4"/>
  <c r="BM188" i="4"/>
  <c r="BM189" i="4"/>
  <c r="BM190" i="4"/>
  <c r="BM191" i="4"/>
  <c r="BM192" i="4"/>
  <c r="BM193" i="4"/>
  <c r="BM194" i="4"/>
  <c r="BM195" i="4"/>
  <c r="BM196" i="4"/>
  <c r="BM197" i="4"/>
  <c r="BM198" i="4"/>
  <c r="BM201" i="4"/>
  <c r="BM202" i="4"/>
  <c r="BM203" i="4"/>
  <c r="BM204" i="4"/>
  <c r="BM205" i="4"/>
  <c r="BM206" i="4"/>
  <c r="BM207" i="4"/>
  <c r="BM208" i="4"/>
  <c r="BM209" i="4"/>
  <c r="BM211" i="4"/>
  <c r="BM212" i="4"/>
  <c r="BM213" i="4"/>
  <c r="BM214" i="4"/>
  <c r="BM215" i="4"/>
  <c r="BM216" i="4"/>
  <c r="BM217" i="4"/>
  <c r="BM218" i="4"/>
  <c r="BM219" i="4"/>
  <c r="BM220" i="4"/>
  <c r="BM221" i="4"/>
  <c r="BM222" i="4"/>
  <c r="BM223" i="4"/>
  <c r="BM224" i="4"/>
  <c r="BM225" i="4"/>
  <c r="BM226" i="4"/>
  <c r="BM227" i="4"/>
  <c r="BM228" i="4"/>
  <c r="BM229" i="4"/>
  <c r="BM230" i="4"/>
  <c r="BM231" i="4"/>
  <c r="BM232" i="4"/>
  <c r="BM233" i="4"/>
  <c r="BM234" i="4"/>
  <c r="BM235" i="4"/>
  <c r="BM236" i="4"/>
  <c r="BM237" i="4"/>
  <c r="BM238" i="4"/>
  <c r="BM239" i="4"/>
  <c r="BM240" i="4"/>
  <c r="BM241" i="4"/>
  <c r="BM242" i="4"/>
  <c r="BM243" i="4"/>
  <c r="BM244" i="4"/>
  <c r="BC230" i="4"/>
  <c r="BC229" i="4"/>
  <c r="BC228" i="4"/>
  <c r="BC227" i="4"/>
  <c r="BC226" i="4"/>
  <c r="BC225" i="4"/>
  <c r="BB230" i="4"/>
  <c r="BB229" i="4"/>
  <c r="BB228" i="4"/>
  <c r="BB227" i="4"/>
  <c r="BB226" i="4"/>
  <c r="BB225" i="4"/>
  <c r="BD225" i="4" s="1"/>
  <c r="AW230" i="4"/>
  <c r="AW229" i="4"/>
  <c r="AW228" i="4"/>
  <c r="AW227" i="4"/>
  <c r="AW226" i="4"/>
  <c r="AW225" i="4"/>
  <c r="AW224" i="4"/>
  <c r="AW223" i="4"/>
  <c r="AW222" i="4"/>
  <c r="AW221" i="4"/>
  <c r="AW220" i="4"/>
  <c r="AW219" i="4"/>
  <c r="AV230" i="4"/>
  <c r="AX230" i="4" s="1"/>
  <c r="AV229" i="4"/>
  <c r="AX229" i="4" s="1"/>
  <c r="AV228" i="4"/>
  <c r="AV227" i="4"/>
  <c r="AV226" i="4"/>
  <c r="AV225" i="4"/>
  <c r="AV224" i="4"/>
  <c r="AV223" i="4"/>
  <c r="AV222" i="4"/>
  <c r="AX222" i="4" s="1"/>
  <c r="AV221" i="4"/>
  <c r="AX221" i="4" s="1"/>
  <c r="AV220" i="4"/>
  <c r="AV219" i="4"/>
  <c r="AQ230" i="4"/>
  <c r="AQ229" i="4"/>
  <c r="AQ228" i="4"/>
  <c r="AQ227" i="4"/>
  <c r="AQ226" i="4"/>
  <c r="AQ225" i="4"/>
  <c r="AQ224" i="4"/>
  <c r="AQ223" i="4"/>
  <c r="AQ222" i="4"/>
  <c r="AQ221" i="4"/>
  <c r="AQ220" i="4"/>
  <c r="AQ219" i="4"/>
  <c r="AP230" i="4"/>
  <c r="AR230" i="4" s="1"/>
  <c r="AP229" i="4"/>
  <c r="AR229" i="4" s="1"/>
  <c r="AP228" i="4"/>
  <c r="AP227" i="4"/>
  <c r="AP226" i="4"/>
  <c r="AP225" i="4"/>
  <c r="AP224" i="4"/>
  <c r="AP223" i="4"/>
  <c r="AP222" i="4"/>
  <c r="AR222" i="4" s="1"/>
  <c r="AP221" i="4"/>
  <c r="AR221" i="4" s="1"/>
  <c r="AP220" i="4"/>
  <c r="AP219" i="4"/>
  <c r="AK230" i="4"/>
  <c r="AK229" i="4"/>
  <c r="AK228" i="4"/>
  <c r="AK227" i="4"/>
  <c r="AK226" i="4"/>
  <c r="AK225" i="4"/>
  <c r="AK224" i="4"/>
  <c r="AK223" i="4"/>
  <c r="AK222" i="4"/>
  <c r="AK221" i="4"/>
  <c r="AK220" i="4"/>
  <c r="AK219" i="4"/>
  <c r="AK218" i="4"/>
  <c r="AK217" i="4"/>
  <c r="AK216" i="4"/>
  <c r="AK215" i="4"/>
  <c r="AJ230" i="4"/>
  <c r="AL230" i="4" s="1"/>
  <c r="AJ229" i="4"/>
  <c r="AL229" i="4" s="1"/>
  <c r="AJ228" i="4"/>
  <c r="AL228" i="4" s="1"/>
  <c r="AJ227" i="4"/>
  <c r="AL227" i="4" s="1"/>
  <c r="AJ226" i="4"/>
  <c r="AL226" i="4" s="1"/>
  <c r="AJ225" i="4"/>
  <c r="AL225" i="4" s="1"/>
  <c r="AJ224" i="4"/>
  <c r="AL224" i="4" s="1"/>
  <c r="AJ223" i="4"/>
  <c r="AL223" i="4" s="1"/>
  <c r="AJ222" i="4"/>
  <c r="AL222" i="4" s="1"/>
  <c r="AJ221" i="4"/>
  <c r="AL221" i="4" s="1"/>
  <c r="AJ220" i="4"/>
  <c r="AL220" i="4" s="1"/>
  <c r="AJ219" i="4"/>
  <c r="AL219" i="4" s="1"/>
  <c r="AJ218" i="4"/>
  <c r="AL218" i="4" s="1"/>
  <c r="AJ217" i="4"/>
  <c r="AL217" i="4" s="1"/>
  <c r="AJ216" i="4"/>
  <c r="AL216" i="4" s="1"/>
  <c r="AJ215" i="4"/>
  <c r="AL215" i="4" s="1"/>
  <c r="AE215" i="4"/>
  <c r="AE230" i="4"/>
  <c r="AE229" i="4"/>
  <c r="AE228" i="4"/>
  <c r="AE227" i="4"/>
  <c r="AE226" i="4"/>
  <c r="AE225" i="4"/>
  <c r="AE224" i="4"/>
  <c r="AE223" i="4"/>
  <c r="AE222" i="4"/>
  <c r="AE221" i="4"/>
  <c r="AE220" i="4"/>
  <c r="AE219" i="4"/>
  <c r="AE218" i="4"/>
  <c r="AE217" i="4"/>
  <c r="AE216" i="4"/>
  <c r="AD230" i="4"/>
  <c r="AF230" i="4" s="1"/>
  <c r="AD229" i="4"/>
  <c r="AD228" i="4"/>
  <c r="AD227" i="4"/>
  <c r="AD226" i="4"/>
  <c r="AD225" i="4"/>
  <c r="AD224" i="4"/>
  <c r="AD223" i="4"/>
  <c r="AD222" i="4"/>
  <c r="AF222" i="4" s="1"/>
  <c r="AD221" i="4"/>
  <c r="AD220" i="4"/>
  <c r="AD219" i="4"/>
  <c r="AD218" i="4"/>
  <c r="AD217" i="4"/>
  <c r="AD216" i="4"/>
  <c r="AD215" i="4"/>
  <c r="Y230" i="4"/>
  <c r="Y229" i="4"/>
  <c r="Y228" i="4"/>
  <c r="Y227" i="4"/>
  <c r="Y226" i="4"/>
  <c r="Y225" i="4"/>
  <c r="Y224" i="4"/>
  <c r="Y223" i="4"/>
  <c r="Y222" i="4"/>
  <c r="Y221" i="4"/>
  <c r="Y220" i="4"/>
  <c r="Y219" i="4"/>
  <c r="Y218" i="4"/>
  <c r="Y217" i="4"/>
  <c r="Y216" i="4"/>
  <c r="Y215" i="4"/>
  <c r="X230" i="4"/>
  <c r="Z230" i="4" s="1"/>
  <c r="X229" i="4"/>
  <c r="Z229" i="4" s="1"/>
  <c r="X228" i="4"/>
  <c r="Z228" i="4" s="1"/>
  <c r="X227" i="4"/>
  <c r="Z227" i="4" s="1"/>
  <c r="X226" i="4"/>
  <c r="Z226" i="4" s="1"/>
  <c r="X225" i="4"/>
  <c r="Z225" i="4" s="1"/>
  <c r="X224" i="4"/>
  <c r="Z224" i="4" s="1"/>
  <c r="X223" i="4"/>
  <c r="X222" i="4"/>
  <c r="Z222" i="4" s="1"/>
  <c r="X221" i="4"/>
  <c r="Z221" i="4" s="1"/>
  <c r="X220" i="4"/>
  <c r="Z220" i="4" s="1"/>
  <c r="X219" i="4"/>
  <c r="Z219" i="4" s="1"/>
  <c r="X218" i="4"/>
  <c r="Z218" i="4" s="1"/>
  <c r="X217" i="4"/>
  <c r="Z217" i="4" s="1"/>
  <c r="X216" i="4"/>
  <c r="Z216" i="4" s="1"/>
  <c r="X215" i="4"/>
  <c r="Z215" i="4" s="1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R230" i="4"/>
  <c r="T230" i="4" s="1"/>
  <c r="R229" i="4"/>
  <c r="T229" i="4" s="1"/>
  <c r="R228" i="4"/>
  <c r="T228" i="4" s="1"/>
  <c r="R227" i="4"/>
  <c r="T227" i="4" s="1"/>
  <c r="R226" i="4"/>
  <c r="T226" i="4" s="1"/>
  <c r="R225" i="4"/>
  <c r="T225" i="4" s="1"/>
  <c r="R224" i="4"/>
  <c r="R223" i="4"/>
  <c r="T223" i="4" s="1"/>
  <c r="R222" i="4"/>
  <c r="T222" i="4" s="1"/>
  <c r="R221" i="4"/>
  <c r="T221" i="4" s="1"/>
  <c r="R220" i="4"/>
  <c r="T220" i="4" s="1"/>
  <c r="R219" i="4"/>
  <c r="T219" i="4" s="1"/>
  <c r="R218" i="4"/>
  <c r="T218" i="4" s="1"/>
  <c r="R217" i="4"/>
  <c r="T217" i="4" s="1"/>
  <c r="R216" i="4"/>
  <c r="T216" i="4" s="1"/>
  <c r="R215" i="4"/>
  <c r="T215" i="4" s="1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L230" i="4"/>
  <c r="N230" i="4" s="1"/>
  <c r="L229" i="4"/>
  <c r="N229" i="4" s="1"/>
  <c r="L228" i="4"/>
  <c r="N228" i="4" s="1"/>
  <c r="L227" i="4"/>
  <c r="N227" i="4" s="1"/>
  <c r="L226" i="4"/>
  <c r="N226" i="4" s="1"/>
  <c r="L225" i="4"/>
  <c r="N225" i="4" s="1"/>
  <c r="L224" i="4"/>
  <c r="N224" i="4" s="1"/>
  <c r="L223" i="4"/>
  <c r="L222" i="4"/>
  <c r="N222" i="4" s="1"/>
  <c r="L221" i="4"/>
  <c r="N221" i="4" s="1"/>
  <c r="L220" i="4"/>
  <c r="N220" i="4" s="1"/>
  <c r="L219" i="4"/>
  <c r="N219" i="4" s="1"/>
  <c r="L218" i="4"/>
  <c r="N218" i="4" s="1"/>
  <c r="L217" i="4"/>
  <c r="N217" i="4" s="1"/>
  <c r="L216" i="4"/>
  <c r="N216" i="4" s="1"/>
  <c r="L215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F230" i="4"/>
  <c r="H230" i="4" s="1"/>
  <c r="F229" i="4"/>
  <c r="H229" i="4" s="1"/>
  <c r="F228" i="4"/>
  <c r="H228" i="4" s="1"/>
  <c r="F227" i="4"/>
  <c r="H227" i="4" s="1"/>
  <c r="F226" i="4"/>
  <c r="H226" i="4" s="1"/>
  <c r="F225" i="4"/>
  <c r="H225" i="4" s="1"/>
  <c r="F224" i="4"/>
  <c r="H224" i="4" s="1"/>
  <c r="F223" i="4"/>
  <c r="F222" i="4"/>
  <c r="H222" i="4" s="1"/>
  <c r="F221" i="4"/>
  <c r="H221" i="4" s="1"/>
  <c r="F220" i="4"/>
  <c r="H220" i="4" s="1"/>
  <c r="F219" i="4"/>
  <c r="H219" i="4" s="1"/>
  <c r="F218" i="4"/>
  <c r="H218" i="4" s="1"/>
  <c r="F217" i="4"/>
  <c r="H217" i="4" s="1"/>
  <c r="F216" i="4"/>
  <c r="H216" i="4" s="1"/>
  <c r="F215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F231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Q231" i="4"/>
  <c r="AQ232" i="4"/>
  <c r="AQ233" i="4"/>
  <c r="AQ234" i="4"/>
  <c r="AQ235" i="4"/>
  <c r="AQ236" i="4"/>
  <c r="AQ237" i="4"/>
  <c r="AQ238" i="4"/>
  <c r="AQ239" i="4"/>
  <c r="AQ240" i="4"/>
  <c r="AQ241" i="4"/>
  <c r="AQ242" i="4"/>
  <c r="AQ243" i="4"/>
  <c r="AQ244" i="4"/>
  <c r="AV231" i="4"/>
  <c r="AV232" i="4"/>
  <c r="AV233" i="4"/>
  <c r="AV234" i="4"/>
  <c r="AV235" i="4"/>
  <c r="AV236" i="4"/>
  <c r="AV237" i="4"/>
  <c r="AV238" i="4"/>
  <c r="AV239" i="4"/>
  <c r="AV240" i="4"/>
  <c r="AV241" i="4"/>
  <c r="AX241" i="4" s="1"/>
  <c r="AV242" i="4"/>
  <c r="AV243" i="4"/>
  <c r="AV244" i="4"/>
  <c r="AW231" i="4"/>
  <c r="AW232" i="4"/>
  <c r="AW233" i="4"/>
  <c r="AW234" i="4"/>
  <c r="AW235" i="4"/>
  <c r="AW236" i="4"/>
  <c r="AW237" i="4"/>
  <c r="AW238" i="4"/>
  <c r="AW239" i="4"/>
  <c r="AW240" i="4"/>
  <c r="AW241" i="4"/>
  <c r="AW242" i="4"/>
  <c r="AW243" i="4"/>
  <c r="AW244" i="4"/>
  <c r="BB231" i="4"/>
  <c r="BB232" i="4"/>
  <c r="BB233" i="4"/>
  <c r="BB234" i="4"/>
  <c r="BB235" i="4"/>
  <c r="BB236" i="4"/>
  <c r="BB237" i="4"/>
  <c r="BB238" i="4"/>
  <c r="BB239" i="4"/>
  <c r="BB240" i="4"/>
  <c r="BB241" i="4"/>
  <c r="BB242" i="4"/>
  <c r="BB243" i="4"/>
  <c r="BB244" i="4"/>
  <c r="BC231" i="4"/>
  <c r="BC232" i="4"/>
  <c r="BC233" i="4"/>
  <c r="BC234" i="4"/>
  <c r="BC235" i="4"/>
  <c r="BC236" i="4"/>
  <c r="BC237" i="4"/>
  <c r="BC238" i="4"/>
  <c r="BC239" i="4"/>
  <c r="BC240" i="4"/>
  <c r="BC241" i="4"/>
  <c r="BC242" i="4"/>
  <c r="BC243" i="4"/>
  <c r="BC244" i="4"/>
  <c r="BG230" i="4"/>
  <c r="BG231" i="4"/>
  <c r="BG232" i="4"/>
  <c r="BG233" i="4"/>
  <c r="BH230" i="4"/>
  <c r="BH231" i="4"/>
  <c r="BH232" i="4"/>
  <c r="BH233" i="4"/>
  <c r="BH234" i="4"/>
  <c r="BH235" i="4"/>
  <c r="BH236" i="4"/>
  <c r="BH237" i="4"/>
  <c r="BH238" i="4"/>
  <c r="BH239" i="4"/>
  <c r="BH240" i="4"/>
  <c r="BH241" i="4"/>
  <c r="BH242" i="4"/>
  <c r="BH243" i="4"/>
  <c r="BH244" i="4"/>
  <c r="BI230" i="4"/>
  <c r="BI231" i="4"/>
  <c r="BI232" i="4"/>
  <c r="BI233" i="4"/>
  <c r="BI234" i="4"/>
  <c r="BI235" i="4"/>
  <c r="BI236" i="4"/>
  <c r="BI237" i="4"/>
  <c r="BI238" i="4"/>
  <c r="BI239" i="4"/>
  <c r="BI240" i="4"/>
  <c r="BI241" i="4"/>
  <c r="BI242" i="4"/>
  <c r="BI243" i="4"/>
  <c r="BI244" i="4"/>
  <c r="BN230" i="4"/>
  <c r="BN231" i="4"/>
  <c r="BN232" i="4"/>
  <c r="BN233" i="4"/>
  <c r="BN234" i="4"/>
  <c r="BN235" i="4"/>
  <c r="BN236" i="4"/>
  <c r="BN237" i="4"/>
  <c r="BN238" i="4"/>
  <c r="BN239" i="4"/>
  <c r="BN240" i="4"/>
  <c r="BN241" i="4"/>
  <c r="BN242" i="4"/>
  <c r="BN243" i="4"/>
  <c r="BN244" i="4"/>
  <c r="BO230" i="4"/>
  <c r="BO231" i="4"/>
  <c r="BO232" i="4"/>
  <c r="BO233" i="4"/>
  <c r="BO234" i="4"/>
  <c r="BO235" i="4"/>
  <c r="BO236" i="4"/>
  <c r="BO237" i="4"/>
  <c r="BO238" i="4"/>
  <c r="BO239" i="4"/>
  <c r="BO240" i="4"/>
  <c r="BO241" i="4"/>
  <c r="BO242" i="4"/>
  <c r="BO243" i="4"/>
  <c r="BO244" i="4"/>
  <c r="BD244" i="4" l="1"/>
  <c r="AX243" i="4"/>
  <c r="AL243" i="4"/>
  <c r="AF232" i="4"/>
  <c r="AX232" i="4"/>
  <c r="AF243" i="4"/>
  <c r="Z231" i="4"/>
  <c r="N231" i="4"/>
  <c r="AR243" i="4"/>
  <c r="H244" i="4"/>
  <c r="AL244" i="4"/>
  <c r="H243" i="4"/>
  <c r="AF220" i="4"/>
  <c r="AF228" i="4"/>
  <c r="BD230" i="4"/>
  <c r="AF215" i="4"/>
  <c r="AF223" i="4"/>
  <c r="AR219" i="4"/>
  <c r="AR227" i="4"/>
  <c r="AX219" i="4"/>
  <c r="AX227" i="4"/>
  <c r="BD226" i="4"/>
  <c r="H242" i="4"/>
  <c r="N243" i="4"/>
  <c r="AR220" i="4"/>
  <c r="AX220" i="4"/>
  <c r="AR244" i="4"/>
  <c r="N232" i="4"/>
  <c r="AF242" i="4"/>
  <c r="T242" i="4"/>
  <c r="T224" i="4"/>
  <c r="AR231" i="4"/>
  <c r="AL242" i="4"/>
  <c r="Z244" i="4"/>
  <c r="AF219" i="4"/>
  <c r="Z223" i="4"/>
  <c r="AF217" i="4"/>
  <c r="AF225" i="4"/>
  <c r="BD227" i="4"/>
  <c r="T232" i="4"/>
  <c r="BD228" i="4"/>
  <c r="H223" i="4"/>
  <c r="BJ242" i="4"/>
  <c r="BD243" i="4"/>
  <c r="AF227" i="4"/>
  <c r="AR224" i="4"/>
  <c r="AX224" i="4"/>
  <c r="H215" i="4"/>
  <c r="BP242" i="4"/>
  <c r="BD241" i="4"/>
  <c r="AF221" i="4"/>
  <c r="AF229" i="4"/>
  <c r="AR226" i="4"/>
  <c r="AX226" i="4"/>
  <c r="N215" i="4"/>
  <c r="N223" i="4"/>
  <c r="BJ241" i="4"/>
  <c r="BD242" i="4"/>
  <c r="AX231" i="4"/>
  <c r="AF241" i="4"/>
  <c r="T241" i="4"/>
  <c r="AF216" i="4"/>
  <c r="AF224" i="4"/>
  <c r="AR228" i="4"/>
  <c r="AX228" i="4"/>
  <c r="BD240" i="4"/>
  <c r="BD232" i="4"/>
  <c r="AL241" i="4"/>
  <c r="Z243" i="4"/>
  <c r="T231" i="4"/>
  <c r="N244" i="4"/>
  <c r="AF218" i="4"/>
  <c r="AF226" i="4"/>
  <c r="BD231" i="4"/>
  <c r="AX244" i="4"/>
  <c r="AR242" i="4"/>
  <c r="AL232" i="4"/>
  <c r="Z242" i="4"/>
  <c r="AR223" i="4"/>
  <c r="AX223" i="4"/>
  <c r="BD229" i="4"/>
  <c r="AL231" i="4"/>
  <c r="N242" i="4"/>
  <c r="BJ244" i="4"/>
  <c r="AX242" i="4"/>
  <c r="AR232" i="4"/>
  <c r="AF244" i="4"/>
  <c r="Z232" i="4"/>
  <c r="T244" i="4"/>
  <c r="N241" i="4"/>
  <c r="H232" i="4"/>
  <c r="AR225" i="4"/>
  <c r="AX225" i="4"/>
  <c r="BJ243" i="4"/>
  <c r="T243" i="4"/>
  <c r="H231" i="4"/>
  <c r="BP243" i="4"/>
  <c r="BJ231" i="4"/>
  <c r="BJ230" i="4"/>
  <c r="BP241" i="4"/>
  <c r="BP240" i="4"/>
  <c r="BP232" i="4"/>
  <c r="BP231" i="4"/>
  <c r="BP230" i="4"/>
  <c r="BJ232" i="4"/>
  <c r="BP239" i="4"/>
  <c r="BJ240" i="4"/>
  <c r="BJ239" i="4"/>
  <c r="BJ238" i="4"/>
  <c r="BJ237" i="4"/>
  <c r="BJ236" i="4"/>
  <c r="BJ235" i="4"/>
  <c r="BJ234" i="4"/>
  <c r="BD239" i="4"/>
  <c r="BD238" i="4"/>
  <c r="BD237" i="4"/>
  <c r="BD236" i="4"/>
  <c r="BD235" i="4"/>
  <c r="BD234" i="4"/>
  <c r="BD233" i="4"/>
  <c r="AX240" i="4"/>
  <c r="AX239" i="4"/>
  <c r="AX238" i="4"/>
  <c r="AX237" i="4"/>
  <c r="AX236" i="4"/>
  <c r="AX235" i="4"/>
  <c r="AX234" i="4"/>
  <c r="AX233" i="4"/>
  <c r="AR241" i="4"/>
  <c r="AR240" i="4"/>
  <c r="AR239" i="4"/>
  <c r="AR238" i="4"/>
  <c r="AR237" i="4"/>
  <c r="AR236" i="4"/>
  <c r="AR235" i="4"/>
  <c r="AR234" i="4"/>
  <c r="AR233" i="4"/>
  <c r="AL240" i="4"/>
  <c r="AL239" i="4"/>
  <c r="AL238" i="4"/>
  <c r="AL237" i="4"/>
  <c r="AL236" i="4"/>
  <c r="AL235" i="4"/>
  <c r="AL234" i="4"/>
  <c r="AL233" i="4"/>
  <c r="AF240" i="4"/>
  <c r="AF239" i="4"/>
  <c r="AF238" i="4"/>
  <c r="AF237" i="4"/>
  <c r="AF236" i="4"/>
  <c r="AF235" i="4"/>
  <c r="AF234" i="4"/>
  <c r="AF233" i="4"/>
  <c r="Z241" i="4"/>
  <c r="Z240" i="4"/>
  <c r="Z239" i="4"/>
  <c r="Z238" i="4"/>
  <c r="Z237" i="4"/>
  <c r="Z236" i="4"/>
  <c r="Z235" i="4"/>
  <c r="Z234" i="4"/>
  <c r="Z233" i="4"/>
  <c r="T240" i="4"/>
  <c r="T239" i="4"/>
  <c r="T238" i="4"/>
  <c r="T237" i="4"/>
  <c r="T236" i="4"/>
  <c r="T235" i="4"/>
  <c r="T234" i="4"/>
  <c r="T233" i="4"/>
  <c r="N240" i="4"/>
  <c r="N239" i="4"/>
  <c r="N238" i="4"/>
  <c r="N237" i="4"/>
  <c r="N236" i="4"/>
  <c r="N235" i="4"/>
  <c r="N234" i="4"/>
  <c r="N233" i="4"/>
  <c r="H241" i="4"/>
  <c r="H240" i="4"/>
  <c r="H239" i="4"/>
  <c r="H238" i="4"/>
  <c r="H237" i="4"/>
  <c r="H236" i="4"/>
  <c r="H235" i="4"/>
  <c r="H234" i="4"/>
  <c r="H233" i="4"/>
  <c r="BP244" i="4"/>
  <c r="BP235" i="4"/>
  <c r="BP234" i="4"/>
  <c r="BP233" i="4"/>
  <c r="BJ233" i="4"/>
  <c r="BP238" i="4"/>
  <c r="BP237" i="4"/>
  <c r="BP236" i="4"/>
  <c r="BL5" i="4"/>
  <c r="BO7" i="4"/>
  <c r="BO8" i="4"/>
  <c r="BO9" i="4"/>
  <c r="BO10" i="4"/>
  <c r="BO11" i="4"/>
  <c r="BO12" i="4"/>
  <c r="BO13" i="4"/>
  <c r="BO14" i="4"/>
  <c r="BO15" i="4"/>
  <c r="BO16" i="4"/>
  <c r="BO17" i="4"/>
  <c r="BO18" i="4"/>
  <c r="BO19" i="4"/>
  <c r="BO20" i="4"/>
  <c r="BO21" i="4"/>
  <c r="BO22" i="4"/>
  <c r="BO23" i="4"/>
  <c r="BO24" i="4"/>
  <c r="BO25" i="4"/>
  <c r="BO26" i="4"/>
  <c r="BO27" i="4"/>
  <c r="BO28" i="4"/>
  <c r="BO29" i="4"/>
  <c r="BO30" i="4"/>
  <c r="BO31" i="4"/>
  <c r="BO32" i="4"/>
  <c r="BO33" i="4"/>
  <c r="BO34" i="4"/>
  <c r="BO35" i="4"/>
  <c r="BO36" i="4"/>
  <c r="BO37" i="4"/>
  <c r="BO38" i="4"/>
  <c r="BO39" i="4"/>
  <c r="BO40" i="4"/>
  <c r="BO41" i="4"/>
  <c r="BO42" i="4"/>
  <c r="BO43" i="4"/>
  <c r="BO44" i="4"/>
  <c r="BO45" i="4"/>
  <c r="BO46" i="4"/>
  <c r="BO47" i="4"/>
  <c r="BO48" i="4"/>
  <c r="BO49" i="4"/>
  <c r="BO50" i="4"/>
  <c r="BO51" i="4"/>
  <c r="BO52" i="4"/>
  <c r="BO53" i="4"/>
  <c r="BO54" i="4"/>
  <c r="BO55" i="4"/>
  <c r="BO56" i="4"/>
  <c r="BO57" i="4"/>
  <c r="BO58" i="4"/>
  <c r="BO59" i="4"/>
  <c r="BO60" i="4"/>
  <c r="BO61" i="4"/>
  <c r="BO62" i="4"/>
  <c r="BO63" i="4"/>
  <c r="BO64" i="4"/>
  <c r="BO65" i="4"/>
  <c r="BO66" i="4"/>
  <c r="BO67" i="4"/>
  <c r="BO68" i="4"/>
  <c r="BO69" i="4"/>
  <c r="BO70" i="4"/>
  <c r="BO71" i="4"/>
  <c r="BO72" i="4"/>
  <c r="BO73" i="4"/>
  <c r="BO74" i="4"/>
  <c r="BO75" i="4"/>
  <c r="BO76" i="4"/>
  <c r="BO77" i="4"/>
  <c r="BO78" i="4"/>
  <c r="BO79" i="4"/>
  <c r="BO80" i="4"/>
  <c r="BO81" i="4"/>
  <c r="BO82" i="4"/>
  <c r="BO83" i="4"/>
  <c r="BO84" i="4"/>
  <c r="BO85" i="4"/>
  <c r="BO86" i="4"/>
  <c r="BO87" i="4"/>
  <c r="BO88" i="4"/>
  <c r="BO89" i="4"/>
  <c r="BO90" i="4"/>
  <c r="BO91" i="4"/>
  <c r="BO92" i="4"/>
  <c r="BO93" i="4"/>
  <c r="BO94" i="4"/>
  <c r="BO95" i="4"/>
  <c r="BO96" i="4"/>
  <c r="BO97" i="4"/>
  <c r="BO98" i="4"/>
  <c r="BO99" i="4"/>
  <c r="BO100" i="4"/>
  <c r="BO101" i="4"/>
  <c r="BO102" i="4"/>
  <c r="BO103" i="4"/>
  <c r="BO104" i="4"/>
  <c r="BO105" i="4"/>
  <c r="BO106" i="4"/>
  <c r="BO107" i="4"/>
  <c r="BO108" i="4"/>
  <c r="BO109" i="4"/>
  <c r="BO110" i="4"/>
  <c r="BO111" i="4"/>
  <c r="BO112" i="4"/>
  <c r="BO113" i="4"/>
  <c r="BO114" i="4"/>
  <c r="BO115" i="4"/>
  <c r="BO116" i="4"/>
  <c r="BO117" i="4"/>
  <c r="BO118" i="4"/>
  <c r="BO119" i="4"/>
  <c r="BO120" i="4"/>
  <c r="BO121" i="4"/>
  <c r="BO122" i="4"/>
  <c r="BO123" i="4"/>
  <c r="BO124" i="4"/>
  <c r="BO125" i="4"/>
  <c r="BO126" i="4"/>
  <c r="BO127" i="4"/>
  <c r="BO128" i="4"/>
  <c r="BO129" i="4"/>
  <c r="BO130" i="4"/>
  <c r="BO131" i="4"/>
  <c r="BO132" i="4"/>
  <c r="BO133" i="4"/>
  <c r="BO134" i="4"/>
  <c r="BO135" i="4"/>
  <c r="BO136" i="4"/>
  <c r="BO137" i="4"/>
  <c r="BO138" i="4"/>
  <c r="BO139" i="4"/>
  <c r="BO140" i="4"/>
  <c r="BO141" i="4"/>
  <c r="BO142" i="4"/>
  <c r="BO143" i="4"/>
  <c r="BO144" i="4"/>
  <c r="BO145" i="4"/>
  <c r="BO146" i="4"/>
  <c r="BO147" i="4"/>
  <c r="BO148" i="4"/>
  <c r="BO149" i="4"/>
  <c r="BO150" i="4"/>
  <c r="BO151" i="4"/>
  <c r="BO152" i="4"/>
  <c r="BO153" i="4"/>
  <c r="BO154" i="4"/>
  <c r="BO155" i="4"/>
  <c r="BO156" i="4"/>
  <c r="BO157" i="4"/>
  <c r="BO158" i="4"/>
  <c r="BO159" i="4"/>
  <c r="BO160" i="4"/>
  <c r="BO161" i="4"/>
  <c r="BO162" i="4"/>
  <c r="BO163" i="4"/>
  <c r="BO164" i="4"/>
  <c r="BO165" i="4"/>
  <c r="BO166" i="4"/>
  <c r="BO167" i="4"/>
  <c r="BO168" i="4"/>
  <c r="BO169" i="4"/>
  <c r="BO170" i="4"/>
  <c r="BO171" i="4"/>
  <c r="BO172" i="4"/>
  <c r="BO173" i="4"/>
  <c r="BO174" i="4"/>
  <c r="BO175" i="4"/>
  <c r="BO176" i="4"/>
  <c r="BO177" i="4"/>
  <c r="BO178" i="4"/>
  <c r="BO179" i="4"/>
  <c r="BO180" i="4"/>
  <c r="BO181" i="4"/>
  <c r="BO182" i="4"/>
  <c r="BO183" i="4"/>
  <c r="BO184" i="4"/>
  <c r="BO185" i="4"/>
  <c r="BO186" i="4"/>
  <c r="BO187" i="4"/>
  <c r="BO188" i="4"/>
  <c r="BO189" i="4"/>
  <c r="BO190" i="4"/>
  <c r="BO191" i="4"/>
  <c r="BO192" i="4"/>
  <c r="BO193" i="4"/>
  <c r="BO194" i="4"/>
  <c r="BO195" i="4"/>
  <c r="BO196" i="4"/>
  <c r="BO197" i="4"/>
  <c r="BO198" i="4"/>
  <c r="BO199" i="4"/>
  <c r="BO200" i="4"/>
  <c r="BO201" i="4"/>
  <c r="BO202" i="4"/>
  <c r="BO203" i="4"/>
  <c r="BO204" i="4"/>
  <c r="BO205" i="4"/>
  <c r="BO206" i="4"/>
  <c r="BO207" i="4"/>
  <c r="BO208" i="4"/>
  <c r="BO209" i="4"/>
  <c r="BO210" i="4"/>
  <c r="BO211" i="4"/>
  <c r="BO212" i="4"/>
  <c r="BO213" i="4"/>
  <c r="BO214" i="4"/>
  <c r="BO215" i="4"/>
  <c r="BO216" i="4"/>
  <c r="BO217" i="4"/>
  <c r="BO218" i="4"/>
  <c r="BO219" i="4"/>
  <c r="BO220" i="4"/>
  <c r="BO221" i="4"/>
  <c r="BO222" i="4"/>
  <c r="BO223" i="4"/>
  <c r="BO224" i="4"/>
  <c r="BO225" i="4"/>
  <c r="BO226" i="4"/>
  <c r="BO227" i="4"/>
  <c r="BO228" i="4"/>
  <c r="BO229" i="4"/>
  <c r="BN7" i="4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19" i="4"/>
  <c r="BN120" i="4"/>
  <c r="BN121" i="4"/>
  <c r="BN122" i="4"/>
  <c r="BN123" i="4"/>
  <c r="BN124" i="4"/>
  <c r="BN125" i="4"/>
  <c r="BN126" i="4"/>
  <c r="BN127" i="4"/>
  <c r="BN128" i="4"/>
  <c r="BN129" i="4"/>
  <c r="BN130" i="4"/>
  <c r="BN131" i="4"/>
  <c r="BN132" i="4"/>
  <c r="BN133" i="4"/>
  <c r="BN134" i="4"/>
  <c r="BN135" i="4"/>
  <c r="BN136" i="4"/>
  <c r="BN137" i="4"/>
  <c r="BN138" i="4"/>
  <c r="BN139" i="4"/>
  <c r="BN140" i="4"/>
  <c r="BN141" i="4"/>
  <c r="BN142" i="4"/>
  <c r="BN143" i="4"/>
  <c r="BN144" i="4"/>
  <c r="BN145" i="4"/>
  <c r="BN146" i="4"/>
  <c r="BN147" i="4"/>
  <c r="BN148" i="4"/>
  <c r="BN149" i="4"/>
  <c r="BN150" i="4"/>
  <c r="BN151" i="4"/>
  <c r="BN152" i="4"/>
  <c r="BN153" i="4"/>
  <c r="BN154" i="4"/>
  <c r="BN155" i="4"/>
  <c r="BN156" i="4"/>
  <c r="BN157" i="4"/>
  <c r="BN158" i="4"/>
  <c r="BN159" i="4"/>
  <c r="BN160" i="4"/>
  <c r="BN161" i="4"/>
  <c r="BN162" i="4"/>
  <c r="BN163" i="4"/>
  <c r="BN164" i="4"/>
  <c r="BN165" i="4"/>
  <c r="BN166" i="4"/>
  <c r="BN167" i="4"/>
  <c r="BN168" i="4"/>
  <c r="BN169" i="4"/>
  <c r="BN170" i="4"/>
  <c r="BN171" i="4"/>
  <c r="BN172" i="4"/>
  <c r="BN173" i="4"/>
  <c r="BN174" i="4"/>
  <c r="BN175" i="4"/>
  <c r="BN176" i="4"/>
  <c r="BN177" i="4"/>
  <c r="BN178" i="4"/>
  <c r="BN179" i="4"/>
  <c r="BN180" i="4"/>
  <c r="BN181" i="4"/>
  <c r="BN182" i="4"/>
  <c r="BN183" i="4"/>
  <c r="BN184" i="4"/>
  <c r="BN185" i="4"/>
  <c r="BN186" i="4"/>
  <c r="BN187" i="4"/>
  <c r="BN188" i="4"/>
  <c r="BN189" i="4"/>
  <c r="BN190" i="4"/>
  <c r="BN191" i="4"/>
  <c r="BN192" i="4"/>
  <c r="BN193" i="4"/>
  <c r="BN194" i="4"/>
  <c r="BN195" i="4"/>
  <c r="BN196" i="4"/>
  <c r="BN197" i="4"/>
  <c r="BN198" i="4"/>
  <c r="BN199" i="4"/>
  <c r="BN200" i="4"/>
  <c r="BN201" i="4"/>
  <c r="BN202" i="4"/>
  <c r="BN203" i="4"/>
  <c r="BN204" i="4"/>
  <c r="BN205" i="4"/>
  <c r="BN206" i="4"/>
  <c r="BN207" i="4"/>
  <c r="BN208" i="4"/>
  <c r="BN209" i="4"/>
  <c r="BN210" i="4"/>
  <c r="BN211" i="4"/>
  <c r="BN212" i="4"/>
  <c r="BN213" i="4"/>
  <c r="BN214" i="4"/>
  <c r="BN215" i="4"/>
  <c r="BN216" i="4"/>
  <c r="BN217" i="4"/>
  <c r="BN218" i="4"/>
  <c r="BN219" i="4"/>
  <c r="BN220" i="4"/>
  <c r="BN221" i="4"/>
  <c r="BN222" i="4"/>
  <c r="BN223" i="4"/>
  <c r="BN224" i="4"/>
  <c r="BN225" i="4"/>
  <c r="BN226" i="4"/>
  <c r="BN227" i="4"/>
  <c r="BN228" i="4"/>
  <c r="BN229" i="4"/>
  <c r="BK5" i="4"/>
  <c r="BM7" i="4"/>
  <c r="BG7" i="4"/>
  <c r="M5" i="5"/>
  <c r="M5" i="2"/>
  <c r="BP177" i="4" l="1"/>
  <c r="BP137" i="4"/>
  <c r="BP81" i="4"/>
  <c r="BP169" i="4"/>
  <c r="BP153" i="4"/>
  <c r="BP105" i="4"/>
  <c r="BP73" i="4"/>
  <c r="BP209" i="4"/>
  <c r="BP193" i="4"/>
  <c r="BP161" i="4"/>
  <c r="BP145" i="4"/>
  <c r="BP89" i="4"/>
  <c r="BP65" i="4"/>
  <c r="BP197" i="4"/>
  <c r="BP157" i="4"/>
  <c r="BP117" i="4"/>
  <c r="BP85" i="4"/>
  <c r="BP203" i="4"/>
  <c r="BP187" i="4"/>
  <c r="BP179" i="4"/>
  <c r="BP163" i="4"/>
  <c r="BP147" i="4"/>
  <c r="BP139" i="4"/>
  <c r="BP115" i="4"/>
  <c r="BP99" i="4"/>
  <c r="BP91" i="4"/>
  <c r="BP75" i="4"/>
  <c r="BP173" i="4"/>
  <c r="BP141" i="4"/>
  <c r="BP211" i="4"/>
  <c r="BP195" i="4"/>
  <c r="BP171" i="4"/>
  <c r="BP213" i="4"/>
  <c r="BP133" i="4"/>
  <c r="BP69" i="4"/>
  <c r="BO4" i="4"/>
  <c r="BP205" i="4"/>
  <c r="BP149" i="4"/>
  <c r="BP109" i="4"/>
  <c r="BP77" i="4"/>
  <c r="BM5" i="4"/>
  <c r="BM4" i="4"/>
  <c r="BN4" i="4"/>
  <c r="BP198" i="4"/>
  <c r="BP166" i="4"/>
  <c r="BP158" i="4"/>
  <c r="BP150" i="4"/>
  <c r="BP142" i="4"/>
  <c r="BP134" i="4"/>
  <c r="BP118" i="4"/>
  <c r="BP110" i="4"/>
  <c r="BP102" i="4"/>
  <c r="BP86" i="4"/>
  <c r="BP206" i="4"/>
  <c r="BP174" i="4"/>
  <c r="BP202" i="4"/>
  <c r="BP186" i="4"/>
  <c r="BP178" i="4"/>
  <c r="BP162" i="4"/>
  <c r="BP146" i="4"/>
  <c r="BP130" i="4"/>
  <c r="BP98" i="4"/>
  <c r="BP90" i="4"/>
  <c r="BP74" i="4"/>
  <c r="BP200" i="4"/>
  <c r="BP176" i="4"/>
  <c r="BP160" i="4"/>
  <c r="BP144" i="4"/>
  <c r="BP112" i="4"/>
  <c r="BP96" i="4"/>
  <c r="BP88" i="4"/>
  <c r="BP207" i="4"/>
  <c r="BP199" i="4"/>
  <c r="BP191" i="4"/>
  <c r="BP183" i="4"/>
  <c r="BP175" i="4"/>
  <c r="BP159" i="4"/>
  <c r="BP151" i="4"/>
  <c r="BP143" i="4"/>
  <c r="BP135" i="4"/>
  <c r="BP119" i="4"/>
  <c r="BP111" i="4"/>
  <c r="BP103" i="4"/>
  <c r="BP95" i="4"/>
  <c r="BP87" i="4"/>
  <c r="BP71" i="4"/>
  <c r="BP208" i="4"/>
  <c r="BP192" i="4"/>
  <c r="BP168" i="4"/>
  <c r="BP152" i="4"/>
  <c r="BP136" i="4"/>
  <c r="BP104" i="4"/>
  <c r="BP72" i="4"/>
  <c r="BP210" i="4"/>
  <c r="BP194" i="4"/>
  <c r="BP170" i="4"/>
  <c r="BP154" i="4"/>
  <c r="BP138" i="4"/>
  <c r="BP106" i="4"/>
  <c r="BP82" i="4"/>
  <c r="BP212" i="4"/>
  <c r="BP204" i="4"/>
  <c r="BP196" i="4"/>
  <c r="BP172" i="4"/>
  <c r="BP148" i="4"/>
  <c r="BP140" i="4"/>
  <c r="BP124" i="4"/>
  <c r="BP100" i="4"/>
  <c r="BP84" i="4"/>
  <c r="BP76" i="4"/>
  <c r="BP68" i="4"/>
  <c r="BP66" i="4"/>
  <c r="BN5" i="4"/>
  <c r="BP229" i="4"/>
  <c r="BP228" i="4"/>
  <c r="BP227" i="4"/>
  <c r="BP226" i="4"/>
  <c r="BP225" i="4"/>
  <c r="BP224" i="4"/>
  <c r="BP223" i="4"/>
  <c r="BP222" i="4"/>
  <c r="BP221" i="4"/>
  <c r="BP220" i="4"/>
  <c r="BP219" i="4"/>
  <c r="BP218" i="4"/>
  <c r="BP217" i="4"/>
  <c r="BP216" i="4"/>
  <c r="BP215" i="4"/>
  <c r="BP214" i="4"/>
  <c r="BP201" i="4"/>
  <c r="BP190" i="4"/>
  <c r="BP189" i="4"/>
  <c r="BP188" i="4"/>
  <c r="BP185" i="4"/>
  <c r="BP184" i="4"/>
  <c r="BP182" i="4"/>
  <c r="BP181" i="4"/>
  <c r="BP180" i="4"/>
  <c r="BP167" i="4"/>
  <c r="BP165" i="4"/>
  <c r="BP164" i="4"/>
  <c r="BP156" i="4"/>
  <c r="BP155" i="4"/>
  <c r="BP132" i="4"/>
  <c r="BP131" i="4"/>
  <c r="BP129" i="4"/>
  <c r="BP128" i="4"/>
  <c r="BP127" i="4"/>
  <c r="BP126" i="4"/>
  <c r="BP125" i="4"/>
  <c r="BP123" i="4"/>
  <c r="BP122" i="4"/>
  <c r="BP121" i="4"/>
  <c r="BP120" i="4"/>
  <c r="BP116" i="4"/>
  <c r="BP114" i="4"/>
  <c r="BP113" i="4"/>
  <c r="BP108" i="4"/>
  <c r="BP107" i="4"/>
  <c r="BP101" i="4"/>
  <c r="BP97" i="4"/>
  <c r="BP94" i="4"/>
  <c r="BP93" i="4"/>
  <c r="BP83" i="4"/>
  <c r="BP80" i="4"/>
  <c r="BP79" i="4"/>
  <c r="BP78" i="4"/>
  <c r="BP70" i="4"/>
  <c r="BP67" i="4"/>
  <c r="BP64" i="4"/>
  <c r="BP63" i="4"/>
  <c r="BP62" i="4"/>
  <c r="BP61" i="4"/>
  <c r="BP60" i="4"/>
  <c r="BP59" i="4"/>
  <c r="BP58" i="4"/>
  <c r="BP57" i="4"/>
  <c r="BP56" i="4"/>
  <c r="BP55" i="4"/>
  <c r="BP54" i="4"/>
  <c r="BP53" i="4"/>
  <c r="BP52" i="4"/>
  <c r="BP51" i="4"/>
  <c r="BP50" i="4"/>
  <c r="BP49" i="4"/>
  <c r="BP48" i="4"/>
  <c r="BP47" i="4"/>
  <c r="BP46" i="4"/>
  <c r="BP45" i="4"/>
  <c r="BP44" i="4"/>
  <c r="BP43" i="4"/>
  <c r="BP42" i="4"/>
  <c r="BP41" i="4"/>
  <c r="BP40" i="4"/>
  <c r="BP39" i="4"/>
  <c r="BP38" i="4"/>
  <c r="BP37" i="4"/>
  <c r="BP36" i="4"/>
  <c r="BP35" i="4"/>
  <c r="BP34" i="4"/>
  <c r="BP33" i="4"/>
  <c r="BP32" i="4"/>
  <c r="BP31" i="4"/>
  <c r="BP30" i="4"/>
  <c r="BP29" i="4"/>
  <c r="BP28" i="4"/>
  <c r="BP27" i="4"/>
  <c r="BP26" i="4"/>
  <c r="BP25" i="4"/>
  <c r="BP24" i="4"/>
  <c r="BP23" i="4"/>
  <c r="BP22" i="4"/>
  <c r="BP21" i="4"/>
  <c r="BP20" i="4"/>
  <c r="BP19" i="4"/>
  <c r="BP18" i="4"/>
  <c r="BP17" i="4"/>
  <c r="BP16" i="4"/>
  <c r="BP15" i="4"/>
  <c r="BP14" i="4"/>
  <c r="BP13" i="4"/>
  <c r="BP12" i="4"/>
  <c r="BP11" i="4"/>
  <c r="BP10" i="4"/>
  <c r="BP9" i="4"/>
  <c r="BP8" i="4"/>
  <c r="BP7" i="4"/>
  <c r="BP92" i="4"/>
  <c r="BO5" i="4"/>
  <c r="BG229" i="4"/>
  <c r="BG228" i="4"/>
  <c r="BG227" i="4"/>
  <c r="BG226" i="4"/>
  <c r="BG225" i="4"/>
  <c r="BG224" i="4"/>
  <c r="BG223" i="4"/>
  <c r="BG222" i="4"/>
  <c r="BG221" i="4"/>
  <c r="BG220" i="4"/>
  <c r="BG219" i="4"/>
  <c r="BG218" i="4"/>
  <c r="BG217" i="4"/>
  <c r="BG216" i="4"/>
  <c r="BG215" i="4"/>
  <c r="BG214" i="4"/>
  <c r="BG201" i="4"/>
  <c r="BG189" i="4"/>
  <c r="BG188" i="4"/>
  <c r="BG184" i="4"/>
  <c r="BG181" i="4"/>
  <c r="BG180" i="4"/>
  <c r="BG165" i="4"/>
  <c r="BG164" i="4"/>
  <c r="BG156" i="4"/>
  <c r="BG155" i="4"/>
  <c r="BG132" i="4"/>
  <c r="BG129" i="4"/>
  <c r="BG126" i="4"/>
  <c r="BG125" i="4"/>
  <c r="BG123" i="4"/>
  <c r="BG122" i="4"/>
  <c r="BG121" i="4"/>
  <c r="BG120" i="4"/>
  <c r="BG116" i="4"/>
  <c r="BG107" i="4"/>
  <c r="BG97" i="4"/>
  <c r="BG80" i="4"/>
  <c r="BG79" i="4"/>
  <c r="BG78" i="4"/>
  <c r="BG70" i="4"/>
  <c r="BG6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41" i="4"/>
  <c r="BG42" i="4"/>
  <c r="BG43" i="4"/>
  <c r="BG44" i="4"/>
  <c r="BG45" i="4"/>
  <c r="BG46" i="4"/>
  <c r="BG47" i="4"/>
  <c r="BG48" i="4"/>
  <c r="BG49" i="4"/>
  <c r="BG50" i="4"/>
  <c r="BG51" i="4"/>
  <c r="BG52" i="4"/>
  <c r="BG53" i="4"/>
  <c r="BG54" i="4"/>
  <c r="BG55" i="4"/>
  <c r="BG56" i="4"/>
  <c r="BG57" i="4"/>
  <c r="BG58" i="4"/>
  <c r="BG59" i="4"/>
  <c r="BG60" i="4"/>
  <c r="BG61" i="4"/>
  <c r="BG62" i="4"/>
  <c r="BG63" i="4"/>
  <c r="BG64" i="4"/>
  <c r="BA224" i="4"/>
  <c r="BA223" i="4"/>
  <c r="BA222" i="4"/>
  <c r="BA221" i="4"/>
  <c r="BA220" i="4"/>
  <c r="BA219" i="4"/>
  <c r="BA218" i="4"/>
  <c r="BA217" i="4"/>
  <c r="BA216" i="4"/>
  <c r="BA215" i="4"/>
  <c r="BA201" i="4"/>
  <c r="BA189" i="4"/>
  <c r="BA188" i="4"/>
  <c r="BA184" i="4"/>
  <c r="BA181" i="4"/>
  <c r="BA180" i="4"/>
  <c r="BA132" i="4"/>
  <c r="BA126" i="4"/>
  <c r="BA125" i="4"/>
  <c r="BA107" i="4"/>
  <c r="BA97" i="4"/>
  <c r="BA70" i="4"/>
  <c r="BA6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7" i="4"/>
  <c r="AU218" i="4"/>
  <c r="AU217" i="4"/>
  <c r="AU216" i="4"/>
  <c r="AU215" i="4"/>
  <c r="AU201" i="4"/>
  <c r="AU189" i="4"/>
  <c r="AU188" i="4"/>
  <c r="AU107" i="4"/>
  <c r="AU9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7" i="4"/>
  <c r="AO218" i="4"/>
  <c r="AO217" i="4"/>
  <c r="AO216" i="4"/>
  <c r="AO215" i="4"/>
  <c r="AO201" i="4"/>
  <c r="AO189" i="4"/>
  <c r="AO188" i="4"/>
  <c r="AO107" i="4"/>
  <c r="AO9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7" i="4"/>
  <c r="AI201" i="4"/>
  <c r="AI189" i="4"/>
  <c r="AI188" i="4"/>
  <c r="AI107" i="4"/>
  <c r="AI9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7" i="4"/>
  <c r="AC201" i="4"/>
  <c r="AC189" i="4"/>
  <c r="AC188" i="4"/>
  <c r="AC107" i="4"/>
  <c r="AC9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7" i="4"/>
  <c r="W201" i="4"/>
  <c r="W189" i="4"/>
  <c r="W188" i="4"/>
  <c r="W107" i="4"/>
  <c r="W9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7" i="4"/>
  <c r="Q201" i="4"/>
  <c r="Q189" i="4"/>
  <c r="Q188" i="4"/>
  <c r="Q107" i="4"/>
  <c r="Q9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7" i="4"/>
  <c r="K201" i="4"/>
  <c r="K189" i="4"/>
  <c r="K188" i="4"/>
  <c r="K107" i="4"/>
  <c r="K9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7" i="4"/>
  <c r="F7" i="4"/>
  <c r="E201" i="4"/>
  <c r="E189" i="4"/>
  <c r="E188" i="4"/>
  <c r="E107" i="4"/>
  <c r="E97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8" i="4"/>
  <c r="E9" i="4"/>
  <c r="E10" i="4"/>
  <c r="E7" i="4"/>
  <c r="I9" i="1"/>
  <c r="AT9" i="1"/>
  <c r="AS9" i="1"/>
  <c r="AR9" i="1"/>
  <c r="AQ9" i="1"/>
  <c r="BF5" i="4"/>
  <c r="BE5" i="4"/>
  <c r="AZ5" i="4"/>
  <c r="AY5" i="4"/>
  <c r="AT5" i="4"/>
  <c r="AS5" i="4"/>
  <c r="AM5" i="4"/>
  <c r="AH5" i="4"/>
  <c r="AG5" i="4"/>
  <c r="AD109" i="4"/>
  <c r="AD108" i="4"/>
  <c r="AE109" i="4"/>
  <c r="AE108" i="4"/>
  <c r="AB5" i="4"/>
  <c r="AA5" i="4"/>
  <c r="Z109" i="4"/>
  <c r="Z108" i="4"/>
  <c r="V5" i="4"/>
  <c r="U5" i="4"/>
  <c r="R109" i="4"/>
  <c r="R108" i="4"/>
  <c r="S109" i="4"/>
  <c r="S108" i="4"/>
  <c r="P5" i="4"/>
  <c r="O5" i="4"/>
  <c r="L109" i="4"/>
  <c r="L108" i="4"/>
  <c r="L50" i="4"/>
  <c r="L42" i="4"/>
  <c r="M109" i="4"/>
  <c r="M108" i="4"/>
  <c r="M50" i="4"/>
  <c r="M41" i="4"/>
  <c r="M40" i="4"/>
  <c r="J5" i="4"/>
  <c r="I5" i="4"/>
  <c r="C5" i="4"/>
  <c r="D5" i="4"/>
  <c r="C9" i="1"/>
  <c r="F109" i="4"/>
  <c r="H109" i="4" s="1"/>
  <c r="F108" i="4"/>
  <c r="H108" i="4" s="1"/>
  <c r="F50" i="4"/>
  <c r="F42" i="4"/>
  <c r="G42" i="4"/>
  <c r="H5" i="5"/>
  <c r="BG4" i="4" l="1"/>
  <c r="AU4" i="4"/>
  <c r="E4" i="4"/>
  <c r="BP4" i="4"/>
  <c r="Q4" i="4"/>
  <c r="BA4" i="4"/>
  <c r="AO4" i="4"/>
  <c r="W4" i="4"/>
  <c r="AI4" i="4"/>
  <c r="K4" i="4"/>
  <c r="AC4" i="4"/>
  <c r="T108" i="4"/>
  <c r="AF109" i="4"/>
  <c r="H50" i="4"/>
  <c r="N108" i="4"/>
  <c r="N109" i="4"/>
  <c r="H42" i="4"/>
  <c r="T109" i="4"/>
  <c r="AF108" i="4"/>
  <c r="N50" i="4"/>
  <c r="BI229" i="4" l="1"/>
  <c r="BH229" i="4"/>
  <c r="BI228" i="4"/>
  <c r="BH228" i="4"/>
  <c r="BI227" i="4"/>
  <c r="BH227" i="4"/>
  <c r="BI226" i="4"/>
  <c r="BH226" i="4"/>
  <c r="BI225" i="4"/>
  <c r="BH225" i="4"/>
  <c r="BI224" i="4"/>
  <c r="BH224" i="4"/>
  <c r="BI223" i="4"/>
  <c r="BH223" i="4"/>
  <c r="BI222" i="4"/>
  <c r="BH222" i="4"/>
  <c r="BI221" i="4"/>
  <c r="BH221" i="4"/>
  <c r="BI220" i="4"/>
  <c r="BH220" i="4"/>
  <c r="BI219" i="4"/>
  <c r="BH219" i="4"/>
  <c r="BI218" i="4"/>
  <c r="BH218" i="4"/>
  <c r="BI217" i="4"/>
  <c r="BH217" i="4"/>
  <c r="BI216" i="4"/>
  <c r="BH216" i="4"/>
  <c r="BI215" i="4"/>
  <c r="BH215" i="4"/>
  <c r="BI214" i="4"/>
  <c r="BH214" i="4"/>
  <c r="BI213" i="4"/>
  <c r="BH213" i="4"/>
  <c r="BI212" i="4"/>
  <c r="BH212" i="4"/>
  <c r="BI211" i="4"/>
  <c r="BH211" i="4"/>
  <c r="BI210" i="4"/>
  <c r="BH210" i="4"/>
  <c r="BI209" i="4"/>
  <c r="BH209" i="4"/>
  <c r="BI208" i="4"/>
  <c r="BH208" i="4"/>
  <c r="BI207" i="4"/>
  <c r="BH207" i="4"/>
  <c r="BI206" i="4"/>
  <c r="BH206" i="4"/>
  <c r="BI205" i="4"/>
  <c r="BH205" i="4"/>
  <c r="BI204" i="4"/>
  <c r="BH204" i="4"/>
  <c r="BI203" i="4"/>
  <c r="BH203" i="4"/>
  <c r="BI202" i="4"/>
  <c r="BH202" i="4"/>
  <c r="BI201" i="4"/>
  <c r="BH201" i="4"/>
  <c r="BI200" i="4"/>
  <c r="BH200" i="4"/>
  <c r="BI199" i="4"/>
  <c r="BH199" i="4"/>
  <c r="BI198" i="4"/>
  <c r="BH198" i="4"/>
  <c r="BI197" i="4"/>
  <c r="BH197" i="4"/>
  <c r="BI196" i="4"/>
  <c r="BH196" i="4"/>
  <c r="BI195" i="4"/>
  <c r="BH195" i="4"/>
  <c r="BI194" i="4"/>
  <c r="BH194" i="4"/>
  <c r="BI193" i="4"/>
  <c r="BH193" i="4"/>
  <c r="BI192" i="4"/>
  <c r="BH192" i="4"/>
  <c r="BI191" i="4"/>
  <c r="BH191" i="4"/>
  <c r="BI190" i="4"/>
  <c r="BH190" i="4"/>
  <c r="BI189" i="4"/>
  <c r="BH189" i="4"/>
  <c r="BI188" i="4"/>
  <c r="BH188" i="4"/>
  <c r="BI187" i="4"/>
  <c r="BH187" i="4"/>
  <c r="BI186" i="4"/>
  <c r="BH186" i="4"/>
  <c r="BI185" i="4"/>
  <c r="BH185" i="4"/>
  <c r="BI184" i="4"/>
  <c r="BH184" i="4"/>
  <c r="BI183" i="4"/>
  <c r="BH183" i="4"/>
  <c r="BI182" i="4"/>
  <c r="BH182" i="4"/>
  <c r="BI181" i="4"/>
  <c r="BH181" i="4"/>
  <c r="BI180" i="4"/>
  <c r="BH180" i="4"/>
  <c r="BI179" i="4"/>
  <c r="BH179" i="4"/>
  <c r="BI178" i="4"/>
  <c r="BH178" i="4"/>
  <c r="BI177" i="4"/>
  <c r="BH177" i="4"/>
  <c r="BI176" i="4"/>
  <c r="BH176" i="4"/>
  <c r="BI175" i="4"/>
  <c r="BH175" i="4"/>
  <c r="BI174" i="4"/>
  <c r="BH174" i="4"/>
  <c r="BI173" i="4"/>
  <c r="BH173" i="4"/>
  <c r="BI172" i="4"/>
  <c r="BH172" i="4"/>
  <c r="BI171" i="4"/>
  <c r="BH171" i="4"/>
  <c r="BI170" i="4"/>
  <c r="BH170" i="4"/>
  <c r="BI169" i="4"/>
  <c r="BH169" i="4"/>
  <c r="BI168" i="4"/>
  <c r="BH168" i="4"/>
  <c r="BI167" i="4"/>
  <c r="BH167" i="4"/>
  <c r="BI166" i="4"/>
  <c r="BH166" i="4"/>
  <c r="BI165" i="4"/>
  <c r="BH165" i="4"/>
  <c r="BI164" i="4"/>
  <c r="BH164" i="4"/>
  <c r="BI163" i="4"/>
  <c r="BH163" i="4"/>
  <c r="BI162" i="4"/>
  <c r="BH162" i="4"/>
  <c r="BI161" i="4"/>
  <c r="BH161" i="4"/>
  <c r="BI160" i="4"/>
  <c r="BH160" i="4"/>
  <c r="BI159" i="4"/>
  <c r="BH159" i="4"/>
  <c r="BI158" i="4"/>
  <c r="BH158" i="4"/>
  <c r="BI157" i="4"/>
  <c r="BH157" i="4"/>
  <c r="BI156" i="4"/>
  <c r="BH156" i="4"/>
  <c r="BI155" i="4"/>
  <c r="BH155" i="4"/>
  <c r="BI154" i="4"/>
  <c r="BH154" i="4"/>
  <c r="BI153" i="4"/>
  <c r="BH153" i="4"/>
  <c r="BI152" i="4"/>
  <c r="BH152" i="4"/>
  <c r="BI151" i="4"/>
  <c r="BH151" i="4"/>
  <c r="BI150" i="4"/>
  <c r="BH150" i="4"/>
  <c r="BI149" i="4"/>
  <c r="BH149" i="4"/>
  <c r="BI148" i="4"/>
  <c r="BH148" i="4"/>
  <c r="BI147" i="4"/>
  <c r="BH147" i="4"/>
  <c r="BI146" i="4"/>
  <c r="BH146" i="4"/>
  <c r="BI145" i="4"/>
  <c r="BH145" i="4"/>
  <c r="BI144" i="4"/>
  <c r="BH144" i="4"/>
  <c r="BI143" i="4"/>
  <c r="BH143" i="4"/>
  <c r="BI142" i="4"/>
  <c r="BH142" i="4"/>
  <c r="BI141" i="4"/>
  <c r="BH141" i="4"/>
  <c r="BI140" i="4"/>
  <c r="BH140" i="4"/>
  <c r="BI139" i="4"/>
  <c r="BH139" i="4"/>
  <c r="BI138" i="4"/>
  <c r="BH138" i="4"/>
  <c r="BI137" i="4"/>
  <c r="BH137" i="4"/>
  <c r="BI136" i="4"/>
  <c r="BH136" i="4"/>
  <c r="BI135" i="4"/>
  <c r="BH135" i="4"/>
  <c r="BI134" i="4"/>
  <c r="BH134" i="4"/>
  <c r="BI133" i="4"/>
  <c r="BH133" i="4"/>
  <c r="BI132" i="4"/>
  <c r="BH132" i="4"/>
  <c r="BI131" i="4"/>
  <c r="BH131" i="4"/>
  <c r="BI130" i="4"/>
  <c r="BH130" i="4"/>
  <c r="BI129" i="4"/>
  <c r="BH129" i="4"/>
  <c r="BI128" i="4"/>
  <c r="BH128" i="4"/>
  <c r="BI127" i="4"/>
  <c r="BH127" i="4"/>
  <c r="BI126" i="4"/>
  <c r="BH126" i="4"/>
  <c r="BI125" i="4"/>
  <c r="BH125" i="4"/>
  <c r="BI124" i="4"/>
  <c r="BH124" i="4"/>
  <c r="BI123" i="4"/>
  <c r="BH123" i="4"/>
  <c r="BI122" i="4"/>
  <c r="BH122" i="4"/>
  <c r="BI121" i="4"/>
  <c r="BH121" i="4"/>
  <c r="BI120" i="4"/>
  <c r="BH120" i="4"/>
  <c r="BI119" i="4"/>
  <c r="BH119" i="4"/>
  <c r="BI118" i="4"/>
  <c r="BH118" i="4"/>
  <c r="BI117" i="4"/>
  <c r="BH117" i="4"/>
  <c r="BI116" i="4"/>
  <c r="BH116" i="4"/>
  <c r="BI115" i="4"/>
  <c r="BH115" i="4"/>
  <c r="BI114" i="4"/>
  <c r="BH114" i="4"/>
  <c r="BI113" i="4"/>
  <c r="BH113" i="4"/>
  <c r="BI112" i="4"/>
  <c r="BH112" i="4"/>
  <c r="BI111" i="4"/>
  <c r="BH111" i="4"/>
  <c r="BI110" i="4"/>
  <c r="BH110" i="4"/>
  <c r="BI109" i="4"/>
  <c r="BH109" i="4"/>
  <c r="BI108" i="4"/>
  <c r="BH108" i="4"/>
  <c r="BI107" i="4"/>
  <c r="BH107" i="4"/>
  <c r="BI106" i="4"/>
  <c r="BH106" i="4"/>
  <c r="BI105" i="4"/>
  <c r="BH105" i="4"/>
  <c r="BI104" i="4"/>
  <c r="BH104" i="4"/>
  <c r="BI103" i="4"/>
  <c r="BH103" i="4"/>
  <c r="BI102" i="4"/>
  <c r="BH102" i="4"/>
  <c r="BI101" i="4"/>
  <c r="BH101" i="4"/>
  <c r="BI100" i="4"/>
  <c r="BH100" i="4"/>
  <c r="BI99" i="4"/>
  <c r="BH99" i="4"/>
  <c r="BI98" i="4"/>
  <c r="BH98" i="4"/>
  <c r="BI97" i="4"/>
  <c r="BH97" i="4"/>
  <c r="BI96" i="4"/>
  <c r="BH96" i="4"/>
  <c r="BI95" i="4"/>
  <c r="BH95" i="4"/>
  <c r="BI94" i="4"/>
  <c r="BH94" i="4"/>
  <c r="BI93" i="4"/>
  <c r="BH93" i="4"/>
  <c r="BI92" i="4"/>
  <c r="BH92" i="4"/>
  <c r="BI91" i="4"/>
  <c r="BH91" i="4"/>
  <c r="BI90" i="4"/>
  <c r="BH90" i="4"/>
  <c r="BI89" i="4"/>
  <c r="BH89" i="4"/>
  <c r="BI88" i="4"/>
  <c r="BH88" i="4"/>
  <c r="BI87" i="4"/>
  <c r="BH87" i="4"/>
  <c r="BI86" i="4"/>
  <c r="BH86" i="4"/>
  <c r="BI85" i="4"/>
  <c r="BH85" i="4"/>
  <c r="BI84" i="4"/>
  <c r="BH84" i="4"/>
  <c r="BI83" i="4"/>
  <c r="BH83" i="4"/>
  <c r="BI82" i="4"/>
  <c r="BH82" i="4"/>
  <c r="BI81" i="4"/>
  <c r="BH81" i="4"/>
  <c r="BI80" i="4"/>
  <c r="BH80" i="4"/>
  <c r="BI79" i="4"/>
  <c r="BH79" i="4"/>
  <c r="BI78" i="4"/>
  <c r="BH78" i="4"/>
  <c r="BI77" i="4"/>
  <c r="BH77" i="4"/>
  <c r="BI76" i="4"/>
  <c r="BH76" i="4"/>
  <c r="BI75" i="4"/>
  <c r="BH75" i="4"/>
  <c r="BI74" i="4"/>
  <c r="BH74" i="4"/>
  <c r="BI73" i="4"/>
  <c r="BH73" i="4"/>
  <c r="BI72" i="4"/>
  <c r="BH72" i="4"/>
  <c r="BI71" i="4"/>
  <c r="BH71" i="4"/>
  <c r="BI70" i="4"/>
  <c r="BH70" i="4"/>
  <c r="BI69" i="4"/>
  <c r="BH69" i="4"/>
  <c r="BI68" i="4"/>
  <c r="BH68" i="4"/>
  <c r="BI67" i="4"/>
  <c r="BH67" i="4"/>
  <c r="BI66" i="4"/>
  <c r="BH66" i="4"/>
  <c r="BI65" i="4"/>
  <c r="BH65" i="4"/>
  <c r="BI64" i="4"/>
  <c r="BH64" i="4"/>
  <c r="BI63" i="4"/>
  <c r="BH63" i="4"/>
  <c r="BI62" i="4"/>
  <c r="BH62" i="4"/>
  <c r="BI61" i="4"/>
  <c r="BH61" i="4"/>
  <c r="BI60" i="4"/>
  <c r="BH60" i="4"/>
  <c r="BI59" i="4"/>
  <c r="BH59" i="4"/>
  <c r="BI58" i="4"/>
  <c r="BH58" i="4"/>
  <c r="BI57" i="4"/>
  <c r="BH57" i="4"/>
  <c r="BI56" i="4"/>
  <c r="BH56" i="4"/>
  <c r="BI55" i="4"/>
  <c r="BH55" i="4"/>
  <c r="BI54" i="4"/>
  <c r="BH54" i="4"/>
  <c r="BI53" i="4"/>
  <c r="BH53" i="4"/>
  <c r="BI52" i="4"/>
  <c r="BH52" i="4"/>
  <c r="BI51" i="4"/>
  <c r="BH51" i="4"/>
  <c r="BI50" i="4"/>
  <c r="BH50" i="4"/>
  <c r="BI49" i="4"/>
  <c r="BH49" i="4"/>
  <c r="BI48" i="4"/>
  <c r="BH48" i="4"/>
  <c r="BI47" i="4"/>
  <c r="BH47" i="4"/>
  <c r="BI46" i="4"/>
  <c r="BH46" i="4"/>
  <c r="BI45" i="4"/>
  <c r="BH45" i="4"/>
  <c r="BI44" i="4"/>
  <c r="BH44" i="4"/>
  <c r="BI43" i="4"/>
  <c r="BH43" i="4"/>
  <c r="BI42" i="4"/>
  <c r="BH42" i="4"/>
  <c r="BI41" i="4"/>
  <c r="BH41" i="4"/>
  <c r="BI40" i="4"/>
  <c r="BH40" i="4"/>
  <c r="BI39" i="4"/>
  <c r="BH39" i="4"/>
  <c r="BI38" i="4"/>
  <c r="BH38" i="4"/>
  <c r="BI37" i="4"/>
  <c r="BH37" i="4"/>
  <c r="BI36" i="4"/>
  <c r="BH36" i="4"/>
  <c r="BI35" i="4"/>
  <c r="BH35" i="4"/>
  <c r="BI34" i="4"/>
  <c r="BH34" i="4"/>
  <c r="BI33" i="4"/>
  <c r="BH33" i="4"/>
  <c r="BI32" i="4"/>
  <c r="BH32" i="4"/>
  <c r="BI31" i="4"/>
  <c r="BH31" i="4"/>
  <c r="BI30" i="4"/>
  <c r="BH30" i="4"/>
  <c r="BI29" i="4"/>
  <c r="BH29" i="4"/>
  <c r="BI28" i="4"/>
  <c r="BH28" i="4"/>
  <c r="BI27" i="4"/>
  <c r="BH27" i="4"/>
  <c r="BI26" i="4"/>
  <c r="BH26" i="4"/>
  <c r="BI25" i="4"/>
  <c r="BH25" i="4"/>
  <c r="BI24" i="4"/>
  <c r="BH24" i="4"/>
  <c r="BI23" i="4"/>
  <c r="BH23" i="4"/>
  <c r="BI22" i="4"/>
  <c r="BH22" i="4"/>
  <c r="BI21" i="4"/>
  <c r="BH21" i="4"/>
  <c r="BI20" i="4"/>
  <c r="BH20" i="4"/>
  <c r="BI19" i="4"/>
  <c r="BH19" i="4"/>
  <c r="BI18" i="4"/>
  <c r="BH18" i="4"/>
  <c r="BI17" i="4"/>
  <c r="BH17" i="4"/>
  <c r="BI16" i="4"/>
  <c r="BH16" i="4"/>
  <c r="BI15" i="4"/>
  <c r="BH15" i="4"/>
  <c r="BI14" i="4"/>
  <c r="BH14" i="4"/>
  <c r="BI13" i="4"/>
  <c r="BH13" i="4"/>
  <c r="BI12" i="4"/>
  <c r="BH12" i="4"/>
  <c r="BI11" i="4"/>
  <c r="BH11" i="4"/>
  <c r="BI10" i="4"/>
  <c r="BH10" i="4"/>
  <c r="BI9" i="4"/>
  <c r="BH9" i="4"/>
  <c r="BI8" i="4"/>
  <c r="BH8" i="4"/>
  <c r="BC224" i="4"/>
  <c r="BB224" i="4"/>
  <c r="BC223" i="4"/>
  <c r="BB223" i="4"/>
  <c r="BC222" i="4"/>
  <c r="BB222" i="4"/>
  <c r="BC221" i="4"/>
  <c r="BB221" i="4"/>
  <c r="BC220" i="4"/>
  <c r="BB220" i="4"/>
  <c r="BC219" i="4"/>
  <c r="BB219" i="4"/>
  <c r="BC218" i="4"/>
  <c r="BB218" i="4"/>
  <c r="BC217" i="4"/>
  <c r="BB217" i="4"/>
  <c r="BC216" i="4"/>
  <c r="BB216" i="4"/>
  <c r="BC215" i="4"/>
  <c r="BB215" i="4"/>
  <c r="BC214" i="4"/>
  <c r="BB214" i="4"/>
  <c r="BC213" i="4"/>
  <c r="BB213" i="4"/>
  <c r="BC212" i="4"/>
  <c r="BB212" i="4"/>
  <c r="BC211" i="4"/>
  <c r="BB211" i="4"/>
  <c r="BC210" i="4"/>
  <c r="BB210" i="4"/>
  <c r="BC209" i="4"/>
  <c r="BB209" i="4"/>
  <c r="BC208" i="4"/>
  <c r="BB208" i="4"/>
  <c r="BC207" i="4"/>
  <c r="BB207" i="4"/>
  <c r="BC206" i="4"/>
  <c r="BB206" i="4"/>
  <c r="BC205" i="4"/>
  <c r="BB205" i="4"/>
  <c r="BC204" i="4"/>
  <c r="BB204" i="4"/>
  <c r="BC203" i="4"/>
  <c r="BB203" i="4"/>
  <c r="BC202" i="4"/>
  <c r="BB202" i="4"/>
  <c r="BC201" i="4"/>
  <c r="BB201" i="4"/>
  <c r="BC200" i="4"/>
  <c r="BB200" i="4"/>
  <c r="BC199" i="4"/>
  <c r="BB199" i="4"/>
  <c r="BC198" i="4"/>
  <c r="BB198" i="4"/>
  <c r="BC197" i="4"/>
  <c r="BB197" i="4"/>
  <c r="BC196" i="4"/>
  <c r="BB196" i="4"/>
  <c r="BC195" i="4"/>
  <c r="BB195" i="4"/>
  <c r="BC194" i="4"/>
  <c r="BB194" i="4"/>
  <c r="BC193" i="4"/>
  <c r="BB193" i="4"/>
  <c r="BC192" i="4"/>
  <c r="BB192" i="4"/>
  <c r="BC191" i="4"/>
  <c r="BB191" i="4"/>
  <c r="BC190" i="4"/>
  <c r="BB190" i="4"/>
  <c r="BC189" i="4"/>
  <c r="BB189" i="4"/>
  <c r="BC188" i="4"/>
  <c r="BB188" i="4"/>
  <c r="BC187" i="4"/>
  <c r="BB187" i="4"/>
  <c r="BC186" i="4"/>
  <c r="BB186" i="4"/>
  <c r="BC185" i="4"/>
  <c r="BB185" i="4"/>
  <c r="BC184" i="4"/>
  <c r="BB184" i="4"/>
  <c r="BC183" i="4"/>
  <c r="BB183" i="4"/>
  <c r="BC182" i="4"/>
  <c r="BB182" i="4"/>
  <c r="BC181" i="4"/>
  <c r="BB181" i="4"/>
  <c r="BC180" i="4"/>
  <c r="BB180" i="4"/>
  <c r="BC179" i="4"/>
  <c r="BB179" i="4"/>
  <c r="BC178" i="4"/>
  <c r="BB178" i="4"/>
  <c r="BC177" i="4"/>
  <c r="BB177" i="4"/>
  <c r="BC176" i="4"/>
  <c r="BB176" i="4"/>
  <c r="BC175" i="4"/>
  <c r="BB175" i="4"/>
  <c r="BC174" i="4"/>
  <c r="BB174" i="4"/>
  <c r="BC173" i="4"/>
  <c r="BB173" i="4"/>
  <c r="BC172" i="4"/>
  <c r="BB172" i="4"/>
  <c r="BC171" i="4"/>
  <c r="BB171" i="4"/>
  <c r="BC170" i="4"/>
  <c r="BB170" i="4"/>
  <c r="BC169" i="4"/>
  <c r="BB169" i="4"/>
  <c r="BC168" i="4"/>
  <c r="BB168" i="4"/>
  <c r="BC167" i="4"/>
  <c r="BB167" i="4"/>
  <c r="BC166" i="4"/>
  <c r="BB166" i="4"/>
  <c r="BC165" i="4"/>
  <c r="BB165" i="4"/>
  <c r="BC164" i="4"/>
  <c r="BB164" i="4"/>
  <c r="BC163" i="4"/>
  <c r="BB163" i="4"/>
  <c r="BC162" i="4"/>
  <c r="BB162" i="4"/>
  <c r="BC161" i="4"/>
  <c r="BB161" i="4"/>
  <c r="BC160" i="4"/>
  <c r="BB160" i="4"/>
  <c r="BC159" i="4"/>
  <c r="BB159" i="4"/>
  <c r="BC158" i="4"/>
  <c r="BB158" i="4"/>
  <c r="BC157" i="4"/>
  <c r="BB157" i="4"/>
  <c r="BC156" i="4"/>
  <c r="BB156" i="4"/>
  <c r="BC155" i="4"/>
  <c r="BB155" i="4"/>
  <c r="BC154" i="4"/>
  <c r="BB154" i="4"/>
  <c r="BC153" i="4"/>
  <c r="BB153" i="4"/>
  <c r="BC152" i="4"/>
  <c r="BB152" i="4"/>
  <c r="BC151" i="4"/>
  <c r="BB151" i="4"/>
  <c r="BC150" i="4"/>
  <c r="BB150" i="4"/>
  <c r="BC149" i="4"/>
  <c r="BB149" i="4"/>
  <c r="BC148" i="4"/>
  <c r="BB148" i="4"/>
  <c r="BC147" i="4"/>
  <c r="BB147" i="4"/>
  <c r="BC146" i="4"/>
  <c r="BB146" i="4"/>
  <c r="BC145" i="4"/>
  <c r="BB145" i="4"/>
  <c r="BC144" i="4"/>
  <c r="BB144" i="4"/>
  <c r="BC143" i="4"/>
  <c r="BB143" i="4"/>
  <c r="BC142" i="4"/>
  <c r="BB142" i="4"/>
  <c r="BC141" i="4"/>
  <c r="BB141" i="4"/>
  <c r="BC140" i="4"/>
  <c r="BB140" i="4"/>
  <c r="BC139" i="4"/>
  <c r="BB139" i="4"/>
  <c r="BC138" i="4"/>
  <c r="BB138" i="4"/>
  <c r="BC137" i="4"/>
  <c r="BB137" i="4"/>
  <c r="BC136" i="4"/>
  <c r="BB136" i="4"/>
  <c r="BC135" i="4"/>
  <c r="BB135" i="4"/>
  <c r="BC134" i="4"/>
  <c r="BB134" i="4"/>
  <c r="BC133" i="4"/>
  <c r="BB133" i="4"/>
  <c r="BC132" i="4"/>
  <c r="BB132" i="4"/>
  <c r="BC131" i="4"/>
  <c r="BB131" i="4"/>
  <c r="BC130" i="4"/>
  <c r="BB130" i="4"/>
  <c r="BC129" i="4"/>
  <c r="BB129" i="4"/>
  <c r="BC128" i="4"/>
  <c r="BB128" i="4"/>
  <c r="BC127" i="4"/>
  <c r="BB127" i="4"/>
  <c r="BC126" i="4"/>
  <c r="BB126" i="4"/>
  <c r="BC125" i="4"/>
  <c r="BB125" i="4"/>
  <c r="BC124" i="4"/>
  <c r="BB124" i="4"/>
  <c r="BC123" i="4"/>
  <c r="BB123" i="4"/>
  <c r="BC122" i="4"/>
  <c r="BB122" i="4"/>
  <c r="BC121" i="4"/>
  <c r="BB121" i="4"/>
  <c r="BC120" i="4"/>
  <c r="BB120" i="4"/>
  <c r="BC119" i="4"/>
  <c r="BB119" i="4"/>
  <c r="BC118" i="4"/>
  <c r="BB118" i="4"/>
  <c r="BC117" i="4"/>
  <c r="BB117" i="4"/>
  <c r="BC116" i="4"/>
  <c r="BB116" i="4"/>
  <c r="BC115" i="4"/>
  <c r="BB115" i="4"/>
  <c r="BC114" i="4"/>
  <c r="BB114" i="4"/>
  <c r="BC113" i="4"/>
  <c r="BB113" i="4"/>
  <c r="BC112" i="4"/>
  <c r="BB112" i="4"/>
  <c r="BC111" i="4"/>
  <c r="BB111" i="4"/>
  <c r="BC110" i="4"/>
  <c r="BB110" i="4"/>
  <c r="BC109" i="4"/>
  <c r="BB109" i="4"/>
  <c r="BC108" i="4"/>
  <c r="BB108" i="4"/>
  <c r="BC107" i="4"/>
  <c r="BB107" i="4"/>
  <c r="BC106" i="4"/>
  <c r="BB106" i="4"/>
  <c r="BC105" i="4"/>
  <c r="BB105" i="4"/>
  <c r="BC104" i="4"/>
  <c r="BB104" i="4"/>
  <c r="BC103" i="4"/>
  <c r="BB103" i="4"/>
  <c r="BC102" i="4"/>
  <c r="BB102" i="4"/>
  <c r="BC101" i="4"/>
  <c r="BB101" i="4"/>
  <c r="BC100" i="4"/>
  <c r="BB100" i="4"/>
  <c r="BC99" i="4"/>
  <c r="BB99" i="4"/>
  <c r="BC98" i="4"/>
  <c r="BB98" i="4"/>
  <c r="BC97" i="4"/>
  <c r="BB97" i="4"/>
  <c r="BC96" i="4"/>
  <c r="BB96" i="4"/>
  <c r="BC95" i="4"/>
  <c r="BB95" i="4"/>
  <c r="BC94" i="4"/>
  <c r="BB94" i="4"/>
  <c r="BC93" i="4"/>
  <c r="BB93" i="4"/>
  <c r="BC92" i="4"/>
  <c r="BB92" i="4"/>
  <c r="BC91" i="4"/>
  <c r="BB91" i="4"/>
  <c r="BC90" i="4"/>
  <c r="BB90" i="4"/>
  <c r="BC89" i="4"/>
  <c r="BB89" i="4"/>
  <c r="BC88" i="4"/>
  <c r="BB88" i="4"/>
  <c r="BC87" i="4"/>
  <c r="BB87" i="4"/>
  <c r="BC86" i="4"/>
  <c r="BB86" i="4"/>
  <c r="BC85" i="4"/>
  <c r="BB85" i="4"/>
  <c r="BC84" i="4"/>
  <c r="BB84" i="4"/>
  <c r="BC83" i="4"/>
  <c r="BB83" i="4"/>
  <c r="BC82" i="4"/>
  <c r="BB82" i="4"/>
  <c r="BC81" i="4"/>
  <c r="BB81" i="4"/>
  <c r="BC80" i="4"/>
  <c r="BB80" i="4"/>
  <c r="BC79" i="4"/>
  <c r="BB79" i="4"/>
  <c r="BC78" i="4"/>
  <c r="BB78" i="4"/>
  <c r="BC77" i="4"/>
  <c r="BB77" i="4"/>
  <c r="BC76" i="4"/>
  <c r="BB76" i="4"/>
  <c r="BC75" i="4"/>
  <c r="BB75" i="4"/>
  <c r="BC74" i="4"/>
  <c r="BB74" i="4"/>
  <c r="BC73" i="4"/>
  <c r="BB73" i="4"/>
  <c r="BC72" i="4"/>
  <c r="BB72" i="4"/>
  <c r="BC71" i="4"/>
  <c r="BB71" i="4"/>
  <c r="BC70" i="4"/>
  <c r="BB70" i="4"/>
  <c r="BC69" i="4"/>
  <c r="BB69" i="4"/>
  <c r="BC68" i="4"/>
  <c r="BB68" i="4"/>
  <c r="BC67" i="4"/>
  <c r="BB67" i="4"/>
  <c r="BC66" i="4"/>
  <c r="BB66" i="4"/>
  <c r="BC65" i="4"/>
  <c r="BB65" i="4"/>
  <c r="BC64" i="4"/>
  <c r="BB64" i="4"/>
  <c r="BC63" i="4"/>
  <c r="BB63" i="4"/>
  <c r="BC62" i="4"/>
  <c r="BB62" i="4"/>
  <c r="BC61" i="4"/>
  <c r="BB61" i="4"/>
  <c r="BC60" i="4"/>
  <c r="BB60" i="4"/>
  <c r="BC59" i="4"/>
  <c r="BB59" i="4"/>
  <c r="BC58" i="4"/>
  <c r="BB58" i="4"/>
  <c r="BC57" i="4"/>
  <c r="BB57" i="4"/>
  <c r="BC56" i="4"/>
  <c r="BB56" i="4"/>
  <c r="BC55" i="4"/>
  <c r="BB55" i="4"/>
  <c r="BC54" i="4"/>
  <c r="BB54" i="4"/>
  <c r="BC53" i="4"/>
  <c r="BB53" i="4"/>
  <c r="BC52" i="4"/>
  <c r="BB52" i="4"/>
  <c r="BC51" i="4"/>
  <c r="BB51" i="4"/>
  <c r="BC50" i="4"/>
  <c r="BB50" i="4"/>
  <c r="BC49" i="4"/>
  <c r="BB49" i="4"/>
  <c r="BC48" i="4"/>
  <c r="BB48" i="4"/>
  <c r="BC47" i="4"/>
  <c r="BB47" i="4"/>
  <c r="BC46" i="4"/>
  <c r="BB46" i="4"/>
  <c r="BC45" i="4"/>
  <c r="BB45" i="4"/>
  <c r="BC44" i="4"/>
  <c r="BB44" i="4"/>
  <c r="BC43" i="4"/>
  <c r="BB43" i="4"/>
  <c r="BC42" i="4"/>
  <c r="BB42" i="4"/>
  <c r="BC41" i="4"/>
  <c r="BB41" i="4"/>
  <c r="BC40" i="4"/>
  <c r="BB40" i="4"/>
  <c r="BC39" i="4"/>
  <c r="BB39" i="4"/>
  <c r="BC38" i="4"/>
  <c r="BB38" i="4"/>
  <c r="BC37" i="4"/>
  <c r="BB37" i="4"/>
  <c r="BC36" i="4"/>
  <c r="BB36" i="4"/>
  <c r="BC35" i="4"/>
  <c r="BB35" i="4"/>
  <c r="BC34" i="4"/>
  <c r="BB34" i="4"/>
  <c r="BC33" i="4"/>
  <c r="BB33" i="4"/>
  <c r="BC32" i="4"/>
  <c r="BB32" i="4"/>
  <c r="BC31" i="4"/>
  <c r="BB31" i="4"/>
  <c r="BC30" i="4"/>
  <c r="BB30" i="4"/>
  <c r="BC29" i="4"/>
  <c r="BB29" i="4"/>
  <c r="BC28" i="4"/>
  <c r="BB28" i="4"/>
  <c r="BC27" i="4"/>
  <c r="BB27" i="4"/>
  <c r="BC26" i="4"/>
  <c r="BB26" i="4"/>
  <c r="BC25" i="4"/>
  <c r="BB25" i="4"/>
  <c r="BC24" i="4"/>
  <c r="BB24" i="4"/>
  <c r="BC23" i="4"/>
  <c r="BB23" i="4"/>
  <c r="BC22" i="4"/>
  <c r="BB22" i="4"/>
  <c r="BC21" i="4"/>
  <c r="BB21" i="4"/>
  <c r="BC20" i="4"/>
  <c r="BB20" i="4"/>
  <c r="BC19" i="4"/>
  <c r="BB19" i="4"/>
  <c r="BC18" i="4"/>
  <c r="BB18" i="4"/>
  <c r="BC17" i="4"/>
  <c r="BB17" i="4"/>
  <c r="BC16" i="4"/>
  <c r="BB16" i="4"/>
  <c r="BC15" i="4"/>
  <c r="BB15" i="4"/>
  <c r="BC14" i="4"/>
  <c r="BB14" i="4"/>
  <c r="BC13" i="4"/>
  <c r="BB13" i="4"/>
  <c r="BC12" i="4"/>
  <c r="BB12" i="4"/>
  <c r="BC11" i="4"/>
  <c r="BB11" i="4"/>
  <c r="BC10" i="4"/>
  <c r="BB10" i="4"/>
  <c r="BC9" i="4"/>
  <c r="BB9" i="4"/>
  <c r="BC8" i="4"/>
  <c r="BB8" i="4"/>
  <c r="AW218" i="4"/>
  <c r="AV218" i="4"/>
  <c r="AW217" i="4"/>
  <c r="AV217" i="4"/>
  <c r="AW216" i="4"/>
  <c r="AV216" i="4"/>
  <c r="AW215" i="4"/>
  <c r="AV215" i="4"/>
  <c r="AW214" i="4"/>
  <c r="AV214" i="4"/>
  <c r="AW213" i="4"/>
  <c r="AV213" i="4"/>
  <c r="AW212" i="4"/>
  <c r="AV212" i="4"/>
  <c r="AW211" i="4"/>
  <c r="AV211" i="4"/>
  <c r="AW210" i="4"/>
  <c r="AV210" i="4"/>
  <c r="AW209" i="4"/>
  <c r="AV209" i="4"/>
  <c r="AW208" i="4"/>
  <c r="AV208" i="4"/>
  <c r="AW207" i="4"/>
  <c r="AV207" i="4"/>
  <c r="AW206" i="4"/>
  <c r="AV206" i="4"/>
  <c r="AW205" i="4"/>
  <c r="AV205" i="4"/>
  <c r="AW204" i="4"/>
  <c r="AV204" i="4"/>
  <c r="AW203" i="4"/>
  <c r="AV203" i="4"/>
  <c r="AW202" i="4"/>
  <c r="AV202" i="4"/>
  <c r="AW201" i="4"/>
  <c r="AV201" i="4"/>
  <c r="AW200" i="4"/>
  <c r="AV200" i="4"/>
  <c r="AW199" i="4"/>
  <c r="AV199" i="4"/>
  <c r="AW198" i="4"/>
  <c r="AV198" i="4"/>
  <c r="AW197" i="4"/>
  <c r="AV197" i="4"/>
  <c r="AW196" i="4"/>
  <c r="AV196" i="4"/>
  <c r="AW195" i="4"/>
  <c r="AV195" i="4"/>
  <c r="AW194" i="4"/>
  <c r="AV194" i="4"/>
  <c r="AW193" i="4"/>
  <c r="AV193" i="4"/>
  <c r="AW192" i="4"/>
  <c r="AV192" i="4"/>
  <c r="AW191" i="4"/>
  <c r="AV191" i="4"/>
  <c r="AW190" i="4"/>
  <c r="AV190" i="4"/>
  <c r="AW189" i="4"/>
  <c r="AV189" i="4"/>
  <c r="AW188" i="4"/>
  <c r="AV188" i="4"/>
  <c r="AW187" i="4"/>
  <c r="AV187" i="4"/>
  <c r="AW186" i="4"/>
  <c r="AV186" i="4"/>
  <c r="AW185" i="4"/>
  <c r="AV185" i="4"/>
  <c r="AW184" i="4"/>
  <c r="AV184" i="4"/>
  <c r="AW183" i="4"/>
  <c r="AV183" i="4"/>
  <c r="AW182" i="4"/>
  <c r="AV182" i="4"/>
  <c r="AW181" i="4"/>
  <c r="AV181" i="4"/>
  <c r="AW180" i="4"/>
  <c r="AV180" i="4"/>
  <c r="AW179" i="4"/>
  <c r="AV179" i="4"/>
  <c r="AW178" i="4"/>
  <c r="AV178" i="4"/>
  <c r="AW177" i="4"/>
  <c r="AV177" i="4"/>
  <c r="AW176" i="4"/>
  <c r="AV176" i="4"/>
  <c r="AW175" i="4"/>
  <c r="AV175" i="4"/>
  <c r="AW174" i="4"/>
  <c r="AV174" i="4"/>
  <c r="AW173" i="4"/>
  <c r="AV173" i="4"/>
  <c r="AW172" i="4"/>
  <c r="AV172" i="4"/>
  <c r="AW171" i="4"/>
  <c r="AV171" i="4"/>
  <c r="AW170" i="4"/>
  <c r="AV170" i="4"/>
  <c r="AW169" i="4"/>
  <c r="AV169" i="4"/>
  <c r="AW168" i="4"/>
  <c r="AV168" i="4"/>
  <c r="AW167" i="4"/>
  <c r="AV167" i="4"/>
  <c r="AW166" i="4"/>
  <c r="AV166" i="4"/>
  <c r="AW165" i="4"/>
  <c r="AV165" i="4"/>
  <c r="AW164" i="4"/>
  <c r="AV164" i="4"/>
  <c r="AW163" i="4"/>
  <c r="AV163" i="4"/>
  <c r="AW162" i="4"/>
  <c r="AV162" i="4"/>
  <c r="AW161" i="4"/>
  <c r="AV161" i="4"/>
  <c r="AW160" i="4"/>
  <c r="AV160" i="4"/>
  <c r="AW159" i="4"/>
  <c r="AV159" i="4"/>
  <c r="AW158" i="4"/>
  <c r="AV158" i="4"/>
  <c r="AW157" i="4"/>
  <c r="AV157" i="4"/>
  <c r="AW156" i="4"/>
  <c r="AV156" i="4"/>
  <c r="AW155" i="4"/>
  <c r="AV155" i="4"/>
  <c r="AW154" i="4"/>
  <c r="AV154" i="4"/>
  <c r="AW153" i="4"/>
  <c r="AV153" i="4"/>
  <c r="AW152" i="4"/>
  <c r="AV152" i="4"/>
  <c r="AW151" i="4"/>
  <c r="AV151" i="4"/>
  <c r="AW150" i="4"/>
  <c r="AV150" i="4"/>
  <c r="AW149" i="4"/>
  <c r="AV149" i="4"/>
  <c r="AW148" i="4"/>
  <c r="AV148" i="4"/>
  <c r="AW147" i="4"/>
  <c r="AV147" i="4"/>
  <c r="AW146" i="4"/>
  <c r="AV146" i="4"/>
  <c r="AW145" i="4"/>
  <c r="AV145" i="4"/>
  <c r="AW144" i="4"/>
  <c r="AV144" i="4"/>
  <c r="AW143" i="4"/>
  <c r="AV143" i="4"/>
  <c r="AW142" i="4"/>
  <c r="AV142" i="4"/>
  <c r="AW141" i="4"/>
  <c r="AV141" i="4"/>
  <c r="AW140" i="4"/>
  <c r="AV140" i="4"/>
  <c r="AW139" i="4"/>
  <c r="AV139" i="4"/>
  <c r="AW138" i="4"/>
  <c r="AV138" i="4"/>
  <c r="AW137" i="4"/>
  <c r="AV137" i="4"/>
  <c r="AW136" i="4"/>
  <c r="AV136" i="4"/>
  <c r="AW135" i="4"/>
  <c r="AV135" i="4"/>
  <c r="AW134" i="4"/>
  <c r="AV134" i="4"/>
  <c r="AW133" i="4"/>
  <c r="AV133" i="4"/>
  <c r="AW132" i="4"/>
  <c r="AV132" i="4"/>
  <c r="AW131" i="4"/>
  <c r="AV131" i="4"/>
  <c r="AW130" i="4"/>
  <c r="AV130" i="4"/>
  <c r="AW129" i="4"/>
  <c r="AV129" i="4"/>
  <c r="AW128" i="4"/>
  <c r="AV128" i="4"/>
  <c r="AW127" i="4"/>
  <c r="AV127" i="4"/>
  <c r="AW126" i="4"/>
  <c r="AV126" i="4"/>
  <c r="AW125" i="4"/>
  <c r="AV125" i="4"/>
  <c r="AW124" i="4"/>
  <c r="AV124" i="4"/>
  <c r="AW123" i="4"/>
  <c r="AV123" i="4"/>
  <c r="AW122" i="4"/>
  <c r="AV122" i="4"/>
  <c r="AW121" i="4"/>
  <c r="AV121" i="4"/>
  <c r="AW120" i="4"/>
  <c r="AV120" i="4"/>
  <c r="AW119" i="4"/>
  <c r="AV119" i="4"/>
  <c r="AW118" i="4"/>
  <c r="AV118" i="4"/>
  <c r="AW117" i="4"/>
  <c r="AV117" i="4"/>
  <c r="AW116" i="4"/>
  <c r="AV116" i="4"/>
  <c r="AW115" i="4"/>
  <c r="AV115" i="4"/>
  <c r="AW114" i="4"/>
  <c r="AV114" i="4"/>
  <c r="AW113" i="4"/>
  <c r="AV113" i="4"/>
  <c r="AW112" i="4"/>
  <c r="AV112" i="4"/>
  <c r="AW111" i="4"/>
  <c r="AV111" i="4"/>
  <c r="AW110" i="4"/>
  <c r="AV110" i="4"/>
  <c r="AW109" i="4"/>
  <c r="AV109" i="4"/>
  <c r="AW108" i="4"/>
  <c r="AV108" i="4"/>
  <c r="AW107" i="4"/>
  <c r="AV107" i="4"/>
  <c r="AW106" i="4"/>
  <c r="AV106" i="4"/>
  <c r="AW105" i="4"/>
  <c r="AV105" i="4"/>
  <c r="AW104" i="4"/>
  <c r="AV104" i="4"/>
  <c r="AW103" i="4"/>
  <c r="AV103" i="4"/>
  <c r="AW102" i="4"/>
  <c r="AV102" i="4"/>
  <c r="AW101" i="4"/>
  <c r="AV101" i="4"/>
  <c r="AW100" i="4"/>
  <c r="AV100" i="4"/>
  <c r="AW99" i="4"/>
  <c r="AV99" i="4"/>
  <c r="AW98" i="4"/>
  <c r="AV98" i="4"/>
  <c r="AW97" i="4"/>
  <c r="AV97" i="4"/>
  <c r="AW96" i="4"/>
  <c r="AV96" i="4"/>
  <c r="AW95" i="4"/>
  <c r="AV95" i="4"/>
  <c r="AW94" i="4"/>
  <c r="AV94" i="4"/>
  <c r="AW93" i="4"/>
  <c r="AV93" i="4"/>
  <c r="AW92" i="4"/>
  <c r="AV92" i="4"/>
  <c r="AW91" i="4"/>
  <c r="AV91" i="4"/>
  <c r="AW90" i="4"/>
  <c r="AV90" i="4"/>
  <c r="AW89" i="4"/>
  <c r="AV89" i="4"/>
  <c r="AW88" i="4"/>
  <c r="AV88" i="4"/>
  <c r="AW87" i="4"/>
  <c r="AV87" i="4"/>
  <c r="AW86" i="4"/>
  <c r="AV86" i="4"/>
  <c r="AW85" i="4"/>
  <c r="AV85" i="4"/>
  <c r="AW84" i="4"/>
  <c r="AV84" i="4"/>
  <c r="AW83" i="4"/>
  <c r="AV83" i="4"/>
  <c r="AW82" i="4"/>
  <c r="AV82" i="4"/>
  <c r="AW81" i="4"/>
  <c r="AV81" i="4"/>
  <c r="AW80" i="4"/>
  <c r="AV80" i="4"/>
  <c r="AW79" i="4"/>
  <c r="AV79" i="4"/>
  <c r="AW78" i="4"/>
  <c r="AV78" i="4"/>
  <c r="AW77" i="4"/>
  <c r="AV77" i="4"/>
  <c r="AW76" i="4"/>
  <c r="AV76" i="4"/>
  <c r="AW75" i="4"/>
  <c r="AV75" i="4"/>
  <c r="AW74" i="4"/>
  <c r="AV74" i="4"/>
  <c r="AW73" i="4"/>
  <c r="AV73" i="4"/>
  <c r="AW72" i="4"/>
  <c r="AV72" i="4"/>
  <c r="AW71" i="4"/>
  <c r="AV71" i="4"/>
  <c r="AW70" i="4"/>
  <c r="AV70" i="4"/>
  <c r="AW69" i="4"/>
  <c r="AV69" i="4"/>
  <c r="AW68" i="4"/>
  <c r="AV68" i="4"/>
  <c r="AW67" i="4"/>
  <c r="AV67" i="4"/>
  <c r="AW66" i="4"/>
  <c r="AV66" i="4"/>
  <c r="AW65" i="4"/>
  <c r="AV65" i="4"/>
  <c r="AW64" i="4"/>
  <c r="AV64" i="4"/>
  <c r="AW63" i="4"/>
  <c r="AV63" i="4"/>
  <c r="AW62" i="4"/>
  <c r="AV62" i="4"/>
  <c r="AW61" i="4"/>
  <c r="AV61" i="4"/>
  <c r="AW60" i="4"/>
  <c r="AV60" i="4"/>
  <c r="AW59" i="4"/>
  <c r="AV59" i="4"/>
  <c r="AW58" i="4"/>
  <c r="AV58" i="4"/>
  <c r="AW57" i="4"/>
  <c r="AV57" i="4"/>
  <c r="AW56" i="4"/>
  <c r="AV56" i="4"/>
  <c r="AW55" i="4"/>
  <c r="AV55" i="4"/>
  <c r="AW54" i="4"/>
  <c r="AV54" i="4"/>
  <c r="AW53" i="4"/>
  <c r="AV53" i="4"/>
  <c r="AW52" i="4"/>
  <c r="AV52" i="4"/>
  <c r="AW51" i="4"/>
  <c r="AV51" i="4"/>
  <c r="AW50" i="4"/>
  <c r="AV50" i="4"/>
  <c r="AW49" i="4"/>
  <c r="AV49" i="4"/>
  <c r="AW48" i="4"/>
  <c r="AV48" i="4"/>
  <c r="AW47" i="4"/>
  <c r="AV47" i="4"/>
  <c r="AW46" i="4"/>
  <c r="AV46" i="4"/>
  <c r="AW45" i="4"/>
  <c r="AV45" i="4"/>
  <c r="AW44" i="4"/>
  <c r="AV44" i="4"/>
  <c r="AW43" i="4"/>
  <c r="AV43" i="4"/>
  <c r="AW42" i="4"/>
  <c r="AV42" i="4"/>
  <c r="AW41" i="4"/>
  <c r="AV41" i="4"/>
  <c r="AW40" i="4"/>
  <c r="AV40" i="4"/>
  <c r="AW39" i="4"/>
  <c r="AV39" i="4"/>
  <c r="AW38" i="4"/>
  <c r="AV38" i="4"/>
  <c r="AW37" i="4"/>
  <c r="AV37" i="4"/>
  <c r="AW36" i="4"/>
  <c r="AV36" i="4"/>
  <c r="AW35" i="4"/>
  <c r="AV35" i="4"/>
  <c r="AW34" i="4"/>
  <c r="AV34" i="4"/>
  <c r="AW33" i="4"/>
  <c r="AV33" i="4"/>
  <c r="AW32" i="4"/>
  <c r="AV32" i="4"/>
  <c r="AW31" i="4"/>
  <c r="AV31" i="4"/>
  <c r="AW30" i="4"/>
  <c r="AV30" i="4"/>
  <c r="AW29" i="4"/>
  <c r="AV29" i="4"/>
  <c r="AW28" i="4"/>
  <c r="AV28" i="4"/>
  <c r="AW27" i="4"/>
  <c r="AV27" i="4"/>
  <c r="AW26" i="4"/>
  <c r="AV26" i="4"/>
  <c r="AW25" i="4"/>
  <c r="AV25" i="4"/>
  <c r="AW24" i="4"/>
  <c r="AV24" i="4"/>
  <c r="AW23" i="4"/>
  <c r="AV23" i="4"/>
  <c r="AW22" i="4"/>
  <c r="AV22" i="4"/>
  <c r="AW21" i="4"/>
  <c r="AV21" i="4"/>
  <c r="AW20" i="4"/>
  <c r="AV20" i="4"/>
  <c r="AW19" i="4"/>
  <c r="AV19" i="4"/>
  <c r="AW18" i="4"/>
  <c r="AV18" i="4"/>
  <c r="AW17" i="4"/>
  <c r="AV17" i="4"/>
  <c r="AW16" i="4"/>
  <c r="AV16" i="4"/>
  <c r="AW15" i="4"/>
  <c r="AV15" i="4"/>
  <c r="AW14" i="4"/>
  <c r="AV14" i="4"/>
  <c r="AW13" i="4"/>
  <c r="AV13" i="4"/>
  <c r="AW12" i="4"/>
  <c r="AV12" i="4"/>
  <c r="AW11" i="4"/>
  <c r="AV11" i="4"/>
  <c r="AW10" i="4"/>
  <c r="AV10" i="4"/>
  <c r="AW9" i="4"/>
  <c r="AV9" i="4"/>
  <c r="AW8" i="4"/>
  <c r="AV8" i="4"/>
  <c r="AQ218" i="4"/>
  <c r="AP218" i="4"/>
  <c r="AQ217" i="4"/>
  <c r="AP217" i="4"/>
  <c r="AQ216" i="4"/>
  <c r="AP216" i="4"/>
  <c r="AQ215" i="4"/>
  <c r="AP215" i="4"/>
  <c r="AQ214" i="4"/>
  <c r="AP214" i="4"/>
  <c r="AQ213" i="4"/>
  <c r="AP213" i="4"/>
  <c r="AQ212" i="4"/>
  <c r="AP212" i="4"/>
  <c r="AQ211" i="4"/>
  <c r="AP211" i="4"/>
  <c r="AQ210" i="4"/>
  <c r="AP210" i="4"/>
  <c r="AQ209" i="4"/>
  <c r="AP209" i="4"/>
  <c r="AQ208" i="4"/>
  <c r="AP208" i="4"/>
  <c r="AQ207" i="4"/>
  <c r="AP207" i="4"/>
  <c r="AQ206" i="4"/>
  <c r="AP206" i="4"/>
  <c r="AQ205" i="4"/>
  <c r="AP205" i="4"/>
  <c r="AQ204" i="4"/>
  <c r="AP204" i="4"/>
  <c r="AQ203" i="4"/>
  <c r="AP203" i="4"/>
  <c r="AQ202" i="4"/>
  <c r="AP202" i="4"/>
  <c r="AQ201" i="4"/>
  <c r="AP201" i="4"/>
  <c r="AQ200" i="4"/>
  <c r="AP200" i="4"/>
  <c r="AQ199" i="4"/>
  <c r="AP199" i="4"/>
  <c r="AQ198" i="4"/>
  <c r="AP198" i="4"/>
  <c r="AQ197" i="4"/>
  <c r="AP197" i="4"/>
  <c r="AQ196" i="4"/>
  <c r="AP196" i="4"/>
  <c r="AQ195" i="4"/>
  <c r="AP195" i="4"/>
  <c r="AQ194" i="4"/>
  <c r="AP194" i="4"/>
  <c r="AQ193" i="4"/>
  <c r="AP193" i="4"/>
  <c r="AQ192" i="4"/>
  <c r="AP192" i="4"/>
  <c r="AQ191" i="4"/>
  <c r="AP191" i="4"/>
  <c r="AQ190" i="4"/>
  <c r="AP190" i="4"/>
  <c r="AQ189" i="4"/>
  <c r="AP189" i="4"/>
  <c r="AQ188" i="4"/>
  <c r="AP188" i="4"/>
  <c r="AQ187" i="4"/>
  <c r="AP187" i="4"/>
  <c r="AQ186" i="4"/>
  <c r="AP186" i="4"/>
  <c r="AQ185" i="4"/>
  <c r="AP185" i="4"/>
  <c r="AQ184" i="4"/>
  <c r="AP184" i="4"/>
  <c r="AQ183" i="4"/>
  <c r="AP183" i="4"/>
  <c r="AQ182" i="4"/>
  <c r="AP182" i="4"/>
  <c r="AQ181" i="4"/>
  <c r="AP181" i="4"/>
  <c r="AQ180" i="4"/>
  <c r="AP180" i="4"/>
  <c r="AQ179" i="4"/>
  <c r="AP179" i="4"/>
  <c r="AQ178" i="4"/>
  <c r="AP178" i="4"/>
  <c r="AQ177" i="4"/>
  <c r="AP177" i="4"/>
  <c r="AQ176" i="4"/>
  <c r="AP176" i="4"/>
  <c r="AQ175" i="4"/>
  <c r="AP175" i="4"/>
  <c r="AQ174" i="4"/>
  <c r="AP174" i="4"/>
  <c r="AQ173" i="4"/>
  <c r="AP173" i="4"/>
  <c r="AQ172" i="4"/>
  <c r="AP172" i="4"/>
  <c r="AQ171" i="4"/>
  <c r="AP171" i="4"/>
  <c r="AQ170" i="4"/>
  <c r="AP170" i="4"/>
  <c r="AQ169" i="4"/>
  <c r="AP169" i="4"/>
  <c r="AQ168" i="4"/>
  <c r="AP168" i="4"/>
  <c r="AQ167" i="4"/>
  <c r="AP167" i="4"/>
  <c r="AQ166" i="4"/>
  <c r="AP166" i="4"/>
  <c r="AQ165" i="4"/>
  <c r="AP165" i="4"/>
  <c r="AQ164" i="4"/>
  <c r="AP164" i="4"/>
  <c r="AQ163" i="4"/>
  <c r="AP163" i="4"/>
  <c r="AQ162" i="4"/>
  <c r="AP162" i="4"/>
  <c r="AQ161" i="4"/>
  <c r="AP161" i="4"/>
  <c r="AQ160" i="4"/>
  <c r="AP160" i="4"/>
  <c r="AQ159" i="4"/>
  <c r="AP159" i="4"/>
  <c r="AQ158" i="4"/>
  <c r="AP158" i="4"/>
  <c r="AQ157" i="4"/>
  <c r="AP157" i="4"/>
  <c r="AQ156" i="4"/>
  <c r="AP156" i="4"/>
  <c r="AQ155" i="4"/>
  <c r="AP155" i="4"/>
  <c r="AQ154" i="4"/>
  <c r="AP154" i="4"/>
  <c r="AQ153" i="4"/>
  <c r="AP153" i="4"/>
  <c r="AQ152" i="4"/>
  <c r="AP152" i="4"/>
  <c r="AQ151" i="4"/>
  <c r="AP151" i="4"/>
  <c r="AQ150" i="4"/>
  <c r="AP150" i="4"/>
  <c r="AQ149" i="4"/>
  <c r="AP149" i="4"/>
  <c r="AQ148" i="4"/>
  <c r="AP148" i="4"/>
  <c r="AQ147" i="4"/>
  <c r="AP147" i="4"/>
  <c r="AQ146" i="4"/>
  <c r="AP146" i="4"/>
  <c r="AQ145" i="4"/>
  <c r="AP145" i="4"/>
  <c r="AQ144" i="4"/>
  <c r="AP144" i="4"/>
  <c r="AQ143" i="4"/>
  <c r="AP143" i="4"/>
  <c r="AQ142" i="4"/>
  <c r="AP142" i="4"/>
  <c r="AQ141" i="4"/>
  <c r="AP141" i="4"/>
  <c r="AQ140" i="4"/>
  <c r="AP140" i="4"/>
  <c r="AQ139" i="4"/>
  <c r="AP139" i="4"/>
  <c r="AQ138" i="4"/>
  <c r="AP138" i="4"/>
  <c r="AQ137" i="4"/>
  <c r="AP137" i="4"/>
  <c r="AQ136" i="4"/>
  <c r="AP136" i="4"/>
  <c r="AQ135" i="4"/>
  <c r="AP135" i="4"/>
  <c r="AQ134" i="4"/>
  <c r="AP134" i="4"/>
  <c r="AQ133" i="4"/>
  <c r="AP133" i="4"/>
  <c r="AQ132" i="4"/>
  <c r="AP132" i="4"/>
  <c r="AQ131" i="4"/>
  <c r="AP131" i="4"/>
  <c r="AQ130" i="4"/>
  <c r="AP130" i="4"/>
  <c r="AQ129" i="4"/>
  <c r="AP129" i="4"/>
  <c r="AQ128" i="4"/>
  <c r="AP128" i="4"/>
  <c r="AQ127" i="4"/>
  <c r="AP127" i="4"/>
  <c r="AQ126" i="4"/>
  <c r="AP126" i="4"/>
  <c r="AQ125" i="4"/>
  <c r="AP125" i="4"/>
  <c r="AQ124" i="4"/>
  <c r="AP124" i="4"/>
  <c r="AQ123" i="4"/>
  <c r="AP123" i="4"/>
  <c r="AQ122" i="4"/>
  <c r="AP122" i="4"/>
  <c r="AQ121" i="4"/>
  <c r="AP121" i="4"/>
  <c r="AQ120" i="4"/>
  <c r="AP120" i="4"/>
  <c r="AQ119" i="4"/>
  <c r="AP119" i="4"/>
  <c r="AQ118" i="4"/>
  <c r="AP118" i="4"/>
  <c r="AQ117" i="4"/>
  <c r="AP117" i="4"/>
  <c r="AQ116" i="4"/>
  <c r="AP116" i="4"/>
  <c r="AQ115" i="4"/>
  <c r="AP115" i="4"/>
  <c r="AQ114" i="4"/>
  <c r="AP114" i="4"/>
  <c r="AQ113" i="4"/>
  <c r="AP113" i="4"/>
  <c r="AQ112" i="4"/>
  <c r="AP112" i="4"/>
  <c r="AQ111" i="4"/>
  <c r="AP111" i="4"/>
  <c r="AQ110" i="4"/>
  <c r="AP110" i="4"/>
  <c r="AQ109" i="4"/>
  <c r="AP109" i="4"/>
  <c r="AQ108" i="4"/>
  <c r="AP108" i="4"/>
  <c r="AQ107" i="4"/>
  <c r="AP107" i="4"/>
  <c r="AQ106" i="4"/>
  <c r="AP106" i="4"/>
  <c r="AQ105" i="4"/>
  <c r="AP105" i="4"/>
  <c r="AQ104" i="4"/>
  <c r="AP104" i="4"/>
  <c r="AQ103" i="4"/>
  <c r="AP103" i="4"/>
  <c r="AQ102" i="4"/>
  <c r="AP102" i="4"/>
  <c r="AQ101" i="4"/>
  <c r="AP101" i="4"/>
  <c r="AQ100" i="4"/>
  <c r="AP100" i="4"/>
  <c r="AQ99" i="4"/>
  <c r="AP99" i="4"/>
  <c r="AQ98" i="4"/>
  <c r="AP98" i="4"/>
  <c r="AQ97" i="4"/>
  <c r="AP97" i="4"/>
  <c r="AQ96" i="4"/>
  <c r="AP96" i="4"/>
  <c r="AQ95" i="4"/>
  <c r="AP95" i="4"/>
  <c r="AQ94" i="4"/>
  <c r="AP94" i="4"/>
  <c r="AQ93" i="4"/>
  <c r="AP93" i="4"/>
  <c r="AQ92" i="4"/>
  <c r="AP92" i="4"/>
  <c r="AQ91" i="4"/>
  <c r="AP91" i="4"/>
  <c r="AQ90" i="4"/>
  <c r="AP90" i="4"/>
  <c r="AQ89" i="4"/>
  <c r="AP89" i="4"/>
  <c r="AQ88" i="4"/>
  <c r="AP88" i="4"/>
  <c r="AQ87" i="4"/>
  <c r="AP87" i="4"/>
  <c r="AQ86" i="4"/>
  <c r="AP86" i="4"/>
  <c r="AQ85" i="4"/>
  <c r="AP85" i="4"/>
  <c r="AQ84" i="4"/>
  <c r="AP84" i="4"/>
  <c r="AQ83" i="4"/>
  <c r="AP83" i="4"/>
  <c r="AQ82" i="4"/>
  <c r="AP82" i="4"/>
  <c r="AQ81" i="4"/>
  <c r="AP81" i="4"/>
  <c r="AQ80" i="4"/>
  <c r="AP80" i="4"/>
  <c r="AQ79" i="4"/>
  <c r="AP79" i="4"/>
  <c r="AQ78" i="4"/>
  <c r="AP78" i="4"/>
  <c r="AQ77" i="4"/>
  <c r="AP77" i="4"/>
  <c r="AQ76" i="4"/>
  <c r="AP76" i="4"/>
  <c r="AQ75" i="4"/>
  <c r="AP75" i="4"/>
  <c r="AQ74" i="4"/>
  <c r="AP74" i="4"/>
  <c r="AQ73" i="4"/>
  <c r="AP73" i="4"/>
  <c r="AQ72" i="4"/>
  <c r="AP72" i="4"/>
  <c r="AQ71" i="4"/>
  <c r="AP71" i="4"/>
  <c r="AQ70" i="4"/>
  <c r="AP70" i="4"/>
  <c r="AQ69" i="4"/>
  <c r="AP69" i="4"/>
  <c r="AQ68" i="4"/>
  <c r="AP68" i="4"/>
  <c r="AQ67" i="4"/>
  <c r="AP67" i="4"/>
  <c r="AQ66" i="4"/>
  <c r="AP66" i="4"/>
  <c r="AQ65" i="4"/>
  <c r="AP65" i="4"/>
  <c r="AQ64" i="4"/>
  <c r="AP64" i="4"/>
  <c r="AQ63" i="4"/>
  <c r="AP63" i="4"/>
  <c r="AQ62" i="4"/>
  <c r="AP62" i="4"/>
  <c r="AQ61" i="4"/>
  <c r="AP61" i="4"/>
  <c r="AQ60" i="4"/>
  <c r="AP60" i="4"/>
  <c r="AQ59" i="4"/>
  <c r="AP59" i="4"/>
  <c r="AQ58" i="4"/>
  <c r="AP58" i="4"/>
  <c r="AQ57" i="4"/>
  <c r="AP57" i="4"/>
  <c r="AQ56" i="4"/>
  <c r="AP56" i="4"/>
  <c r="AQ55" i="4"/>
  <c r="AP55" i="4"/>
  <c r="AQ54" i="4"/>
  <c r="AP54" i="4"/>
  <c r="AQ53" i="4"/>
  <c r="AP53" i="4"/>
  <c r="AQ52" i="4"/>
  <c r="AP52" i="4"/>
  <c r="AQ51" i="4"/>
  <c r="AP51" i="4"/>
  <c r="AQ50" i="4"/>
  <c r="AP50" i="4"/>
  <c r="AQ49" i="4"/>
  <c r="AP49" i="4"/>
  <c r="AQ48" i="4"/>
  <c r="AP48" i="4"/>
  <c r="AQ47" i="4"/>
  <c r="AP47" i="4"/>
  <c r="AQ46" i="4"/>
  <c r="AP46" i="4"/>
  <c r="AQ45" i="4"/>
  <c r="AP45" i="4"/>
  <c r="AQ44" i="4"/>
  <c r="AP44" i="4"/>
  <c r="AQ43" i="4"/>
  <c r="AP43" i="4"/>
  <c r="AQ42" i="4"/>
  <c r="AP42" i="4"/>
  <c r="AQ41" i="4"/>
  <c r="AP41" i="4"/>
  <c r="AQ40" i="4"/>
  <c r="AP40" i="4"/>
  <c r="AQ39" i="4"/>
  <c r="AP39" i="4"/>
  <c r="AQ38" i="4"/>
  <c r="AP38" i="4"/>
  <c r="AQ37" i="4"/>
  <c r="AP37" i="4"/>
  <c r="AQ36" i="4"/>
  <c r="AP36" i="4"/>
  <c r="AQ35" i="4"/>
  <c r="AP35" i="4"/>
  <c r="AQ34" i="4"/>
  <c r="AP34" i="4"/>
  <c r="AQ33" i="4"/>
  <c r="AP33" i="4"/>
  <c r="AQ32" i="4"/>
  <c r="AP32" i="4"/>
  <c r="AQ31" i="4"/>
  <c r="AP31" i="4"/>
  <c r="AQ30" i="4"/>
  <c r="AP30" i="4"/>
  <c r="AQ29" i="4"/>
  <c r="AP29" i="4"/>
  <c r="AQ28" i="4"/>
  <c r="AP28" i="4"/>
  <c r="AQ27" i="4"/>
  <c r="AP27" i="4"/>
  <c r="AQ26" i="4"/>
  <c r="AP26" i="4"/>
  <c r="AQ25" i="4"/>
  <c r="AP25" i="4"/>
  <c r="AQ24" i="4"/>
  <c r="AP24" i="4"/>
  <c r="AQ23" i="4"/>
  <c r="AP23" i="4"/>
  <c r="AQ22" i="4"/>
  <c r="AP22" i="4"/>
  <c r="AQ21" i="4"/>
  <c r="AP21" i="4"/>
  <c r="AQ20" i="4"/>
  <c r="AP20" i="4"/>
  <c r="AQ19" i="4"/>
  <c r="AP19" i="4"/>
  <c r="AQ18" i="4"/>
  <c r="AP18" i="4"/>
  <c r="AQ17" i="4"/>
  <c r="AP17" i="4"/>
  <c r="AQ16" i="4"/>
  <c r="AP16" i="4"/>
  <c r="AQ15" i="4"/>
  <c r="AP15" i="4"/>
  <c r="AQ14" i="4"/>
  <c r="AP14" i="4"/>
  <c r="AQ13" i="4"/>
  <c r="AP13" i="4"/>
  <c r="AQ12" i="4"/>
  <c r="AP12" i="4"/>
  <c r="AQ11" i="4"/>
  <c r="AP11" i="4"/>
  <c r="AQ10" i="4"/>
  <c r="AP10" i="4"/>
  <c r="AQ9" i="4"/>
  <c r="AP9" i="4"/>
  <c r="AQ8" i="4"/>
  <c r="AP8" i="4"/>
  <c r="AK214" i="4"/>
  <c r="AJ214" i="4"/>
  <c r="AK213" i="4"/>
  <c r="AJ213" i="4"/>
  <c r="AK212" i="4"/>
  <c r="AJ212" i="4"/>
  <c r="AK211" i="4"/>
  <c r="AJ211" i="4"/>
  <c r="AK210" i="4"/>
  <c r="AJ210" i="4"/>
  <c r="AK209" i="4"/>
  <c r="AJ209" i="4"/>
  <c r="AK208" i="4"/>
  <c r="AJ208" i="4"/>
  <c r="AK207" i="4"/>
  <c r="AJ207" i="4"/>
  <c r="AK206" i="4"/>
  <c r="AJ206" i="4"/>
  <c r="AK205" i="4"/>
  <c r="AJ205" i="4"/>
  <c r="AK204" i="4"/>
  <c r="AJ204" i="4"/>
  <c r="AK203" i="4"/>
  <c r="AJ203" i="4"/>
  <c r="AK202" i="4"/>
  <c r="AJ202" i="4"/>
  <c r="AK201" i="4"/>
  <c r="AJ201" i="4"/>
  <c r="AK200" i="4"/>
  <c r="AJ200" i="4"/>
  <c r="AK199" i="4"/>
  <c r="AJ199" i="4"/>
  <c r="AK198" i="4"/>
  <c r="AJ198" i="4"/>
  <c r="AK197" i="4"/>
  <c r="AJ197" i="4"/>
  <c r="AK196" i="4"/>
  <c r="AJ196" i="4"/>
  <c r="AK195" i="4"/>
  <c r="AJ195" i="4"/>
  <c r="AK194" i="4"/>
  <c r="AJ194" i="4"/>
  <c r="AK193" i="4"/>
  <c r="AJ193" i="4"/>
  <c r="AK192" i="4"/>
  <c r="AJ192" i="4"/>
  <c r="AK191" i="4"/>
  <c r="AJ191" i="4"/>
  <c r="AK190" i="4"/>
  <c r="AJ190" i="4"/>
  <c r="AK189" i="4"/>
  <c r="AJ189" i="4"/>
  <c r="AK188" i="4"/>
  <c r="AJ188" i="4"/>
  <c r="AK187" i="4"/>
  <c r="AJ187" i="4"/>
  <c r="AK186" i="4"/>
  <c r="AJ186" i="4"/>
  <c r="AK185" i="4"/>
  <c r="AJ185" i="4"/>
  <c r="AK184" i="4"/>
  <c r="AJ184" i="4"/>
  <c r="AK183" i="4"/>
  <c r="AJ183" i="4"/>
  <c r="AK182" i="4"/>
  <c r="AJ182" i="4"/>
  <c r="AK181" i="4"/>
  <c r="AJ181" i="4"/>
  <c r="AK180" i="4"/>
  <c r="AJ180" i="4"/>
  <c r="AK179" i="4"/>
  <c r="AJ179" i="4"/>
  <c r="AK178" i="4"/>
  <c r="AJ178" i="4"/>
  <c r="AK177" i="4"/>
  <c r="AJ177" i="4"/>
  <c r="AK176" i="4"/>
  <c r="AJ176" i="4"/>
  <c r="AK175" i="4"/>
  <c r="AJ175" i="4"/>
  <c r="AK174" i="4"/>
  <c r="AJ174" i="4"/>
  <c r="AK173" i="4"/>
  <c r="AJ173" i="4"/>
  <c r="AK172" i="4"/>
  <c r="AJ172" i="4"/>
  <c r="AK171" i="4"/>
  <c r="AJ171" i="4"/>
  <c r="AK170" i="4"/>
  <c r="AJ170" i="4"/>
  <c r="AK169" i="4"/>
  <c r="AJ169" i="4"/>
  <c r="AK168" i="4"/>
  <c r="AJ168" i="4"/>
  <c r="AK167" i="4"/>
  <c r="AJ167" i="4"/>
  <c r="AK166" i="4"/>
  <c r="AJ166" i="4"/>
  <c r="AK165" i="4"/>
  <c r="AJ165" i="4"/>
  <c r="AK164" i="4"/>
  <c r="AJ164" i="4"/>
  <c r="AK163" i="4"/>
  <c r="AJ163" i="4"/>
  <c r="AK162" i="4"/>
  <c r="AJ162" i="4"/>
  <c r="AK161" i="4"/>
  <c r="AJ161" i="4"/>
  <c r="AK160" i="4"/>
  <c r="AJ160" i="4"/>
  <c r="AK159" i="4"/>
  <c r="AJ159" i="4"/>
  <c r="AK158" i="4"/>
  <c r="AJ158" i="4"/>
  <c r="AK157" i="4"/>
  <c r="AJ157" i="4"/>
  <c r="AK156" i="4"/>
  <c r="AJ156" i="4"/>
  <c r="AK155" i="4"/>
  <c r="AJ155" i="4"/>
  <c r="AK154" i="4"/>
  <c r="AJ154" i="4"/>
  <c r="AK153" i="4"/>
  <c r="AJ153" i="4"/>
  <c r="AK152" i="4"/>
  <c r="AJ152" i="4"/>
  <c r="AK151" i="4"/>
  <c r="AJ151" i="4"/>
  <c r="AK150" i="4"/>
  <c r="AJ150" i="4"/>
  <c r="AK149" i="4"/>
  <c r="AJ149" i="4"/>
  <c r="AK148" i="4"/>
  <c r="AJ148" i="4"/>
  <c r="AK147" i="4"/>
  <c r="AJ147" i="4"/>
  <c r="AK146" i="4"/>
  <c r="AJ146" i="4"/>
  <c r="AK145" i="4"/>
  <c r="AJ145" i="4"/>
  <c r="AK144" i="4"/>
  <c r="AJ144" i="4"/>
  <c r="AK143" i="4"/>
  <c r="AJ143" i="4"/>
  <c r="AK142" i="4"/>
  <c r="AJ142" i="4"/>
  <c r="AK141" i="4"/>
  <c r="AJ141" i="4"/>
  <c r="AK140" i="4"/>
  <c r="AJ140" i="4"/>
  <c r="AK139" i="4"/>
  <c r="AJ139" i="4"/>
  <c r="AK138" i="4"/>
  <c r="AJ138" i="4"/>
  <c r="AK137" i="4"/>
  <c r="AJ137" i="4"/>
  <c r="AK136" i="4"/>
  <c r="AJ136" i="4"/>
  <c r="AK135" i="4"/>
  <c r="AJ135" i="4"/>
  <c r="AK134" i="4"/>
  <c r="AJ134" i="4"/>
  <c r="AK133" i="4"/>
  <c r="AJ133" i="4"/>
  <c r="AK132" i="4"/>
  <c r="AJ132" i="4"/>
  <c r="AK131" i="4"/>
  <c r="AJ131" i="4"/>
  <c r="AK130" i="4"/>
  <c r="AJ130" i="4"/>
  <c r="AK129" i="4"/>
  <c r="AJ129" i="4"/>
  <c r="AK128" i="4"/>
  <c r="AJ128" i="4"/>
  <c r="AK127" i="4"/>
  <c r="AJ127" i="4"/>
  <c r="AK126" i="4"/>
  <c r="AJ126" i="4"/>
  <c r="AK125" i="4"/>
  <c r="AJ125" i="4"/>
  <c r="AK124" i="4"/>
  <c r="AJ124" i="4"/>
  <c r="AK123" i="4"/>
  <c r="AJ123" i="4"/>
  <c r="AK122" i="4"/>
  <c r="AJ122" i="4"/>
  <c r="AK121" i="4"/>
  <c r="AJ121" i="4"/>
  <c r="AK120" i="4"/>
  <c r="AJ120" i="4"/>
  <c r="AK119" i="4"/>
  <c r="AJ119" i="4"/>
  <c r="AK118" i="4"/>
  <c r="AJ118" i="4"/>
  <c r="AK117" i="4"/>
  <c r="AJ117" i="4"/>
  <c r="AK116" i="4"/>
  <c r="AJ116" i="4"/>
  <c r="AK115" i="4"/>
  <c r="AJ115" i="4"/>
  <c r="AK114" i="4"/>
  <c r="AJ114" i="4"/>
  <c r="AK113" i="4"/>
  <c r="AJ113" i="4"/>
  <c r="AK112" i="4"/>
  <c r="AJ112" i="4"/>
  <c r="AK111" i="4"/>
  <c r="AJ111" i="4"/>
  <c r="AK110" i="4"/>
  <c r="AJ110" i="4"/>
  <c r="AK109" i="4"/>
  <c r="AJ109" i="4"/>
  <c r="AK108" i="4"/>
  <c r="AJ108" i="4"/>
  <c r="AK107" i="4"/>
  <c r="AJ107" i="4"/>
  <c r="AK106" i="4"/>
  <c r="AJ106" i="4"/>
  <c r="AK105" i="4"/>
  <c r="AJ105" i="4"/>
  <c r="AK104" i="4"/>
  <c r="AJ104" i="4"/>
  <c r="AK103" i="4"/>
  <c r="AJ103" i="4"/>
  <c r="AK102" i="4"/>
  <c r="AJ102" i="4"/>
  <c r="AK101" i="4"/>
  <c r="AJ101" i="4"/>
  <c r="AK100" i="4"/>
  <c r="AJ100" i="4"/>
  <c r="AK99" i="4"/>
  <c r="AJ99" i="4"/>
  <c r="AK98" i="4"/>
  <c r="AJ98" i="4"/>
  <c r="AK97" i="4"/>
  <c r="AJ97" i="4"/>
  <c r="AK96" i="4"/>
  <c r="AJ96" i="4"/>
  <c r="AK95" i="4"/>
  <c r="AJ95" i="4"/>
  <c r="AK94" i="4"/>
  <c r="AJ94" i="4"/>
  <c r="AK93" i="4"/>
  <c r="AJ93" i="4"/>
  <c r="AK92" i="4"/>
  <c r="AJ92" i="4"/>
  <c r="AK91" i="4"/>
  <c r="AJ91" i="4"/>
  <c r="AK90" i="4"/>
  <c r="AJ90" i="4"/>
  <c r="AK89" i="4"/>
  <c r="AJ89" i="4"/>
  <c r="AK88" i="4"/>
  <c r="AJ88" i="4"/>
  <c r="AK87" i="4"/>
  <c r="AJ87" i="4"/>
  <c r="AK86" i="4"/>
  <c r="AJ86" i="4"/>
  <c r="AK85" i="4"/>
  <c r="AJ85" i="4"/>
  <c r="AK84" i="4"/>
  <c r="AJ84" i="4"/>
  <c r="AK83" i="4"/>
  <c r="AJ83" i="4"/>
  <c r="AK82" i="4"/>
  <c r="AJ82" i="4"/>
  <c r="AK81" i="4"/>
  <c r="AJ81" i="4"/>
  <c r="AK80" i="4"/>
  <c r="AJ80" i="4"/>
  <c r="AK79" i="4"/>
  <c r="AJ79" i="4"/>
  <c r="AK78" i="4"/>
  <c r="AJ78" i="4"/>
  <c r="AK77" i="4"/>
  <c r="AJ77" i="4"/>
  <c r="AK76" i="4"/>
  <c r="AJ76" i="4"/>
  <c r="AK75" i="4"/>
  <c r="AJ75" i="4"/>
  <c r="AK74" i="4"/>
  <c r="AJ74" i="4"/>
  <c r="AK73" i="4"/>
  <c r="AJ73" i="4"/>
  <c r="AK72" i="4"/>
  <c r="AJ72" i="4"/>
  <c r="AK71" i="4"/>
  <c r="AJ71" i="4"/>
  <c r="AK70" i="4"/>
  <c r="AJ70" i="4"/>
  <c r="AK69" i="4"/>
  <c r="AJ69" i="4"/>
  <c r="AK68" i="4"/>
  <c r="AJ68" i="4"/>
  <c r="AK67" i="4"/>
  <c r="AJ67" i="4"/>
  <c r="AK66" i="4"/>
  <c r="AJ66" i="4"/>
  <c r="AK65" i="4"/>
  <c r="AJ65" i="4"/>
  <c r="AK64" i="4"/>
  <c r="AJ64" i="4"/>
  <c r="AK63" i="4"/>
  <c r="AJ63" i="4"/>
  <c r="AK62" i="4"/>
  <c r="AJ62" i="4"/>
  <c r="AK61" i="4"/>
  <c r="AJ61" i="4"/>
  <c r="AK60" i="4"/>
  <c r="AJ60" i="4"/>
  <c r="AK59" i="4"/>
  <c r="AJ59" i="4"/>
  <c r="AK58" i="4"/>
  <c r="AJ58" i="4"/>
  <c r="AK57" i="4"/>
  <c r="AJ57" i="4"/>
  <c r="AK56" i="4"/>
  <c r="AJ56" i="4"/>
  <c r="AK55" i="4"/>
  <c r="AJ55" i="4"/>
  <c r="AK54" i="4"/>
  <c r="AJ54" i="4"/>
  <c r="AK53" i="4"/>
  <c r="AJ53" i="4"/>
  <c r="AK52" i="4"/>
  <c r="AJ52" i="4"/>
  <c r="AK51" i="4"/>
  <c r="AJ51" i="4"/>
  <c r="AK50" i="4"/>
  <c r="AJ50" i="4"/>
  <c r="AK49" i="4"/>
  <c r="AJ49" i="4"/>
  <c r="AK48" i="4"/>
  <c r="AJ48" i="4"/>
  <c r="AK47" i="4"/>
  <c r="AJ47" i="4"/>
  <c r="AK46" i="4"/>
  <c r="AJ46" i="4"/>
  <c r="AK45" i="4"/>
  <c r="AJ45" i="4"/>
  <c r="AK44" i="4"/>
  <c r="AJ44" i="4"/>
  <c r="AK43" i="4"/>
  <c r="AJ43" i="4"/>
  <c r="AK42" i="4"/>
  <c r="AJ42" i="4"/>
  <c r="AK41" i="4"/>
  <c r="AJ41" i="4"/>
  <c r="AK40" i="4"/>
  <c r="AJ40" i="4"/>
  <c r="AK39" i="4"/>
  <c r="AJ39" i="4"/>
  <c r="AK38" i="4"/>
  <c r="AJ38" i="4"/>
  <c r="AK37" i="4"/>
  <c r="AJ37" i="4"/>
  <c r="AK36" i="4"/>
  <c r="AJ36" i="4"/>
  <c r="AK35" i="4"/>
  <c r="AJ35" i="4"/>
  <c r="AK34" i="4"/>
  <c r="AJ34" i="4"/>
  <c r="AK33" i="4"/>
  <c r="AJ33" i="4"/>
  <c r="AK32" i="4"/>
  <c r="AJ32" i="4"/>
  <c r="AK31" i="4"/>
  <c r="AJ31" i="4"/>
  <c r="AK30" i="4"/>
  <c r="AJ30" i="4"/>
  <c r="AK29" i="4"/>
  <c r="AJ29" i="4"/>
  <c r="AK28" i="4"/>
  <c r="AJ28" i="4"/>
  <c r="AK27" i="4"/>
  <c r="AJ27" i="4"/>
  <c r="AK26" i="4"/>
  <c r="AJ26" i="4"/>
  <c r="AK25" i="4"/>
  <c r="AJ25" i="4"/>
  <c r="AK24" i="4"/>
  <c r="AJ24" i="4"/>
  <c r="AK23" i="4"/>
  <c r="AJ23" i="4"/>
  <c r="AK22" i="4"/>
  <c r="AJ22" i="4"/>
  <c r="AK21" i="4"/>
  <c r="AJ21" i="4"/>
  <c r="AK20" i="4"/>
  <c r="AJ20" i="4"/>
  <c r="AK19" i="4"/>
  <c r="AJ19" i="4"/>
  <c r="AK18" i="4"/>
  <c r="AJ18" i="4"/>
  <c r="AK17" i="4"/>
  <c r="AJ17" i="4"/>
  <c r="AK16" i="4"/>
  <c r="AJ16" i="4"/>
  <c r="AK15" i="4"/>
  <c r="AJ15" i="4"/>
  <c r="AK14" i="4"/>
  <c r="AJ14" i="4"/>
  <c r="AK13" i="4"/>
  <c r="AJ13" i="4"/>
  <c r="AK12" i="4"/>
  <c r="AJ12" i="4"/>
  <c r="AK11" i="4"/>
  <c r="AJ11" i="4"/>
  <c r="AK10" i="4"/>
  <c r="AJ10" i="4"/>
  <c r="AK9" i="4"/>
  <c r="AJ9" i="4"/>
  <c r="AK8" i="4"/>
  <c r="AJ8" i="4"/>
  <c r="AE214" i="4"/>
  <c r="AE213" i="4"/>
  <c r="AE212" i="4"/>
  <c r="AE211" i="4"/>
  <c r="AE210" i="4"/>
  <c r="AE209" i="4"/>
  <c r="AE208" i="4"/>
  <c r="AE207" i="4"/>
  <c r="AE206" i="4"/>
  <c r="AE205" i="4"/>
  <c r="AE204" i="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48" i="4"/>
  <c r="AE147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5" i="4"/>
  <c r="AE114" i="4"/>
  <c r="AE113" i="4"/>
  <c r="AE112" i="4"/>
  <c r="AE111" i="4"/>
  <c r="AE110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7" i="4"/>
  <c r="AE86" i="4"/>
  <c r="AE85" i="4"/>
  <c r="AE84" i="4"/>
  <c r="AE83" i="4"/>
  <c r="AE82" i="4"/>
  <c r="AE81" i="4"/>
  <c r="AE80" i="4"/>
  <c r="AE79" i="4"/>
  <c r="AE78" i="4"/>
  <c r="AE77" i="4"/>
  <c r="AE76" i="4"/>
  <c r="AE75" i="4"/>
  <c r="AE74" i="4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Y214" i="4"/>
  <c r="Y213" i="4"/>
  <c r="Y212" i="4"/>
  <c r="Y211" i="4"/>
  <c r="Y210" i="4"/>
  <c r="Y209" i="4"/>
  <c r="Y208" i="4"/>
  <c r="Y207" i="4"/>
  <c r="Y206" i="4"/>
  <c r="Y205" i="4"/>
  <c r="Y204" i="4"/>
  <c r="Y203" i="4"/>
  <c r="Y202" i="4"/>
  <c r="Y201" i="4"/>
  <c r="Y200" i="4"/>
  <c r="Y199" i="4"/>
  <c r="Y198" i="4"/>
  <c r="Y197" i="4"/>
  <c r="Y196" i="4"/>
  <c r="Y195" i="4"/>
  <c r="Y194" i="4"/>
  <c r="Y193" i="4"/>
  <c r="Y192" i="4"/>
  <c r="Y191" i="4"/>
  <c r="Y190" i="4"/>
  <c r="Y189" i="4"/>
  <c r="Y188" i="4"/>
  <c r="Y187" i="4"/>
  <c r="Y186" i="4"/>
  <c r="Y185" i="4"/>
  <c r="Y184" i="4"/>
  <c r="Y183" i="4"/>
  <c r="Y182" i="4"/>
  <c r="Y181" i="4"/>
  <c r="Y180" i="4"/>
  <c r="Y179" i="4"/>
  <c r="Y178" i="4"/>
  <c r="Y177" i="4"/>
  <c r="Y176" i="4"/>
  <c r="Y175" i="4"/>
  <c r="Y174" i="4"/>
  <c r="Y173" i="4"/>
  <c r="Y172" i="4"/>
  <c r="Y171" i="4"/>
  <c r="Y170" i="4"/>
  <c r="Y169" i="4"/>
  <c r="Y168" i="4"/>
  <c r="Y167" i="4"/>
  <c r="Y166" i="4"/>
  <c r="Y165" i="4"/>
  <c r="Y164" i="4"/>
  <c r="Y163" i="4"/>
  <c r="Y162" i="4"/>
  <c r="Y161" i="4"/>
  <c r="Y160" i="4"/>
  <c r="Y159" i="4"/>
  <c r="Y158" i="4"/>
  <c r="Y157" i="4"/>
  <c r="Y156" i="4"/>
  <c r="Y155" i="4"/>
  <c r="Y154" i="4"/>
  <c r="Y153" i="4"/>
  <c r="Y152" i="4"/>
  <c r="Y151" i="4"/>
  <c r="Y150" i="4"/>
  <c r="Y149" i="4"/>
  <c r="Y148" i="4"/>
  <c r="Y147" i="4"/>
  <c r="Y146" i="4"/>
  <c r="Y145" i="4"/>
  <c r="Y144" i="4"/>
  <c r="Y143" i="4"/>
  <c r="Y142" i="4"/>
  <c r="Y141" i="4"/>
  <c r="Y140" i="4"/>
  <c r="Y139" i="4"/>
  <c r="Y138" i="4"/>
  <c r="Y137" i="4"/>
  <c r="Y136" i="4"/>
  <c r="Y135" i="4"/>
  <c r="Y134" i="4"/>
  <c r="Y133" i="4"/>
  <c r="Y132" i="4"/>
  <c r="Y131" i="4"/>
  <c r="Y130" i="4"/>
  <c r="Y129" i="4"/>
  <c r="Y128" i="4"/>
  <c r="Y127" i="4"/>
  <c r="Y126" i="4"/>
  <c r="Y125" i="4"/>
  <c r="Y124" i="4"/>
  <c r="Y123" i="4"/>
  <c r="Y122" i="4"/>
  <c r="Y121" i="4"/>
  <c r="Y120" i="4"/>
  <c r="Y119" i="4"/>
  <c r="Y118" i="4"/>
  <c r="Y117" i="4"/>
  <c r="Y116" i="4"/>
  <c r="Y115" i="4"/>
  <c r="Y114" i="4"/>
  <c r="Y113" i="4"/>
  <c r="Y112" i="4"/>
  <c r="Y111" i="4"/>
  <c r="Y110" i="4"/>
  <c r="Y107" i="4"/>
  <c r="Y106" i="4"/>
  <c r="Y105" i="4"/>
  <c r="Y104" i="4"/>
  <c r="Y103" i="4"/>
  <c r="Y102" i="4"/>
  <c r="Y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S54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M49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48" i="4"/>
  <c r="M47" i="4"/>
  <c r="M46" i="4"/>
  <c r="M45" i="4"/>
  <c r="M44" i="4"/>
  <c r="M43" i="4"/>
  <c r="M42" i="4"/>
  <c r="N42" i="4" s="1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48" i="4"/>
  <c r="G47" i="4"/>
  <c r="G46" i="4"/>
  <c r="G45" i="4"/>
  <c r="G44" i="4"/>
  <c r="G43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AD214" i="4"/>
  <c r="AD213" i="4"/>
  <c r="AD212" i="4"/>
  <c r="AD211" i="4"/>
  <c r="AD210" i="4"/>
  <c r="AD209" i="4"/>
  <c r="AD208" i="4"/>
  <c r="AD207" i="4"/>
  <c r="AD206" i="4"/>
  <c r="AD205" i="4"/>
  <c r="AD204" i="4"/>
  <c r="AD203" i="4"/>
  <c r="AD202" i="4"/>
  <c r="AD201" i="4"/>
  <c r="AD200" i="4"/>
  <c r="AD199" i="4"/>
  <c r="AD198" i="4"/>
  <c r="AD197" i="4"/>
  <c r="AD196" i="4"/>
  <c r="AD195" i="4"/>
  <c r="AD194" i="4"/>
  <c r="AD193" i="4"/>
  <c r="AD192" i="4"/>
  <c r="AD191" i="4"/>
  <c r="AD190" i="4"/>
  <c r="AD189" i="4"/>
  <c r="AD188" i="4"/>
  <c r="AD187" i="4"/>
  <c r="AD186" i="4"/>
  <c r="AD185" i="4"/>
  <c r="AD184" i="4"/>
  <c r="AD183" i="4"/>
  <c r="AD182" i="4"/>
  <c r="AD181" i="4"/>
  <c r="AD180" i="4"/>
  <c r="AD179" i="4"/>
  <c r="AD178" i="4"/>
  <c r="AD177" i="4"/>
  <c r="AD176" i="4"/>
  <c r="AD175" i="4"/>
  <c r="AD174" i="4"/>
  <c r="AD173" i="4"/>
  <c r="AD172" i="4"/>
  <c r="AD171" i="4"/>
  <c r="AD170" i="4"/>
  <c r="AD169" i="4"/>
  <c r="AD168" i="4"/>
  <c r="AD167" i="4"/>
  <c r="AD166" i="4"/>
  <c r="AD165" i="4"/>
  <c r="AD164" i="4"/>
  <c r="AD163" i="4"/>
  <c r="AD162" i="4"/>
  <c r="AD161" i="4"/>
  <c r="AD160" i="4"/>
  <c r="AD159" i="4"/>
  <c r="AD158" i="4"/>
  <c r="AD157" i="4"/>
  <c r="AD156" i="4"/>
  <c r="AD155" i="4"/>
  <c r="AD154" i="4"/>
  <c r="AD153" i="4"/>
  <c r="AD152" i="4"/>
  <c r="AD151" i="4"/>
  <c r="AD150" i="4"/>
  <c r="AD149" i="4"/>
  <c r="AD148" i="4"/>
  <c r="AD147" i="4"/>
  <c r="AD146" i="4"/>
  <c r="AD145" i="4"/>
  <c r="AD144" i="4"/>
  <c r="AD143" i="4"/>
  <c r="AD142" i="4"/>
  <c r="AD141" i="4"/>
  <c r="AD140" i="4"/>
  <c r="AD139" i="4"/>
  <c r="AD138" i="4"/>
  <c r="AD137" i="4"/>
  <c r="AD136" i="4"/>
  <c r="AD135" i="4"/>
  <c r="AD134" i="4"/>
  <c r="AD133" i="4"/>
  <c r="AD132" i="4"/>
  <c r="AD131" i="4"/>
  <c r="AD130" i="4"/>
  <c r="AD129" i="4"/>
  <c r="AD128" i="4"/>
  <c r="AD127" i="4"/>
  <c r="AD126" i="4"/>
  <c r="AD125" i="4"/>
  <c r="AD124" i="4"/>
  <c r="AD123" i="4"/>
  <c r="AD122" i="4"/>
  <c r="AD121" i="4"/>
  <c r="AD120" i="4"/>
  <c r="AD119" i="4"/>
  <c r="AD118" i="4"/>
  <c r="AD117" i="4"/>
  <c r="AD116" i="4"/>
  <c r="AD115" i="4"/>
  <c r="AD114" i="4"/>
  <c r="AD113" i="4"/>
  <c r="AD112" i="4"/>
  <c r="AD111" i="4"/>
  <c r="AD110" i="4"/>
  <c r="AD107" i="4"/>
  <c r="AD106" i="4"/>
  <c r="AD105" i="4"/>
  <c r="AD104" i="4"/>
  <c r="AD103" i="4"/>
  <c r="AD102" i="4"/>
  <c r="AD101" i="4"/>
  <c r="AD100" i="4"/>
  <c r="AD99" i="4"/>
  <c r="AD98" i="4"/>
  <c r="AD97" i="4"/>
  <c r="AD96" i="4"/>
  <c r="AD95" i="4"/>
  <c r="AD94" i="4"/>
  <c r="AD93" i="4"/>
  <c r="AD92" i="4"/>
  <c r="AD91" i="4"/>
  <c r="AD90" i="4"/>
  <c r="AD89" i="4"/>
  <c r="AD88" i="4"/>
  <c r="AD87" i="4"/>
  <c r="AD86" i="4"/>
  <c r="AD85" i="4"/>
  <c r="AD84" i="4"/>
  <c r="AD83" i="4"/>
  <c r="AD82" i="4"/>
  <c r="AD81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X214" i="4"/>
  <c r="X213" i="4"/>
  <c r="X212" i="4"/>
  <c r="X211" i="4"/>
  <c r="X210" i="4"/>
  <c r="X209" i="4"/>
  <c r="X208" i="4"/>
  <c r="X207" i="4"/>
  <c r="X206" i="4"/>
  <c r="X205" i="4"/>
  <c r="X204" i="4"/>
  <c r="X203" i="4"/>
  <c r="X202" i="4"/>
  <c r="X201" i="4"/>
  <c r="X200" i="4"/>
  <c r="X199" i="4"/>
  <c r="X198" i="4"/>
  <c r="X197" i="4"/>
  <c r="X196" i="4"/>
  <c r="X195" i="4"/>
  <c r="X194" i="4"/>
  <c r="X193" i="4"/>
  <c r="X192" i="4"/>
  <c r="X191" i="4"/>
  <c r="X190" i="4"/>
  <c r="X189" i="4"/>
  <c r="X188" i="4"/>
  <c r="X187" i="4"/>
  <c r="X186" i="4"/>
  <c r="X185" i="4"/>
  <c r="X184" i="4"/>
  <c r="X183" i="4"/>
  <c r="X182" i="4"/>
  <c r="X181" i="4"/>
  <c r="X180" i="4"/>
  <c r="X179" i="4"/>
  <c r="X178" i="4"/>
  <c r="X177" i="4"/>
  <c r="X176" i="4"/>
  <c r="X175" i="4"/>
  <c r="X174" i="4"/>
  <c r="X173" i="4"/>
  <c r="X172" i="4"/>
  <c r="X171" i="4"/>
  <c r="X170" i="4"/>
  <c r="X169" i="4"/>
  <c r="X168" i="4"/>
  <c r="X167" i="4"/>
  <c r="X166" i="4"/>
  <c r="X165" i="4"/>
  <c r="X164" i="4"/>
  <c r="X163" i="4"/>
  <c r="X162" i="4"/>
  <c r="X161" i="4"/>
  <c r="X160" i="4"/>
  <c r="X159" i="4"/>
  <c r="X158" i="4"/>
  <c r="X157" i="4"/>
  <c r="X156" i="4"/>
  <c r="X155" i="4"/>
  <c r="X154" i="4"/>
  <c r="X153" i="4"/>
  <c r="X152" i="4"/>
  <c r="X151" i="4"/>
  <c r="X150" i="4"/>
  <c r="X149" i="4"/>
  <c r="X148" i="4"/>
  <c r="X147" i="4"/>
  <c r="X146" i="4"/>
  <c r="X145" i="4"/>
  <c r="X144" i="4"/>
  <c r="X143" i="4"/>
  <c r="X142" i="4"/>
  <c r="X141" i="4"/>
  <c r="X140" i="4"/>
  <c r="X139" i="4"/>
  <c r="X138" i="4"/>
  <c r="X137" i="4"/>
  <c r="X136" i="4"/>
  <c r="X135" i="4"/>
  <c r="X134" i="4"/>
  <c r="X133" i="4"/>
  <c r="X132" i="4"/>
  <c r="X131" i="4"/>
  <c r="X130" i="4"/>
  <c r="X129" i="4"/>
  <c r="X128" i="4"/>
  <c r="X127" i="4"/>
  <c r="X126" i="4"/>
  <c r="X125" i="4"/>
  <c r="X124" i="4"/>
  <c r="X123" i="4"/>
  <c r="X12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S8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49" i="4"/>
  <c r="L48" i="4"/>
  <c r="L47" i="4"/>
  <c r="L46" i="4"/>
  <c r="L45" i="4"/>
  <c r="L44" i="4"/>
  <c r="L43" i="4"/>
  <c r="L41" i="4"/>
  <c r="N41" i="4" s="1"/>
  <c r="L40" i="4"/>
  <c r="N40" i="4" s="1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BI7" i="4"/>
  <c r="BH7" i="4"/>
  <c r="BC7" i="4"/>
  <c r="BC4" i="4" s="1"/>
  <c r="BB7" i="4"/>
  <c r="AW7" i="4"/>
  <c r="AV7" i="4"/>
  <c r="AQ7" i="4"/>
  <c r="AQ4" i="4" s="1"/>
  <c r="AP7" i="4"/>
  <c r="AK7" i="4"/>
  <c r="AJ7" i="4"/>
  <c r="AE7" i="4"/>
  <c r="AE4" i="4" s="1"/>
  <c r="AD7" i="4"/>
  <c r="Y7" i="4"/>
  <c r="S7" i="4"/>
  <c r="M7" i="4"/>
  <c r="G7" i="4"/>
  <c r="L5" i="5"/>
  <c r="K5" i="5"/>
  <c r="J5" i="5"/>
  <c r="I5" i="5"/>
  <c r="G5" i="5"/>
  <c r="F5" i="5"/>
  <c r="E5" i="5"/>
  <c r="D5" i="5"/>
  <c r="C5" i="5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3" i="4"/>
  <c r="F44" i="4"/>
  <c r="F45" i="4"/>
  <c r="F46" i="4"/>
  <c r="F47" i="4"/>
  <c r="F48" i="4"/>
  <c r="F49" i="4"/>
  <c r="H49" i="4" s="1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X7" i="4"/>
  <c r="R7" i="4"/>
  <c r="L7" i="4"/>
  <c r="AK4" i="4" l="1"/>
  <c r="BI4" i="4"/>
  <c r="AW4" i="4"/>
  <c r="F4" i="4"/>
  <c r="AJ4" i="4"/>
  <c r="BH4" i="4"/>
  <c r="G4" i="4"/>
  <c r="AP4" i="4"/>
  <c r="M4" i="4"/>
  <c r="R4" i="4"/>
  <c r="S4" i="4"/>
  <c r="AV4" i="4"/>
  <c r="X4" i="4"/>
  <c r="Y4" i="4"/>
  <c r="L4" i="4"/>
  <c r="AD4" i="4"/>
  <c r="BB4" i="4"/>
  <c r="N7" i="4"/>
  <c r="AF7" i="4"/>
  <c r="BJ7" i="4"/>
  <c r="T8" i="4"/>
  <c r="H9" i="4"/>
  <c r="H10" i="4"/>
  <c r="H11" i="4"/>
  <c r="H21" i="4"/>
  <c r="H22" i="4"/>
  <c r="H27" i="4"/>
  <c r="H28" i="4"/>
  <c r="H34" i="4"/>
  <c r="H46" i="4"/>
  <c r="H48" i="4"/>
  <c r="H59" i="4"/>
  <c r="H60" i="4"/>
  <c r="H71" i="4"/>
  <c r="H72" i="4"/>
  <c r="H73" i="4"/>
  <c r="H83" i="4"/>
  <c r="H95" i="4"/>
  <c r="H97" i="4"/>
  <c r="H102" i="4"/>
  <c r="H107" i="4"/>
  <c r="H110" i="4"/>
  <c r="H115" i="4"/>
  <c r="H116" i="4"/>
  <c r="H122" i="4"/>
  <c r="H133" i="4"/>
  <c r="H144" i="4"/>
  <c r="H145" i="4"/>
  <c r="H146" i="4"/>
  <c r="H157" i="4"/>
  <c r="H170" i="4"/>
  <c r="H187" i="4"/>
  <c r="H193" i="4"/>
  <c r="H200" i="4"/>
  <c r="H205" i="4"/>
  <c r="H206" i="4"/>
  <c r="N10" i="4"/>
  <c r="N12" i="4"/>
  <c r="N48" i="4"/>
  <c r="N61" i="4"/>
  <c r="N72" i="4"/>
  <c r="N85" i="4"/>
  <c r="N97" i="4"/>
  <c r="N106" i="4"/>
  <c r="N115" i="4"/>
  <c r="N140" i="4"/>
  <c r="N147" i="4"/>
  <c r="N158" i="4"/>
  <c r="N159" i="4"/>
  <c r="N189" i="4"/>
  <c r="N200" i="4"/>
  <c r="T9" i="4"/>
  <c r="T16" i="4"/>
  <c r="T17" i="4"/>
  <c r="T18" i="4"/>
  <c r="T42" i="4"/>
  <c r="T48" i="4"/>
  <c r="T50" i="4"/>
  <c r="T51" i="4"/>
  <c r="T52" i="4"/>
  <c r="T59" i="4"/>
  <c r="T60" i="4"/>
  <c r="T78" i="4"/>
  <c r="T80" i="4"/>
  <c r="T85" i="4"/>
  <c r="T86" i="4"/>
  <c r="T88" i="4"/>
  <c r="T89" i="4"/>
  <c r="T100" i="4"/>
  <c r="T110" i="4"/>
  <c r="T111" i="4"/>
  <c r="T113" i="4"/>
  <c r="T125" i="4"/>
  <c r="T127" i="4"/>
  <c r="T135" i="4"/>
  <c r="T138" i="4"/>
  <c r="T139" i="4"/>
  <c r="T159" i="4"/>
  <c r="T188" i="4"/>
  <c r="T197" i="4"/>
  <c r="T199" i="4"/>
  <c r="T200" i="4"/>
  <c r="T206" i="4"/>
  <c r="T209" i="4"/>
  <c r="T210" i="4"/>
  <c r="T211" i="4"/>
  <c r="Z9" i="4"/>
  <c r="Z13" i="4"/>
  <c r="Z18" i="4"/>
  <c r="Z25" i="4"/>
  <c r="Z33" i="4"/>
  <c r="Z37" i="4"/>
  <c r="Z41" i="4"/>
  <c r="Z45" i="4"/>
  <c r="Z49" i="4"/>
  <c r="Z57" i="4"/>
  <c r="Z69" i="4"/>
  <c r="Z73" i="4"/>
  <c r="Z77" i="4"/>
  <c r="Z81" i="4"/>
  <c r="Z88" i="4"/>
  <c r="Z89" i="4"/>
  <c r="Z97" i="4"/>
  <c r="Z99" i="4"/>
  <c r="Z111" i="4"/>
  <c r="Z123" i="4"/>
  <c r="Z129" i="4"/>
  <c r="Z131" i="4"/>
  <c r="Z140" i="4"/>
  <c r="Z143" i="4"/>
  <c r="Z153" i="4"/>
  <c r="Z159" i="4"/>
  <c r="Z171" i="4"/>
  <c r="Z174" i="4"/>
  <c r="Z175" i="4"/>
  <c r="Z183" i="4"/>
  <c r="Z185" i="4"/>
  <c r="Z189" i="4"/>
  <c r="Z192" i="4"/>
  <c r="Z195" i="4"/>
  <c r="Z200" i="4"/>
  <c r="Z201" i="4"/>
  <c r="Z202" i="4"/>
  <c r="Z203" i="4"/>
  <c r="Z207" i="4"/>
  <c r="Z211" i="4"/>
  <c r="Z213" i="4"/>
  <c r="AF9" i="4"/>
  <c r="AF16" i="4"/>
  <c r="AF17" i="4"/>
  <c r="AF21" i="4"/>
  <c r="AF22" i="4"/>
  <c r="AF28" i="4"/>
  <c r="AF30" i="4"/>
  <c r="AF32" i="4"/>
  <c r="AF33" i="4"/>
  <c r="AF34" i="4"/>
  <c r="AF36" i="4"/>
  <c r="AF41" i="4"/>
  <c r="AF46" i="4"/>
  <c r="AF48" i="4"/>
  <c r="AF50" i="4"/>
  <c r="AF52" i="4"/>
  <c r="AF53" i="4"/>
  <c r="AF54" i="4"/>
  <c r="AF57" i="4"/>
  <c r="AF64" i="4"/>
  <c r="AF66" i="4"/>
  <c r="AF70" i="4"/>
  <c r="AF71" i="4"/>
  <c r="AF72" i="4"/>
  <c r="AF84" i="4"/>
  <c r="AF89" i="4"/>
  <c r="AF100" i="4"/>
  <c r="AF102" i="4"/>
  <c r="AF114" i="4"/>
  <c r="AF115" i="4"/>
  <c r="AF120" i="4"/>
  <c r="AF127" i="4"/>
  <c r="AF136" i="4"/>
  <c r="AF141" i="4"/>
  <c r="AF144" i="4"/>
  <c r="AF158" i="4"/>
  <c r="AF165" i="4"/>
  <c r="AF188" i="4"/>
  <c r="AF194" i="4"/>
  <c r="AF199" i="4"/>
  <c r="AF201" i="4"/>
  <c r="AF204" i="4"/>
  <c r="AF212" i="4"/>
  <c r="AF213" i="4"/>
  <c r="AF214" i="4"/>
  <c r="AL8" i="4"/>
  <c r="AL10" i="4"/>
  <c r="AL12" i="4"/>
  <c r="AL13" i="4"/>
  <c r="AL16" i="4"/>
  <c r="AL17" i="4"/>
  <c r="AL19" i="4"/>
  <c r="AL20" i="4"/>
  <c r="AL21" i="4"/>
  <c r="AL25" i="4"/>
  <c r="AL29" i="4"/>
  <c r="AL33" i="4"/>
  <c r="AL35" i="4"/>
  <c r="AL36" i="4"/>
  <c r="AL41" i="4"/>
  <c r="AL45" i="4"/>
  <c r="AL49" i="4"/>
  <c r="AL51" i="4"/>
  <c r="AL55" i="4"/>
  <c r="AL57" i="4"/>
  <c r="AL59" i="4"/>
  <c r="AL63" i="4"/>
  <c r="AL65" i="4"/>
  <c r="AL68" i="4"/>
  <c r="AL69" i="4"/>
  <c r="AL71" i="4"/>
  <c r="AL73" i="4"/>
  <c r="AL77" i="4"/>
  <c r="AL84" i="4"/>
  <c r="AL85" i="4"/>
  <c r="AL87" i="4"/>
  <c r="AL89" i="4"/>
  <c r="AL91" i="4"/>
  <c r="AL92" i="4"/>
  <c r="AL93" i="4"/>
  <c r="AL97" i="4"/>
  <c r="AL101" i="4"/>
  <c r="AL103" i="4"/>
  <c r="AL105" i="4"/>
  <c r="AL107" i="4"/>
  <c r="AL108" i="4"/>
  <c r="AL113" i="4"/>
  <c r="AL116" i="4"/>
  <c r="AL117" i="4"/>
  <c r="AL120" i="4"/>
  <c r="AL121" i="4"/>
  <c r="AL123" i="4"/>
  <c r="AL127" i="4"/>
  <c r="AL132" i="4"/>
  <c r="AL135" i="4"/>
  <c r="AL152" i="4"/>
  <c r="AL159" i="4"/>
  <c r="AL167" i="4"/>
  <c r="AL168" i="4"/>
  <c r="AL187" i="4"/>
  <c r="AL190" i="4"/>
  <c r="AL191" i="4"/>
  <c r="AL192" i="4"/>
  <c r="AL198" i="4"/>
  <c r="AL200" i="4"/>
  <c r="AL205" i="4"/>
  <c r="AL208" i="4"/>
  <c r="AL212" i="4"/>
  <c r="AL213" i="4"/>
  <c r="AR8" i="4"/>
  <c r="AR10" i="4"/>
  <c r="AR12" i="4"/>
  <c r="AR14" i="4"/>
  <c r="AR17" i="4"/>
  <c r="AR18" i="4"/>
  <c r="AR20" i="4"/>
  <c r="AR24" i="4"/>
  <c r="AR25" i="4"/>
  <c r="AR29" i="4"/>
  <c r="AR30" i="4"/>
  <c r="AR32" i="4"/>
  <c r="AR33" i="4"/>
  <c r="AR37" i="4"/>
  <c r="AR38" i="4"/>
  <c r="AR40" i="4"/>
  <c r="AR42" i="4"/>
  <c r="AR45" i="4"/>
  <c r="AR46" i="4"/>
  <c r="AR48" i="4"/>
  <c r="AR52" i="4"/>
  <c r="AR54" i="4"/>
  <c r="AR56" i="4"/>
  <c r="AR65" i="4"/>
  <c r="AR68" i="4"/>
  <c r="AR69" i="4"/>
  <c r="AR76" i="4"/>
  <c r="AR79" i="4"/>
  <c r="AR87" i="4"/>
  <c r="AR88" i="4"/>
  <c r="AR91" i="4"/>
  <c r="AR101" i="4"/>
  <c r="AR104" i="4"/>
  <c r="AR105" i="4"/>
  <c r="AR106" i="4"/>
  <c r="AR115" i="4"/>
  <c r="AR117" i="4"/>
  <c r="AR124" i="4"/>
  <c r="AR128" i="4"/>
  <c r="AR133" i="4"/>
  <c r="AR135" i="4"/>
  <c r="AR136" i="4"/>
  <c r="AR140" i="4"/>
  <c r="AR145" i="4"/>
  <c r="AR152" i="4"/>
  <c r="AR156" i="4"/>
  <c r="AR165" i="4"/>
  <c r="AR168" i="4"/>
  <c r="AR169" i="4"/>
  <c r="AR172" i="4"/>
  <c r="AR176" i="4"/>
  <c r="AR183" i="4"/>
  <c r="AR190" i="4"/>
  <c r="AR192" i="4"/>
  <c r="AR193" i="4"/>
  <c r="AR194" i="4"/>
  <c r="AR196" i="4"/>
  <c r="AR200" i="4"/>
  <c r="AR208" i="4"/>
  <c r="AR212" i="4"/>
  <c r="AR214" i="4"/>
  <c r="AX8" i="4"/>
  <c r="AX12" i="4"/>
  <c r="AX14" i="4"/>
  <c r="AX15" i="4"/>
  <c r="AX19" i="4"/>
  <c r="AX22" i="4"/>
  <c r="AX23" i="4"/>
  <c r="AX24" i="4"/>
  <c r="AX27" i="4"/>
  <c r="AX28" i="4"/>
  <c r="AX30" i="4"/>
  <c r="AX32" i="4"/>
  <c r="AX36" i="4"/>
  <c r="AX38" i="4"/>
  <c r="AX39" i="4"/>
  <c r="AX43" i="4"/>
  <c r="AX46" i="4"/>
  <c r="AX47" i="4"/>
  <c r="AX48" i="4"/>
  <c r="AX51" i="4"/>
  <c r="AX52" i="4"/>
  <c r="AX55" i="4"/>
  <c r="AX56" i="4"/>
  <c r="AX58" i="4"/>
  <c r="AX69" i="4"/>
  <c r="AX73" i="4"/>
  <c r="AX77" i="4"/>
  <c r="AX82" i="4"/>
  <c r="AX89" i="4"/>
  <c r="AX93" i="4"/>
  <c r="AX94" i="4"/>
  <c r="AX99" i="4"/>
  <c r="AX102" i="4"/>
  <c r="AX103" i="4"/>
  <c r="AX106" i="4"/>
  <c r="AX107" i="4"/>
  <c r="AX113" i="4"/>
  <c r="AX121" i="4"/>
  <c r="AX129" i="4"/>
  <c r="AX134" i="4"/>
  <c r="AX141" i="4"/>
  <c r="AX151" i="4"/>
  <c r="AX161" i="4"/>
  <c r="AX166" i="4"/>
  <c r="AX170" i="4"/>
  <c r="AX185" i="4"/>
  <c r="AX189" i="4"/>
  <c r="AX206" i="4"/>
  <c r="AX210" i="4"/>
  <c r="AX218" i="4"/>
  <c r="BD10" i="4"/>
  <c r="BD11" i="4"/>
  <c r="BD13" i="4"/>
  <c r="BD15" i="4"/>
  <c r="BD18" i="4"/>
  <c r="BD19" i="4"/>
  <c r="BD22" i="4"/>
  <c r="BD23" i="4"/>
  <c r="BD30" i="4"/>
  <c r="BD33" i="4"/>
  <c r="BD34" i="4"/>
  <c r="BD35" i="4"/>
  <c r="BD38" i="4"/>
  <c r="BD42" i="4"/>
  <c r="BD46" i="4"/>
  <c r="BD47" i="4"/>
  <c r="BD49" i="4"/>
  <c r="BD51" i="4"/>
  <c r="BD53" i="4"/>
  <c r="BD54" i="4"/>
  <c r="BD55" i="4"/>
  <c r="BD59" i="4"/>
  <c r="BD61" i="4"/>
  <c r="BD62" i="4"/>
  <c r="BD65" i="4"/>
  <c r="BD66" i="4"/>
  <c r="BD67" i="4"/>
  <c r="BD69" i="4"/>
  <c r="BD70" i="4"/>
  <c r="BD74" i="4"/>
  <c r="BD75" i="4"/>
  <c r="BD78" i="4"/>
  <c r="BD79" i="4"/>
  <c r="BD81" i="4"/>
  <c r="BD82" i="4"/>
  <c r="BD83" i="4"/>
  <c r="BD87" i="4"/>
  <c r="BD89" i="4"/>
  <c r="BD90" i="4"/>
  <c r="BD91" i="4"/>
  <c r="BD94" i="4"/>
  <c r="BD97" i="4"/>
  <c r="BD98" i="4"/>
  <c r="BD99" i="4"/>
  <c r="BD101" i="4"/>
  <c r="BD102" i="4"/>
  <c r="BD106" i="4"/>
  <c r="BD107" i="4"/>
  <c r="BD110" i="4"/>
  <c r="BD111" i="4"/>
  <c r="BD114" i="4"/>
  <c r="BD115" i="4"/>
  <c r="BD117" i="4"/>
  <c r="BD119" i="4"/>
  <c r="BD122" i="4"/>
  <c r="BD123" i="4"/>
  <c r="BD126" i="4"/>
  <c r="BD127" i="4"/>
  <c r="BD129" i="4"/>
  <c r="BD131" i="4"/>
  <c r="BD134" i="4"/>
  <c r="BD135" i="4"/>
  <c r="BD138" i="4"/>
  <c r="BD143" i="4"/>
  <c r="BD145" i="4"/>
  <c r="BD146" i="4"/>
  <c r="BD150" i="4"/>
  <c r="BD153" i="4"/>
  <c r="BD154" i="4"/>
  <c r="BD155" i="4"/>
  <c r="BD158" i="4"/>
  <c r="BD159" i="4"/>
  <c r="BD161" i="4"/>
  <c r="BD163" i="4"/>
  <c r="BD167" i="4"/>
  <c r="BD169" i="4"/>
  <c r="BD170" i="4"/>
  <c r="BD174" i="4"/>
  <c r="BD177" i="4"/>
  <c r="BD178" i="4"/>
  <c r="BD179" i="4"/>
  <c r="BD182" i="4"/>
  <c r="BD189" i="4"/>
  <c r="BD190" i="4"/>
  <c r="BD194" i="4"/>
  <c r="BD195" i="4"/>
  <c r="BD196" i="4"/>
  <c r="BD198" i="4"/>
  <c r="BD199" i="4"/>
  <c r="BD202" i="4"/>
  <c r="BD204" i="4"/>
  <c r="BD217" i="4"/>
  <c r="BD220" i="4"/>
  <c r="BD221" i="4"/>
  <c r="BD223" i="4"/>
  <c r="BJ9" i="4"/>
  <c r="BJ10" i="4"/>
  <c r="BJ15" i="4"/>
  <c r="BJ16" i="4"/>
  <c r="BJ17" i="4"/>
  <c r="BJ20" i="4"/>
  <c r="BJ27" i="4"/>
  <c r="BJ33" i="4"/>
  <c r="BJ34" i="4"/>
  <c r="BJ39" i="4"/>
  <c r="BJ44" i="4"/>
  <c r="BJ45" i="4"/>
  <c r="BJ47" i="4"/>
  <c r="BJ49" i="4"/>
  <c r="BJ51" i="4"/>
  <c r="BJ53" i="4"/>
  <c r="BJ55" i="4"/>
  <c r="BJ58" i="4"/>
  <c r="BJ60" i="4"/>
  <c r="BJ64" i="4"/>
  <c r="BJ66" i="4"/>
  <c r="BJ70" i="4"/>
  <c r="BJ74" i="4"/>
  <c r="BJ82" i="4"/>
  <c r="BJ86" i="4"/>
  <c r="BJ90" i="4"/>
  <c r="BJ96" i="4"/>
  <c r="BJ97" i="4"/>
  <c r="BJ98" i="4"/>
  <c r="BJ100" i="4"/>
  <c r="BJ106" i="4"/>
  <c r="BJ110" i="4"/>
  <c r="BJ116" i="4"/>
  <c r="BJ122" i="4"/>
  <c r="BJ129" i="4"/>
  <c r="BJ130" i="4"/>
  <c r="BJ137" i="4"/>
  <c r="BJ140" i="4"/>
  <c r="BJ142" i="4"/>
  <c r="BJ144" i="4"/>
  <c r="BJ148" i="4"/>
  <c r="BJ155" i="4"/>
  <c r="BJ161" i="4"/>
  <c r="BJ162" i="4"/>
  <c r="BJ165" i="4"/>
  <c r="BJ169" i="4"/>
  <c r="BJ171" i="4"/>
  <c r="BJ172" i="4"/>
  <c r="BJ175" i="4"/>
  <c r="BJ178" i="4"/>
  <c r="BJ179" i="4"/>
  <c r="BJ182" i="4"/>
  <c r="BJ190" i="4"/>
  <c r="BJ191" i="4"/>
  <c r="BJ193" i="4"/>
  <c r="BJ195" i="4"/>
  <c r="BJ198" i="4"/>
  <c r="BJ204" i="4"/>
  <c r="BJ212" i="4"/>
  <c r="BJ214" i="4"/>
  <c r="BJ220" i="4"/>
  <c r="BJ224" i="4"/>
  <c r="BJ226" i="4"/>
  <c r="AL158" i="4"/>
  <c r="BJ150" i="4"/>
  <c r="BJ156" i="4"/>
  <c r="BJ174" i="4"/>
  <c r="AL67" i="4"/>
  <c r="AX57" i="4"/>
  <c r="AX81" i="4"/>
  <c r="AX105" i="4"/>
  <c r="AX111" i="4"/>
  <c r="AX135" i="4"/>
  <c r="BD128" i="4"/>
  <c r="BJ52" i="4"/>
  <c r="BJ112" i="4"/>
  <c r="BJ118" i="4"/>
  <c r="AX63" i="4"/>
  <c r="AX87" i="4"/>
  <c r="BJ180" i="4"/>
  <c r="AL128" i="4"/>
  <c r="AL134" i="4"/>
  <c r="AR202" i="4"/>
  <c r="BD25" i="4"/>
  <c r="BD186" i="4"/>
  <c r="BJ95" i="4"/>
  <c r="BJ143" i="4"/>
  <c r="BJ173" i="4"/>
  <c r="BJ185" i="4"/>
  <c r="BJ197" i="4"/>
  <c r="BJ203" i="4"/>
  <c r="AL40" i="4"/>
  <c r="AL46" i="4"/>
  <c r="AL52" i="4"/>
  <c r="AL58" i="4"/>
  <c r="AL64" i="4"/>
  <c r="AL88" i="4"/>
  <c r="AL94" i="4"/>
  <c r="AL106" i="4"/>
  <c r="BJ127" i="4"/>
  <c r="AL162" i="4"/>
  <c r="BD192" i="4"/>
  <c r="AX7" i="4"/>
  <c r="AL75" i="4"/>
  <c r="AL99" i="4"/>
  <c r="AL111" i="4"/>
  <c r="AR47" i="4"/>
  <c r="AR71" i="4"/>
  <c r="AR77" i="4"/>
  <c r="AR89" i="4"/>
  <c r="AR95" i="4"/>
  <c r="AR131" i="4"/>
  <c r="AX195" i="4"/>
  <c r="AX201" i="4"/>
  <c r="AX207" i="4"/>
  <c r="BD80" i="4"/>
  <c r="BD92" i="4"/>
  <c r="BD104" i="4"/>
  <c r="BD116" i="4"/>
  <c r="BJ18" i="4"/>
  <c r="BJ132" i="4"/>
  <c r="BD188" i="4"/>
  <c r="AL47" i="4"/>
  <c r="AL119" i="4"/>
  <c r="BJ134" i="4"/>
  <c r="AL53" i="4"/>
  <c r="BJ222" i="4"/>
  <c r="AL174" i="4"/>
  <c r="AL180" i="4"/>
  <c r="AL186" i="4"/>
  <c r="AF172" i="4"/>
  <c r="AF196" i="4"/>
  <c r="AL203" i="4"/>
  <c r="AX59" i="4"/>
  <c r="AX65" i="4"/>
  <c r="AX95" i="4"/>
  <c r="AX101" i="4"/>
  <c r="BD141" i="4"/>
  <c r="AF184" i="4"/>
  <c r="AF208" i="4"/>
  <c r="AF173" i="4"/>
  <c r="AF197" i="4"/>
  <c r="AL32" i="4"/>
  <c r="AL62" i="4"/>
  <c r="AL74" i="4"/>
  <c r="AL86" i="4"/>
  <c r="AL104" i="4"/>
  <c r="AX191" i="4"/>
  <c r="AX197" i="4"/>
  <c r="AX203" i="4"/>
  <c r="AF161" i="4"/>
  <c r="AF185" i="4"/>
  <c r="AL129" i="4"/>
  <c r="AR118" i="4"/>
  <c r="AX31" i="4"/>
  <c r="BD137" i="4"/>
  <c r="AR160" i="4"/>
  <c r="BD17" i="4"/>
  <c r="H36" i="4"/>
  <c r="H24" i="4"/>
  <c r="H12" i="4"/>
  <c r="AL18" i="4"/>
  <c r="AL24" i="4"/>
  <c r="AX20" i="4"/>
  <c r="AX193" i="4"/>
  <c r="AX199" i="4"/>
  <c r="AX205" i="4"/>
  <c r="BD36" i="4"/>
  <c r="BD120" i="4"/>
  <c r="BJ21" i="4"/>
  <c r="BJ63" i="4"/>
  <c r="BJ75" i="4"/>
  <c r="BJ81" i="4"/>
  <c r="BJ87" i="4"/>
  <c r="BJ146" i="4"/>
  <c r="BJ158" i="4"/>
  <c r="BJ164" i="4"/>
  <c r="BD7" i="4"/>
  <c r="AL155" i="4"/>
  <c r="AL161" i="4"/>
  <c r="AR13" i="4"/>
  <c r="AR36" i="4"/>
  <c r="AR66" i="4"/>
  <c r="AR78" i="4"/>
  <c r="AR90" i="4"/>
  <c r="AR96" i="4"/>
  <c r="AR179" i="4"/>
  <c r="AR197" i="4"/>
  <c r="AR203" i="4"/>
  <c r="AR209" i="4"/>
  <c r="AX44" i="4"/>
  <c r="H153" i="4"/>
  <c r="H213" i="4"/>
  <c r="H189" i="4"/>
  <c r="H165" i="4"/>
  <c r="BD184" i="4"/>
  <c r="H201" i="4"/>
  <c r="H177" i="4"/>
  <c r="H141" i="4"/>
  <c r="N197" i="4"/>
  <c r="N209" i="4"/>
  <c r="AL22" i="4"/>
  <c r="AL28" i="4"/>
  <c r="AL157" i="4"/>
  <c r="AL163" i="4"/>
  <c r="AR180" i="4"/>
  <c r="BJ105" i="4"/>
  <c r="N162" i="4"/>
  <c r="T114" i="4"/>
  <c r="T126" i="4"/>
  <c r="BD52" i="4"/>
  <c r="BD58" i="4"/>
  <c r="BD88" i="4"/>
  <c r="BD118" i="4"/>
  <c r="BJ61" i="4"/>
  <c r="BJ73" i="4"/>
  <c r="BJ79" i="4"/>
  <c r="N18" i="4"/>
  <c r="N30" i="4"/>
  <c r="AX212" i="4"/>
  <c r="BD24" i="4"/>
  <c r="BD41" i="4"/>
  <c r="N24" i="4"/>
  <c r="N36" i="4"/>
  <c r="H195" i="4"/>
  <c r="N174" i="4"/>
  <c r="N186" i="4"/>
  <c r="N198" i="4"/>
  <c r="AL96" i="4"/>
  <c r="AR142" i="4"/>
  <c r="AX64" i="4"/>
  <c r="AX70" i="4"/>
  <c r="AX76" i="4"/>
  <c r="AX118" i="4"/>
  <c r="AX124" i="4"/>
  <c r="AX142" i="4"/>
  <c r="AX148" i="4"/>
  <c r="AX172" i="4"/>
  <c r="AX178" i="4"/>
  <c r="AX184" i="4"/>
  <c r="BJ145" i="4"/>
  <c r="BJ157" i="4"/>
  <c r="BJ163" i="4"/>
  <c r="H129" i="4"/>
  <c r="H117" i="4"/>
  <c r="H91" i="4"/>
  <c r="H41" i="4"/>
  <c r="H29" i="4"/>
  <c r="H17" i="4"/>
  <c r="N44" i="4"/>
  <c r="N93" i="4"/>
  <c r="N105" i="4"/>
  <c r="T102" i="4"/>
  <c r="T116" i="4"/>
  <c r="T128" i="4"/>
  <c r="T140" i="4"/>
  <c r="T152" i="4"/>
  <c r="T164" i="4"/>
  <c r="T176" i="4"/>
  <c r="T212" i="4"/>
  <c r="Z98" i="4"/>
  <c r="Z112" i="4"/>
  <c r="Z124" i="4"/>
  <c r="Z160" i="4"/>
  <c r="Z172" i="4"/>
  <c r="Z184" i="4"/>
  <c r="Z197" i="4"/>
  <c r="Z209" i="4"/>
  <c r="N9" i="4"/>
  <c r="N21" i="4"/>
  <c r="N33" i="4"/>
  <c r="N46" i="4"/>
  <c r="N121" i="4"/>
  <c r="N133" i="4"/>
  <c r="N145" i="4"/>
  <c r="N157" i="4"/>
  <c r="N169" i="4"/>
  <c r="N181" i="4"/>
  <c r="N193" i="4"/>
  <c r="N205" i="4"/>
  <c r="Z16" i="4"/>
  <c r="Z28" i="4"/>
  <c r="Z40" i="4"/>
  <c r="Z52" i="4"/>
  <c r="Z64" i="4"/>
  <c r="Z76" i="4"/>
  <c r="N22" i="4"/>
  <c r="N34" i="4"/>
  <c r="N96" i="4"/>
  <c r="N110" i="4"/>
  <c r="N122" i="4"/>
  <c r="N134" i="4"/>
  <c r="N146" i="4"/>
  <c r="AF73" i="4"/>
  <c r="AF85" i="4"/>
  <c r="AL14" i="4"/>
  <c r="AL124" i="4"/>
  <c r="AL136" i="4"/>
  <c r="AL142" i="4"/>
  <c r="AL148" i="4"/>
  <c r="AR170" i="4"/>
  <c r="AX74" i="4"/>
  <c r="AX92" i="4"/>
  <c r="AX110" i="4"/>
  <c r="AX116" i="4"/>
  <c r="AX122" i="4"/>
  <c r="AX128" i="4"/>
  <c r="AX152" i="4"/>
  <c r="AX158" i="4"/>
  <c r="AX176" i="4"/>
  <c r="AX182" i="4"/>
  <c r="BD12" i="4"/>
  <c r="BD29" i="4"/>
  <c r="BD40" i="4"/>
  <c r="BD63" i="4"/>
  <c r="BD93" i="4"/>
  <c r="BD152" i="4"/>
  <c r="T92" i="4"/>
  <c r="H192" i="4"/>
  <c r="H180" i="4"/>
  <c r="H156" i="4"/>
  <c r="H132" i="4"/>
  <c r="H120" i="4"/>
  <c r="H94" i="4"/>
  <c r="H44" i="4"/>
  <c r="H19" i="4"/>
  <c r="AR34" i="4"/>
  <c r="AR58" i="4"/>
  <c r="AR64" i="4"/>
  <c r="AR112" i="4"/>
  <c r="AR129" i="4"/>
  <c r="AR153" i="4"/>
  <c r="AR188" i="4"/>
  <c r="AX33" i="4"/>
  <c r="BD133" i="4"/>
  <c r="BD156" i="4"/>
  <c r="BD172" i="4"/>
  <c r="BJ114" i="4"/>
  <c r="Z29" i="4"/>
  <c r="N62" i="4"/>
  <c r="N74" i="4"/>
  <c r="AR21" i="4"/>
  <c r="AX214" i="4"/>
  <c r="BD20" i="4"/>
  <c r="BD31" i="4"/>
  <c r="BD181" i="4"/>
  <c r="BJ76" i="4"/>
  <c r="BJ123" i="4"/>
  <c r="BJ199" i="4"/>
  <c r="T129" i="4"/>
  <c r="T20" i="4"/>
  <c r="T68" i="4"/>
  <c r="N84" i="4"/>
  <c r="N73" i="4"/>
  <c r="T34" i="4"/>
  <c r="T70" i="4"/>
  <c r="Z53" i="4"/>
  <c r="Z101" i="4"/>
  <c r="AX209" i="4"/>
  <c r="BD21" i="4"/>
  <c r="BD32" i="4"/>
  <c r="BD72" i="4"/>
  <c r="BD96" i="4"/>
  <c r="H67" i="4"/>
  <c r="T117" i="4"/>
  <c r="T32" i="4"/>
  <c r="N60" i="4"/>
  <c r="T69" i="4"/>
  <c r="T22" i="4"/>
  <c r="T58" i="4"/>
  <c r="Z17" i="4"/>
  <c r="Z65" i="4"/>
  <c r="H181" i="4"/>
  <c r="H169" i="4"/>
  <c r="H121" i="4"/>
  <c r="AF150" i="4"/>
  <c r="AF162" i="4"/>
  <c r="AR11" i="4"/>
  <c r="AR28" i="4"/>
  <c r="AR39" i="4"/>
  <c r="AR63" i="4"/>
  <c r="AR93" i="4"/>
  <c r="AR99" i="4"/>
  <c r="AR111" i="4"/>
  <c r="AR181" i="4"/>
  <c r="AR187" i="4"/>
  <c r="AR210" i="4"/>
  <c r="AX10" i="4"/>
  <c r="AX78" i="4"/>
  <c r="AX90" i="4"/>
  <c r="AX138" i="4"/>
  <c r="AX144" i="4"/>
  <c r="AX150" i="4"/>
  <c r="AX156" i="4"/>
  <c r="AX174" i="4"/>
  <c r="AX180" i="4"/>
  <c r="AX186" i="4"/>
  <c r="BD27" i="4"/>
  <c r="BD44" i="4"/>
  <c r="BD160" i="4"/>
  <c r="BD206" i="4"/>
  <c r="BD212" i="4"/>
  <c r="BD218" i="4"/>
  <c r="BJ13" i="4"/>
  <c r="BJ19" i="4"/>
  <c r="BJ25" i="4"/>
  <c r="BJ37" i="4"/>
  <c r="BJ43" i="4"/>
  <c r="BJ147" i="4"/>
  <c r="BJ153" i="4"/>
  <c r="BJ218" i="4"/>
  <c r="T10" i="4"/>
  <c r="H204" i="4"/>
  <c r="H168" i="4"/>
  <c r="H106" i="4"/>
  <c r="H82" i="4"/>
  <c r="H70" i="4"/>
  <c r="H58" i="4"/>
  <c r="BD103" i="4"/>
  <c r="BD109" i="4"/>
  <c r="BD201" i="4"/>
  <c r="BJ84" i="4"/>
  <c r="BJ119" i="4"/>
  <c r="BJ125" i="4"/>
  <c r="BJ207" i="4"/>
  <c r="BJ213" i="4"/>
  <c r="T156" i="4"/>
  <c r="T120" i="4"/>
  <c r="BD175" i="4"/>
  <c r="BD222" i="4"/>
  <c r="BJ35" i="4"/>
  <c r="BJ41" i="4"/>
  <c r="BD165" i="4"/>
  <c r="T132" i="4"/>
  <c r="T118" i="4"/>
  <c r="T106" i="4"/>
  <c r="T144" i="4"/>
  <c r="T168" i="4"/>
  <c r="T204" i="4"/>
  <c r="AL109" i="4"/>
  <c r="AL126" i="4"/>
  <c r="AL138" i="4"/>
  <c r="AL144" i="4"/>
  <c r="AL150" i="4"/>
  <c r="AL173" i="4"/>
  <c r="AL179" i="4"/>
  <c r="AL185" i="4"/>
  <c r="T180" i="4"/>
  <c r="T192" i="4"/>
  <c r="AF77" i="4"/>
  <c r="AF101" i="4"/>
  <c r="T121" i="4"/>
  <c r="AF42" i="4"/>
  <c r="AF90" i="4"/>
  <c r="AF152" i="4"/>
  <c r="AF176" i="4"/>
  <c r="AF200" i="4"/>
  <c r="T12" i="4"/>
  <c r="T36" i="4"/>
  <c r="T96" i="4"/>
  <c r="AF129" i="4"/>
  <c r="T25" i="4"/>
  <c r="T73" i="4"/>
  <c r="Z20" i="4"/>
  <c r="Z32" i="4"/>
  <c r="Z56" i="4"/>
  <c r="Z80" i="4"/>
  <c r="T38" i="4"/>
  <c r="T62" i="4"/>
  <c r="T124" i="4"/>
  <c r="T136" i="4"/>
  <c r="T160" i="4"/>
  <c r="T208" i="4"/>
  <c r="Z21" i="4"/>
  <c r="H210" i="4"/>
  <c r="H198" i="4"/>
  <c r="H174" i="4"/>
  <c r="H150" i="4"/>
  <c r="H209" i="4"/>
  <c r="H197" i="4"/>
  <c r="H185" i="4"/>
  <c r="H173" i="4"/>
  <c r="H161" i="4"/>
  <c r="H149" i="4"/>
  <c r="H137" i="4"/>
  <c r="H125" i="4"/>
  <c r="H113" i="4"/>
  <c r="H99" i="4"/>
  <c r="H75" i="4"/>
  <c r="H51" i="4"/>
  <c r="H37" i="4"/>
  <c r="H25" i="4"/>
  <c r="H13" i="4"/>
  <c r="T30" i="4"/>
  <c r="T66" i="4"/>
  <c r="AL172" i="4"/>
  <c r="AL178" i="4"/>
  <c r="AL184" i="4"/>
  <c r="AL207" i="4"/>
  <c r="AR22" i="4"/>
  <c r="AR109" i="4"/>
  <c r="AR161" i="4"/>
  <c r="AR207" i="4"/>
  <c r="AX115" i="4"/>
  <c r="AX127" i="4"/>
  <c r="AX133" i="4"/>
  <c r="AX139" i="4"/>
  <c r="AX163" i="4"/>
  <c r="BD56" i="4"/>
  <c r="BD125" i="4"/>
  <c r="BD136" i="4"/>
  <c r="BD164" i="4"/>
  <c r="BD209" i="4"/>
  <c r="BD215" i="4"/>
  <c r="BJ103" i="4"/>
  <c r="BJ109" i="4"/>
  <c r="BJ115" i="4"/>
  <c r="BJ166" i="4"/>
  <c r="AF128" i="4"/>
  <c r="N57" i="4"/>
  <c r="T112" i="4"/>
  <c r="T196" i="4"/>
  <c r="AL170" i="4"/>
  <c r="AL176" i="4"/>
  <c r="AL182" i="4"/>
  <c r="AL188" i="4"/>
  <c r="AR9" i="4"/>
  <c r="AR31" i="4"/>
  <c r="AR113" i="4"/>
  <c r="AR199" i="4"/>
  <c r="AR205" i="4"/>
  <c r="AR211" i="4"/>
  <c r="AX16" i="4"/>
  <c r="AX49" i="4"/>
  <c r="AX54" i="4"/>
  <c r="AX125" i="4"/>
  <c r="AX131" i="4"/>
  <c r="AX155" i="4"/>
  <c r="BD9" i="4"/>
  <c r="BD207" i="4"/>
  <c r="BD213" i="4"/>
  <c r="BD219" i="4"/>
  <c r="BJ32" i="4"/>
  <c r="BJ101" i="4"/>
  <c r="BJ107" i="4"/>
  <c r="BJ141" i="4"/>
  <c r="AF29" i="4"/>
  <c r="AF78" i="4"/>
  <c r="AF164" i="4"/>
  <c r="AF117" i="4"/>
  <c r="T61" i="4"/>
  <c r="Z68" i="4"/>
  <c r="N81" i="4"/>
  <c r="T74" i="4"/>
  <c r="T148" i="4"/>
  <c r="H40" i="4"/>
  <c r="H16" i="4"/>
  <c r="Z70" i="4"/>
  <c r="Z144" i="4"/>
  <c r="Z156" i="4"/>
  <c r="Z168" i="4"/>
  <c r="Z180" i="4"/>
  <c r="AF10" i="4"/>
  <c r="AF58" i="4"/>
  <c r="AF106" i="4"/>
  <c r="AF132" i="4"/>
  <c r="AL37" i="4"/>
  <c r="AL43" i="4"/>
  <c r="AL60" i="4"/>
  <c r="AL153" i="4"/>
  <c r="AL165" i="4"/>
  <c r="AL194" i="4"/>
  <c r="AR61" i="4"/>
  <c r="AR73" i="4"/>
  <c r="AR177" i="4"/>
  <c r="BJ159" i="4"/>
  <c r="AF18" i="4"/>
  <c r="AF116" i="4"/>
  <c r="T84" i="4"/>
  <c r="AF177" i="4"/>
  <c r="T37" i="4"/>
  <c r="Z44" i="4"/>
  <c r="N69" i="4"/>
  <c r="T14" i="4"/>
  <c r="T184" i="4"/>
  <c r="AF69" i="4"/>
  <c r="T28" i="4"/>
  <c r="T40" i="4"/>
  <c r="T64" i="4"/>
  <c r="T76" i="4"/>
  <c r="Z193" i="4"/>
  <c r="Z205" i="4"/>
  <c r="AF65" i="4"/>
  <c r="T133" i="4"/>
  <c r="AF140" i="4"/>
  <c r="T24" i="4"/>
  <c r="T122" i="4"/>
  <c r="AF189" i="4"/>
  <c r="T13" i="4"/>
  <c r="Z8" i="4"/>
  <c r="T26" i="4"/>
  <c r="T98" i="4"/>
  <c r="T172" i="4"/>
  <c r="H186" i="4"/>
  <c r="H162" i="4"/>
  <c r="H138" i="4"/>
  <c r="H126" i="4"/>
  <c r="H114" i="4"/>
  <c r="H100" i="4"/>
  <c r="H88" i="4"/>
  <c r="H76" i="4"/>
  <c r="H64" i="4"/>
  <c r="H52" i="4"/>
  <c r="H38" i="4"/>
  <c r="H26" i="4"/>
  <c r="H14" i="4"/>
  <c r="T29" i="4"/>
  <c r="T41" i="4"/>
  <c r="AF96" i="4"/>
  <c r="AR16" i="4"/>
  <c r="AR27" i="4"/>
  <c r="AR44" i="4"/>
  <c r="AR62" i="4"/>
  <c r="AR74" i="4"/>
  <c r="AR80" i="4"/>
  <c r="AR86" i="4"/>
  <c r="AR120" i="4"/>
  <c r="AR149" i="4"/>
  <c r="AR178" i="4"/>
  <c r="AX34" i="4"/>
  <c r="AX85" i="4"/>
  <c r="AX97" i="4"/>
  <c r="AX216" i="4"/>
  <c r="BD185" i="4"/>
  <c r="BD197" i="4"/>
  <c r="BJ62" i="4"/>
  <c r="BJ68" i="4"/>
  <c r="BJ91" i="4"/>
  <c r="BJ126" i="4"/>
  <c r="BJ131" i="4"/>
  <c r="H61" i="4"/>
  <c r="H134" i="4"/>
  <c r="AF168" i="4"/>
  <c r="Z161" i="4"/>
  <c r="H171" i="4"/>
  <c r="H147" i="4"/>
  <c r="H123" i="4"/>
  <c r="H85" i="4"/>
  <c r="H194" i="4"/>
  <c r="H182" i="4"/>
  <c r="H158" i="4"/>
  <c r="H96" i="4"/>
  <c r="H84" i="4"/>
  <c r="AF180" i="4"/>
  <c r="AF192" i="4"/>
  <c r="H33" i="4"/>
  <c r="AF121" i="4"/>
  <c r="AF133" i="4"/>
  <c r="AF145" i="4"/>
  <c r="Z113" i="4"/>
  <c r="Z125" i="4"/>
  <c r="Z137" i="4"/>
  <c r="Z149" i="4"/>
  <c r="Z173" i="4"/>
  <c r="AF97" i="4"/>
  <c r="N80" i="4"/>
  <c r="N92" i="4"/>
  <c r="N104" i="4"/>
  <c r="N166" i="4"/>
  <c r="N178" i="4"/>
  <c r="N190" i="4"/>
  <c r="N202" i="4"/>
  <c r="N214" i="4"/>
  <c r="AF74" i="4"/>
  <c r="AF86" i="4"/>
  <c r="AF98" i="4"/>
  <c r="AF112" i="4"/>
  <c r="AF124" i="4"/>
  <c r="AL78" i="4"/>
  <c r="AR122" i="4"/>
  <c r="AR150" i="4"/>
  <c r="AR167" i="4"/>
  <c r="AX108" i="4"/>
  <c r="AX167" i="4"/>
  <c r="BD148" i="4"/>
  <c r="BJ108" i="4"/>
  <c r="N208" i="4"/>
  <c r="Z90" i="4"/>
  <c r="Z116" i="4"/>
  <c r="AF157" i="4"/>
  <c r="Z102" i="4"/>
  <c r="Z128" i="4"/>
  <c r="AF88" i="4"/>
  <c r="AL50" i="4"/>
  <c r="AL79" i="4"/>
  <c r="AR60" i="4"/>
  <c r="AR123" i="4"/>
  <c r="BD77" i="4"/>
  <c r="BJ23" i="4"/>
  <c r="BJ29" i="4"/>
  <c r="BJ57" i="4"/>
  <c r="Z145" i="4"/>
  <c r="Z133" i="4"/>
  <c r="Z157" i="4"/>
  <c r="Z181" i="4"/>
  <c r="H179" i="4"/>
  <c r="H131" i="4"/>
  <c r="H105" i="4"/>
  <c r="H81" i="4"/>
  <c r="H69" i="4"/>
  <c r="H57" i="4"/>
  <c r="N116" i="4"/>
  <c r="N128" i="4"/>
  <c r="N152" i="4"/>
  <c r="N212" i="4"/>
  <c r="Z12" i="4"/>
  <c r="Z24" i="4"/>
  <c r="Z36" i="4"/>
  <c r="Z48" i="4"/>
  <c r="Z60" i="4"/>
  <c r="Z134" i="4"/>
  <c r="Z146" i="4"/>
  <c r="AF68" i="4"/>
  <c r="AF118" i="4"/>
  <c r="AF130" i="4"/>
  <c r="AF154" i="4"/>
  <c r="AL70" i="4"/>
  <c r="AL81" i="4"/>
  <c r="AR191" i="4"/>
  <c r="AR213" i="4"/>
  <c r="AX13" i="4"/>
  <c r="AX18" i="4"/>
  <c r="Z169" i="4"/>
  <c r="H203" i="4"/>
  <c r="H155" i="4"/>
  <c r="H93" i="4"/>
  <c r="H214" i="4"/>
  <c r="H202" i="4"/>
  <c r="H190" i="4"/>
  <c r="H178" i="4"/>
  <c r="H166" i="4"/>
  <c r="H154" i="4"/>
  <c r="H142" i="4"/>
  <c r="H130" i="4"/>
  <c r="H118" i="4"/>
  <c r="H104" i="4"/>
  <c r="H92" i="4"/>
  <c r="H80" i="4"/>
  <c r="H68" i="4"/>
  <c r="H56" i="4"/>
  <c r="H43" i="4"/>
  <c r="H30" i="4"/>
  <c r="H18" i="4"/>
  <c r="N117" i="4"/>
  <c r="N129" i="4"/>
  <c r="N165" i="4"/>
  <c r="N177" i="4"/>
  <c r="N201" i="4"/>
  <c r="N213" i="4"/>
  <c r="Z61" i="4"/>
  <c r="Z85" i="4"/>
  <c r="AF45" i="4"/>
  <c r="AF105" i="4"/>
  <c r="AL15" i="4"/>
  <c r="AL31" i="4"/>
  <c r="AL48" i="4"/>
  <c r="AL54" i="4"/>
  <c r="AL102" i="4"/>
  <c r="AL118" i="4"/>
  <c r="AL210" i="4"/>
  <c r="AR75" i="4"/>
  <c r="AR141" i="4"/>
  <c r="AX29" i="4"/>
  <c r="AX35" i="4"/>
  <c r="AX45" i="4"/>
  <c r="AX61" i="4"/>
  <c r="AX67" i="4"/>
  <c r="AX83" i="4"/>
  <c r="AX146" i="4"/>
  <c r="AX169" i="4"/>
  <c r="BD26" i="4"/>
  <c r="BD37" i="4"/>
  <c r="BD64" i="4"/>
  <c r="BD85" i="4"/>
  <c r="BD139" i="4"/>
  <c r="BD171" i="4"/>
  <c r="BD193" i="4"/>
  <c r="BJ26" i="4"/>
  <c r="BJ48" i="4"/>
  <c r="BJ59" i="4"/>
  <c r="BJ93" i="4"/>
  <c r="BJ121" i="4"/>
  <c r="BJ160" i="4"/>
  <c r="BJ177" i="4"/>
  <c r="BJ188" i="4"/>
  <c r="AK5" i="4"/>
  <c r="N8" i="4"/>
  <c r="N20" i="4"/>
  <c r="N32" i="4"/>
  <c r="N45" i="4"/>
  <c r="N58" i="4"/>
  <c r="N70" i="4"/>
  <c r="N82" i="4"/>
  <c r="N94" i="4"/>
  <c r="N120" i="4"/>
  <c r="N132" i="4"/>
  <c r="N144" i="4"/>
  <c r="N156" i="4"/>
  <c r="N168" i="4"/>
  <c r="N180" i="4"/>
  <c r="N192" i="4"/>
  <c r="N204" i="4"/>
  <c r="Z100" i="4"/>
  <c r="Z114" i="4"/>
  <c r="Z126" i="4"/>
  <c r="Z138" i="4"/>
  <c r="AF110" i="4"/>
  <c r="AF122" i="4"/>
  <c r="AF134" i="4"/>
  <c r="AL38" i="4"/>
  <c r="AL72" i="4"/>
  <c r="AL83" i="4"/>
  <c r="AL98" i="4"/>
  <c r="AL114" i="4"/>
  <c r="AL125" i="4"/>
  <c r="AL154" i="4"/>
  <c r="AL206" i="4"/>
  <c r="AR26" i="4"/>
  <c r="AR59" i="4"/>
  <c r="AR82" i="4"/>
  <c r="AR198" i="4"/>
  <c r="AX25" i="4"/>
  <c r="AX41" i="4"/>
  <c r="AX79" i="4"/>
  <c r="AX136" i="4"/>
  <c r="AX153" i="4"/>
  <c r="AX159" i="4"/>
  <c r="AX165" i="4"/>
  <c r="BD60" i="4"/>
  <c r="BD108" i="4"/>
  <c r="BD157" i="4"/>
  <c r="BD162" i="4"/>
  <c r="BJ11" i="4"/>
  <c r="BJ78" i="4"/>
  <c r="BJ89" i="4"/>
  <c r="H160" i="4"/>
  <c r="H62" i="4"/>
  <c r="N160" i="4"/>
  <c r="H45" i="4"/>
  <c r="S5" i="4"/>
  <c r="N25" i="4"/>
  <c r="N137" i="4"/>
  <c r="N173" i="4"/>
  <c r="T56" i="4"/>
  <c r="T104" i="4"/>
  <c r="Z117" i="4"/>
  <c r="Z141" i="4"/>
  <c r="Z165" i="4"/>
  <c r="Z177" i="4"/>
  <c r="AF82" i="4"/>
  <c r="AF94" i="4"/>
  <c r="AF156" i="4"/>
  <c r="H208" i="4"/>
  <c r="H184" i="4"/>
  <c r="H172" i="4"/>
  <c r="H124" i="4"/>
  <c r="H98" i="4"/>
  <c r="H86" i="4"/>
  <c r="H74" i="4"/>
  <c r="H35" i="4"/>
  <c r="G5" i="4"/>
  <c r="H7" i="4"/>
  <c r="T90" i="4"/>
  <c r="M5" i="4"/>
  <c r="N98" i="4"/>
  <c r="N124" i="4"/>
  <c r="N172" i="4"/>
  <c r="N196" i="4"/>
  <c r="AF81" i="4"/>
  <c r="H32" i="4"/>
  <c r="H20" i="4"/>
  <c r="H8" i="4"/>
  <c r="BC5" i="4"/>
  <c r="N13" i="4"/>
  <c r="N37" i="4"/>
  <c r="N113" i="4"/>
  <c r="N125" i="4"/>
  <c r="N149" i="4"/>
  <c r="N161" i="4"/>
  <c r="N185" i="4"/>
  <c r="T44" i="4"/>
  <c r="Y5" i="4"/>
  <c r="N14" i="4"/>
  <c r="N26" i="4"/>
  <c r="N38" i="4"/>
  <c r="N52" i="4"/>
  <c r="N64" i="4"/>
  <c r="N76" i="4"/>
  <c r="N88" i="4"/>
  <c r="Z92" i="4"/>
  <c r="Z104" i="4"/>
  <c r="Z118" i="4"/>
  <c r="Z130" i="4"/>
  <c r="Z142" i="4"/>
  <c r="AF169" i="4"/>
  <c r="AF181" i="4"/>
  <c r="AF193" i="4"/>
  <c r="AF205" i="4"/>
  <c r="AL196" i="4"/>
  <c r="AR116" i="4"/>
  <c r="AR127" i="4"/>
  <c r="AR137" i="4"/>
  <c r="AR143" i="4"/>
  <c r="AR154" i="4"/>
  <c r="AR171" i="4"/>
  <c r="AR182" i="4"/>
  <c r="AX187" i="4"/>
  <c r="BD166" i="4"/>
  <c r="BD176" i="4"/>
  <c r="BD187" i="4"/>
  <c r="BJ31" i="4"/>
  <c r="BJ36" i="4"/>
  <c r="BJ42" i="4"/>
  <c r="BP5" i="4"/>
  <c r="BI5" i="4"/>
  <c r="N53" i="4"/>
  <c r="N65" i="4"/>
  <c r="N77" i="4"/>
  <c r="N89" i="4"/>
  <c r="N101" i="4"/>
  <c r="T46" i="4"/>
  <c r="T82" i="4"/>
  <c r="T94" i="4"/>
  <c r="Z93" i="4"/>
  <c r="Z105" i="4"/>
  <c r="AF12" i="4"/>
  <c r="AF24" i="4"/>
  <c r="AF60" i="4"/>
  <c r="AF146" i="4"/>
  <c r="H136" i="4"/>
  <c r="AQ5" i="4"/>
  <c r="N16" i="4"/>
  <c r="N28" i="4"/>
  <c r="N54" i="4"/>
  <c r="N66" i="4"/>
  <c r="N78" i="4"/>
  <c r="N90" i="4"/>
  <c r="N102" i="4"/>
  <c r="N164" i="4"/>
  <c r="N176" i="4"/>
  <c r="N188" i="4"/>
  <c r="Z10" i="4"/>
  <c r="Z22" i="4"/>
  <c r="Z34" i="4"/>
  <c r="Z46" i="4"/>
  <c r="Z58" i="4"/>
  <c r="Z82" i="4"/>
  <c r="Z94" i="4"/>
  <c r="Z106" i="4"/>
  <c r="Z120" i="4"/>
  <c r="Z132" i="4"/>
  <c r="Z204" i="4"/>
  <c r="AF13" i="4"/>
  <c r="AF25" i="4"/>
  <c r="AF37" i="4"/>
  <c r="AF49" i="4"/>
  <c r="AF61" i="4"/>
  <c r="AL11" i="4"/>
  <c r="AL26" i="4"/>
  <c r="AL42" i="4"/>
  <c r="AL139" i="4"/>
  <c r="AL145" i="4"/>
  <c r="AL151" i="4"/>
  <c r="AR84" i="4"/>
  <c r="AR138" i="4"/>
  <c r="AR144" i="4"/>
  <c r="AR155" i="4"/>
  <c r="AR166" i="4"/>
  <c r="BD113" i="4"/>
  <c r="BD151" i="4"/>
  <c r="H196" i="4"/>
  <c r="H112" i="4"/>
  <c r="N136" i="4"/>
  <c r="H164" i="4"/>
  <c r="H128" i="4"/>
  <c r="H90" i="4"/>
  <c r="H78" i="4"/>
  <c r="H54" i="4"/>
  <c r="AE5" i="4"/>
  <c r="N29" i="4"/>
  <c r="AF38" i="4"/>
  <c r="AF148" i="4"/>
  <c r="H148" i="4"/>
  <c r="AW5" i="4"/>
  <c r="N86" i="4"/>
  <c r="N112" i="4"/>
  <c r="N148" i="4"/>
  <c r="N184" i="4"/>
  <c r="AF93" i="4"/>
  <c r="H212" i="4"/>
  <c r="H188" i="4"/>
  <c r="H176" i="4"/>
  <c r="H152" i="4"/>
  <c r="H140" i="4"/>
  <c r="H66" i="4"/>
  <c r="N17" i="4"/>
  <c r="N141" i="4"/>
  <c r="N153" i="4"/>
  <c r="T72" i="4"/>
  <c r="Z121" i="4"/>
  <c r="AF14" i="4"/>
  <c r="AF26" i="4"/>
  <c r="AF62" i="4"/>
  <c r="AF160" i="4"/>
  <c r="H211" i="4"/>
  <c r="H163" i="4"/>
  <c r="H139" i="4"/>
  <c r="H101" i="4"/>
  <c r="H89" i="4"/>
  <c r="H77" i="4"/>
  <c r="H65" i="4"/>
  <c r="H53" i="4"/>
  <c r="N56" i="4"/>
  <c r="N68" i="4"/>
  <c r="N118" i="4"/>
  <c r="N130" i="4"/>
  <c r="N142" i="4"/>
  <c r="N154" i="4"/>
  <c r="T49" i="4"/>
  <c r="T97" i="4"/>
  <c r="Z72" i="4"/>
  <c r="Z84" i="4"/>
  <c r="Z96" i="4"/>
  <c r="Z110" i="4"/>
  <c r="Z122" i="4"/>
  <c r="AF113" i="4"/>
  <c r="AF125" i="4"/>
  <c r="AF137" i="4"/>
  <c r="AF149" i="4"/>
  <c r="AF209" i="4"/>
  <c r="AL27" i="4"/>
  <c r="AL140" i="4"/>
  <c r="AL146" i="4"/>
  <c r="AR85" i="4"/>
  <c r="AR102" i="4"/>
  <c r="AR134" i="4"/>
  <c r="AR139" i="4"/>
  <c r="N170" i="4"/>
  <c r="N182" i="4"/>
  <c r="N194" i="4"/>
  <c r="N206" i="4"/>
  <c r="T53" i="4"/>
  <c r="T65" i="4"/>
  <c r="T77" i="4"/>
  <c r="T101" i="4"/>
  <c r="Z14" i="4"/>
  <c r="Z26" i="4"/>
  <c r="Z38" i="4"/>
  <c r="Z50" i="4"/>
  <c r="Z62" i="4"/>
  <c r="Z74" i="4"/>
  <c r="Z86" i="4"/>
  <c r="Z136" i="4"/>
  <c r="Z148" i="4"/>
  <c r="Z196" i="4"/>
  <c r="Z208" i="4"/>
  <c r="AF40" i="4"/>
  <c r="AF76" i="4"/>
  <c r="AF126" i="4"/>
  <c r="AF138" i="4"/>
  <c r="AL9" i="4"/>
  <c r="AL23" i="4"/>
  <c r="AL44" i="4"/>
  <c r="AL110" i="4"/>
  <c r="AL131" i="4"/>
  <c r="AR23" i="4"/>
  <c r="AR43" i="4"/>
  <c r="AR92" i="4"/>
  <c r="AR98" i="4"/>
  <c r="AR108" i="4"/>
  <c r="AR114" i="4"/>
  <c r="AR119" i="4"/>
  <c r="AR130" i="4"/>
  <c r="AR146" i="4"/>
  <c r="AR157" i="4"/>
  <c r="AR163" i="4"/>
  <c r="AR173" i="4"/>
  <c r="AR184" i="4"/>
  <c r="AX60" i="4"/>
  <c r="AX66" i="4"/>
  <c r="AX88" i="4"/>
  <c r="AX114" i="4"/>
  <c r="AX120" i="4"/>
  <c r="AX137" i="4"/>
  <c r="AX154" i="4"/>
  <c r="AX160" i="4"/>
  <c r="AX171" i="4"/>
  <c r="AX177" i="4"/>
  <c r="AX183" i="4"/>
  <c r="AX194" i="4"/>
  <c r="AX200" i="4"/>
  <c r="AX211" i="4"/>
  <c r="AX217" i="4"/>
  <c r="BD84" i="4"/>
  <c r="BD121" i="4"/>
  <c r="BD205" i="4"/>
  <c r="BD211" i="4"/>
  <c r="BJ71" i="4"/>
  <c r="BJ77" i="4"/>
  <c r="BJ99" i="4"/>
  <c r="BJ206" i="4"/>
  <c r="BJ228" i="4"/>
  <c r="AL34" i="4"/>
  <c r="AL39" i="4"/>
  <c r="AL95" i="4"/>
  <c r="AL199" i="4"/>
  <c r="AR125" i="4"/>
  <c r="AX26" i="4"/>
  <c r="AX72" i="4"/>
  <c r="AX104" i="4"/>
  <c r="AX109" i="4"/>
  <c r="AX126" i="4"/>
  <c r="AX132" i="4"/>
  <c r="AX143" i="4"/>
  <c r="AX149" i="4"/>
  <c r="BD16" i="4"/>
  <c r="BD142" i="4"/>
  <c r="BD147" i="4"/>
  <c r="BD200" i="4"/>
  <c r="BJ83" i="4"/>
  <c r="BJ94" i="4"/>
  <c r="BJ183" i="4"/>
  <c r="AF153" i="4"/>
  <c r="N100" i="4"/>
  <c r="N114" i="4"/>
  <c r="N126" i="4"/>
  <c r="N138" i="4"/>
  <c r="N150" i="4"/>
  <c r="N210" i="4"/>
  <c r="T21" i="4"/>
  <c r="T33" i="4"/>
  <c r="T45" i="4"/>
  <c r="T57" i="4"/>
  <c r="T81" i="4"/>
  <c r="T93" i="4"/>
  <c r="T105" i="4"/>
  <c r="Z30" i="4"/>
  <c r="Z42" i="4"/>
  <c r="Z54" i="4"/>
  <c r="Z66" i="4"/>
  <c r="Z78" i="4"/>
  <c r="Z152" i="4"/>
  <c r="Z164" i="4"/>
  <c r="Z176" i="4"/>
  <c r="Z188" i="4"/>
  <c r="Z212" i="4"/>
  <c r="AF8" i="4"/>
  <c r="AF20" i="4"/>
  <c r="AF44" i="4"/>
  <c r="AF56" i="4"/>
  <c r="AF80" i="4"/>
  <c r="AF92" i="4"/>
  <c r="AF104" i="4"/>
  <c r="AF142" i="4"/>
  <c r="AL30" i="4"/>
  <c r="AL56" i="4"/>
  <c r="AL61" i="4"/>
  <c r="AL66" i="4"/>
  <c r="AL76" i="4"/>
  <c r="AL112" i="4"/>
  <c r="AL122" i="4"/>
  <c r="AL133" i="4"/>
  <c r="AL156" i="4"/>
  <c r="AL195" i="4"/>
  <c r="AL211" i="4"/>
  <c r="AR19" i="4"/>
  <c r="AR35" i="4"/>
  <c r="AR50" i="4"/>
  <c r="AR94" i="4"/>
  <c r="AR100" i="4"/>
  <c r="AR110" i="4"/>
  <c r="AR121" i="4"/>
  <c r="AR132" i="4"/>
  <c r="AR148" i="4"/>
  <c r="AR159" i="4"/>
  <c r="AR175" i="4"/>
  <c r="AR186" i="4"/>
  <c r="AX17" i="4"/>
  <c r="AX37" i="4"/>
  <c r="AX42" i="4"/>
  <c r="AX62" i="4"/>
  <c r="AX68" i="4"/>
  <c r="AX84" i="4"/>
  <c r="AX100" i="4"/>
  <c r="BD45" i="4"/>
  <c r="BD50" i="4"/>
  <c r="BD112" i="4"/>
  <c r="BD132" i="4"/>
  <c r="BD180" i="4"/>
  <c r="BD191" i="4"/>
  <c r="BJ67" i="4"/>
  <c r="BJ196" i="4"/>
  <c r="BJ202" i="4"/>
  <c r="AL80" i="4"/>
  <c r="AL90" i="4"/>
  <c r="AL100" i="4"/>
  <c r="AL115" i="4"/>
  <c r="AL130" i="4"/>
  <c r="AL141" i="4"/>
  <c r="AL147" i="4"/>
  <c r="AL164" i="4"/>
  <c r="AL169" i="4"/>
  <c r="AL175" i="4"/>
  <c r="AL181" i="4"/>
  <c r="AL197" i="4"/>
  <c r="AL202" i="4"/>
  <c r="AR15" i="4"/>
  <c r="AR70" i="4"/>
  <c r="AR81" i="4"/>
  <c r="AR103" i="4"/>
  <c r="AR151" i="4"/>
  <c r="AR162" i="4"/>
  <c r="AR204" i="4"/>
  <c r="AX9" i="4"/>
  <c r="AX53" i="4"/>
  <c r="AX80" i="4"/>
  <c r="AX91" i="4"/>
  <c r="AX96" i="4"/>
  <c r="AX117" i="4"/>
  <c r="AX145" i="4"/>
  <c r="AX162" i="4"/>
  <c r="AX173" i="4"/>
  <c r="AX179" i="4"/>
  <c r="AX190" i="4"/>
  <c r="AX196" i="4"/>
  <c r="AX202" i="4"/>
  <c r="AX213" i="4"/>
  <c r="BD57" i="4"/>
  <c r="BD71" i="4"/>
  <c r="BD76" i="4"/>
  <c r="BD95" i="4"/>
  <c r="BD168" i="4"/>
  <c r="BD173" i="4"/>
  <c r="BD208" i="4"/>
  <c r="BD214" i="4"/>
  <c r="BD224" i="4"/>
  <c r="BJ12" i="4"/>
  <c r="BJ85" i="4"/>
  <c r="BJ111" i="4"/>
  <c r="BJ128" i="4"/>
  <c r="BJ133" i="4"/>
  <c r="BJ139" i="4"/>
  <c r="BJ149" i="4"/>
  <c r="BJ176" i="4"/>
  <c r="BJ209" i="4"/>
  <c r="AX75" i="4"/>
  <c r="AX86" i="4"/>
  <c r="AX112" i="4"/>
  <c r="AX123" i="4"/>
  <c r="AX140" i="4"/>
  <c r="AX157" i="4"/>
  <c r="AX168" i="4"/>
  <c r="AX208" i="4"/>
  <c r="BD8" i="4"/>
  <c r="BD28" i="4"/>
  <c r="BD43" i="4"/>
  <c r="BD48" i="4"/>
  <c r="BD86" i="4"/>
  <c r="BD100" i="4"/>
  <c r="BD105" i="4"/>
  <c r="BD124" i="4"/>
  <c r="BD144" i="4"/>
  <c r="BD149" i="4"/>
  <c r="BD183" i="4"/>
  <c r="BD203" i="4"/>
  <c r="BJ28" i="4"/>
  <c r="BJ69" i="4"/>
  <c r="BJ80" i="4"/>
  <c r="BJ117" i="4"/>
  <c r="BJ187" i="4"/>
  <c r="AL82" i="4"/>
  <c r="AL137" i="4"/>
  <c r="AL143" i="4"/>
  <c r="AL149" i="4"/>
  <c r="AL160" i="4"/>
  <c r="AL166" i="4"/>
  <c r="AL171" i="4"/>
  <c r="AL177" i="4"/>
  <c r="AL183" i="4"/>
  <c r="AL193" i="4"/>
  <c r="AL204" i="4"/>
  <c r="AL209" i="4"/>
  <c r="AL214" i="4"/>
  <c r="AR41" i="4"/>
  <c r="AR67" i="4"/>
  <c r="AR72" i="4"/>
  <c r="AR83" i="4"/>
  <c r="AR126" i="4"/>
  <c r="AR147" i="4"/>
  <c r="AR158" i="4"/>
  <c r="AR164" i="4"/>
  <c r="AR174" i="4"/>
  <c r="AR185" i="4"/>
  <c r="AR195" i="4"/>
  <c r="AR206" i="4"/>
  <c r="AX11" i="4"/>
  <c r="AX21" i="4"/>
  <c r="AX40" i="4"/>
  <c r="AX50" i="4"/>
  <c r="AX71" i="4"/>
  <c r="AX98" i="4"/>
  <c r="AX119" i="4"/>
  <c r="AX130" i="4"/>
  <c r="AX147" i="4"/>
  <c r="AX164" i="4"/>
  <c r="AX175" i="4"/>
  <c r="AX181" i="4"/>
  <c r="AX192" i="4"/>
  <c r="AX198" i="4"/>
  <c r="AX204" i="4"/>
  <c r="AX215" i="4"/>
  <c r="BD14" i="4"/>
  <c r="BD39" i="4"/>
  <c r="BD68" i="4"/>
  <c r="BD73" i="4"/>
  <c r="BD130" i="4"/>
  <c r="BD140" i="4"/>
  <c r="BD210" i="4"/>
  <c r="BD216" i="4"/>
  <c r="BJ50" i="4"/>
  <c r="BJ65" i="4"/>
  <c r="BJ92" i="4"/>
  <c r="BJ102" i="4"/>
  <c r="BJ113" i="4"/>
  <c r="BJ124" i="4"/>
  <c r="BJ135" i="4"/>
  <c r="BJ151" i="4"/>
  <c r="BJ167" i="4"/>
  <c r="BJ194" i="4"/>
  <c r="BJ205" i="4"/>
  <c r="BJ211" i="4"/>
  <c r="BJ216" i="4"/>
  <c r="N191" i="4"/>
  <c r="T67" i="4"/>
  <c r="T79" i="4"/>
  <c r="T119" i="4"/>
  <c r="N179" i="4"/>
  <c r="N83" i="4"/>
  <c r="T177" i="4"/>
  <c r="T43" i="4"/>
  <c r="T143" i="4"/>
  <c r="T189" i="4"/>
  <c r="T201" i="4"/>
  <c r="T103" i="4"/>
  <c r="N59" i="4"/>
  <c r="Z83" i="4"/>
  <c r="Z194" i="4"/>
  <c r="T178" i="4"/>
  <c r="T179" i="4"/>
  <c r="AF195" i="4"/>
  <c r="N71" i="4"/>
  <c r="N91" i="4"/>
  <c r="AF174" i="4"/>
  <c r="AF186" i="4"/>
  <c r="T153" i="4"/>
  <c r="N111" i="4"/>
  <c r="T154" i="4"/>
  <c r="N195" i="4"/>
  <c r="T190" i="4"/>
  <c r="N123" i="4"/>
  <c r="N207" i="4"/>
  <c r="T191" i="4"/>
  <c r="AF151" i="4"/>
  <c r="N167" i="4"/>
  <c r="Z158" i="4"/>
  <c r="AF79" i="4"/>
  <c r="AF175" i="4"/>
  <c r="AF187" i="4"/>
  <c r="H127" i="4"/>
  <c r="H151" i="4"/>
  <c r="H175" i="4"/>
  <c r="H199" i="4"/>
  <c r="T151" i="4"/>
  <c r="T207" i="4"/>
  <c r="Z67" i="4"/>
  <c r="Z167" i="4"/>
  <c r="AF166" i="4"/>
  <c r="N183" i="4"/>
  <c r="T130" i="4"/>
  <c r="T141" i="4"/>
  <c r="T187" i="4"/>
  <c r="Z59" i="4"/>
  <c r="Z95" i="4"/>
  <c r="Z127" i="4"/>
  <c r="AF167" i="4"/>
  <c r="AF211" i="4"/>
  <c r="N203" i="4"/>
  <c r="T131" i="4"/>
  <c r="T142" i="4"/>
  <c r="T198" i="4"/>
  <c r="AJ5" i="4"/>
  <c r="AL7" i="4"/>
  <c r="AP5" i="4"/>
  <c r="AF63" i="4"/>
  <c r="H63" i="4"/>
  <c r="T87" i="4"/>
  <c r="T158" i="4"/>
  <c r="H135" i="4"/>
  <c r="N175" i="4"/>
  <c r="Z166" i="4"/>
  <c r="N51" i="4"/>
  <c r="N151" i="4"/>
  <c r="T71" i="4"/>
  <c r="X5" i="4"/>
  <c r="Z7" i="4"/>
  <c r="T95" i="4"/>
  <c r="T149" i="4"/>
  <c r="BH5" i="4"/>
  <c r="N103" i="4"/>
  <c r="T150" i="4"/>
  <c r="T171" i="4"/>
  <c r="T181" i="4"/>
  <c r="Z63" i="4"/>
  <c r="Z150" i="4"/>
  <c r="H183" i="4"/>
  <c r="T157" i="4"/>
  <c r="T169" i="4"/>
  <c r="N131" i="4"/>
  <c r="T123" i="4"/>
  <c r="T161" i="4"/>
  <c r="T182" i="4"/>
  <c r="Z87" i="4"/>
  <c r="Z151" i="4"/>
  <c r="AF135" i="4"/>
  <c r="AF143" i="4"/>
  <c r="AF182" i="4"/>
  <c r="AF203" i="4"/>
  <c r="H111" i="4"/>
  <c r="H159" i="4"/>
  <c r="H207" i="4"/>
  <c r="N99" i="4"/>
  <c r="AF111" i="4"/>
  <c r="N127" i="4"/>
  <c r="Z214" i="4"/>
  <c r="H87" i="4"/>
  <c r="BB5" i="4"/>
  <c r="T170" i="4"/>
  <c r="AF159" i="4"/>
  <c r="AD5" i="4"/>
  <c r="H119" i="4"/>
  <c r="H143" i="4"/>
  <c r="H167" i="4"/>
  <c r="H191" i="4"/>
  <c r="N55" i="4"/>
  <c r="N63" i="4"/>
  <c r="N79" i="4"/>
  <c r="N155" i="4"/>
  <c r="N49" i="4"/>
  <c r="T162" i="4"/>
  <c r="Z210" i="4"/>
  <c r="AF95" i="4"/>
  <c r="AF183" i="4"/>
  <c r="Z115" i="4"/>
  <c r="Z187" i="4"/>
  <c r="AF178" i="4"/>
  <c r="N87" i="4"/>
  <c r="N119" i="4"/>
  <c r="N211" i="4"/>
  <c r="T75" i="4"/>
  <c r="T134" i="4"/>
  <c r="T163" i="4"/>
  <c r="T173" i="4"/>
  <c r="T183" i="4"/>
  <c r="T202" i="4"/>
  <c r="Z91" i="4"/>
  <c r="Z179" i="4"/>
  <c r="Z206" i="4"/>
  <c r="L5" i="4"/>
  <c r="N135" i="4"/>
  <c r="T55" i="4"/>
  <c r="T83" i="4"/>
  <c r="T165" i="4"/>
  <c r="T175" i="4"/>
  <c r="T194" i="4"/>
  <c r="T214" i="4"/>
  <c r="Z71" i="4"/>
  <c r="Z163" i="4"/>
  <c r="Z190" i="4"/>
  <c r="Z198" i="4"/>
  <c r="AF59" i="4"/>
  <c r="AF67" i="4"/>
  <c r="AF123" i="4"/>
  <c r="AF131" i="4"/>
  <c r="AF163" i="4"/>
  <c r="AF190" i="4"/>
  <c r="H55" i="4"/>
  <c r="H79" i="4"/>
  <c r="H103" i="4"/>
  <c r="N43" i="4"/>
  <c r="N67" i="4"/>
  <c r="N163" i="4"/>
  <c r="N199" i="4"/>
  <c r="T91" i="4"/>
  <c r="T146" i="4"/>
  <c r="T166" i="4"/>
  <c r="T185" i="4"/>
  <c r="T195" i="4"/>
  <c r="T54" i="4"/>
  <c r="Z139" i="4"/>
  <c r="Z155" i="4"/>
  <c r="AF83" i="4"/>
  <c r="AF191" i="4"/>
  <c r="R5" i="4"/>
  <c r="AV5" i="4"/>
  <c r="F5" i="4"/>
  <c r="N75" i="4"/>
  <c r="N143" i="4"/>
  <c r="N171" i="4"/>
  <c r="T99" i="4"/>
  <c r="T115" i="4"/>
  <c r="T137" i="4"/>
  <c r="T147" i="4"/>
  <c r="T167" i="4"/>
  <c r="T186" i="4"/>
  <c r="T205" i="4"/>
  <c r="Z79" i="4"/>
  <c r="Z147" i="4"/>
  <c r="Z182" i="4"/>
  <c r="AF91" i="4"/>
  <c r="AF99" i="4"/>
  <c r="AF139" i="4"/>
  <c r="AF170" i="4"/>
  <c r="AF179" i="4"/>
  <c r="AF206" i="4"/>
  <c r="N95" i="4"/>
  <c r="N139" i="4"/>
  <c r="N187" i="4"/>
  <c r="T63" i="4"/>
  <c r="T145" i="4"/>
  <c r="T155" i="4"/>
  <c r="T174" i="4"/>
  <c r="T213" i="4"/>
  <c r="Z135" i="4"/>
  <c r="Z191" i="4"/>
  <c r="Z199" i="4"/>
  <c r="AF87" i="4"/>
  <c r="AF155" i="4"/>
  <c r="AF171" i="4"/>
  <c r="AF198" i="4"/>
  <c r="AF207" i="4"/>
  <c r="T193" i="4"/>
  <c r="T203" i="4"/>
  <c r="Z75" i="4"/>
  <c r="Z103" i="4"/>
  <c r="Z119" i="4"/>
  <c r="Z154" i="4"/>
  <c r="Z162" i="4"/>
  <c r="Z170" i="4"/>
  <c r="Z178" i="4"/>
  <c r="Z186" i="4"/>
  <c r="AF75" i="4"/>
  <c r="AF103" i="4"/>
  <c r="AF119" i="4"/>
  <c r="AF147" i="4"/>
  <c r="AF202" i="4"/>
  <c r="AF210" i="4"/>
  <c r="N107" i="4"/>
  <c r="N31" i="4"/>
  <c r="AF43" i="4"/>
  <c r="Z19" i="4"/>
  <c r="Z43" i="4"/>
  <c r="N11" i="4"/>
  <c r="N23" i="4"/>
  <c r="N47" i="4"/>
  <c r="T23" i="4"/>
  <c r="T35" i="4"/>
  <c r="H23" i="4"/>
  <c r="T11" i="4"/>
  <c r="AL189" i="4"/>
  <c r="AL201" i="4"/>
  <c r="AR215" i="4"/>
  <c r="AF51" i="4"/>
  <c r="BJ189" i="4"/>
  <c r="H47" i="4"/>
  <c r="Z27" i="4"/>
  <c r="N39" i="4"/>
  <c r="BJ181" i="4"/>
  <c r="AF19" i="4"/>
  <c r="Z55" i="4"/>
  <c r="AF23" i="4"/>
  <c r="AF31" i="4"/>
  <c r="AR49" i="4"/>
  <c r="AR53" i="4"/>
  <c r="AR57" i="4"/>
  <c r="AR97" i="4"/>
  <c r="Z47" i="4"/>
  <c r="Z39" i="4"/>
  <c r="T15" i="4"/>
  <c r="Q5" i="4"/>
  <c r="T7" i="4"/>
  <c r="AO5" i="4"/>
  <c r="BG5" i="4"/>
  <c r="AF15" i="4"/>
  <c r="BJ201" i="4"/>
  <c r="W5" i="4"/>
  <c r="AR7" i="4"/>
  <c r="N27" i="4"/>
  <c r="AN5" i="4"/>
  <c r="AX188" i="4"/>
  <c r="AC5" i="4"/>
  <c r="N19" i="4"/>
  <c r="T107" i="4"/>
  <c r="Z35" i="4"/>
  <c r="AF11" i="4"/>
  <c r="AF107" i="4"/>
  <c r="AI5" i="4"/>
  <c r="AU5" i="4"/>
  <c r="H15" i="4"/>
  <c r="H39" i="4"/>
  <c r="T31" i="4"/>
  <c r="Z15" i="4"/>
  <c r="AF39" i="4"/>
  <c r="AR51" i="4"/>
  <c r="AR55" i="4"/>
  <c r="AR107" i="4"/>
  <c r="T39" i="4"/>
  <c r="Z23" i="4"/>
  <c r="AF47" i="4"/>
  <c r="BJ221" i="4"/>
  <c r="BJ229" i="4"/>
  <c r="E5" i="4"/>
  <c r="N35" i="4"/>
  <c r="T19" i="4"/>
  <c r="Z51" i="4"/>
  <c r="AF27" i="4"/>
  <c r="AR189" i="4"/>
  <c r="AR201" i="4"/>
  <c r="AR217" i="4"/>
  <c r="K5" i="4"/>
  <c r="BA5" i="4"/>
  <c r="H31" i="4"/>
  <c r="N15" i="4"/>
  <c r="T47" i="4"/>
  <c r="Z31" i="4"/>
  <c r="AF55" i="4"/>
  <c r="T27" i="4"/>
  <c r="Z11" i="4"/>
  <c r="Z107" i="4"/>
  <c r="AF35" i="4"/>
  <c r="AR218" i="4"/>
  <c r="BJ30" i="4"/>
  <c r="BJ54" i="4"/>
  <c r="BJ14" i="4"/>
  <c r="BJ38" i="4"/>
  <c r="BJ22" i="4"/>
  <c r="BJ46" i="4"/>
  <c r="BJ186" i="4"/>
  <c r="BJ200" i="4"/>
  <c r="BJ219" i="4"/>
  <c r="BJ227" i="4"/>
  <c r="BJ138" i="4"/>
  <c r="BJ154" i="4"/>
  <c r="BJ170" i="4"/>
  <c r="BJ184" i="4"/>
  <c r="BJ8" i="4"/>
  <c r="BJ24" i="4"/>
  <c r="BJ40" i="4"/>
  <c r="BJ56" i="4"/>
  <c r="BJ72" i="4"/>
  <c r="BJ88" i="4"/>
  <c r="BJ104" i="4"/>
  <c r="BJ120" i="4"/>
  <c r="BJ136" i="4"/>
  <c r="BJ152" i="4"/>
  <c r="BJ168" i="4"/>
  <c r="BJ210" i="4"/>
  <c r="BJ217" i="4"/>
  <c r="BJ225" i="4"/>
  <c r="BJ208" i="4"/>
  <c r="BJ192" i="4"/>
  <c r="BJ215" i="4"/>
  <c r="BJ223" i="4"/>
  <c r="AR216" i="4"/>
  <c r="K5" i="2"/>
  <c r="L5" i="2"/>
  <c r="AP9" i="1"/>
  <c r="AO9" i="1"/>
  <c r="AN9" i="1"/>
  <c r="AL9" i="1"/>
  <c r="AM9" i="1"/>
  <c r="AE9" i="1"/>
  <c r="AF4" i="4" l="1"/>
  <c r="N4" i="4"/>
  <c r="AL4" i="4"/>
  <c r="BD4" i="4"/>
  <c r="T4" i="4"/>
  <c r="H4" i="4"/>
  <c r="Z4" i="4"/>
  <c r="AX4" i="4"/>
  <c r="AR4" i="4"/>
  <c r="BJ4" i="4"/>
  <c r="T5" i="4"/>
  <c r="AL5" i="4"/>
  <c r="N5" i="4"/>
  <c r="Z5" i="4"/>
  <c r="BJ5" i="4"/>
  <c r="AF5" i="4"/>
  <c r="AX5" i="4"/>
  <c r="H5" i="4"/>
  <c r="BD5" i="4"/>
  <c r="AR5" i="4"/>
  <c r="J5" i="2"/>
  <c r="AD9" i="1"/>
  <c r="AK9" i="1"/>
  <c r="AJ9" i="1"/>
  <c r="AI9" i="1"/>
  <c r="AH9" i="1"/>
  <c r="AG9" i="1"/>
  <c r="AF9" i="1"/>
  <c r="C5" i="2"/>
  <c r="AC9" i="1"/>
  <c r="I5" i="2"/>
  <c r="AB9" i="1" l="1"/>
  <c r="AA9" i="1"/>
  <c r="W9" i="1"/>
  <c r="Z9" i="1"/>
  <c r="Y9" i="1"/>
  <c r="X9" i="1"/>
  <c r="V9" i="1"/>
  <c r="H5" i="2"/>
  <c r="G5" i="2"/>
  <c r="F5" i="2"/>
  <c r="E5" i="2"/>
  <c r="D5" i="2"/>
  <c r="O9" i="1"/>
  <c r="U9" i="1"/>
  <c r="T9" i="1"/>
  <c r="S9" i="1"/>
  <c r="R9" i="1"/>
  <c r="Q9" i="1"/>
  <c r="P9" i="1"/>
  <c r="N9" i="1"/>
  <c r="M9" i="1"/>
  <c r="L9" i="1"/>
  <c r="K9" i="1"/>
  <c r="J9" i="1"/>
  <c r="H9" i="1"/>
  <c r="G9" i="1"/>
  <c r="F9" i="1"/>
  <c r="E9" i="1"/>
  <c r="D9" i="1"/>
</calcChain>
</file>

<file path=xl/sharedStrings.xml><?xml version="1.0" encoding="utf-8"?>
<sst xmlns="http://schemas.openxmlformats.org/spreadsheetml/2006/main" count="1488" uniqueCount="394">
  <si>
    <t>Se realiza sobre las entidades Integradas</t>
  </si>
  <si>
    <t>Entidades con % &gt; 0 / Cantidad total de entidades integradas</t>
  </si>
  <si>
    <r>
      <rPr>
        <b/>
        <sz val="11"/>
        <color rgb="FF000000"/>
        <rFont val="Century Gothic"/>
        <family val="2"/>
      </rPr>
      <t>COMPLETITUD</t>
    </r>
    <r>
      <rPr>
        <sz val="11"/>
        <color rgb="FF000000"/>
        <rFont val="Century Gothic"/>
        <family val="2"/>
      </rPr>
      <t>: Mide el grado en que todos los atributos de la entidad se encuentran diligenciados</t>
    </r>
  </si>
  <si>
    <r>
      <rPr>
        <b/>
        <sz val="11"/>
        <color theme="1"/>
        <rFont val="Century Gothic"/>
        <family val="2"/>
      </rPr>
      <t>Completitud</t>
    </r>
    <r>
      <rPr>
        <sz val="11"/>
        <color theme="1"/>
        <rFont val="Century Gothic"/>
        <family val="2"/>
      </rPr>
      <t xml:space="preserve"> = (número de registros completos/númerto total de registros)*100</t>
    </r>
  </si>
  <si>
    <r>
      <rPr>
        <b/>
        <sz val="11"/>
        <color theme="1"/>
        <rFont val="Century Gothic"/>
        <family val="2"/>
      </rPr>
      <t>Compeltitud por registro</t>
    </r>
    <r>
      <rPr>
        <sz val="11"/>
        <color theme="1"/>
        <rFont val="Century Gothic"/>
        <family val="2"/>
      </rPr>
      <t xml:space="preserve"> = (número de atributos completos / número total de atributor) * 100</t>
    </r>
  </si>
  <si>
    <r>
      <rPr>
        <b/>
        <sz val="11"/>
        <color theme="1"/>
        <rFont val="Century Gothic"/>
        <family val="2"/>
      </rPr>
      <t>OPORTUNIDAD</t>
    </r>
    <r>
      <rPr>
        <sz val="11"/>
        <color theme="1"/>
        <rFont val="Century Gothic"/>
        <family val="2"/>
      </rPr>
      <t>:  Mide si los datos se encuentran disponibles en el momento que se necesitan</t>
    </r>
  </si>
  <si>
    <r>
      <rPr>
        <b/>
        <sz val="11"/>
        <color theme="1"/>
        <rFont val="Century Gothic"/>
        <family val="2"/>
      </rPr>
      <t>% datos disponibles</t>
    </r>
    <r>
      <rPr>
        <sz val="11"/>
        <color theme="1"/>
        <rFont val="Century Gothic"/>
        <family val="2"/>
      </rPr>
      <t xml:space="preserve"> = porcentaje de datos que se pueden acceder en un tiempo definido</t>
    </r>
  </si>
  <si>
    <r>
      <rPr>
        <b/>
        <sz val="11"/>
        <color theme="1"/>
        <rFont val="Century Gothic"/>
        <family val="2"/>
      </rPr>
      <t>Tasa de cumplimiento</t>
    </r>
    <r>
      <rPr>
        <sz val="11"/>
        <color theme="1"/>
        <rFont val="Century Gothic"/>
        <family val="2"/>
      </rPr>
      <t xml:space="preserve"> = mide si el sistema de datos cumple con los tiempos de entrega</t>
    </r>
  </si>
  <si>
    <r>
      <rPr>
        <b/>
        <sz val="11"/>
        <color theme="1"/>
        <rFont val="Century Gothic"/>
        <family val="2"/>
      </rPr>
      <t>CONSISTENCIA</t>
    </r>
    <r>
      <rPr>
        <sz val="11"/>
        <color theme="1"/>
        <rFont val="Century Gothic"/>
        <family val="2"/>
      </rPr>
      <t>: Mide la uniformidad y coherencia de los datos entre diferentes sistemas, asegurando que no haya discrepancias</t>
    </r>
  </si>
  <si>
    <r>
      <rPr>
        <b/>
        <sz val="11"/>
        <color theme="1"/>
        <rFont val="Century Gothic"/>
        <family val="2"/>
      </rPr>
      <t>% de registros consistentes</t>
    </r>
    <r>
      <rPr>
        <sz val="11"/>
        <color theme="1"/>
        <rFont val="Century Gothic"/>
        <family val="2"/>
      </rPr>
      <t xml:space="preserve"> = % de registros que cumplen con las reglas de consistencia</t>
    </r>
  </si>
  <si>
    <r>
      <rPr>
        <b/>
        <sz val="11"/>
        <color theme="1"/>
        <rFont val="Century Gothic"/>
        <family val="2"/>
      </rPr>
      <t>CONFORMIDAD</t>
    </r>
    <r>
      <rPr>
        <sz val="11"/>
        <color theme="1"/>
        <rFont val="Century Gothic"/>
        <family val="2"/>
      </rPr>
      <t>: Mide que los datos se adhieran a las políticas, regulaciones y estándares establecidos</t>
    </r>
  </si>
  <si>
    <r>
      <rPr>
        <b/>
        <sz val="11"/>
        <color theme="1"/>
        <rFont val="Century Gothic"/>
        <family val="2"/>
      </rPr>
      <t>Calidad de datos</t>
    </r>
    <r>
      <rPr>
        <sz val="11"/>
        <color theme="1"/>
        <rFont val="Century Gothic"/>
        <family val="2"/>
      </rPr>
      <t xml:space="preserve"> = % de datos que cumplen los estándares de precisión, integridad y consistencia</t>
    </r>
  </si>
  <si>
    <t>Entidades</t>
  </si>
  <si>
    <t>Completitud Ago/2024</t>
  </si>
  <si>
    <t>Oportunidad Ago/2024</t>
  </si>
  <si>
    <t>Consistencia Ago/2024</t>
  </si>
  <si>
    <t>Conformidad Ago/2024</t>
  </si>
  <si>
    <t>Completitud Sep/2024</t>
  </si>
  <si>
    <t>Oportunidad Sep/2024</t>
  </si>
  <si>
    <t>Consistencia Sep/2024</t>
  </si>
  <si>
    <t>Conformidad Sep/2024</t>
  </si>
  <si>
    <t>Completitud Oct/2024</t>
  </si>
  <si>
    <t>Oportunidad Oct/2024</t>
  </si>
  <si>
    <t>Consistencia Oct/2024</t>
  </si>
  <si>
    <t>Conformidad Oct/2024</t>
  </si>
  <si>
    <t>Completitud Nov/2024</t>
  </si>
  <si>
    <t>Oportunidad Nov/2024</t>
  </si>
  <si>
    <t>Consistencia Nov/2024</t>
  </si>
  <si>
    <t>Conformidad Nov/2024</t>
  </si>
  <si>
    <t>Completitud Dic/2024</t>
  </si>
  <si>
    <t>Oportunidad Dic/2024</t>
  </si>
  <si>
    <t>Consistencia Dic/2024</t>
  </si>
  <si>
    <t>Conformidad Dic/2024</t>
  </si>
  <si>
    <t>Completitud Ene/2025</t>
  </si>
  <si>
    <t>Oportunidad Ene/2025</t>
  </si>
  <si>
    <t>Consistencia Ene/2025</t>
  </si>
  <si>
    <t>Conformidad Ene/2025</t>
  </si>
  <si>
    <t>Completitud Feb/2025</t>
  </si>
  <si>
    <t>Oportunidad Feb/2025</t>
  </si>
  <si>
    <t>Consistencia Feb/2025</t>
  </si>
  <si>
    <t>Conformidad Feb/2025</t>
  </si>
  <si>
    <t>Completitud Mar/2025</t>
  </si>
  <si>
    <t>Oportunidad Mar/2025</t>
  </si>
  <si>
    <t>Consistencia Mar/2025</t>
  </si>
  <si>
    <t>Conformidad Mar/2025</t>
  </si>
  <si>
    <t>Completitud Abr/2025</t>
  </si>
  <si>
    <t>Oportunidad Abr/2025</t>
  </si>
  <si>
    <t>Consistencia Abr/2025</t>
  </si>
  <si>
    <t>Conformidad Abr/2025</t>
  </si>
  <si>
    <t>Completitud May/2025</t>
  </si>
  <si>
    <t>Oportunidad May/2025</t>
  </si>
  <si>
    <t>Consistencia May/2025</t>
  </si>
  <si>
    <t>Conformidad May/2025</t>
  </si>
  <si>
    <t>Completitud Dic/2025</t>
  </si>
  <si>
    <t>Oportunidad Dic/2025</t>
  </si>
  <si>
    <t>Consistencia Dic/2025</t>
  </si>
  <si>
    <t>Conformidad Dic/2025</t>
  </si>
  <si>
    <t>Oportunidades</t>
  </si>
  <si>
    <t>Línea de negocios</t>
  </si>
  <si>
    <t>Equipo de ventas</t>
  </si>
  <si>
    <t>Tipo de cliente</t>
  </si>
  <si>
    <t>Cliente</t>
  </si>
  <si>
    <t>Tipo de venta</t>
  </si>
  <si>
    <t>Tipo de oportunidad</t>
  </si>
  <si>
    <t>Etapa actual</t>
  </si>
  <si>
    <t>Ganado</t>
  </si>
  <si>
    <t>Metas</t>
  </si>
  <si>
    <t>Metas de Comercial</t>
  </si>
  <si>
    <t>Área</t>
  </si>
  <si>
    <t>Persona</t>
  </si>
  <si>
    <t>Iniciativa</t>
  </si>
  <si>
    <t>Estado de iniciativa</t>
  </si>
  <si>
    <t>Estado de Preventa</t>
  </si>
  <si>
    <t>Proyecto</t>
  </si>
  <si>
    <t>Facturación proyectada</t>
  </si>
  <si>
    <t>Facturación real</t>
  </si>
  <si>
    <t>Centro de costos</t>
  </si>
  <si>
    <t>Tipo de centro de costos</t>
  </si>
  <si>
    <t>Estado de la factura</t>
  </si>
  <si>
    <t>Descuentos a proyectos</t>
  </si>
  <si>
    <t>Motivo descuento</t>
  </si>
  <si>
    <t>Tipo de iniciativa</t>
  </si>
  <si>
    <t>Semáforo de cartera</t>
  </si>
  <si>
    <t>Metas Financiera</t>
  </si>
  <si>
    <t>Empresa</t>
  </si>
  <si>
    <t>Tipo de Cuenta Contable</t>
  </si>
  <si>
    <t>Plan de cuentas</t>
  </si>
  <si>
    <t>Naturaleza de Cuenta Contable</t>
  </si>
  <si>
    <t>Balance de Cuentas</t>
  </si>
  <si>
    <t>Semáforo alerta de proyectos</t>
  </si>
  <si>
    <t>Nivel educativo</t>
  </si>
  <si>
    <t>Tipo de contrato laboral</t>
  </si>
  <si>
    <t>Departamento-Municipio</t>
  </si>
  <si>
    <t>Persona datos laborales</t>
  </si>
  <si>
    <t>Asignación laboral</t>
  </si>
  <si>
    <t>Estado laboral</t>
  </si>
  <si>
    <t>Categoría de cliente</t>
  </si>
  <si>
    <t>Indicadores</t>
  </si>
  <si>
    <t>Usuario</t>
  </si>
  <si>
    <t>Motivo de retiro</t>
  </si>
  <si>
    <t>Cargo</t>
  </si>
  <si>
    <t>Tipo de proceso de contratación</t>
  </si>
  <si>
    <t>Fuente de reclutamiento</t>
  </si>
  <si>
    <t>Solicitudes de personal y contratación</t>
  </si>
  <si>
    <t>Analisis de Indicadores</t>
  </si>
  <si>
    <t>Tipo de capacitación</t>
  </si>
  <si>
    <t>Medición eficacia de capacitaciones</t>
  </si>
  <si>
    <t>Plan de capacitaciones</t>
  </si>
  <si>
    <t>Ordenes de compras</t>
  </si>
  <si>
    <t>Proveedores</t>
  </si>
  <si>
    <t>Requisiciones</t>
  </si>
  <si>
    <t>Contratos</t>
  </si>
  <si>
    <t>Solicitud de contratación logistica</t>
  </si>
  <si>
    <t>Registro de ahorros</t>
  </si>
  <si>
    <t>Modelo financiero</t>
  </si>
  <si>
    <t>Oferta comercial</t>
  </si>
  <si>
    <t>Acta</t>
  </si>
  <si>
    <t>Fabricante</t>
  </si>
  <si>
    <t>Proceso</t>
  </si>
  <si>
    <t>Productos</t>
  </si>
  <si>
    <t>Servicio</t>
  </si>
  <si>
    <t>Entregable</t>
  </si>
  <si>
    <t xml:space="preserve">  </t>
  </si>
  <si>
    <t>Artefacto</t>
  </si>
  <si>
    <t>Riesgos y Oportunidades</t>
  </si>
  <si>
    <t>Política</t>
  </si>
  <si>
    <t>Guía</t>
  </si>
  <si>
    <t>Requisitos Norma ISO 9001</t>
  </si>
  <si>
    <t>Salidas no conformes</t>
  </si>
  <si>
    <t>Tipo de tratamiento</t>
  </si>
  <si>
    <t>Acción correctiva</t>
  </si>
  <si>
    <t>Solicitud de acción correctiva</t>
  </si>
  <si>
    <t>Plan de tratamiento de riesgos</t>
  </si>
  <si>
    <t>Planificación de cambios</t>
  </si>
  <si>
    <t>Aliado Estratégico</t>
  </si>
  <si>
    <t>Requerimientos de servicios y productos</t>
  </si>
  <si>
    <t>Términos de referencia</t>
  </si>
  <si>
    <t>Portafolio de productos y servicios</t>
  </si>
  <si>
    <t>Viabilidad Técnica</t>
  </si>
  <si>
    <t>Oferta técnica</t>
  </si>
  <si>
    <t>Minuta</t>
  </si>
  <si>
    <t>Otrosí</t>
  </si>
  <si>
    <t>Póliza</t>
  </si>
  <si>
    <t>Ficha del proyecto</t>
  </si>
  <si>
    <t>Consulta SAGRILAFT</t>
  </si>
  <si>
    <t>Estudio de Seguridad SAGRILAF</t>
  </si>
  <si>
    <t>Prospección comercial</t>
  </si>
  <si>
    <t>Procedimiento</t>
  </si>
  <si>
    <t>Ventas</t>
  </si>
  <si>
    <t>Solicitud de recursos</t>
  </si>
  <si>
    <t>Propuesta comercial</t>
  </si>
  <si>
    <t>Cronograma</t>
  </si>
  <si>
    <t>Pedido de ventas</t>
  </si>
  <si>
    <t>Recurso</t>
  </si>
  <si>
    <t>Acuerdo técnico</t>
  </si>
  <si>
    <t>Acuerdo comercial</t>
  </si>
  <si>
    <t>Tratamiento de no conforme</t>
  </si>
  <si>
    <t>Nomenclatura</t>
  </si>
  <si>
    <t>Forecast</t>
  </si>
  <si>
    <t>Probabilidad</t>
  </si>
  <si>
    <t>Impacto</t>
  </si>
  <si>
    <t>Plan de acción</t>
  </si>
  <si>
    <t>Conocimiento de persona</t>
  </si>
  <si>
    <t>Clase de vinculación</t>
  </si>
  <si>
    <t>Tipo de documento</t>
  </si>
  <si>
    <t>País</t>
  </si>
  <si>
    <t>Normas 9001 - 2015</t>
  </si>
  <si>
    <t>Auditorías internas</t>
  </si>
  <si>
    <t>Gestión de riesgos</t>
  </si>
  <si>
    <t>Programa</t>
  </si>
  <si>
    <t>Metodología</t>
  </si>
  <si>
    <t>Acción de mejora</t>
  </si>
  <si>
    <t>Programa de seguimiento SGC</t>
  </si>
  <si>
    <t>Acciones correctivas</t>
  </si>
  <si>
    <t>Programa de auditorías</t>
  </si>
  <si>
    <t>Banco de Ideas</t>
  </si>
  <si>
    <t>Compras</t>
  </si>
  <si>
    <t>Contratación</t>
  </si>
  <si>
    <t>Evaluación de proveedores</t>
  </si>
  <si>
    <t>Presupuesto del modelo 
financiero</t>
  </si>
  <si>
    <t>Órden de contratación</t>
  </si>
  <si>
    <t>Inventario</t>
  </si>
  <si>
    <t>Evaluación de Sagrilaft</t>
  </si>
  <si>
    <t>Solicitud para anexo y Otrosí</t>
  </si>
  <si>
    <t>Solicitud para Acuerdo Marco</t>
  </si>
  <si>
    <t>Recibido a conformidad proveedores</t>
  </si>
  <si>
    <t>Sagrilaft persona</t>
  </si>
  <si>
    <t>Movimiento de inventario</t>
  </si>
  <si>
    <t>Activos fijos</t>
  </si>
  <si>
    <t>Nivel Criticidad Proveedores Sagrilaft</t>
  </si>
  <si>
    <t xml:space="preserve">Constitución del proyecto </t>
  </si>
  <si>
    <t>Plan de trabajo</t>
  </si>
  <si>
    <t>Evaluación de proyectos</t>
  </si>
  <si>
    <t>Solicitud de bienes y servicios</t>
  </si>
  <si>
    <t>Criterios de aceptación_x000D_</t>
  </si>
  <si>
    <t>Aceptación de entregables_x000D_</t>
  </si>
  <si>
    <t>Solicitud de facturación</t>
  </si>
  <si>
    <t>Solicitud liberación de recursos</t>
  </si>
  <si>
    <t>Lecciones aprendidas</t>
  </si>
  <si>
    <t>Instructivo</t>
  </si>
  <si>
    <t>Plan de Comunicaciones</t>
  </si>
  <si>
    <t>Interesados, Necesidades y Expectativas</t>
  </si>
  <si>
    <t>Asistencia</t>
  </si>
  <si>
    <t>Entes de Control</t>
  </si>
  <si>
    <t>Entidades Financieras</t>
  </si>
  <si>
    <t>Planes Estratégicos</t>
  </si>
  <si>
    <t>Presupuesto</t>
  </si>
  <si>
    <t>Flujo de caja</t>
  </si>
  <si>
    <t>Cuentas de cobro</t>
  </si>
  <si>
    <t>Cajas de Compensación</t>
  </si>
  <si>
    <t>EPS</t>
  </si>
  <si>
    <t>Fondo de Pensiones</t>
  </si>
  <si>
    <t>ARL</t>
  </si>
  <si>
    <t>Estados Financieros</t>
  </si>
  <si>
    <t>Manual</t>
  </si>
  <si>
    <t>Arqueo Caja Menor</t>
  </si>
  <si>
    <t>Legalización Caja Menor</t>
  </si>
  <si>
    <t>Nomina</t>
  </si>
  <si>
    <t>Liquidación de Contrato</t>
  </si>
  <si>
    <t>Legalización de Anticipo</t>
  </si>
  <si>
    <t>Solicitud de elaboración de minuta</t>
  </si>
  <si>
    <t>Certificación de la Ejecución-Cliente</t>
  </si>
  <si>
    <t>Acuerdo de Confidencialidad</t>
  </si>
  <si>
    <t xml:space="preserve">Autorización de Tratamiento de Datos Personales </t>
  </si>
  <si>
    <t>Anexos Técnicos</t>
  </si>
  <si>
    <t>Certificación laboral</t>
  </si>
  <si>
    <t>Certificación de contratista</t>
  </si>
  <si>
    <t>Plan de desarrollo</t>
  </si>
  <si>
    <t>Sistema de Gestión de Calidad</t>
  </si>
  <si>
    <t>Maestro de Documentos</t>
  </si>
  <si>
    <t>Mapa de Proceso</t>
  </si>
  <si>
    <t>Solicitud</t>
  </si>
  <si>
    <t>Incidentes</t>
  </si>
  <si>
    <t>Ticket de soporte</t>
  </si>
  <si>
    <t>Transferencia de la custodia de equipos</t>
  </si>
  <si>
    <t>Solicitud Creación Usuario</t>
  </si>
  <si>
    <t>Activos Tecnológicos</t>
  </si>
  <si>
    <t>Normatividad vigente (CST, Regulación Sena, entre otros)</t>
  </si>
  <si>
    <t xml:space="preserve">Evaluación Periodo de Prueba </t>
  </si>
  <si>
    <t>Reclutamiento de personal</t>
  </si>
  <si>
    <t>Requerimiento de reclutamiento</t>
  </si>
  <si>
    <t>Desvinculación de personal</t>
  </si>
  <si>
    <t xml:space="preserve">Entrega de dotación </t>
  </si>
  <si>
    <t>Novedades de personal</t>
  </si>
  <si>
    <t>Evaluación de desempeño</t>
  </si>
  <si>
    <t>Comité de convivencia</t>
  </si>
  <si>
    <t>Casos disciplinarios</t>
  </si>
  <si>
    <t>Exámenes médicos</t>
  </si>
  <si>
    <t>Medición del clima organizacional</t>
  </si>
  <si>
    <t>Plan de bienestar</t>
  </si>
  <si>
    <t>Código Laboral</t>
  </si>
  <si>
    <t>Reglamento Interno</t>
  </si>
  <si>
    <t>Requerimiento de contratación</t>
  </si>
  <si>
    <t>Nivel de Criticidad Talento Humano</t>
  </si>
  <si>
    <t>Check List documentos de Ingreso</t>
  </si>
  <si>
    <t>Evaluación de Inducción y Reinducción</t>
  </si>
  <si>
    <t>Aceptación de Renuncia</t>
  </si>
  <si>
    <t>Solicitud de vacaciones</t>
  </si>
  <si>
    <t>Solicitud de licencia</t>
  </si>
  <si>
    <t>Solicitud de permiso</t>
  </si>
  <si>
    <t>Accionista</t>
  </si>
  <si>
    <t>Contratista</t>
  </si>
  <si>
    <t>Nivel de criticidad accionistas</t>
  </si>
  <si>
    <t>Listas restrictivas</t>
  </si>
  <si>
    <t>Notificación</t>
  </si>
  <si>
    <t>Hallazgos</t>
  </si>
  <si>
    <t>Tipo de retiro</t>
  </si>
  <si>
    <t>Tipo de movimiento laboral</t>
  </si>
  <si>
    <t>Tipo de fuero</t>
  </si>
  <si>
    <t>Generación por año de nacimiento</t>
  </si>
  <si>
    <t>Identificación del proceso</t>
  </si>
  <si>
    <t>Modalidad de contratación</t>
  </si>
  <si>
    <t>Sector</t>
  </si>
  <si>
    <t>Subsector</t>
  </si>
  <si>
    <t>Orden de servicio</t>
  </si>
  <si>
    <t>Orden de trabajo</t>
  </si>
  <si>
    <t>Categoría servicios TI</t>
  </si>
  <si>
    <t>Servicios TI</t>
  </si>
  <si>
    <t>Control de acceso</t>
  </si>
  <si>
    <t>Evento</t>
  </si>
  <si>
    <t>Canales digitales</t>
  </si>
  <si>
    <t>Medio de solicitud a doit</t>
  </si>
  <si>
    <t>Prioridad del Ticket</t>
  </si>
  <si>
    <t>Naturaleza del caso</t>
  </si>
  <si>
    <t>Estados de los tickets TI</t>
  </si>
  <si>
    <t>Estado orden de servicio</t>
  </si>
  <si>
    <t>Canal de recepción</t>
  </si>
  <si>
    <t>Canal de comunicación</t>
  </si>
  <si>
    <t>Tipo de entregable</t>
  </si>
  <si>
    <t>Segmentación Proyectos</t>
  </si>
  <si>
    <t>Rubros del Modelo Financiero</t>
  </si>
  <si>
    <t>Subrubros del Modelo Financiero</t>
  </si>
  <si>
    <t>Rubros del Presupuesto General</t>
  </si>
  <si>
    <t>Subrubros del Presupuesto General</t>
  </si>
  <si>
    <t>Categorías del Presupuesto General</t>
  </si>
  <si>
    <t>Área Financiera</t>
  </si>
  <si>
    <t>Se realiza sobre las entidades identificadas en los procesos</t>
  </si>
  <si>
    <t>Uso y acceso Ago/2024</t>
  </si>
  <si>
    <t>Uso y acceso Sep/2024</t>
  </si>
  <si>
    <t>Uso y acceso Oct/2024</t>
  </si>
  <si>
    <t>Uso y acceso Nov/2024</t>
  </si>
  <si>
    <t>Uso y acceso Dic/2024</t>
  </si>
  <si>
    <t>Uso y acceso Ene/2025</t>
  </si>
  <si>
    <t>Uso y acceso Feb/2025</t>
  </si>
  <si>
    <t>Uso y acceso Mar/2025</t>
  </si>
  <si>
    <t>Uso y acceso Abr/2025</t>
  </si>
  <si>
    <t>Uso y acceso May/2025</t>
  </si>
  <si>
    <t>Uso y acceso Dic/2025</t>
  </si>
  <si>
    <t>Integración Ago/2024</t>
  </si>
  <si>
    <t>Integración Sep/2024</t>
  </si>
  <si>
    <t>Integración Oct/2024</t>
  </si>
  <si>
    <t>Integración Nov/2024</t>
  </si>
  <si>
    <t>Integración Dic/2024</t>
  </si>
  <si>
    <t>Integración Ene/2025</t>
  </si>
  <si>
    <t>Integración Feb/2025</t>
  </si>
  <si>
    <t>Integración Mar/2025</t>
  </si>
  <si>
    <t>Integración Abr/2025</t>
  </si>
  <si>
    <t>Integración May/2025</t>
  </si>
  <si>
    <t>Integración Dic/2025</t>
  </si>
  <si>
    <t>Se realiza sobre las entidades identificadas en los procesos. Esta definido por los indicadores Calidad de datos, Uso-Acceso Datos, Integración-Flujo de datos; adicional a estos Creación y captura, Almacenamiento y registro</t>
  </si>
  <si>
    <t>Creación y captura Ago/2024</t>
  </si>
  <si>
    <t>Almacenamiento y registro Ago/2024</t>
  </si>
  <si>
    <t>Calidad de datos Ago/2024</t>
  </si>
  <si>
    <t>Compartición e Interoperabilidad Ago/2024</t>
  </si>
  <si>
    <t>Gestión ciclo de Vida Ago/2024</t>
  </si>
  <si>
    <t>Creación y captura Sep/2024</t>
  </si>
  <si>
    <t>Almacenamiento y registro Sep/2024</t>
  </si>
  <si>
    <t>Calidad de datos Sep/2024</t>
  </si>
  <si>
    <t>Compartición e Interoperabilidad Sep/2024</t>
  </si>
  <si>
    <t>Gestión ciclo de Vida Sep/2024</t>
  </si>
  <si>
    <t>Creación y captura Oct/2024</t>
  </si>
  <si>
    <t>Almacenamiento y registro Oct/2024</t>
  </si>
  <si>
    <t>Calidad de datos Oct/2024</t>
  </si>
  <si>
    <t>Compartición e Interoperabilidad Oct/2024</t>
  </si>
  <si>
    <t>Gestión ciclo de Vida Oct/2024</t>
  </si>
  <si>
    <t>Creación y captura Nov/2024</t>
  </si>
  <si>
    <t>Almacenamiento y registro Nov/2024</t>
  </si>
  <si>
    <t>Calidad de datos Nov/2024</t>
  </si>
  <si>
    <t>Compartición e Interoperabilidad Nov/2024</t>
  </si>
  <si>
    <t>Gestión ciclo de Vida Nov/2024</t>
  </si>
  <si>
    <t>Creación y captura Dic/2024</t>
  </si>
  <si>
    <t>Almacenamiento y registro Dic/2024</t>
  </si>
  <si>
    <t>Calidad de datos Dic/2024</t>
  </si>
  <si>
    <t>Compartición e Interoperabilidad Dic/2024</t>
  </si>
  <si>
    <t>Gestión ciclo de Vida Dic/2024</t>
  </si>
  <si>
    <t>Creación y captura Ene/2025</t>
  </si>
  <si>
    <t>Almacenamiento y registro Ene/2025</t>
  </si>
  <si>
    <t>Calidad de datos Ene/2025</t>
  </si>
  <si>
    <t>Compartición e Interoperabilidad Ene/2025</t>
  </si>
  <si>
    <t>Gestión ciclo de Vida Ene/2025</t>
  </si>
  <si>
    <t>Creación y captura Feb/2025</t>
  </si>
  <si>
    <t>Almacenamiento y registro Feb/2025</t>
  </si>
  <si>
    <t>Calidad de datos Feb/2025</t>
  </si>
  <si>
    <t>Compartición e Interoperabilidad Feb/2025</t>
  </si>
  <si>
    <t>Gestión ciclo de Vida Feb/2025</t>
  </si>
  <si>
    <t>Creación y captura Mar/2025</t>
  </si>
  <si>
    <t>Almacenamiento y registro Mar/2025</t>
  </si>
  <si>
    <t>Calidad de datos Mar/2025</t>
  </si>
  <si>
    <t>Compartición e Interoperabilidad Mar/2025</t>
  </si>
  <si>
    <t>Gestión ciclo de Vida Mar/2025</t>
  </si>
  <si>
    <t>Creación y captura Abr/2025</t>
  </si>
  <si>
    <t>Almacenamiento y registro Abr/2025</t>
  </si>
  <si>
    <t>Calidad de datos Abr/2025</t>
  </si>
  <si>
    <t>Compartición e Interoperabilidad Abr/2025</t>
  </si>
  <si>
    <t>Gestión ciclo de Vida Abr/2025</t>
  </si>
  <si>
    <t>Creación y captura May/2025</t>
  </si>
  <si>
    <t>Almacenamiento y registro May/2025</t>
  </si>
  <si>
    <t>Calidad de datos May/2025</t>
  </si>
  <si>
    <t>Compartición e Interoperabilidad May/2025</t>
  </si>
  <si>
    <t>Gestión ciclo de Vida May/2025</t>
  </si>
  <si>
    <t>Creación y captura Dic/2025</t>
  </si>
  <si>
    <t>Almacenamiento y registro Dic/2025</t>
  </si>
  <si>
    <t>Calidad de datos Dic/2025</t>
  </si>
  <si>
    <t>Compartición e Interoperabilidad Dic/2025</t>
  </si>
  <si>
    <t>Gestión ciclo de Vida Dic/2025</t>
  </si>
  <si>
    <t>Completitud</t>
  </si>
  <si>
    <t>Oportunidad</t>
  </si>
  <si>
    <t>Consistencia</t>
  </si>
  <si>
    <t>Conformidad</t>
  </si>
  <si>
    <t>Uso y acceso</t>
  </si>
  <si>
    <t>Integración</t>
  </si>
  <si>
    <t>Creación y Captura</t>
  </si>
  <si>
    <t>Almacenamiento y Registro</t>
  </si>
  <si>
    <t>Calidad de datos</t>
  </si>
  <si>
    <t>Compartición e Interoperabilidad</t>
  </si>
  <si>
    <t>Gestión ciclo de Vida</t>
  </si>
  <si>
    <t>Calidad de Datos</t>
  </si>
  <si>
    <t>Uso-Acceso Datos</t>
  </si>
  <si>
    <t>Integracion-Flujo Datos</t>
  </si>
  <si>
    <t>Gestion Ciclo-Vida Datos</t>
  </si>
  <si>
    <t>Categoria</t>
  </si>
  <si>
    <t>Variable</t>
  </si>
  <si>
    <t>Periodo</t>
  </si>
  <si>
    <t>Cubrimiento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</si>
</sst>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theme="0" tint="-0.249977111117893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10" fontId="3" fillId="0" borderId="0" xfId="1" applyNumberFormat="1" applyFont="1" applyFill="1" applyBorder="1"/>
    <xf numFmtId="10" fontId="3" fillId="0" borderId="0" xfId="1" applyNumberFormat="1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10" fontId="3" fillId="0" borderId="0" xfId="0" applyNumberFormat="1" applyFont="1"/>
    <xf numFmtId="0" fontId="5" fillId="2" borderId="0" xfId="0" applyFont="1" applyFill="1"/>
    <xf numFmtId="10" fontId="3" fillId="3" borderId="2" xfId="1" applyNumberFormat="1" applyFont="1" applyFill="1" applyBorder="1"/>
    <xf numFmtId="10" fontId="3" fillId="0" borderId="0" xfId="1" applyNumberFormat="1" applyFont="1" applyBorder="1"/>
    <xf numFmtId="10" fontId="3" fillId="3" borderId="0" xfId="1" applyNumberFormat="1" applyFont="1" applyFill="1" applyBorder="1"/>
    <xf numFmtId="10" fontId="3" fillId="3" borderId="0" xfId="1" applyNumberFormat="1" applyFont="1" applyFill="1"/>
    <xf numFmtId="10" fontId="3" fillId="0" borderId="0" xfId="1" applyNumberFormat="1" applyFont="1"/>
    <xf numFmtId="0" fontId="5" fillId="2" borderId="1" xfId="0" applyFont="1" applyFill="1" applyBorder="1"/>
    <xf numFmtId="9" fontId="3" fillId="0" borderId="0" xfId="1" applyFont="1" applyFill="1"/>
    <xf numFmtId="9" fontId="3" fillId="0" borderId="0" xfId="1" applyFont="1" applyFill="1" applyBorder="1"/>
    <xf numFmtId="9" fontId="3" fillId="5" borderId="0" xfId="1" applyFont="1" applyFill="1" applyBorder="1"/>
    <xf numFmtId="9" fontId="3" fillId="4" borderId="0" xfId="1" applyFont="1" applyFill="1" applyBorder="1"/>
    <xf numFmtId="0" fontId="3" fillId="6" borderId="0" xfId="0" applyFont="1" applyFill="1"/>
    <xf numFmtId="0" fontId="3" fillId="7" borderId="0" xfId="0" applyFont="1" applyFill="1"/>
    <xf numFmtId="9" fontId="3" fillId="5" borderId="0" xfId="1" applyFont="1" applyFill="1"/>
    <xf numFmtId="9" fontId="3" fillId="8" borderId="0" xfId="1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0" fontId="3" fillId="0" borderId="0" xfId="1" applyNumberFormat="1" applyFont="1" applyAlignment="1">
      <alignment horizontal="left" vertical="center"/>
    </xf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1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theme="0" tint="-0.14999847407452621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73D40-88E0-4DEB-9665-221E535E3B5D}" name="Tabla1" displayName="Tabla1" ref="B10:AT248" totalsRowShown="0" headerRowDxfId="146" dataDxfId="145">
  <autoFilter ref="B10:AT248" xr:uid="{28573D40-88E0-4DEB-9665-221E535E3B5D}">
    <filterColumn colId="41">
      <filters>
        <filter val="0,00%"/>
        <filter val="35,40%"/>
        <filter val="40,00%"/>
        <filter val="52,55%"/>
        <filter val="60,00%"/>
        <filter val="70,00%"/>
        <filter val="80,00%"/>
      </filters>
    </filterColumn>
  </autoFilter>
  <tableColumns count="45">
    <tableColumn id="1" xr3:uid="{577D9B80-E7FD-4019-ABA6-0AD89FB19002}" name="Entidades" dataDxfId="144"/>
    <tableColumn id="21" xr3:uid="{E85CFD22-764A-419F-83E2-AAD30D756E6B}" name="Completitud Ago/2024" dataDxfId="143" dataCellStyle="Porcentaje"/>
    <tableColumn id="20" xr3:uid="{943C3335-9A07-4EDD-9D6E-F9797B993080}" name="Oportunidad Ago/2024" dataDxfId="142" dataCellStyle="Porcentaje"/>
    <tableColumn id="19" xr3:uid="{1FB4D3A4-3EC8-444F-BD83-7612D700A60A}" name="Consistencia Ago/2024" dataDxfId="141" dataCellStyle="Porcentaje"/>
    <tableColumn id="18" xr3:uid="{DB5FA24E-1E3E-47C0-9AEE-980D241A3BE7}" name="Conformidad Ago/2024" dataDxfId="140" dataCellStyle="Porcentaje"/>
    <tableColumn id="17" xr3:uid="{1ADAD0F3-9189-4248-A5D0-FF7DDA8DD831}" name="Completitud Sep/2024" dataDxfId="139" dataCellStyle="Porcentaje"/>
    <tableColumn id="16" xr3:uid="{81467A69-0C06-49CA-BBE0-E785C43E7B92}" name="Oportunidad Sep/2024" dataDxfId="138" dataCellStyle="Porcentaje"/>
    <tableColumn id="15" xr3:uid="{A2BF19E6-D8CA-4A67-B4EB-D0DE3CB3DF96}" name="Consistencia Sep/2024" dataDxfId="137" dataCellStyle="Porcentaje"/>
    <tableColumn id="14" xr3:uid="{9B78E9C8-9006-4AF8-AF47-01735C0055A8}" name="Conformidad Sep/2024" dataDxfId="136" dataCellStyle="Porcentaje"/>
    <tableColumn id="13" xr3:uid="{8FF1524C-6110-4C4F-B194-ED88FA951800}" name="Completitud Oct/2024" dataDxfId="135" dataCellStyle="Porcentaje"/>
    <tableColumn id="12" xr3:uid="{74FB853E-E3B0-4AEE-B5DD-22EAE7A24828}" name="Oportunidad Oct/2024" dataDxfId="134" dataCellStyle="Porcentaje"/>
    <tableColumn id="11" xr3:uid="{D6EF0E42-9ED8-42F7-85C4-D7DEE467EBDE}" name="Consistencia Oct/2024" dataDxfId="133" dataCellStyle="Porcentaje"/>
    <tableColumn id="10" xr3:uid="{FFEADE1F-567C-4160-998D-8511135CCD44}" name="Conformidad Oct/2024" dataDxfId="132" dataCellStyle="Porcentaje"/>
    <tableColumn id="9" xr3:uid="{DA1F0383-8952-4BB1-9F22-3D6848A812B9}" name="Completitud Nov/2024" dataDxfId="131" dataCellStyle="Porcentaje"/>
    <tableColumn id="8" xr3:uid="{BAF0FD91-831A-437C-97DB-28ABFE2EC16C}" name="Oportunidad Nov/2024" dataDxfId="130" dataCellStyle="Porcentaje"/>
    <tableColumn id="7" xr3:uid="{E7007714-AD0C-40E9-AAE8-578FE371ADF2}" name="Consistencia Nov/2024" dataDxfId="129" dataCellStyle="Porcentaje"/>
    <tableColumn id="6" xr3:uid="{ADA69818-BBAB-4D61-A037-5A526B11A9EA}" name="Conformidad Nov/2024" dataDxfId="128" dataCellStyle="Porcentaje"/>
    <tableColumn id="2" xr3:uid="{650E6D9B-36F0-403F-878F-525C29A067A8}" name="Completitud Dic/2024" dataDxfId="127" dataCellStyle="Porcentaje"/>
    <tableColumn id="3" xr3:uid="{2FE4D995-F493-43A7-A6FA-C2B7A0F0FD86}" name="Oportunidad Dic/2024" dataDxfId="126" dataCellStyle="Porcentaje"/>
    <tableColumn id="4" xr3:uid="{92C3E665-4E47-42B1-A436-0AAAAE6E0BAF}" name="Consistencia Dic/2024" dataDxfId="125" dataCellStyle="Porcentaje"/>
    <tableColumn id="5" xr3:uid="{40C79194-D030-42CF-AB0A-AAEDEB277D45}" name="Conformidad Dic/2024" dataDxfId="124" dataCellStyle="Porcentaje"/>
    <tableColumn id="22" xr3:uid="{C8BB069F-8B8A-40CA-97F1-43E96207B7B3}" name="Completitud Ene/2025" dataDxfId="123" dataCellStyle="Porcentaje"/>
    <tableColumn id="23" xr3:uid="{D8BB820B-25DB-40A5-8B51-EE959438D94D}" name="Oportunidad Ene/2025" dataDxfId="122" dataCellStyle="Porcentaje"/>
    <tableColumn id="24" xr3:uid="{56A2B306-3E9B-42EC-A152-8161C0E96871}" name="Consistencia Ene/2025" dataDxfId="121" dataCellStyle="Porcentaje"/>
    <tableColumn id="25" xr3:uid="{2FB98DE3-DABF-4635-B7B9-58859B444620}" name="Conformidad Ene/2025" dataDxfId="120" dataCellStyle="Porcentaje"/>
    <tableColumn id="26" xr3:uid="{4C561916-7965-4B7E-8D26-3CDE9DEBBF90}" name="Completitud Feb/2025" dataDxfId="119" dataCellStyle="Porcentaje"/>
    <tableColumn id="27" xr3:uid="{9030C807-29B2-42D2-815E-E2F33094D375}" name="Oportunidad Feb/2025" dataDxfId="118" dataCellStyle="Porcentaje"/>
    <tableColumn id="28" xr3:uid="{931BEE30-4780-449B-A287-ACC40735182D}" name="Consistencia Feb/2025" dataDxfId="117" dataCellStyle="Porcentaje"/>
    <tableColumn id="29" xr3:uid="{EE2FF6AE-2432-4DB0-BA69-60C19D2976EF}" name="Conformidad Feb/2025" dataDxfId="116" dataCellStyle="Porcentaje"/>
    <tableColumn id="30" xr3:uid="{AE5D992C-3F26-4343-83A2-1A68CC8002F1}" name="Completitud Mar/2025" dataDxfId="115" dataCellStyle="Porcentaje"/>
    <tableColumn id="31" xr3:uid="{04E5A058-E8F5-479E-9783-839E083F554B}" name="Oportunidad Mar/2025" dataDxfId="114" dataCellStyle="Porcentaje"/>
    <tableColumn id="32" xr3:uid="{04E5ABEA-CD9B-47EC-A474-0CE6CB9C3FFA}" name="Consistencia Mar/2025" dataDxfId="113" dataCellStyle="Porcentaje"/>
    <tableColumn id="33" xr3:uid="{F84AFFF1-C39E-44AF-A4A5-216EFA55EB59}" name="Conformidad Mar/2025" dataDxfId="112" dataCellStyle="Porcentaje"/>
    <tableColumn id="34" xr3:uid="{4861DA5A-769E-45A9-BA36-CDED1C3BB127}" name="Completitud Abr/2025" dataDxfId="111" dataCellStyle="Porcentaje"/>
    <tableColumn id="35" xr3:uid="{054AFB0F-E29A-424C-9DA9-DCF644DE6EEC}" name="Oportunidad Abr/2025" dataDxfId="110" dataCellStyle="Porcentaje"/>
    <tableColumn id="36" xr3:uid="{9444C6DD-C993-4CA9-A502-CA9D8E6E575B}" name="Consistencia Abr/2025" dataDxfId="109" dataCellStyle="Porcentaje"/>
    <tableColumn id="37" xr3:uid="{B085B08A-20A6-4838-BFE3-3F2CA4E3F869}" name="Conformidad Abr/2025" dataDxfId="108" dataCellStyle="Porcentaje"/>
    <tableColumn id="38" xr3:uid="{5A6B6C80-B1C6-45C4-8D07-B731FEE1E0E3}" name="Completitud May/2025" dataDxfId="107" dataCellStyle="Porcentaje"/>
    <tableColumn id="39" xr3:uid="{19303C71-1EEB-44DB-8469-F66443217D9F}" name="Oportunidad May/2025" dataDxfId="106" dataCellStyle="Porcentaje"/>
    <tableColumn id="40" xr3:uid="{67F8635F-5A9C-40F0-97BE-5644A9F1AF87}" name="Consistencia May/2025" dataDxfId="105" dataCellStyle="Porcentaje"/>
    <tableColumn id="41" xr3:uid="{E77E2A55-A68B-4E8C-A426-AC1802E07E0D}" name="Conformidad May/2025" dataDxfId="104" dataCellStyle="Porcentaje"/>
    <tableColumn id="42" xr3:uid="{BB9BA461-683A-43C9-8A5E-1C2D8286DDFB}" name="Completitud Dic/2025" dataDxfId="103" dataCellStyle="Porcentaje"/>
    <tableColumn id="43" xr3:uid="{53E09740-AD71-4BB4-B5CE-862E38D72E68}" name="Oportunidad Dic/2025" dataDxfId="102" dataCellStyle="Porcentaje"/>
    <tableColumn id="44" xr3:uid="{63751B20-E757-4CC1-8CED-94A2C58449AB}" name="Consistencia Dic/2025" dataDxfId="101" dataCellStyle="Porcentaje"/>
    <tableColumn id="45" xr3:uid="{81ECDBAC-8F97-48DD-A72E-272336CB8E9E}" name="Conformidad Dic/2025" dataDxfId="100" dataCellStyle="Porcentaj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E52E28-0251-4B33-B8E8-EEAF77B5400C}" name="Tabla13" displayName="Tabla13" ref="B6:M244" totalsRowShown="0" headerRowDxfId="99" dataDxfId="98">
  <autoFilter ref="B6:M244" xr:uid="{28573D40-88E0-4DEB-9665-221E535E3B5D}"/>
  <tableColumns count="12">
    <tableColumn id="1" xr3:uid="{F583EEBD-DAC5-4BD9-A8F5-77D50CEA2B10}" name="Entidades" dataDxfId="97"/>
    <tableColumn id="10" xr3:uid="{6B380BD3-1527-4424-9BF0-E367A5EF9E30}" name="Uso y acceso Ago/2024" dataDxfId="96" dataCellStyle="Porcentaje"/>
    <tableColumn id="9" xr3:uid="{C4F989BF-A78C-4E24-9BA2-1FC2E9230DA7}" name="Uso y acceso Sep/2024" dataDxfId="95" dataCellStyle="Porcentaje"/>
    <tableColumn id="8" xr3:uid="{868A1DF7-E7F7-4192-8440-755D7B8D0459}" name="Uso y acceso Oct/2024" dataDxfId="94" dataCellStyle="Porcentaje"/>
    <tableColumn id="7" xr3:uid="{77A5D7F9-5CF1-4FC6-B5B2-AC97740523C4}" name="Uso y acceso Nov/2024" dataDxfId="93" dataCellStyle="Porcentaje"/>
    <tableColumn id="2" xr3:uid="{4E3DBC4C-9D26-4D20-AC85-71E01A4D10C1}" name="Uso y acceso Dic/2024" dataDxfId="92" dataCellStyle="Porcentaje"/>
    <tableColumn id="3" xr3:uid="{5642B3D8-BD92-44C5-89FC-1F21D41486B7}" name="Uso y acceso Ene/2025" dataDxfId="91" dataCellStyle="Porcentaje"/>
    <tableColumn id="4" xr3:uid="{45C55416-99BF-4410-8E6A-13B918096BDD}" name="Uso y acceso Feb/2025" dataDxfId="90" dataCellStyle="Porcentaje"/>
    <tableColumn id="5" xr3:uid="{B264AE69-301E-48F8-B51C-700A34701F3E}" name="Uso y acceso Mar/2025" dataDxfId="89" dataCellStyle="Porcentaje"/>
    <tableColumn id="6" xr3:uid="{41E56903-DF09-4B99-98BB-4D5BB7154785}" name="Uso y acceso Abr/2025" dataDxfId="88" dataCellStyle="Porcentaje"/>
    <tableColumn id="11" xr3:uid="{29F6C4FA-8B1B-4FBA-B08E-6A536CC262D4}" name="Uso y acceso May/2025" dataDxfId="87" dataCellStyle="Porcentaje"/>
    <tableColumn id="12" xr3:uid="{81BA912E-EF8E-4E57-A6F3-4822AEAAE717}" name="Uso y acceso Dic/2025" dataDxfId="86" dataCellStyle="Porcentaje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56CDCD-34F8-4D99-B9CD-F8FFD645011F}" name="Tabla58" displayName="Tabla58" ref="B6:M244" totalsRowShown="0" headerRowDxfId="85" dataDxfId="84" tableBorderDxfId="83" dataCellStyle="Porcentaje">
  <autoFilter ref="B6:M244" xr:uid="{4A56CDCD-34F8-4D99-B9CD-F8FFD645011F}"/>
  <tableColumns count="12">
    <tableColumn id="1" xr3:uid="{52FCCFD1-5EFA-4B4F-9ADF-E85ABD8F408A}" name="Entidades" dataDxfId="82"/>
    <tableColumn id="2" xr3:uid="{59E779B1-BFDB-4810-9D35-977DD444B093}" name="Integración Ago/2024" dataDxfId="81" dataCellStyle="Porcentaje"/>
    <tableColumn id="3" xr3:uid="{094C93DF-6970-407F-9440-7F7A5713259F}" name="Integración Sep/2024" dataDxfId="80" dataCellStyle="Porcentaje"/>
    <tableColumn id="4" xr3:uid="{2D69439A-3D35-456E-B741-F7643F539DD5}" name="Integración Oct/2024" dataDxfId="79" dataCellStyle="Porcentaje"/>
    <tableColumn id="5" xr3:uid="{20D32E4F-4387-40A2-B026-CD39A6F4D506}" name="Integración Nov/2024" dataDxfId="78" dataCellStyle="Porcentaje"/>
    <tableColumn id="6" xr3:uid="{35DB48BB-34D4-4E50-B9DC-E176F3781869}" name="Integración Dic/2024" dataDxfId="77" dataCellStyle="Porcentaje"/>
    <tableColumn id="7" xr3:uid="{1D6F3E05-00DE-4B56-AD8C-5FE1901E4BC4}" name="Integración Ene/2025" dataDxfId="76" dataCellStyle="Porcentaje"/>
    <tableColumn id="8" xr3:uid="{B73931BF-6340-4E37-BF20-78DE9610D966}" name="Integración Feb/2025" dataDxfId="75" dataCellStyle="Porcentaje"/>
    <tableColumn id="9" xr3:uid="{13E12E9F-79D2-41CC-9DEA-070AD0F55943}" name="Integración Mar/2025" dataDxfId="74" dataCellStyle="Porcentaje"/>
    <tableColumn id="10" xr3:uid="{F833C565-58CD-4983-9BA8-84A97C683F48}" name="Integración Abr/2025" dataDxfId="73" dataCellStyle="Porcentaje"/>
    <tableColumn id="11" xr3:uid="{972C0A37-6CFC-41D5-92B4-8CC818D3F5AA}" name="Integración May/2025" dataDxfId="72" dataCellStyle="Porcentaje"/>
    <tableColumn id="12" xr3:uid="{1DF38343-629E-41E0-B02D-5A0783681D40}" name="Integración Dic/2025" dataDxfId="71" dataCellStyle="Porcentaje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C07F29-C71E-4FC3-BC9D-44CC456BB615}" name="Tabla4" displayName="Tabla4" ref="B6:BP244" totalsRowShown="0" headerRowDxfId="70" dataDxfId="68" headerRowBorderDxfId="69" tableBorderDxfId="67">
  <autoFilter ref="B6:BP244" xr:uid="{CBC07F29-C71E-4FC3-BC9D-44CC456BB615}"/>
  <tableColumns count="67">
    <tableColumn id="1" xr3:uid="{983503AC-61ED-48AB-936D-2BF173D212A1}" name="Entidades" dataDxfId="66"/>
    <tableColumn id="2" xr3:uid="{3733C2BE-637A-4F58-8D64-0C6E7FF39598}" name="Creación y captura Ago/2024" dataDxfId="65" dataCellStyle="Porcentaje"/>
    <tableColumn id="3" xr3:uid="{899C582D-E454-4079-B307-B17811699DF4}" name="Almacenamiento y registro Ago/2024" dataDxfId="64" dataCellStyle="Porcentaje"/>
    <tableColumn id="4" xr3:uid="{A919189E-8B01-4796-893A-F80E5EB8A7F3}" name="Calidad de datos Ago/2024" dataDxfId="63" dataCellStyle="Porcentaje">
      <calculatedColumnFormula>AVERAGE(Tabla1[[#This Row],[Completitud Ago/2024]:[Conformidad Ago/2024]])</calculatedColumnFormula>
    </tableColumn>
    <tableColumn id="5" xr3:uid="{8FB74835-A06B-405E-B0B4-0A22144CC8C9}" name="Uso y acceso Ago/2024" dataDxfId="62" dataCellStyle="Porcentaje">
      <calculatedColumnFormula>Tabla13[[#This Row],[Uso y acceso Ago/2024]]</calculatedColumnFormula>
    </tableColumn>
    <tableColumn id="6" xr3:uid="{050995C6-6AAC-4654-ACB7-9C7CFC1842A3}" name="Compartición e Interoperabilidad Ago/2024" dataDxfId="61" dataCellStyle="Porcentaje">
      <calculatedColumnFormula>Tabla58[[#This Row],[Integración Ago/2024]]</calculatedColumnFormula>
    </tableColumn>
    <tableColumn id="7" xr3:uid="{B5CB442D-C2B3-4BB2-875B-5F764C6A54B3}" name="Gestión ciclo de Vida Ago/2024" dataDxfId="60" dataCellStyle="Porcentaje">
      <calculatedColumnFormula>AVERAGE(Tabla4[[#This Row],[Creación y captura Ago/2024]:[Compartición e Interoperabilidad Ago/2024]])</calculatedColumnFormula>
    </tableColumn>
    <tableColumn id="8" xr3:uid="{D3088A77-2DCF-4DF7-BE23-D26FE9A2AF39}" name="Creación y captura Sep/2024" dataDxfId="59" dataCellStyle="Porcentaje"/>
    <tableColumn id="9" xr3:uid="{97CAC7DC-687D-41F7-92E6-2ECC89EED2F7}" name="Almacenamiento y registro Sep/2024" dataDxfId="58" dataCellStyle="Porcentaje"/>
    <tableColumn id="10" xr3:uid="{C511897C-5932-4C1F-8937-2F44F4BE5919}" name="Calidad de datos Sep/2024" dataDxfId="57" dataCellStyle="Porcentaje">
      <calculatedColumnFormula>AVERAGE(Tabla1[[#This Row],[Completitud Sep/2024]:[Conformidad Sep/2024]])</calculatedColumnFormula>
    </tableColumn>
    <tableColumn id="11" xr3:uid="{24385E5A-C2C6-4E45-9CCA-A748E32A4498}" name="Uso y acceso Sep/2024" dataDxfId="56" dataCellStyle="Porcentaje">
      <calculatedColumnFormula>Tabla13[[#This Row],[Uso y acceso Sep/2024]]</calculatedColumnFormula>
    </tableColumn>
    <tableColumn id="12" xr3:uid="{C9C019B0-2D5E-43EC-B8AE-49E1A3C5E9BD}" name="Compartición e Interoperabilidad Sep/2024" dataDxfId="55" dataCellStyle="Porcentaje">
      <calculatedColumnFormula>Tabla58[[#This Row],[Integración Sep/2024]]</calculatedColumnFormula>
    </tableColumn>
    <tableColumn id="13" xr3:uid="{07794F49-9A83-48D9-9EC2-AECE9775AEA6}" name="Gestión ciclo de Vida Sep/2024" dataDxfId="54" dataCellStyle="Porcentaje">
      <calculatedColumnFormula>AVERAGE(Tabla4[[#This Row],[Creación y captura Sep/2024]:[Compartición e Interoperabilidad Sep/2024]])</calculatedColumnFormula>
    </tableColumn>
    <tableColumn id="14" xr3:uid="{F7FE7DF1-849A-4946-AB2A-983271A8BEAE}" name="Creación y captura Oct/2024" dataDxfId="53" dataCellStyle="Porcentaje"/>
    <tableColumn id="15" xr3:uid="{B890BA61-BF31-40A2-B112-FE80FF36F98D}" name="Almacenamiento y registro Oct/2024" dataDxfId="52" dataCellStyle="Porcentaje"/>
    <tableColumn id="16" xr3:uid="{B9692742-C5DD-4CA8-94B2-7F2E061A6F7F}" name="Calidad de datos Oct/2024" dataDxfId="51" dataCellStyle="Porcentaje">
      <calculatedColumnFormula>AVERAGE(Tabla1[[#This Row],[Completitud Oct/2024]:[Conformidad Oct/2024]])</calculatedColumnFormula>
    </tableColumn>
    <tableColumn id="17" xr3:uid="{E7205216-AA84-4A80-8C94-7D1D7A14A3BC}" name="Uso y acceso Oct/2024" dataDxfId="50" dataCellStyle="Porcentaje">
      <calculatedColumnFormula>Tabla13[[#This Row],[Uso y acceso Oct/2024]]</calculatedColumnFormula>
    </tableColumn>
    <tableColumn id="18" xr3:uid="{EDF4926F-C85A-451D-B592-4539726D6D14}" name="Compartición e Interoperabilidad Oct/2024" dataDxfId="49" dataCellStyle="Porcentaje">
      <calculatedColumnFormula>Tabla58[[#This Row],[Integración Oct/2024]]</calculatedColumnFormula>
    </tableColumn>
    <tableColumn id="19" xr3:uid="{0168714C-062C-4163-A389-41CC54B99E4A}" name="Gestión ciclo de Vida Oct/2024" dataDxfId="48" dataCellStyle="Porcentaje">
      <calculatedColumnFormula>AVERAGE(Tabla4[[#This Row],[Creación y captura Oct/2024]:[Compartición e Interoperabilidad Oct/2024]])</calculatedColumnFormula>
    </tableColumn>
    <tableColumn id="20" xr3:uid="{778E0C39-DE89-4E58-A1F7-D4B5339FD240}" name="Creación y captura Nov/2024" dataDxfId="47" dataCellStyle="Porcentaje"/>
    <tableColumn id="21" xr3:uid="{626602E6-0136-4E98-8E3E-17BC25DAAEA2}" name="Almacenamiento y registro Nov/2024" dataDxfId="46" dataCellStyle="Porcentaje"/>
    <tableColumn id="22" xr3:uid="{B7AF5E89-0A9B-4081-85DF-80E800F7F91C}" name="Calidad de datos Nov/2024" dataDxfId="45" dataCellStyle="Porcentaje">
      <calculatedColumnFormula>AVERAGE(Tabla1[[#This Row],[Completitud Nov/2024]:[Conformidad Nov/2024]])</calculatedColumnFormula>
    </tableColumn>
    <tableColumn id="23" xr3:uid="{70081EC2-B293-4918-A4B5-DCBEEF4D9556}" name="Uso y acceso Nov/2024" dataDxfId="44" dataCellStyle="Porcentaje">
      <calculatedColumnFormula>Tabla13[[#This Row],[Uso y acceso Nov/2024]]</calculatedColumnFormula>
    </tableColumn>
    <tableColumn id="24" xr3:uid="{3CC6950D-49D6-4BA8-8498-230D30DACCED}" name="Compartición e Interoperabilidad Nov/2024" dataDxfId="43" dataCellStyle="Porcentaje">
      <calculatedColumnFormula>Tabla58[[#This Row],[Integración Nov/2024]]</calculatedColumnFormula>
    </tableColumn>
    <tableColumn id="25" xr3:uid="{F66E4EFC-55A9-4C18-AD66-A59519009851}" name="Gestión ciclo de Vida Nov/2024" dataDxfId="42" dataCellStyle="Porcentaje">
      <calculatedColumnFormula>AVERAGE(Tabla4[[#This Row],[Creación y captura Nov/2024]:[Compartición e Interoperabilidad Nov/2024]])</calculatedColumnFormula>
    </tableColumn>
    <tableColumn id="26" xr3:uid="{F703307B-5FCF-4505-9D33-3EFF9B26201B}" name="Creación y captura Dic/2024" dataDxfId="41" dataCellStyle="Porcentaje"/>
    <tableColumn id="27" xr3:uid="{795AF609-41FC-4773-A418-F3857A90FCE2}" name="Almacenamiento y registro Dic/2024" dataDxfId="40" dataCellStyle="Porcentaje"/>
    <tableColumn id="28" xr3:uid="{4FE032E6-BFB4-4EB5-9279-83438E6945B2}" name="Calidad de datos Dic/2024" dataDxfId="39" dataCellStyle="Porcentaje">
      <calculatedColumnFormula>AVERAGE(Tabla1[[#This Row],[Completitud Dic/2024]:[Conformidad Dic/2024]])</calculatedColumnFormula>
    </tableColumn>
    <tableColumn id="29" xr3:uid="{0577068D-9A30-4F4D-8CB3-37764F49F7F8}" name="Uso y acceso Dic/2024" dataDxfId="38" dataCellStyle="Porcentaje">
      <calculatedColumnFormula>Tabla13[[#This Row],[Uso y acceso Dic/2024]]</calculatedColumnFormula>
    </tableColumn>
    <tableColumn id="30" xr3:uid="{68FA8B86-5892-4ADF-A27A-E6D2A6261265}" name="Compartición e Interoperabilidad Dic/2024" dataDxfId="37" dataCellStyle="Porcentaje">
      <calculatedColumnFormula>Tabla58[[#This Row],[Integración Dic/2024]]</calculatedColumnFormula>
    </tableColumn>
    <tableColumn id="31" xr3:uid="{18A024B1-8DB8-422B-B948-6AA7B2D124B2}" name="Gestión ciclo de Vida Dic/2024" dataDxfId="36" dataCellStyle="Porcentaje">
      <calculatedColumnFormula>AVERAGE(Tabla4[[#This Row],[Creación y captura Dic/2024]:[Compartición e Interoperabilidad Dic/2024]])</calculatedColumnFormula>
    </tableColumn>
    <tableColumn id="32" xr3:uid="{90E7BB1D-4E01-4710-BAAE-80E7653A1743}" name="Creación y captura Ene/2025" dataDxfId="35" dataCellStyle="Porcentaje"/>
    <tableColumn id="33" xr3:uid="{58C9E452-B5D3-469B-91C6-106AB1FDB1D0}" name="Almacenamiento y registro Ene/2025" dataDxfId="34" dataCellStyle="Porcentaje"/>
    <tableColumn id="34" xr3:uid="{02B79BCF-FBCD-41D0-AE6F-5C319C9BA52A}" name="Calidad de datos Ene/2025" dataDxfId="33" dataCellStyle="Porcentaje">
      <calculatedColumnFormula>AVERAGE(Tabla1[[#This Row],[Completitud Ene/2025]:[Conformidad Ene/2025]])</calculatedColumnFormula>
    </tableColumn>
    <tableColumn id="35" xr3:uid="{53D3E67D-918F-4152-9380-FEA820D0BB06}" name="Uso y acceso Ene/2025" dataDxfId="32" dataCellStyle="Porcentaje">
      <calculatedColumnFormula>Tabla13[[#This Row],[Uso y acceso Ene/2025]]</calculatedColumnFormula>
    </tableColumn>
    <tableColumn id="36" xr3:uid="{B05420CC-E21B-401C-843E-4BFA12E3ED9C}" name="Compartición e Interoperabilidad Ene/2025" dataDxfId="31" dataCellStyle="Porcentaje">
      <calculatedColumnFormula>Tabla58[[#This Row],[Integración Ene/2025]]</calculatedColumnFormula>
    </tableColumn>
    <tableColumn id="37" xr3:uid="{94C73D8B-0120-4A55-A206-F4120CDBF7CB}" name="Gestión ciclo de Vida Ene/2025" dataDxfId="30" dataCellStyle="Porcentaje">
      <calculatedColumnFormula>AVERAGE(Tabla4[[#This Row],[Creación y captura Ene/2025]:[Compartición e Interoperabilidad Ene/2025]])</calculatedColumnFormula>
    </tableColumn>
    <tableColumn id="38" xr3:uid="{69AA7D88-1624-42F8-8DBC-AF80F38E9D81}" name="Creación y captura Feb/2025" dataDxfId="29" dataCellStyle="Porcentaje"/>
    <tableColumn id="39" xr3:uid="{3EF24C04-AFC9-4461-9AB0-26B9F89E6256}" name="Almacenamiento y registro Feb/2025" dataDxfId="28" dataCellStyle="Porcentaje"/>
    <tableColumn id="40" xr3:uid="{0764AE1F-3122-4B82-9895-5604BFFE8C07}" name="Calidad de datos Feb/2025" dataDxfId="27" dataCellStyle="Porcentaje">
      <calculatedColumnFormula>AVERAGE(Tabla1[[#This Row],[Completitud Feb/2025]:[Conformidad Feb/2025]])</calculatedColumnFormula>
    </tableColumn>
    <tableColumn id="41" xr3:uid="{2ED6DAF4-50CF-442E-AE38-1362F2F9B24D}" name="Uso y acceso Feb/2025" dataDxfId="26" dataCellStyle="Porcentaje">
      <calculatedColumnFormula>Tabla13[[#This Row],[Uso y acceso Feb/2025]]</calculatedColumnFormula>
    </tableColumn>
    <tableColumn id="42" xr3:uid="{55F44D87-1438-40ED-B28A-B66F908CC7EF}" name="Compartición e Interoperabilidad Feb/2025" dataDxfId="25" dataCellStyle="Porcentaje">
      <calculatedColumnFormula>Tabla58[[#This Row],[Integración Feb/2025]]</calculatedColumnFormula>
    </tableColumn>
    <tableColumn id="43" xr3:uid="{246AE7CC-3D44-462E-AB58-6CC072D8C84D}" name="Gestión ciclo de Vida Feb/2025" dataDxfId="24" dataCellStyle="Porcentaje">
      <calculatedColumnFormula>AVERAGE(Tabla4[[#This Row],[Creación y captura Feb/2025]:[Compartición e Interoperabilidad Feb/2025]])</calculatedColumnFormula>
    </tableColumn>
    <tableColumn id="44" xr3:uid="{109780B0-3B70-465D-BA7A-B1635073FE18}" name="Creación y captura Mar/2025" dataDxfId="23" dataCellStyle="Porcentaje"/>
    <tableColumn id="45" xr3:uid="{B79F407D-172E-4915-B34C-8BF40769B22B}" name="Almacenamiento y registro Mar/2025" dataDxfId="22" dataCellStyle="Porcentaje"/>
    <tableColumn id="46" xr3:uid="{6605C97D-37AE-4EA0-B83B-3AF4EAADE24C}" name="Calidad de datos Mar/2025" dataDxfId="21" dataCellStyle="Porcentaje">
      <calculatedColumnFormula>AVERAGE(Tabla1[[#This Row],[Completitud Mar/2025]:[Conformidad Mar/2025]])</calculatedColumnFormula>
    </tableColumn>
    <tableColumn id="47" xr3:uid="{BBEE0530-CA78-42CF-A0FC-22FF035A837B}" name="Uso y acceso Mar/2025" dataDxfId="20" dataCellStyle="Porcentaje">
      <calculatedColumnFormula>Tabla13[[#This Row],[Uso y acceso Mar/2025]]</calculatedColumnFormula>
    </tableColumn>
    <tableColumn id="48" xr3:uid="{55130789-FD5E-40D0-99B2-C04FF9DF4092}" name="Compartición e Interoperabilidad Mar/2025" dataDxfId="19" dataCellStyle="Porcentaje">
      <calculatedColumnFormula>Tabla58[[#This Row],[Integración Mar/2025]]</calculatedColumnFormula>
    </tableColumn>
    <tableColumn id="49" xr3:uid="{6DBEF13B-D7AD-4CC0-9C39-CCCD1B7E73A3}" name="Gestión ciclo de Vida Mar/2025" dataDxfId="18" dataCellStyle="Porcentaje">
      <calculatedColumnFormula>AVERAGE(Tabla4[[#This Row],[Creación y captura Mar/2025]:[Compartición e Interoperabilidad Mar/2025]])</calculatedColumnFormula>
    </tableColumn>
    <tableColumn id="50" xr3:uid="{1093212B-72EB-4396-987B-E40308EE53F2}" name="Creación y captura Abr/2025" dataDxfId="17" dataCellStyle="Porcentaje"/>
    <tableColumn id="51" xr3:uid="{5E475BAB-20E7-4E5F-AD78-9106A339315A}" name="Almacenamiento y registro Abr/2025" dataDxfId="16" dataCellStyle="Porcentaje"/>
    <tableColumn id="52" xr3:uid="{6D58CDF4-FEE7-45A5-BAD2-17F8DB7C8E8B}" name="Calidad de datos Abr/2025" dataDxfId="15" dataCellStyle="Porcentaje">
      <calculatedColumnFormula>AVERAGE(Tabla1[[#This Row],[Completitud Abr/2025]:[Conformidad Abr/2025]])</calculatedColumnFormula>
    </tableColumn>
    <tableColumn id="53" xr3:uid="{F785C3D9-E00A-48E0-88F3-698401E0A6DC}" name="Uso y acceso Abr/2025" dataDxfId="14" dataCellStyle="Porcentaje">
      <calculatedColumnFormula>Tabla13[[#This Row],[Uso y acceso Abr/2025]]</calculatedColumnFormula>
    </tableColumn>
    <tableColumn id="54" xr3:uid="{0EAFF7D8-AE7A-4AF2-83AD-03C7D9C9AEE3}" name="Compartición e Interoperabilidad Abr/2025" dataDxfId="13" dataCellStyle="Porcentaje">
      <calculatedColumnFormula>Tabla58[[#This Row],[Integración Abr/2025]]</calculatedColumnFormula>
    </tableColumn>
    <tableColumn id="55" xr3:uid="{461AA62D-678B-4D90-B8E3-443550B728C6}" name="Gestión ciclo de Vida Abr/2025" dataDxfId="12" dataCellStyle="Porcentaje">
      <calculatedColumnFormula>AVERAGE(Tabla4[[#This Row],[Creación y captura Abr/2025]:[Compartición e Interoperabilidad Abr/2025]])</calculatedColumnFormula>
    </tableColumn>
    <tableColumn id="56" xr3:uid="{86961871-F52E-4AAC-A9F3-7C18FE628DB3}" name="Creación y captura May/2025" dataDxfId="11" dataCellStyle="Porcentaje"/>
    <tableColumn id="57" xr3:uid="{6AE61AC9-7B89-42CB-BDDF-4CC7B25003F0}" name="Almacenamiento y registro May/2025" dataDxfId="10" dataCellStyle="Porcentaje"/>
    <tableColumn id="58" xr3:uid="{CF37A91C-BCD0-486C-8C1A-AD33EE05ECF4}" name="Calidad de datos May/2025" dataDxfId="9" dataCellStyle="Porcentaje">
      <calculatedColumnFormula>AVERAGE(Tabla1[[#This Row],[Completitud May/2025]:[Conformidad May/2025]])</calculatedColumnFormula>
    </tableColumn>
    <tableColumn id="59" xr3:uid="{5E172FB5-04B1-44EE-81F0-475AC2287376}" name="Uso y acceso May/2025" dataDxfId="8" dataCellStyle="Porcentaje">
      <calculatedColumnFormula>Tabla13[[#This Row],[Uso y acceso May/2025]]</calculatedColumnFormula>
    </tableColumn>
    <tableColumn id="60" xr3:uid="{5A17442D-4903-4441-97E7-4F132F48EB18}" name="Compartición e Interoperabilidad May/2025" dataDxfId="7" dataCellStyle="Porcentaje">
      <calculatedColumnFormula>Tabla58[[#This Row],[Integración May/2025]]</calculatedColumnFormula>
    </tableColumn>
    <tableColumn id="61" xr3:uid="{38F5716A-50F7-4FF4-AEC4-8B9A2C62C386}" name="Gestión ciclo de Vida May/2025" dataDxfId="6" dataCellStyle="Porcentaje">
      <calculatedColumnFormula>AVERAGE(Tabla4[[#This Row],[Creación y captura May/2025]:[Compartición e Interoperabilidad May/2025]])</calculatedColumnFormula>
    </tableColumn>
    <tableColumn id="62" xr3:uid="{1640EF1F-F638-49EF-B74B-8FBA0C06E7CA}" name="Creación y captura Dic/2025" dataDxfId="5" dataCellStyle="Porcentaje"/>
    <tableColumn id="63" xr3:uid="{989887B7-D938-41C3-BB5F-288671D9A8C7}" name="Almacenamiento y registro Dic/2025" dataDxfId="4" dataCellStyle="Porcentaje"/>
    <tableColumn id="64" xr3:uid="{5F3BF258-02AD-4D2E-8F82-CB2768B021BF}" name="Calidad de datos Dic/2025" dataDxfId="3" dataCellStyle="Porcentaje">
      <calculatedColumnFormula>AVERAGE('Calidad de Datos'!AQ11:AT11)</calculatedColumnFormula>
    </tableColumn>
    <tableColumn id="65" xr3:uid="{D5321A91-A499-49C9-A4AE-B7EB19404197}" name="Uso y acceso Dic/2025" dataDxfId="2" dataCellStyle="Porcentaje">
      <calculatedColumnFormula>Tabla13[[#This Row],[Uso y acceso Dic/2025]]</calculatedColumnFormula>
    </tableColumn>
    <tableColumn id="66" xr3:uid="{BA700EC8-447A-489E-9062-48A08A8AF1A8}" name="Compartición e Interoperabilidad Dic/2025" dataDxfId="1" dataCellStyle="Porcentaje">
      <calculatedColumnFormula>Tabla58[[#This Row],[Integración Dic/2025]]</calculatedColumnFormula>
    </tableColumn>
    <tableColumn id="67" xr3:uid="{77B18088-8B19-4A46-BCCE-A152C02C39E8}" name="Gestión ciclo de Vida Dic/2025" dataDxfId="0" dataCellStyle="Porcentaje">
      <calculatedColumnFormula>AVERAGE(Tabla4[[#This Row],[Creación y captura Dic/2025]:[Compartición e Interoperabilidad Dic/2025]])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677E-7F65-425D-A128-ED624B985B1F}">
  <dimension ref="B1:AT248"/>
  <sheetViews>
    <sheetView zoomScaleNormal="100" workbookViewId="0">
      <pane xSplit="2" ySplit="10" topLeftCell="D11" activePane="bottomRight" state="frozen"/>
      <selection pane="topRight" activeCell="C1" sqref="C1"/>
      <selection pane="bottomLeft" activeCell="A4" sqref="A4"/>
      <selection pane="bottomRight" activeCell="B5" sqref="B5:D5"/>
    </sheetView>
  </sheetViews>
  <sheetFormatPr baseColWidth="10" defaultColWidth="11.3984375" defaultRowHeight="14.25" x14ac:dyDescent="0.4"/>
  <cols>
    <col min="1" max="1" width="2.86328125" style="1" customWidth="1"/>
    <col min="2" max="2" width="69.1328125" style="1" customWidth="1"/>
    <col min="3" max="3" width="23.265625" style="1" customWidth="1"/>
    <col min="4" max="4" width="23.1328125" style="1" customWidth="1"/>
    <col min="5" max="6" width="23.86328125" style="1" customWidth="1"/>
    <col min="7" max="7" width="32" style="1" customWidth="1"/>
    <col min="8" max="8" width="24.3984375" style="1" customWidth="1"/>
    <col min="9" max="10" width="25" style="1" customWidth="1"/>
    <col min="11" max="11" width="25.265625" style="1" customWidth="1"/>
    <col min="12" max="12" width="25.1328125" style="1" customWidth="1"/>
    <col min="13" max="14" width="25.73046875" style="1" customWidth="1"/>
    <col min="15" max="15" width="26.73046875" style="1" customWidth="1"/>
    <col min="16" max="16" width="26.59765625" style="1" customWidth="1"/>
    <col min="17" max="18" width="27.1328125" style="1" customWidth="1"/>
    <col min="19" max="19" width="24.1328125" style="1" customWidth="1"/>
    <col min="20" max="20" width="24" style="1" customWidth="1"/>
    <col min="21" max="22" width="24.59765625" style="1" customWidth="1"/>
    <col min="23" max="23" width="23.59765625" style="1" customWidth="1"/>
    <col min="24" max="24" width="23.265625" style="1" customWidth="1"/>
    <col min="25" max="26" width="24" style="1" customWidth="1"/>
    <col min="27" max="27" width="24.59765625" style="1" customWidth="1"/>
    <col min="28" max="28" width="24.3984375" style="1" customWidth="1"/>
    <col min="29" max="29" width="25" style="1" customWidth="1"/>
    <col min="30" max="30" width="25" style="1" bestFit="1" customWidth="1"/>
    <col min="31" max="31" width="23.265625" style="1" bestFit="1" customWidth="1"/>
    <col min="32" max="32" width="23.1328125" style="1" bestFit="1" customWidth="1"/>
    <col min="33" max="34" width="23.86328125" style="1" bestFit="1" customWidth="1"/>
    <col min="35" max="35" width="23" style="1" bestFit="1" customWidth="1"/>
    <col min="36" max="36" width="22.86328125" style="1" bestFit="1" customWidth="1"/>
    <col min="37" max="38" width="23.59765625" style="1" bestFit="1" customWidth="1"/>
    <col min="39" max="39" width="24.1328125" style="1" bestFit="1" customWidth="1"/>
    <col min="40" max="40" width="24" style="1" bestFit="1" customWidth="1"/>
    <col min="41" max="42" width="24.59765625" style="1" bestFit="1" customWidth="1"/>
    <col min="43" max="43" width="23" style="1" bestFit="1" customWidth="1"/>
    <col min="44" max="44" width="22.86328125" style="1" bestFit="1" customWidth="1"/>
    <col min="45" max="46" width="23.59765625" style="1" bestFit="1" customWidth="1"/>
    <col min="47" max="16384" width="11.3984375" style="1"/>
  </cols>
  <sheetData>
    <row r="1" spans="2:46" x14ac:dyDescent="0.4">
      <c r="B1" s="25" t="s">
        <v>0</v>
      </c>
      <c r="C1" s="25"/>
      <c r="D1" s="25"/>
      <c r="E1" s="5" t="s">
        <v>1</v>
      </c>
      <c r="F1" s="5"/>
      <c r="G1" s="5"/>
      <c r="H1" s="5"/>
      <c r="I1" s="5"/>
      <c r="J1" s="5"/>
      <c r="K1" s="5"/>
    </row>
    <row r="2" spans="2:46" x14ac:dyDescent="0.4">
      <c r="B2" s="24" t="s">
        <v>2</v>
      </c>
      <c r="C2" s="25"/>
      <c r="D2" s="25"/>
      <c r="E2" s="25" t="s">
        <v>3</v>
      </c>
      <c r="F2" s="25"/>
      <c r="G2" s="25"/>
      <c r="H2" s="25" t="s">
        <v>4</v>
      </c>
      <c r="I2" s="25"/>
      <c r="J2" s="25"/>
      <c r="K2" s="25"/>
    </row>
    <row r="3" spans="2:46" x14ac:dyDescent="0.4">
      <c r="B3" s="25" t="s">
        <v>5</v>
      </c>
      <c r="C3" s="25"/>
      <c r="D3" s="25"/>
      <c r="E3" s="25" t="s">
        <v>6</v>
      </c>
      <c r="F3" s="25"/>
      <c r="G3" s="25"/>
      <c r="H3" s="25" t="s">
        <v>7</v>
      </c>
      <c r="I3" s="25"/>
      <c r="J3" s="25"/>
      <c r="K3" s="25"/>
    </row>
    <row r="4" spans="2:46" ht="31.5" customHeight="1" x14ac:dyDescent="0.4">
      <c r="B4" s="26" t="s">
        <v>8</v>
      </c>
      <c r="C4" s="26"/>
      <c r="D4" s="26"/>
      <c r="E4" s="25" t="s">
        <v>9</v>
      </c>
      <c r="F4" s="25"/>
      <c r="G4" s="25"/>
      <c r="H4" s="5"/>
      <c r="I4" s="5"/>
      <c r="J4" s="5"/>
      <c r="K4" s="5"/>
    </row>
    <row r="5" spans="2:46" ht="30" customHeight="1" x14ac:dyDescent="0.4">
      <c r="B5" s="25" t="s">
        <v>10</v>
      </c>
      <c r="C5" s="25"/>
      <c r="D5" s="25"/>
      <c r="E5" s="26" t="s">
        <v>11</v>
      </c>
      <c r="F5" s="26"/>
      <c r="G5" s="26"/>
      <c r="H5" s="5"/>
      <c r="I5" s="5"/>
      <c r="J5" s="5"/>
      <c r="K5" s="5"/>
    </row>
    <row r="6" spans="2:46" x14ac:dyDescent="0.4">
      <c r="B6" s="22"/>
      <c r="C6" s="22" t="s">
        <v>375</v>
      </c>
      <c r="D6" s="22" t="s">
        <v>376</v>
      </c>
      <c r="E6" s="23" t="s">
        <v>377</v>
      </c>
      <c r="F6" s="23" t="s">
        <v>378</v>
      </c>
      <c r="G6" s="22" t="s">
        <v>375</v>
      </c>
      <c r="H6" s="22" t="s">
        <v>376</v>
      </c>
      <c r="I6" s="23" t="s">
        <v>377</v>
      </c>
      <c r="J6" s="23" t="s">
        <v>378</v>
      </c>
      <c r="K6" s="22" t="s">
        <v>375</v>
      </c>
      <c r="L6" s="22" t="s">
        <v>376</v>
      </c>
      <c r="M6" s="23" t="s">
        <v>377</v>
      </c>
      <c r="N6" s="23" t="s">
        <v>378</v>
      </c>
      <c r="O6" s="22" t="s">
        <v>375</v>
      </c>
      <c r="P6" s="22" t="s">
        <v>376</v>
      </c>
      <c r="Q6" s="23" t="s">
        <v>377</v>
      </c>
      <c r="R6" s="23" t="s">
        <v>378</v>
      </c>
      <c r="S6" s="22" t="s">
        <v>375</v>
      </c>
      <c r="T6" s="22" t="s">
        <v>376</v>
      </c>
      <c r="U6" s="23" t="s">
        <v>377</v>
      </c>
      <c r="V6" s="23" t="s">
        <v>378</v>
      </c>
      <c r="W6" s="22" t="s">
        <v>375</v>
      </c>
      <c r="X6" s="22" t="s">
        <v>376</v>
      </c>
      <c r="Y6" s="23" t="s">
        <v>377</v>
      </c>
      <c r="Z6" s="23" t="s">
        <v>378</v>
      </c>
      <c r="AA6" s="22" t="s">
        <v>375</v>
      </c>
      <c r="AB6" s="22" t="s">
        <v>376</v>
      </c>
      <c r="AC6" s="23" t="s">
        <v>377</v>
      </c>
      <c r="AD6" s="23" t="s">
        <v>378</v>
      </c>
      <c r="AE6" s="22" t="s">
        <v>375</v>
      </c>
      <c r="AF6" s="22" t="s">
        <v>376</v>
      </c>
      <c r="AG6" s="23" t="s">
        <v>377</v>
      </c>
      <c r="AH6" s="23" t="s">
        <v>378</v>
      </c>
      <c r="AI6" s="22" t="s">
        <v>375</v>
      </c>
      <c r="AJ6" s="22" t="s">
        <v>376</v>
      </c>
      <c r="AK6" s="23" t="s">
        <v>377</v>
      </c>
      <c r="AL6" s="23" t="s">
        <v>378</v>
      </c>
      <c r="AM6" s="22" t="s">
        <v>375</v>
      </c>
      <c r="AN6" s="22" t="s">
        <v>376</v>
      </c>
      <c r="AO6" s="23" t="s">
        <v>377</v>
      </c>
      <c r="AP6" s="23" t="s">
        <v>378</v>
      </c>
      <c r="AQ6" s="22" t="s">
        <v>375</v>
      </c>
      <c r="AR6" s="22" t="s">
        <v>376</v>
      </c>
      <c r="AS6" s="23" t="s">
        <v>377</v>
      </c>
      <c r="AT6" s="23" t="s">
        <v>378</v>
      </c>
    </row>
    <row r="7" spans="2:46" x14ac:dyDescent="0.4">
      <c r="B7" s="22"/>
      <c r="C7" s="22">
        <v>1</v>
      </c>
      <c r="D7" s="22">
        <v>1</v>
      </c>
      <c r="E7" s="23">
        <v>1</v>
      </c>
      <c r="F7" s="23">
        <v>1</v>
      </c>
      <c r="G7" s="23">
        <v>2</v>
      </c>
      <c r="H7" s="5">
        <v>2</v>
      </c>
      <c r="I7" s="5">
        <v>2</v>
      </c>
      <c r="J7" s="5">
        <v>2</v>
      </c>
      <c r="K7" s="5">
        <v>3</v>
      </c>
      <c r="L7" s="1">
        <v>3</v>
      </c>
      <c r="M7" s="1">
        <v>3</v>
      </c>
      <c r="N7" s="1">
        <v>3</v>
      </c>
      <c r="O7" s="1">
        <v>4</v>
      </c>
      <c r="P7" s="1">
        <v>4</v>
      </c>
      <c r="Q7" s="1">
        <v>4</v>
      </c>
      <c r="R7" s="1">
        <v>4</v>
      </c>
      <c r="S7" s="1">
        <v>5</v>
      </c>
      <c r="T7" s="1">
        <v>5</v>
      </c>
      <c r="U7" s="1">
        <v>5</v>
      </c>
      <c r="V7" s="1">
        <v>5</v>
      </c>
      <c r="W7" s="1">
        <v>6</v>
      </c>
      <c r="X7" s="1">
        <v>6</v>
      </c>
      <c r="Y7" s="1">
        <v>6</v>
      </c>
      <c r="Z7" s="1">
        <v>6</v>
      </c>
      <c r="AA7" s="1">
        <v>7</v>
      </c>
      <c r="AB7" s="1">
        <v>7</v>
      </c>
      <c r="AC7" s="1">
        <v>7</v>
      </c>
      <c r="AD7" s="1">
        <v>7</v>
      </c>
      <c r="AE7" s="1">
        <v>8</v>
      </c>
      <c r="AF7" s="1">
        <v>8</v>
      </c>
      <c r="AG7" s="1">
        <v>8</v>
      </c>
      <c r="AH7" s="1">
        <v>8</v>
      </c>
      <c r="AI7" s="1">
        <v>9</v>
      </c>
      <c r="AJ7" s="1">
        <v>9</v>
      </c>
      <c r="AK7" s="1">
        <v>9</v>
      </c>
      <c r="AL7" s="1">
        <v>9</v>
      </c>
      <c r="AM7" s="1">
        <v>10</v>
      </c>
      <c r="AN7" s="1">
        <v>10</v>
      </c>
      <c r="AO7" s="1">
        <v>10</v>
      </c>
      <c r="AP7" s="1">
        <v>10</v>
      </c>
      <c r="AQ7" s="1">
        <v>17</v>
      </c>
      <c r="AR7" s="1">
        <v>17</v>
      </c>
      <c r="AS7" s="1">
        <v>17</v>
      </c>
      <c r="AT7" s="1">
        <v>17</v>
      </c>
    </row>
    <row r="8" spans="2:46" x14ac:dyDescent="0.4">
      <c r="B8" s="22"/>
      <c r="C8" s="27">
        <f>SUMIF(C11:C217,"&gt;0")/COUNTIF(C11:C217,"&gt;0")</f>
        <v>0.95342105263157906</v>
      </c>
      <c r="D8" s="27">
        <f t="shared" ref="D8:AT8" si="0">SUMIF(D11:D217,"&gt;0")/COUNTIF(D11:D217,"&gt;0")</f>
        <v>0.99710526315789472</v>
      </c>
      <c r="E8" s="27">
        <f t="shared" si="0"/>
        <v>0.99210526315789482</v>
      </c>
      <c r="F8" s="27">
        <f t="shared" si="0"/>
        <v>0.79999999999999993</v>
      </c>
      <c r="G8" s="27">
        <f t="shared" si="0"/>
        <v>0.95342105263157906</v>
      </c>
      <c r="H8" s="27">
        <f t="shared" si="0"/>
        <v>1</v>
      </c>
      <c r="I8" s="27">
        <f t="shared" si="0"/>
        <v>0.99210526315789482</v>
      </c>
      <c r="J8" s="27">
        <f t="shared" si="0"/>
        <v>0.85</v>
      </c>
      <c r="K8" s="27">
        <f t="shared" si="0"/>
        <v>0.95342105263157906</v>
      </c>
      <c r="L8" s="27">
        <f t="shared" si="0"/>
        <v>0.99763157894736831</v>
      </c>
      <c r="M8" s="27">
        <f t="shared" si="0"/>
        <v>0.99447368421052629</v>
      </c>
      <c r="N8" s="27">
        <f t="shared" si="0"/>
        <v>0.85</v>
      </c>
      <c r="O8" s="27">
        <f t="shared" si="0"/>
        <v>0.93142857142857161</v>
      </c>
      <c r="P8" s="27">
        <f t="shared" si="0"/>
        <v>1</v>
      </c>
      <c r="Q8" s="27">
        <f t="shared" si="0"/>
        <v>0.96785714285714264</v>
      </c>
      <c r="R8" s="27">
        <f t="shared" si="0"/>
        <v>0.90000000000000013</v>
      </c>
      <c r="S8" s="27">
        <f t="shared" si="0"/>
        <v>0.93142857142857161</v>
      </c>
      <c r="T8" s="27">
        <f t="shared" si="0"/>
        <v>0.99839285714285708</v>
      </c>
      <c r="U8" s="27">
        <f t="shared" si="0"/>
        <v>0.97089285714285689</v>
      </c>
      <c r="V8" s="27">
        <f t="shared" si="0"/>
        <v>0.95000000000000007</v>
      </c>
      <c r="W8" s="27">
        <f t="shared" si="0"/>
        <v>0.96035714285714291</v>
      </c>
      <c r="X8" s="27">
        <f t="shared" si="0"/>
        <v>1</v>
      </c>
      <c r="Y8" s="27">
        <f t="shared" si="0"/>
        <v>0.97285714285714264</v>
      </c>
      <c r="Z8" s="27">
        <f t="shared" si="0"/>
        <v>0.97499999999999987</v>
      </c>
      <c r="AA8" s="27">
        <f t="shared" si="0"/>
        <v>0.96321428571428558</v>
      </c>
      <c r="AB8" s="27">
        <f t="shared" si="0"/>
        <v>1</v>
      </c>
      <c r="AC8" s="27">
        <f t="shared" si="0"/>
        <v>0.97750000000000015</v>
      </c>
      <c r="AD8" s="27">
        <f t="shared" si="0"/>
        <v>1</v>
      </c>
      <c r="AE8" s="27">
        <f t="shared" si="0"/>
        <v>0.96589285714285711</v>
      </c>
      <c r="AF8" s="27">
        <f t="shared" si="0"/>
        <v>1</v>
      </c>
      <c r="AG8" s="27">
        <f t="shared" si="0"/>
        <v>0.97750000000000015</v>
      </c>
      <c r="AH8" s="27">
        <f t="shared" si="0"/>
        <v>1</v>
      </c>
      <c r="AI8" s="27">
        <f t="shared" si="0"/>
        <v>0.97271428571428598</v>
      </c>
      <c r="AJ8" s="27">
        <f t="shared" si="0"/>
        <v>0.92285714285714282</v>
      </c>
      <c r="AK8" s="27">
        <f t="shared" si="0"/>
        <v>0.88571428571428557</v>
      </c>
      <c r="AL8" s="27">
        <f t="shared" si="0"/>
        <v>0.95714285714285718</v>
      </c>
      <c r="AM8" s="27">
        <f t="shared" si="0"/>
        <v>0.98690476190476195</v>
      </c>
      <c r="AN8" s="27">
        <f t="shared" si="0"/>
        <v>1</v>
      </c>
      <c r="AO8" s="27">
        <f t="shared" si="0"/>
        <v>0.99761904761904763</v>
      </c>
      <c r="AP8" s="27">
        <f t="shared" si="0"/>
        <v>1</v>
      </c>
      <c r="AQ8" s="27">
        <f t="shared" si="0"/>
        <v>0.87953197674418582</v>
      </c>
      <c r="AR8" s="27">
        <f t="shared" si="0"/>
        <v>1</v>
      </c>
      <c r="AS8" s="27">
        <f t="shared" si="0"/>
        <v>0.8712195121951225</v>
      </c>
      <c r="AT8" s="27">
        <f t="shared" si="0"/>
        <v>1</v>
      </c>
    </row>
    <row r="9" spans="2:46" x14ac:dyDescent="0.4">
      <c r="B9" s="6"/>
      <c r="C9" s="2">
        <f>IFERROR(AVERAGEIF(Tabla1[Completitud Ago/2024],"&gt;0",Tabla1[Completitud Ago/2024]),0)</f>
        <v>0.95342105263157906</v>
      </c>
      <c r="D9" s="2">
        <f>IFERROR(AVERAGEIF(Tabla1[Oportunidad Ago/2024],"&gt;0",Tabla1[Oportunidad Ago/2024]),0)</f>
        <v>0.99710526315789472</v>
      </c>
      <c r="E9" s="2">
        <f>IFERROR(AVERAGEIF(Tabla1[Consistencia Ago/2024],"&gt;0",Tabla1[Consistencia Ago/2024]),0)</f>
        <v>0.99210526315789482</v>
      </c>
      <c r="F9" s="2">
        <f>IFERROR(AVERAGEIF(Tabla1[Conformidad Ago/2024],"&gt;0",Tabla1[Conformidad Ago/2024]),0)</f>
        <v>0.79999999999999993</v>
      </c>
      <c r="G9" s="2">
        <f>IFERROR(AVERAGEIF(Tabla1[Completitud Sep/2024],"&gt;0",Tabla1[Completitud Sep/2024]),0)</f>
        <v>0.95342105263157906</v>
      </c>
      <c r="H9" s="2">
        <f>IFERROR(AVERAGEIF(Tabla1[Oportunidad Sep/2024],"&gt;0",Tabla1[Oportunidad Sep/2024]),0)</f>
        <v>1</v>
      </c>
      <c r="I9" s="2">
        <f>IFERROR(AVERAGEIF(Tabla1[Consistencia Sep/2024],"&gt;0",Tabla1[Consistencia Sep/2024]),0)</f>
        <v>0.99210526315789482</v>
      </c>
      <c r="J9" s="2">
        <f>IFERROR(AVERAGEIF(Tabla1[Conformidad Sep/2024],"&gt;0",Tabla1[Conformidad Sep/2024]),0)</f>
        <v>0.85</v>
      </c>
      <c r="K9" s="2">
        <f>IFERROR(AVERAGEIF(Tabla1[Completitud Oct/2024],"&gt;0",Tabla1[Completitud Oct/2024]),0)</f>
        <v>0.95342105263157906</v>
      </c>
      <c r="L9" s="2">
        <f>IFERROR(AVERAGEIF(Tabla1[Oportunidad Oct/2024],"&gt;0",Tabla1[Oportunidad Oct/2024]),0)</f>
        <v>0.99763157894736831</v>
      </c>
      <c r="M9" s="2">
        <f>IFERROR(AVERAGEIF(Tabla1[Consistencia Oct/2024],"&gt;0",Tabla1[Consistencia Oct/2024]),0)</f>
        <v>0.99447368421052629</v>
      </c>
      <c r="N9" s="2">
        <f>IFERROR(AVERAGEIF(Tabla1[Conformidad Oct/2024],"&gt;0",Tabla1[Conformidad Oct/2024]),0)</f>
        <v>0.85</v>
      </c>
      <c r="O9" s="2">
        <f>IFERROR(AVERAGEIF(Tabla1[Completitud Nov/2024],"&gt;0",Tabla1[Completitud Nov/2024]),0)</f>
        <v>0.93142857142857161</v>
      </c>
      <c r="P9" s="2">
        <f>IFERROR(AVERAGEIF(Tabla1[Oportunidad Nov/2024],"&gt;0",Tabla1[Oportunidad Nov/2024]),0)</f>
        <v>1</v>
      </c>
      <c r="Q9" s="2">
        <f>IFERROR(AVERAGEIF(Tabla1[Consistencia Nov/2024],"&gt;0",Tabla1[Consistencia Nov/2024]),0)</f>
        <v>0.96785714285714264</v>
      </c>
      <c r="R9" s="2">
        <f>IFERROR(AVERAGEIF(Tabla1[Conformidad Nov/2024],"&gt;0",Tabla1[Conformidad Nov/2024]),0)</f>
        <v>0.90000000000000013</v>
      </c>
      <c r="S9" s="2">
        <f>IFERROR(AVERAGEIF(Tabla1[Completitud Dic/2024],"&gt;0",Tabla1[Completitud Dic/2024]),0)</f>
        <v>0.93142857142857161</v>
      </c>
      <c r="T9" s="2">
        <f>IFERROR(AVERAGEIF(Tabla1[Oportunidad Dic/2024],"&gt;0",Tabla1[Oportunidad Dic/2024]),0)</f>
        <v>0.99839285714285708</v>
      </c>
      <c r="U9" s="2">
        <f>IFERROR(AVERAGEIF(Tabla1[Consistencia Dic/2024],"&gt;0",Tabla1[Consistencia Dic/2024]),0)</f>
        <v>0.97089285714285689</v>
      </c>
      <c r="V9" s="2">
        <f>IFERROR(AVERAGEIF(Tabla1[Conformidad Dic/2024],"&gt;0",Tabla1[Conformidad Dic/2024]),0)</f>
        <v>0.95000000000000007</v>
      </c>
      <c r="W9" s="2">
        <f>IFERROR(AVERAGEIF(Tabla1[Completitud Ene/2025],"&gt;0",Tabla1[Completitud Ene/2025]),0)</f>
        <v>0.96035714285714291</v>
      </c>
      <c r="X9" s="2">
        <f>IFERROR(AVERAGEIF(Tabla1[Oportunidad Ene/2025],"&gt;0",Tabla1[Oportunidad Ene/2025]),0)</f>
        <v>1</v>
      </c>
      <c r="Y9" s="2">
        <f>IFERROR(AVERAGEIF(Tabla1[Consistencia Ene/2025],"&gt;0",Tabla1[Consistencia Ene/2025]),0)</f>
        <v>0.97285714285714264</v>
      </c>
      <c r="Z9" s="2">
        <f>IFERROR(AVERAGEIF(Tabla1[Conformidad Ene/2025],"&gt;0",Tabla1[Conformidad Ene/2025]),0)</f>
        <v>0.97499999999999987</v>
      </c>
      <c r="AA9" s="2">
        <f>IFERROR(AVERAGEIF(Tabla1[Completitud Feb/2025],"&gt;0",Tabla1[Completitud Feb/2025]),0)</f>
        <v>0.96566666666666656</v>
      </c>
      <c r="AB9" s="2">
        <f>IFERROR(AVERAGEIF(Tabla1[Oportunidad Feb/2025],"&gt;0",Tabla1[Oportunidad Feb/2025]),0)</f>
        <v>1</v>
      </c>
      <c r="AC9" s="2">
        <f>IFERROR(AVERAGEIF(Tabla1[Consistencia Feb/2025],"&gt;0",Tabla1[Consistencia Feb/2025]),0)</f>
        <v>0.9790000000000002</v>
      </c>
      <c r="AD9" s="2">
        <f>IFERROR(AVERAGEIF(Tabla1[Conformidad Feb/2025],"&gt;0",Tabla1[Conformidad Feb/2025]),0)</f>
        <v>1</v>
      </c>
      <c r="AE9" s="2">
        <f>IFERROR(AVERAGEIF(Tabla1[Completitud Mar/2025],"&gt;0",Tabla1[Completitud Mar/2025]),0)</f>
        <v>0.96816666666666662</v>
      </c>
      <c r="AF9" s="2">
        <f>IFERROR(AVERAGEIF(Tabla1[Oportunidad Mar/2025],"&gt;0",Tabla1[Oportunidad Mar/2025]),0)</f>
        <v>1</v>
      </c>
      <c r="AG9" s="2">
        <f>IFERROR(AVERAGEIF(Tabla1[Consistencia Mar/2025],"&gt;0",Tabla1[Consistencia Mar/2025]),0)</f>
        <v>0.9790000000000002</v>
      </c>
      <c r="AH9" s="2">
        <f>IFERROR(AVERAGEIF(Tabla1[Conformidad Mar/2025],"&gt;0",Tabla1[Conformidad Mar/2025]),0)</f>
        <v>1</v>
      </c>
      <c r="AI9" s="2">
        <f>IFERROR(AVERAGEIF(Tabla1[Completitud Abr/2025],"&gt;0",Tabla1[Completitud Abr/2025]),0)</f>
        <v>0.97612500000000024</v>
      </c>
      <c r="AJ9" s="2">
        <f>IFERROR(AVERAGEIF(Tabla1[Oportunidad Abr/2025],"&gt;0",Tabla1[Oportunidad Abr/2025]),0)</f>
        <v>0.93249999999999988</v>
      </c>
      <c r="AK9" s="2">
        <f>IFERROR(AVERAGEIF(Tabla1[Consistencia Abr/2025],"&gt;0",Tabla1[Consistencia Abr/2025]),0)</f>
        <v>0.88749999999999996</v>
      </c>
      <c r="AL9" s="2">
        <f>IFERROR(AVERAGEIF(Tabla1[Conformidad Abr/2025],"&gt;0",Tabla1[Conformidad Abr/2025]),0)</f>
        <v>0.96250000000000002</v>
      </c>
      <c r="AM9" s="2">
        <f>IFERROR(AVERAGEIF(Tabla1[Completitud May/2025],"&gt;0",Tabla1[Completitud May/2025]),0)</f>
        <v>0.9890000000000001</v>
      </c>
      <c r="AN9" s="2">
        <f>IFERROR(AVERAGEIF(Tabla1[Oportunidad May/2025],"&gt;0",Tabla1[Oportunidad May/2025]),0)</f>
        <v>1</v>
      </c>
      <c r="AO9" s="2">
        <f>IFERROR(AVERAGEIF(Tabla1[Consistencia May/2025],"&gt;0",Tabla1[Consistencia May/2025]),0)</f>
        <v>0.998</v>
      </c>
      <c r="AP9" s="2">
        <f>IFERROR(AVERAGEIF(Tabla1[Conformidad May/2025],"&gt;0",Tabla1[Conformidad May/2025]),0)</f>
        <v>1</v>
      </c>
      <c r="AQ9" s="2">
        <f>IFERROR(AVERAGEIF(Tabla1[Completitud Dic/2025],"&gt;0",Tabla1[Completitud Dic/2025]),0)</f>
        <v>0.89792857142857119</v>
      </c>
      <c r="AR9" s="2">
        <f>IFERROR(AVERAGEIF(Tabla1[Oportunidad Dic/2025],"&gt;0",Tabla1[Oportunidad Dic/2025]),0)</f>
        <v>1</v>
      </c>
      <c r="AS9" s="2">
        <f>IFERROR(AVERAGEIF(Tabla1[Consistencia Dic/2025],"&gt;0",Tabla1[Consistencia Dic/2025]),0)</f>
        <v>0.88813559322033941</v>
      </c>
      <c r="AT9" s="2">
        <f>IFERROR(AVERAGEIF(Tabla1[Conformidad Dic/2025],"&gt;0",Tabla1[Conformidad Dic/2025]),0)</f>
        <v>1</v>
      </c>
    </row>
    <row r="10" spans="2:46" x14ac:dyDescent="0.4"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20</v>
      </c>
      <c r="K10" s="1" t="s">
        <v>21</v>
      </c>
      <c r="L10" s="1" t="s">
        <v>22</v>
      </c>
      <c r="M10" s="1" t="s">
        <v>23</v>
      </c>
      <c r="N10" s="1" t="s">
        <v>24</v>
      </c>
      <c r="O10" s="1" t="s">
        <v>25</v>
      </c>
      <c r="P10" s="1" t="s">
        <v>26</v>
      </c>
      <c r="Q10" s="1" t="s">
        <v>27</v>
      </c>
      <c r="R10" s="1" t="s">
        <v>28</v>
      </c>
      <c r="S10" s="1" t="s">
        <v>29</v>
      </c>
      <c r="T10" s="1" t="s">
        <v>30</v>
      </c>
      <c r="U10" s="1" t="s">
        <v>31</v>
      </c>
      <c r="V10" s="1" t="s">
        <v>32</v>
      </c>
      <c r="W10" s="1" t="s">
        <v>33</v>
      </c>
      <c r="X10" s="1" t="s">
        <v>34</v>
      </c>
      <c r="Y10" s="1" t="s">
        <v>35</v>
      </c>
      <c r="Z10" s="1" t="s">
        <v>36</v>
      </c>
      <c r="AA10" s="1" t="s">
        <v>37</v>
      </c>
      <c r="AB10" s="1" t="s">
        <v>38</v>
      </c>
      <c r="AC10" s="1" t="s">
        <v>39</v>
      </c>
      <c r="AD10" s="1" t="s">
        <v>40</v>
      </c>
      <c r="AE10" s="1" t="s">
        <v>41</v>
      </c>
      <c r="AF10" s="1" t="s">
        <v>42</v>
      </c>
      <c r="AG10" s="1" t="s">
        <v>43</v>
      </c>
      <c r="AH10" s="1" t="s">
        <v>44</v>
      </c>
      <c r="AI10" s="1" t="s">
        <v>45</v>
      </c>
      <c r="AJ10" s="1" t="s">
        <v>46</v>
      </c>
      <c r="AK10" s="1" t="s">
        <v>47</v>
      </c>
      <c r="AL10" s="1" t="s">
        <v>48</v>
      </c>
      <c r="AM10" s="1" t="s">
        <v>49</v>
      </c>
      <c r="AN10" s="1" t="s">
        <v>50</v>
      </c>
      <c r="AO10" s="1" t="s">
        <v>51</v>
      </c>
      <c r="AP10" s="1" t="s">
        <v>52</v>
      </c>
      <c r="AQ10" s="1" t="s">
        <v>53</v>
      </c>
      <c r="AR10" s="1" t="s">
        <v>54</v>
      </c>
      <c r="AS10" s="1" t="s">
        <v>55</v>
      </c>
      <c r="AT10" s="1" t="s">
        <v>56</v>
      </c>
    </row>
    <row r="11" spans="2:46" x14ac:dyDescent="0.4">
      <c r="B11" s="1" t="s">
        <v>57</v>
      </c>
      <c r="C11" s="2">
        <v>0.7</v>
      </c>
      <c r="D11" s="2">
        <v>0.94</v>
      </c>
      <c r="E11" s="2">
        <v>0.9</v>
      </c>
      <c r="F11" s="2">
        <v>0.4</v>
      </c>
      <c r="G11" s="2">
        <v>0.7</v>
      </c>
      <c r="H11" s="2">
        <v>1</v>
      </c>
      <c r="I11" s="2">
        <v>0.9</v>
      </c>
      <c r="J11" s="2">
        <v>0.55000000000000004</v>
      </c>
      <c r="K11" s="2">
        <v>0.7</v>
      </c>
      <c r="L11" s="2">
        <v>0.95</v>
      </c>
      <c r="M11" s="2">
        <v>0.93</v>
      </c>
      <c r="N11" s="2">
        <v>0.55000000000000004</v>
      </c>
      <c r="O11" s="2">
        <v>0.7</v>
      </c>
      <c r="P11" s="2">
        <v>1</v>
      </c>
      <c r="Q11" s="2">
        <v>0.95</v>
      </c>
      <c r="R11" s="2">
        <v>0.85</v>
      </c>
      <c r="S11" s="2">
        <v>0.7</v>
      </c>
      <c r="T11" s="2">
        <v>0.95</v>
      </c>
      <c r="U11" s="2">
        <v>0.995</v>
      </c>
      <c r="V11" s="2">
        <v>1</v>
      </c>
      <c r="W11" s="2">
        <v>0.7</v>
      </c>
      <c r="X11" s="2">
        <v>1</v>
      </c>
      <c r="Y11" s="2">
        <v>1</v>
      </c>
      <c r="Z11" s="2">
        <v>1</v>
      </c>
      <c r="AA11" s="3">
        <v>0.7</v>
      </c>
      <c r="AB11" s="2">
        <v>1</v>
      </c>
      <c r="AC11" s="2">
        <v>1</v>
      </c>
      <c r="AD11" s="2">
        <v>1</v>
      </c>
      <c r="AE11" s="3">
        <v>0.7</v>
      </c>
      <c r="AF11" s="2">
        <v>1</v>
      </c>
      <c r="AG11" s="2">
        <v>1</v>
      </c>
      <c r="AH11" s="2">
        <v>1</v>
      </c>
      <c r="AI11" s="3">
        <v>0.7</v>
      </c>
      <c r="AJ11" s="2">
        <v>1</v>
      </c>
      <c r="AK11" s="2">
        <v>1</v>
      </c>
      <c r="AL11" s="2">
        <v>1</v>
      </c>
      <c r="AM11" s="3">
        <v>0.8</v>
      </c>
      <c r="AN11" s="2">
        <v>1</v>
      </c>
      <c r="AO11" s="2">
        <v>1</v>
      </c>
      <c r="AP11" s="2">
        <v>1</v>
      </c>
      <c r="AQ11" s="3">
        <v>0.52549999999999997</v>
      </c>
      <c r="AR11" s="2">
        <v>1</v>
      </c>
      <c r="AS11" s="2">
        <v>1</v>
      </c>
      <c r="AT11" s="2">
        <v>1</v>
      </c>
    </row>
    <row r="12" spans="2:46" hidden="1" x14ac:dyDescent="0.4">
      <c r="B12" s="1" t="s">
        <v>58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3">
        <v>1</v>
      </c>
      <c r="AB12" s="2">
        <v>1</v>
      </c>
      <c r="AC12" s="2">
        <v>1</v>
      </c>
      <c r="AD12" s="2">
        <v>1</v>
      </c>
      <c r="AE12" s="3">
        <v>1</v>
      </c>
      <c r="AF12" s="2">
        <v>1</v>
      </c>
      <c r="AG12" s="2">
        <v>1</v>
      </c>
      <c r="AH12" s="2">
        <v>1</v>
      </c>
      <c r="AI12" s="3">
        <v>1</v>
      </c>
      <c r="AJ12" s="2">
        <v>1</v>
      </c>
      <c r="AK12" s="2">
        <v>1</v>
      </c>
      <c r="AL12" s="2">
        <v>1</v>
      </c>
      <c r="AM12" s="3">
        <v>1</v>
      </c>
      <c r="AN12" s="2">
        <v>1</v>
      </c>
      <c r="AO12" s="2">
        <v>1</v>
      </c>
      <c r="AP12" s="2">
        <v>1</v>
      </c>
      <c r="AQ12" s="3">
        <v>1</v>
      </c>
      <c r="AR12" s="2">
        <v>1</v>
      </c>
      <c r="AS12" s="2">
        <v>1</v>
      </c>
      <c r="AT12" s="2">
        <v>1</v>
      </c>
    </row>
    <row r="13" spans="2:46" hidden="1" x14ac:dyDescent="0.4">
      <c r="B13" s="1" t="s">
        <v>59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3">
        <v>1</v>
      </c>
      <c r="AB13" s="2">
        <v>1</v>
      </c>
      <c r="AC13" s="2">
        <v>1</v>
      </c>
      <c r="AD13" s="2">
        <v>1</v>
      </c>
      <c r="AE13" s="3">
        <v>1</v>
      </c>
      <c r="AF13" s="2">
        <v>1</v>
      </c>
      <c r="AG13" s="2">
        <v>1</v>
      </c>
      <c r="AH13" s="2">
        <v>1</v>
      </c>
      <c r="AI13" s="3">
        <v>1</v>
      </c>
      <c r="AJ13" s="2">
        <v>1</v>
      </c>
      <c r="AK13" s="2">
        <v>1</v>
      </c>
      <c r="AL13" s="2">
        <v>1</v>
      </c>
      <c r="AM13" s="3">
        <v>1</v>
      </c>
      <c r="AN13" s="2">
        <v>1</v>
      </c>
      <c r="AO13" s="2">
        <v>1</v>
      </c>
      <c r="AP13" s="2">
        <v>1</v>
      </c>
      <c r="AQ13" s="3">
        <v>1</v>
      </c>
      <c r="AR13" s="2">
        <v>1</v>
      </c>
      <c r="AS13" s="2">
        <v>1</v>
      </c>
      <c r="AT13" s="2">
        <v>1</v>
      </c>
    </row>
    <row r="14" spans="2:46" hidden="1" x14ac:dyDescent="0.4">
      <c r="B14" s="1" t="s">
        <v>60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3">
        <v>1</v>
      </c>
      <c r="AB14" s="2">
        <v>1</v>
      </c>
      <c r="AC14" s="2">
        <v>1</v>
      </c>
      <c r="AD14" s="2">
        <v>1</v>
      </c>
      <c r="AE14" s="3">
        <v>1</v>
      </c>
      <c r="AF14" s="2">
        <v>1</v>
      </c>
      <c r="AG14" s="2">
        <v>1</v>
      </c>
      <c r="AH14" s="2">
        <v>1</v>
      </c>
      <c r="AI14" s="3">
        <v>1</v>
      </c>
      <c r="AJ14" s="2">
        <v>1</v>
      </c>
      <c r="AK14" s="2">
        <v>1</v>
      </c>
      <c r="AL14" s="2">
        <v>1</v>
      </c>
      <c r="AM14" s="3">
        <v>1</v>
      </c>
      <c r="AN14" s="2">
        <v>1</v>
      </c>
      <c r="AO14" s="2">
        <v>1</v>
      </c>
      <c r="AP14" s="2">
        <v>1</v>
      </c>
      <c r="AQ14" s="3">
        <v>1</v>
      </c>
      <c r="AR14" s="2">
        <v>1</v>
      </c>
      <c r="AS14" s="2">
        <v>1</v>
      </c>
      <c r="AT14" s="2">
        <v>1</v>
      </c>
    </row>
    <row r="15" spans="2:46" x14ac:dyDescent="0.4">
      <c r="B15" s="1" t="s">
        <v>61</v>
      </c>
      <c r="C15" s="2">
        <v>0.3</v>
      </c>
      <c r="D15" s="2">
        <v>1</v>
      </c>
      <c r="E15" s="2">
        <v>0.9</v>
      </c>
      <c r="F15" s="2">
        <v>0.3</v>
      </c>
      <c r="G15" s="2">
        <v>0.3</v>
      </c>
      <c r="H15" s="2">
        <v>1</v>
      </c>
      <c r="I15" s="2">
        <v>0.9</v>
      </c>
      <c r="J15" s="2">
        <v>0.3</v>
      </c>
      <c r="K15" s="2">
        <v>0.3</v>
      </c>
      <c r="L15" s="2">
        <v>1</v>
      </c>
      <c r="M15" s="2">
        <v>0.93</v>
      </c>
      <c r="N15" s="2">
        <v>0.3</v>
      </c>
      <c r="O15" s="2">
        <v>0.3</v>
      </c>
      <c r="P15" s="2">
        <v>1</v>
      </c>
      <c r="Q15" s="2">
        <v>0.95</v>
      </c>
      <c r="R15" s="2">
        <v>0.8</v>
      </c>
      <c r="S15" s="2">
        <v>0.3</v>
      </c>
      <c r="T15" s="2">
        <v>1</v>
      </c>
      <c r="U15" s="2">
        <v>0.995</v>
      </c>
      <c r="V15" s="2">
        <v>1</v>
      </c>
      <c r="W15" s="2">
        <v>0.3</v>
      </c>
      <c r="X15" s="2">
        <v>1</v>
      </c>
      <c r="Y15" s="2">
        <v>1</v>
      </c>
      <c r="Z15" s="2">
        <v>1</v>
      </c>
      <c r="AA15" s="3">
        <v>0.3</v>
      </c>
      <c r="AB15" s="2">
        <v>1</v>
      </c>
      <c r="AC15" s="2">
        <v>1</v>
      </c>
      <c r="AD15" s="2">
        <v>1</v>
      </c>
      <c r="AE15" s="3">
        <v>0.3</v>
      </c>
      <c r="AF15" s="2">
        <v>1</v>
      </c>
      <c r="AG15" s="2">
        <v>1</v>
      </c>
      <c r="AH15" s="2">
        <v>1</v>
      </c>
      <c r="AI15" s="3">
        <v>0.3</v>
      </c>
      <c r="AJ15" s="2">
        <v>1</v>
      </c>
      <c r="AK15" s="2">
        <v>1</v>
      </c>
      <c r="AL15" s="2">
        <v>1</v>
      </c>
      <c r="AM15" s="3">
        <v>0.3</v>
      </c>
      <c r="AN15" s="2">
        <v>1</v>
      </c>
      <c r="AO15" s="2">
        <v>1</v>
      </c>
      <c r="AP15" s="2">
        <v>1</v>
      </c>
      <c r="AQ15" s="3">
        <v>0.35399999999999998</v>
      </c>
      <c r="AR15" s="2">
        <v>1</v>
      </c>
      <c r="AS15" s="2">
        <v>1</v>
      </c>
      <c r="AT15" s="2">
        <v>1</v>
      </c>
    </row>
    <row r="16" spans="2:46" hidden="1" x14ac:dyDescent="0.4">
      <c r="B16" s="1" t="s">
        <v>62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3">
        <v>1</v>
      </c>
      <c r="AB16" s="2">
        <v>1</v>
      </c>
      <c r="AC16" s="2">
        <v>1</v>
      </c>
      <c r="AD16" s="2">
        <v>1</v>
      </c>
      <c r="AE16" s="3">
        <v>1</v>
      </c>
      <c r="AF16" s="2">
        <v>1</v>
      </c>
      <c r="AG16" s="2">
        <v>1</v>
      </c>
      <c r="AH16" s="2">
        <v>1</v>
      </c>
      <c r="AI16" s="3">
        <v>1</v>
      </c>
      <c r="AJ16" s="2">
        <v>1</v>
      </c>
      <c r="AK16" s="2">
        <v>1</v>
      </c>
      <c r="AL16" s="2">
        <v>1</v>
      </c>
      <c r="AM16" s="3">
        <v>1</v>
      </c>
      <c r="AN16" s="2">
        <v>1</v>
      </c>
      <c r="AO16" s="2">
        <v>1</v>
      </c>
      <c r="AP16" s="2">
        <v>1</v>
      </c>
      <c r="AQ16" s="3">
        <v>1</v>
      </c>
      <c r="AR16" s="2">
        <v>1</v>
      </c>
      <c r="AS16" s="2">
        <v>1</v>
      </c>
      <c r="AT16" s="2">
        <v>1</v>
      </c>
    </row>
    <row r="17" spans="2:46" hidden="1" x14ac:dyDescent="0.4">
      <c r="B17" s="1" t="s">
        <v>63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3">
        <v>1</v>
      </c>
      <c r="AB17" s="2">
        <v>1</v>
      </c>
      <c r="AC17" s="2">
        <v>1</v>
      </c>
      <c r="AD17" s="2">
        <v>1</v>
      </c>
      <c r="AE17" s="3">
        <v>1</v>
      </c>
      <c r="AF17" s="2">
        <v>1</v>
      </c>
      <c r="AG17" s="2">
        <v>1</v>
      </c>
      <c r="AH17" s="2">
        <v>1</v>
      </c>
      <c r="AI17" s="3">
        <v>1</v>
      </c>
      <c r="AJ17" s="2">
        <v>1</v>
      </c>
      <c r="AK17" s="2">
        <v>1</v>
      </c>
      <c r="AL17" s="2">
        <v>1</v>
      </c>
      <c r="AM17" s="3">
        <v>1</v>
      </c>
      <c r="AN17" s="2">
        <v>1</v>
      </c>
      <c r="AO17" s="2">
        <v>1</v>
      </c>
      <c r="AP17" s="2">
        <v>1</v>
      </c>
      <c r="AQ17" s="3">
        <v>1</v>
      </c>
      <c r="AR17" s="2">
        <v>1</v>
      </c>
      <c r="AS17" s="2">
        <v>1</v>
      </c>
      <c r="AT17" s="2">
        <v>1</v>
      </c>
    </row>
    <row r="18" spans="2:46" hidden="1" x14ac:dyDescent="0.4">
      <c r="B18" s="1" t="s">
        <v>64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3">
        <v>1</v>
      </c>
      <c r="AB18" s="2">
        <v>1</v>
      </c>
      <c r="AC18" s="2">
        <v>1</v>
      </c>
      <c r="AD18" s="2">
        <v>1</v>
      </c>
      <c r="AE18" s="3">
        <v>1</v>
      </c>
      <c r="AF18" s="2">
        <v>1</v>
      </c>
      <c r="AG18" s="2">
        <v>1</v>
      </c>
      <c r="AH18" s="2">
        <v>1</v>
      </c>
      <c r="AI18" s="3">
        <v>1</v>
      </c>
      <c r="AJ18" s="2">
        <v>1</v>
      </c>
      <c r="AK18" s="2">
        <v>1</v>
      </c>
      <c r="AL18" s="2">
        <v>1</v>
      </c>
      <c r="AM18" s="3">
        <v>1</v>
      </c>
      <c r="AN18" s="2">
        <v>1</v>
      </c>
      <c r="AO18" s="2">
        <v>1</v>
      </c>
      <c r="AP18" s="2">
        <v>1</v>
      </c>
      <c r="AQ18" s="3">
        <v>1</v>
      </c>
      <c r="AR18" s="2">
        <v>1</v>
      </c>
      <c r="AS18" s="2">
        <v>1</v>
      </c>
      <c r="AT18" s="2">
        <v>1</v>
      </c>
    </row>
    <row r="19" spans="2:46" hidden="1" x14ac:dyDescent="0.4">
      <c r="B19" s="1" t="s">
        <v>65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3">
        <v>1</v>
      </c>
      <c r="AB19" s="2">
        <v>1</v>
      </c>
      <c r="AC19" s="2">
        <v>1</v>
      </c>
      <c r="AD19" s="2">
        <v>1</v>
      </c>
      <c r="AE19" s="3">
        <v>1</v>
      </c>
      <c r="AF19" s="2">
        <v>1</v>
      </c>
      <c r="AG19" s="2">
        <v>1</v>
      </c>
      <c r="AH19" s="2">
        <v>1</v>
      </c>
      <c r="AI19" s="3">
        <v>1</v>
      </c>
      <c r="AJ19" s="2">
        <v>1</v>
      </c>
      <c r="AK19" s="2">
        <v>1</v>
      </c>
      <c r="AL19" s="2">
        <v>1</v>
      </c>
      <c r="AM19" s="3">
        <v>1</v>
      </c>
      <c r="AN19" s="2">
        <v>1</v>
      </c>
      <c r="AO19" s="2">
        <v>1</v>
      </c>
      <c r="AP19" s="2">
        <v>1</v>
      </c>
      <c r="AQ19" s="3">
        <v>1</v>
      </c>
      <c r="AR19" s="2">
        <v>1</v>
      </c>
      <c r="AS19" s="2">
        <v>1</v>
      </c>
      <c r="AT19" s="2">
        <v>1</v>
      </c>
    </row>
    <row r="20" spans="2:46" hidden="1" x14ac:dyDescent="0.4">
      <c r="B20" s="1" t="s">
        <v>66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3">
        <v>1</v>
      </c>
      <c r="AB20" s="2">
        <v>1</v>
      </c>
      <c r="AC20" s="2">
        <v>1</v>
      </c>
      <c r="AD20" s="2">
        <v>1</v>
      </c>
      <c r="AE20" s="3">
        <v>1</v>
      </c>
      <c r="AF20" s="2">
        <v>1</v>
      </c>
      <c r="AG20" s="2">
        <v>1</v>
      </c>
      <c r="AH20" s="2">
        <v>1</v>
      </c>
      <c r="AI20" s="3">
        <v>1</v>
      </c>
      <c r="AJ20" s="2">
        <v>1</v>
      </c>
      <c r="AK20" s="2">
        <v>1</v>
      </c>
      <c r="AL20" s="2">
        <v>1</v>
      </c>
      <c r="AM20" s="3">
        <v>1</v>
      </c>
      <c r="AN20" s="2">
        <v>1</v>
      </c>
      <c r="AO20" s="2">
        <v>1</v>
      </c>
      <c r="AP20" s="2">
        <v>1</v>
      </c>
      <c r="AQ20" s="3">
        <v>1</v>
      </c>
      <c r="AR20" s="2">
        <v>1</v>
      </c>
      <c r="AS20" s="2">
        <v>1</v>
      </c>
      <c r="AT20" s="2">
        <v>1</v>
      </c>
    </row>
    <row r="21" spans="2:46" hidden="1" x14ac:dyDescent="0.4">
      <c r="B21" s="1" t="s">
        <v>67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3">
        <v>1</v>
      </c>
      <c r="AB21" s="2">
        <v>1</v>
      </c>
      <c r="AC21" s="2">
        <v>1</v>
      </c>
      <c r="AD21" s="2">
        <v>1</v>
      </c>
      <c r="AE21" s="3">
        <v>1</v>
      </c>
      <c r="AF21" s="2">
        <v>1</v>
      </c>
      <c r="AG21" s="2">
        <v>1</v>
      </c>
      <c r="AH21" s="2">
        <v>1</v>
      </c>
      <c r="AI21" s="3">
        <v>1</v>
      </c>
      <c r="AJ21" s="2">
        <v>1</v>
      </c>
      <c r="AK21" s="2">
        <v>1</v>
      </c>
      <c r="AL21" s="2">
        <v>1</v>
      </c>
      <c r="AM21" s="3">
        <v>1</v>
      </c>
      <c r="AN21" s="2">
        <v>1</v>
      </c>
      <c r="AO21" s="2">
        <v>1</v>
      </c>
      <c r="AP21" s="2">
        <v>1</v>
      </c>
      <c r="AQ21" s="3">
        <v>1</v>
      </c>
      <c r="AR21" s="2">
        <v>1</v>
      </c>
      <c r="AS21" s="2">
        <v>1</v>
      </c>
      <c r="AT21" s="2">
        <v>1</v>
      </c>
    </row>
    <row r="22" spans="2:46" hidden="1" x14ac:dyDescent="0.4">
      <c r="B22" s="1" t="s">
        <v>68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3">
        <v>1</v>
      </c>
      <c r="AB22" s="2">
        <v>1</v>
      </c>
      <c r="AC22" s="2">
        <v>1</v>
      </c>
      <c r="AD22" s="2">
        <v>1</v>
      </c>
      <c r="AE22" s="3">
        <v>1</v>
      </c>
      <c r="AF22" s="2">
        <v>1</v>
      </c>
      <c r="AG22" s="2">
        <v>1</v>
      </c>
      <c r="AH22" s="2">
        <v>1</v>
      </c>
      <c r="AI22" s="3">
        <v>1</v>
      </c>
      <c r="AJ22" s="2">
        <v>1</v>
      </c>
      <c r="AK22" s="2">
        <v>1</v>
      </c>
      <c r="AL22" s="2">
        <v>1</v>
      </c>
      <c r="AM22" s="3">
        <v>1</v>
      </c>
      <c r="AN22" s="2">
        <v>1</v>
      </c>
      <c r="AO22" s="2">
        <v>1</v>
      </c>
      <c r="AP22" s="2">
        <v>1</v>
      </c>
      <c r="AQ22" s="3">
        <v>1</v>
      </c>
      <c r="AR22" s="2">
        <v>1</v>
      </c>
      <c r="AS22" s="2">
        <v>1</v>
      </c>
      <c r="AT22" s="2">
        <v>1</v>
      </c>
    </row>
    <row r="23" spans="2:46" hidden="1" x14ac:dyDescent="0.4">
      <c r="B23" s="1" t="s">
        <v>69</v>
      </c>
      <c r="C23" s="2">
        <v>0.85</v>
      </c>
      <c r="D23" s="2">
        <v>1</v>
      </c>
      <c r="E23" s="2">
        <v>0.9</v>
      </c>
      <c r="F23" s="2">
        <v>0.4</v>
      </c>
      <c r="G23" s="2">
        <v>0.85</v>
      </c>
      <c r="H23" s="2">
        <v>1</v>
      </c>
      <c r="I23" s="2">
        <v>0.9</v>
      </c>
      <c r="J23" s="2">
        <v>0.5</v>
      </c>
      <c r="K23" s="2">
        <v>0.85</v>
      </c>
      <c r="L23" s="2">
        <v>1</v>
      </c>
      <c r="M23" s="2">
        <v>0.93</v>
      </c>
      <c r="N23" s="2">
        <v>0.5</v>
      </c>
      <c r="O23" s="2">
        <v>0.85</v>
      </c>
      <c r="P23" s="2">
        <v>1</v>
      </c>
      <c r="Q23" s="2">
        <v>0.95</v>
      </c>
      <c r="R23" s="2">
        <v>0.7</v>
      </c>
      <c r="S23" s="2">
        <v>0.85</v>
      </c>
      <c r="T23" s="2">
        <v>1</v>
      </c>
      <c r="U23" s="2">
        <v>0.98</v>
      </c>
      <c r="V23" s="2">
        <v>0.85</v>
      </c>
      <c r="W23" s="2">
        <v>0.9</v>
      </c>
      <c r="X23" s="2">
        <v>1</v>
      </c>
      <c r="Y23" s="2">
        <v>0.98</v>
      </c>
      <c r="Z23" s="2">
        <v>0.9</v>
      </c>
      <c r="AA23" s="3">
        <v>0.95</v>
      </c>
      <c r="AB23" s="2">
        <v>1</v>
      </c>
      <c r="AC23" s="3">
        <v>0.99</v>
      </c>
      <c r="AD23" s="2">
        <v>1</v>
      </c>
      <c r="AE23" s="3">
        <v>1</v>
      </c>
      <c r="AF23" s="2">
        <v>1</v>
      </c>
      <c r="AG23" s="3">
        <v>0.99</v>
      </c>
      <c r="AH23" s="2">
        <v>1</v>
      </c>
      <c r="AI23" s="3">
        <v>1</v>
      </c>
      <c r="AJ23" s="2">
        <v>1</v>
      </c>
      <c r="AK23" s="3">
        <v>1</v>
      </c>
      <c r="AL23" s="2">
        <v>1</v>
      </c>
      <c r="AM23" s="3">
        <v>1</v>
      </c>
      <c r="AN23" s="2">
        <v>1</v>
      </c>
      <c r="AO23" s="3">
        <v>1</v>
      </c>
      <c r="AP23" s="2">
        <v>1</v>
      </c>
      <c r="AQ23" s="3">
        <v>1</v>
      </c>
      <c r="AR23" s="2">
        <v>1</v>
      </c>
      <c r="AS23" s="3">
        <v>1</v>
      </c>
      <c r="AT23" s="2">
        <v>1</v>
      </c>
    </row>
    <row r="24" spans="2:46" hidden="1" x14ac:dyDescent="0.4">
      <c r="B24" s="1" t="s">
        <v>70</v>
      </c>
      <c r="C24" s="2">
        <v>1</v>
      </c>
      <c r="D24" s="2">
        <v>1</v>
      </c>
      <c r="E24" s="2">
        <v>1</v>
      </c>
      <c r="F24" s="2">
        <v>0.4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0.5</v>
      </c>
      <c r="R24" s="2">
        <v>1</v>
      </c>
      <c r="S24" s="2">
        <v>1</v>
      </c>
      <c r="T24" s="2">
        <v>1</v>
      </c>
      <c r="U24" s="2">
        <v>0.5</v>
      </c>
      <c r="V24" s="2">
        <v>1</v>
      </c>
      <c r="W24" s="2">
        <v>1</v>
      </c>
      <c r="X24" s="2">
        <v>1</v>
      </c>
      <c r="Y24" s="2">
        <v>0.5</v>
      </c>
      <c r="Z24" s="2">
        <v>1</v>
      </c>
      <c r="AA24" s="3">
        <v>1</v>
      </c>
      <c r="AB24" s="2">
        <v>1</v>
      </c>
      <c r="AC24" s="2">
        <v>0.5</v>
      </c>
      <c r="AD24" s="2">
        <v>1</v>
      </c>
      <c r="AE24" s="3">
        <v>1</v>
      </c>
      <c r="AF24" s="2">
        <v>1</v>
      </c>
      <c r="AG24" s="2">
        <v>0.5</v>
      </c>
      <c r="AH24" s="2">
        <v>1</v>
      </c>
      <c r="AI24" s="3">
        <v>1</v>
      </c>
      <c r="AJ24" s="2">
        <v>1</v>
      </c>
      <c r="AK24" s="2">
        <v>0.5</v>
      </c>
      <c r="AL24" s="2">
        <v>1</v>
      </c>
      <c r="AM24" s="3">
        <v>1</v>
      </c>
      <c r="AN24" s="2">
        <v>1</v>
      </c>
      <c r="AO24" s="2">
        <v>0.8</v>
      </c>
      <c r="AP24" s="2">
        <v>1</v>
      </c>
      <c r="AQ24" s="3">
        <v>1</v>
      </c>
      <c r="AR24" s="2">
        <v>1</v>
      </c>
      <c r="AS24" s="2">
        <v>0.8</v>
      </c>
      <c r="AT24" s="2">
        <v>1</v>
      </c>
    </row>
    <row r="25" spans="2:46" hidden="1" x14ac:dyDescent="0.4">
      <c r="B25" s="1" t="s">
        <v>71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3">
        <v>1</v>
      </c>
      <c r="AB25" s="2">
        <v>1</v>
      </c>
      <c r="AC25" s="2">
        <v>1</v>
      </c>
      <c r="AD25" s="2">
        <v>1</v>
      </c>
      <c r="AE25" s="3">
        <v>1</v>
      </c>
      <c r="AF25" s="2">
        <v>1</v>
      </c>
      <c r="AG25" s="2">
        <v>1</v>
      </c>
      <c r="AH25" s="2">
        <v>1</v>
      </c>
      <c r="AI25" s="3">
        <v>1</v>
      </c>
      <c r="AJ25" s="2">
        <v>1</v>
      </c>
      <c r="AK25" s="2">
        <v>1</v>
      </c>
      <c r="AL25" s="2">
        <v>1</v>
      </c>
      <c r="AM25" s="3">
        <v>1</v>
      </c>
      <c r="AN25" s="2">
        <v>1</v>
      </c>
      <c r="AO25" s="2">
        <v>1</v>
      </c>
      <c r="AP25" s="2">
        <v>1</v>
      </c>
      <c r="AQ25" s="3">
        <v>1</v>
      </c>
      <c r="AR25" s="2">
        <v>1</v>
      </c>
      <c r="AS25" s="2">
        <v>1</v>
      </c>
      <c r="AT25" s="2">
        <v>1</v>
      </c>
    </row>
    <row r="26" spans="2:46" hidden="1" x14ac:dyDescent="0.4">
      <c r="B26" s="1" t="s">
        <v>72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3">
        <v>1</v>
      </c>
      <c r="AB26" s="2">
        <v>1</v>
      </c>
      <c r="AC26" s="2">
        <v>1</v>
      </c>
      <c r="AD26" s="2">
        <v>1</v>
      </c>
      <c r="AE26" s="3">
        <v>1</v>
      </c>
      <c r="AF26" s="2">
        <v>1</v>
      </c>
      <c r="AG26" s="2">
        <v>1</v>
      </c>
      <c r="AH26" s="2">
        <v>1</v>
      </c>
      <c r="AI26" s="3">
        <v>1</v>
      </c>
      <c r="AJ26" s="2">
        <v>1</v>
      </c>
      <c r="AK26" s="2">
        <v>1</v>
      </c>
      <c r="AL26" s="2">
        <v>1</v>
      </c>
      <c r="AM26" s="3">
        <v>1</v>
      </c>
      <c r="AN26" s="2">
        <v>1</v>
      </c>
      <c r="AO26" s="2">
        <v>1</v>
      </c>
      <c r="AP26" s="2">
        <v>1</v>
      </c>
      <c r="AQ26" s="3">
        <v>1</v>
      </c>
      <c r="AR26" s="2">
        <v>1</v>
      </c>
      <c r="AS26" s="2">
        <v>1</v>
      </c>
      <c r="AT26" s="2">
        <v>1</v>
      </c>
    </row>
    <row r="27" spans="2:46" hidden="1" x14ac:dyDescent="0.4">
      <c r="B27" s="1" t="s">
        <v>73</v>
      </c>
      <c r="C27" s="2">
        <v>0.75</v>
      </c>
      <c r="D27" s="2">
        <v>0.95</v>
      </c>
      <c r="E27" s="2">
        <v>1</v>
      </c>
      <c r="F27" s="2">
        <v>0.4</v>
      </c>
      <c r="G27" s="2">
        <v>0.75</v>
      </c>
      <c r="H27" s="2">
        <v>1</v>
      </c>
      <c r="I27" s="2">
        <v>1</v>
      </c>
      <c r="J27" s="2">
        <v>0.5</v>
      </c>
      <c r="K27" s="2">
        <v>0.75</v>
      </c>
      <c r="L27" s="2">
        <v>0.96</v>
      </c>
      <c r="M27" s="2">
        <v>1</v>
      </c>
      <c r="N27" s="2">
        <v>0.5</v>
      </c>
      <c r="O27" s="2">
        <v>0.75</v>
      </c>
      <c r="P27" s="2">
        <v>1</v>
      </c>
      <c r="Q27" s="2">
        <v>1</v>
      </c>
      <c r="R27" s="2">
        <v>0.7</v>
      </c>
      <c r="S27" s="2">
        <v>0.75</v>
      </c>
      <c r="T27" s="2">
        <v>0.96</v>
      </c>
      <c r="U27" s="2">
        <v>1</v>
      </c>
      <c r="V27" s="2">
        <v>0.9</v>
      </c>
      <c r="W27" s="2">
        <v>0.8</v>
      </c>
      <c r="X27" s="2">
        <v>1</v>
      </c>
      <c r="Y27" s="2">
        <v>1</v>
      </c>
      <c r="Z27" s="2">
        <v>1</v>
      </c>
      <c r="AA27" s="3">
        <v>0.8</v>
      </c>
      <c r="AB27" s="2">
        <v>1</v>
      </c>
      <c r="AC27" s="2">
        <v>1</v>
      </c>
      <c r="AD27" s="2">
        <v>1</v>
      </c>
      <c r="AE27" s="3">
        <v>0.8</v>
      </c>
      <c r="AF27" s="2">
        <v>1</v>
      </c>
      <c r="AG27" s="2">
        <v>1</v>
      </c>
      <c r="AH27" s="2">
        <v>1</v>
      </c>
      <c r="AI27" s="3">
        <v>0.8</v>
      </c>
      <c r="AJ27" s="2">
        <v>1</v>
      </c>
      <c r="AK27" s="2">
        <v>1</v>
      </c>
      <c r="AL27" s="2">
        <v>1</v>
      </c>
      <c r="AM27" s="3">
        <v>1</v>
      </c>
      <c r="AN27" s="2">
        <v>1</v>
      </c>
      <c r="AO27" s="2">
        <v>1</v>
      </c>
      <c r="AP27" s="2">
        <v>1</v>
      </c>
      <c r="AQ27" s="3">
        <v>1</v>
      </c>
      <c r="AR27" s="2">
        <v>1</v>
      </c>
      <c r="AS27" s="2">
        <v>1</v>
      </c>
      <c r="AT27" s="2">
        <v>1</v>
      </c>
    </row>
    <row r="28" spans="2:46" hidden="1" x14ac:dyDescent="0.4">
      <c r="B28" s="1" t="s">
        <v>74</v>
      </c>
      <c r="C28" s="2">
        <v>1</v>
      </c>
      <c r="D28" s="2">
        <v>1</v>
      </c>
      <c r="E28" s="2">
        <v>1</v>
      </c>
      <c r="F28" s="2">
        <v>0.4</v>
      </c>
      <c r="G28" s="2">
        <v>1</v>
      </c>
      <c r="H28" s="2">
        <v>1</v>
      </c>
      <c r="I28" s="2">
        <v>1</v>
      </c>
      <c r="J28" s="2">
        <v>0.5</v>
      </c>
      <c r="K28" s="2">
        <v>1</v>
      </c>
      <c r="L28" s="2">
        <v>1</v>
      </c>
      <c r="M28" s="2">
        <v>1</v>
      </c>
      <c r="N28" s="2">
        <v>0.5</v>
      </c>
      <c r="O28" s="2">
        <v>1</v>
      </c>
      <c r="P28" s="2">
        <v>1</v>
      </c>
      <c r="Q28" s="2">
        <v>1</v>
      </c>
      <c r="R28" s="2">
        <v>0.7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3">
        <v>1</v>
      </c>
      <c r="AB28" s="2">
        <v>1</v>
      </c>
      <c r="AC28" s="2">
        <v>1</v>
      </c>
      <c r="AD28" s="2">
        <v>1</v>
      </c>
      <c r="AE28" s="3">
        <v>1</v>
      </c>
      <c r="AF28" s="2">
        <v>1</v>
      </c>
      <c r="AG28" s="2">
        <v>1</v>
      </c>
      <c r="AH28" s="2">
        <v>1</v>
      </c>
      <c r="AI28" s="3">
        <v>1</v>
      </c>
      <c r="AJ28" s="2">
        <v>1</v>
      </c>
      <c r="AK28" s="2">
        <v>1</v>
      </c>
      <c r="AL28" s="2">
        <v>1</v>
      </c>
      <c r="AM28" s="3">
        <v>1</v>
      </c>
      <c r="AN28" s="2">
        <v>1</v>
      </c>
      <c r="AO28" s="2">
        <v>1</v>
      </c>
      <c r="AP28" s="2">
        <v>1</v>
      </c>
      <c r="AQ28" s="3">
        <v>1</v>
      </c>
      <c r="AR28" s="2">
        <v>1</v>
      </c>
      <c r="AS28" s="2">
        <v>1</v>
      </c>
      <c r="AT28" s="2">
        <v>1</v>
      </c>
    </row>
    <row r="29" spans="2:46" hidden="1" x14ac:dyDescent="0.4">
      <c r="B29" s="1" t="s">
        <v>75</v>
      </c>
      <c r="C29" s="2">
        <v>1</v>
      </c>
      <c r="D29" s="2">
        <v>1</v>
      </c>
      <c r="E29" s="2">
        <v>1</v>
      </c>
      <c r="F29" s="2">
        <v>0.4</v>
      </c>
      <c r="G29" s="2">
        <v>1</v>
      </c>
      <c r="H29" s="2">
        <v>1</v>
      </c>
      <c r="I29" s="2">
        <v>1</v>
      </c>
      <c r="J29" s="2">
        <v>0.55000000000000004</v>
      </c>
      <c r="K29" s="2">
        <v>1</v>
      </c>
      <c r="L29" s="2">
        <v>1</v>
      </c>
      <c r="M29" s="2">
        <v>1</v>
      </c>
      <c r="N29" s="2">
        <v>0.55000000000000004</v>
      </c>
      <c r="O29" s="2">
        <v>1</v>
      </c>
      <c r="P29" s="2">
        <v>1</v>
      </c>
      <c r="Q29" s="2">
        <v>1</v>
      </c>
      <c r="R29" s="2">
        <v>0.8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3">
        <v>1</v>
      </c>
      <c r="AB29" s="2">
        <v>1</v>
      </c>
      <c r="AC29" s="2">
        <v>1</v>
      </c>
      <c r="AD29" s="2">
        <v>1</v>
      </c>
      <c r="AE29" s="3">
        <v>1</v>
      </c>
      <c r="AF29" s="2">
        <v>1</v>
      </c>
      <c r="AG29" s="2">
        <v>1</v>
      </c>
      <c r="AH29" s="2">
        <v>1</v>
      </c>
      <c r="AI29" s="3">
        <v>1</v>
      </c>
      <c r="AJ29" s="2">
        <v>1</v>
      </c>
      <c r="AK29" s="2">
        <v>1</v>
      </c>
      <c r="AL29" s="2">
        <v>1</v>
      </c>
      <c r="AM29" s="3">
        <v>1</v>
      </c>
      <c r="AN29" s="2">
        <v>1</v>
      </c>
      <c r="AO29" s="2">
        <v>1</v>
      </c>
      <c r="AP29" s="2">
        <v>1</v>
      </c>
      <c r="AQ29" s="3">
        <v>1</v>
      </c>
      <c r="AR29" s="2">
        <v>1</v>
      </c>
      <c r="AS29" s="2">
        <v>1</v>
      </c>
      <c r="AT29" s="2">
        <v>1</v>
      </c>
    </row>
    <row r="30" spans="2:46" hidden="1" x14ac:dyDescent="0.4">
      <c r="B30" s="1" t="s">
        <v>76</v>
      </c>
      <c r="C30" s="2">
        <v>0.94</v>
      </c>
      <c r="D30" s="2">
        <v>1</v>
      </c>
      <c r="E30" s="2">
        <v>1</v>
      </c>
      <c r="F30" s="2">
        <v>0.4</v>
      </c>
      <c r="G30" s="2">
        <v>0.94</v>
      </c>
      <c r="H30" s="2">
        <v>1</v>
      </c>
      <c r="I30" s="2">
        <v>1</v>
      </c>
      <c r="J30" s="2">
        <v>0.55000000000000004</v>
      </c>
      <c r="K30" s="2">
        <v>0.94</v>
      </c>
      <c r="L30" s="2">
        <v>1</v>
      </c>
      <c r="M30" s="2">
        <v>1</v>
      </c>
      <c r="N30" s="2">
        <v>0.55000000000000004</v>
      </c>
      <c r="O30" s="2">
        <v>0.94</v>
      </c>
      <c r="P30" s="2">
        <v>1</v>
      </c>
      <c r="Q30" s="2">
        <v>1</v>
      </c>
      <c r="R30" s="2">
        <v>0.75</v>
      </c>
      <c r="S30" s="2">
        <v>0.94</v>
      </c>
      <c r="T30" s="2">
        <v>1</v>
      </c>
      <c r="U30" s="2">
        <v>1</v>
      </c>
      <c r="V30" s="2">
        <v>1</v>
      </c>
      <c r="W30" s="2">
        <v>0.94</v>
      </c>
      <c r="X30" s="2">
        <v>1</v>
      </c>
      <c r="Y30" s="2">
        <v>1</v>
      </c>
      <c r="Z30" s="2">
        <v>1</v>
      </c>
      <c r="AA30" s="3">
        <v>0.97</v>
      </c>
      <c r="AB30" s="2">
        <v>1</v>
      </c>
      <c r="AC30" s="2">
        <v>1</v>
      </c>
      <c r="AD30" s="2">
        <v>1</v>
      </c>
      <c r="AE30" s="3">
        <v>1</v>
      </c>
      <c r="AF30" s="2">
        <v>1</v>
      </c>
      <c r="AG30" s="2">
        <v>1</v>
      </c>
      <c r="AH30" s="2">
        <v>1</v>
      </c>
      <c r="AI30" s="3">
        <v>1</v>
      </c>
      <c r="AJ30" s="2">
        <v>1</v>
      </c>
      <c r="AK30" s="2">
        <v>1</v>
      </c>
      <c r="AL30" s="2">
        <v>1</v>
      </c>
      <c r="AM30" s="3">
        <v>1</v>
      </c>
      <c r="AN30" s="2">
        <v>1</v>
      </c>
      <c r="AO30" s="2">
        <v>1</v>
      </c>
      <c r="AP30" s="2">
        <v>1</v>
      </c>
      <c r="AQ30" s="3">
        <v>1</v>
      </c>
      <c r="AR30" s="2">
        <v>1</v>
      </c>
      <c r="AS30" s="2">
        <v>1</v>
      </c>
      <c r="AT30" s="2">
        <v>1</v>
      </c>
    </row>
    <row r="31" spans="2:46" hidden="1" x14ac:dyDescent="0.4">
      <c r="B31" s="1" t="s">
        <v>77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3">
        <v>1</v>
      </c>
      <c r="AB31" s="2">
        <v>1</v>
      </c>
      <c r="AC31" s="2">
        <v>1</v>
      </c>
      <c r="AD31" s="2">
        <v>1</v>
      </c>
      <c r="AE31" s="3">
        <v>1</v>
      </c>
      <c r="AF31" s="2">
        <v>1</v>
      </c>
      <c r="AG31" s="2">
        <v>1</v>
      </c>
      <c r="AH31" s="2">
        <v>1</v>
      </c>
      <c r="AI31" s="3">
        <v>1</v>
      </c>
      <c r="AJ31" s="2">
        <v>1</v>
      </c>
      <c r="AK31" s="2">
        <v>1</v>
      </c>
      <c r="AL31" s="2">
        <v>1</v>
      </c>
      <c r="AM31" s="3">
        <v>1</v>
      </c>
      <c r="AN31" s="2">
        <v>1</v>
      </c>
      <c r="AO31" s="2">
        <v>1</v>
      </c>
      <c r="AP31" s="2">
        <v>1</v>
      </c>
      <c r="AQ31" s="3">
        <v>1</v>
      </c>
      <c r="AR31" s="2">
        <v>1</v>
      </c>
      <c r="AS31" s="2">
        <v>1</v>
      </c>
      <c r="AT31" s="2">
        <v>1</v>
      </c>
    </row>
    <row r="32" spans="2:46" hidden="1" x14ac:dyDescent="0.4">
      <c r="B32" s="1" t="s">
        <v>78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3">
        <v>1</v>
      </c>
      <c r="AB32" s="2">
        <v>1</v>
      </c>
      <c r="AC32" s="2">
        <v>1</v>
      </c>
      <c r="AD32" s="2">
        <v>1</v>
      </c>
      <c r="AE32" s="3">
        <v>1</v>
      </c>
      <c r="AF32" s="2">
        <v>1</v>
      </c>
      <c r="AG32" s="2">
        <v>1</v>
      </c>
      <c r="AH32" s="2">
        <v>1</v>
      </c>
      <c r="AI32" s="3">
        <v>1</v>
      </c>
      <c r="AJ32" s="2">
        <v>1</v>
      </c>
      <c r="AK32" s="2">
        <v>1</v>
      </c>
      <c r="AL32" s="2">
        <v>1</v>
      </c>
      <c r="AM32" s="3">
        <v>1</v>
      </c>
      <c r="AN32" s="2">
        <v>1</v>
      </c>
      <c r="AO32" s="2">
        <v>1</v>
      </c>
      <c r="AP32" s="2">
        <v>1</v>
      </c>
      <c r="AQ32" s="3">
        <v>1</v>
      </c>
      <c r="AR32" s="2">
        <v>1</v>
      </c>
      <c r="AS32" s="2">
        <v>1</v>
      </c>
      <c r="AT32" s="2">
        <v>1</v>
      </c>
    </row>
    <row r="33" spans="2:46" hidden="1" x14ac:dyDescent="0.4">
      <c r="B33" s="1" t="s">
        <v>79</v>
      </c>
      <c r="C33" s="2">
        <v>0.69</v>
      </c>
      <c r="D33" s="2">
        <v>1</v>
      </c>
      <c r="E33" s="2">
        <v>1</v>
      </c>
      <c r="F33" s="2">
        <v>0.5</v>
      </c>
      <c r="G33" s="2">
        <v>0.69</v>
      </c>
      <c r="H33" s="2">
        <v>1</v>
      </c>
      <c r="I33" s="2">
        <v>1</v>
      </c>
      <c r="J33" s="2">
        <v>0.55000000000000004</v>
      </c>
      <c r="K33" s="2">
        <v>0.69</v>
      </c>
      <c r="L33" s="2">
        <v>1</v>
      </c>
      <c r="M33" s="2">
        <v>1</v>
      </c>
      <c r="N33" s="2">
        <v>0.55000000000000004</v>
      </c>
      <c r="O33" s="2">
        <v>0.69</v>
      </c>
      <c r="P33" s="2">
        <v>1</v>
      </c>
      <c r="Q33" s="2">
        <v>1</v>
      </c>
      <c r="R33" s="2">
        <v>0.7</v>
      </c>
      <c r="S33" s="2">
        <v>0.69</v>
      </c>
      <c r="T33" s="2">
        <v>1</v>
      </c>
      <c r="U33" s="2">
        <v>1</v>
      </c>
      <c r="V33" s="2">
        <v>1</v>
      </c>
      <c r="W33" s="2">
        <v>0.69</v>
      </c>
      <c r="X33" s="2">
        <v>1</v>
      </c>
      <c r="Y33" s="2">
        <v>1</v>
      </c>
      <c r="Z33" s="2">
        <v>1</v>
      </c>
      <c r="AA33" s="3">
        <v>0.69</v>
      </c>
      <c r="AB33" s="2">
        <v>1</v>
      </c>
      <c r="AC33" s="2">
        <v>1</v>
      </c>
      <c r="AD33" s="2">
        <v>1</v>
      </c>
      <c r="AE33" s="3">
        <v>0.69</v>
      </c>
      <c r="AF33" s="2">
        <v>1</v>
      </c>
      <c r="AG33" s="2">
        <v>1</v>
      </c>
      <c r="AH33" s="2">
        <v>1</v>
      </c>
      <c r="AI33" s="3">
        <v>0.69</v>
      </c>
      <c r="AJ33" s="2">
        <v>1</v>
      </c>
      <c r="AK33" s="2">
        <v>1</v>
      </c>
      <c r="AL33" s="2">
        <v>1</v>
      </c>
      <c r="AM33" s="3">
        <v>0.8</v>
      </c>
      <c r="AN33" s="2">
        <v>1</v>
      </c>
      <c r="AO33" s="2">
        <v>1</v>
      </c>
      <c r="AP33" s="2">
        <v>1</v>
      </c>
      <c r="AQ33" s="3">
        <v>1</v>
      </c>
      <c r="AR33" s="2">
        <v>1</v>
      </c>
      <c r="AS33" s="2">
        <v>1</v>
      </c>
      <c r="AT33" s="2">
        <v>1</v>
      </c>
    </row>
    <row r="34" spans="2:46" hidden="1" x14ac:dyDescent="0.4">
      <c r="B34" s="1" t="s">
        <v>80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3">
        <v>1</v>
      </c>
      <c r="AB34" s="2">
        <v>1</v>
      </c>
      <c r="AC34" s="2">
        <v>1</v>
      </c>
      <c r="AD34" s="2">
        <v>1</v>
      </c>
      <c r="AE34" s="3">
        <v>1</v>
      </c>
      <c r="AF34" s="2">
        <v>1</v>
      </c>
      <c r="AG34" s="2">
        <v>1</v>
      </c>
      <c r="AH34" s="2">
        <v>1</v>
      </c>
      <c r="AI34" s="3">
        <v>1</v>
      </c>
      <c r="AJ34" s="2">
        <v>1</v>
      </c>
      <c r="AK34" s="2">
        <v>1</v>
      </c>
      <c r="AL34" s="2">
        <v>1</v>
      </c>
      <c r="AM34" s="3">
        <v>1</v>
      </c>
      <c r="AN34" s="2">
        <v>1</v>
      </c>
      <c r="AO34" s="2">
        <v>1</v>
      </c>
      <c r="AP34" s="2">
        <v>1</v>
      </c>
      <c r="AQ34" s="3">
        <v>1</v>
      </c>
      <c r="AR34" s="2">
        <v>1</v>
      </c>
      <c r="AS34" s="2">
        <v>1</v>
      </c>
      <c r="AT34" s="2">
        <v>1</v>
      </c>
    </row>
    <row r="35" spans="2:46" hidden="1" x14ac:dyDescent="0.4">
      <c r="B35" s="1" t="s">
        <v>81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3">
        <v>1</v>
      </c>
      <c r="AB35" s="2">
        <v>1</v>
      </c>
      <c r="AC35" s="2">
        <v>1</v>
      </c>
      <c r="AD35" s="2">
        <v>1</v>
      </c>
      <c r="AE35" s="3">
        <v>1</v>
      </c>
      <c r="AF35" s="2">
        <v>1</v>
      </c>
      <c r="AG35" s="2">
        <v>1</v>
      </c>
      <c r="AH35" s="2">
        <v>1</v>
      </c>
      <c r="AI35" s="3">
        <v>1</v>
      </c>
      <c r="AJ35" s="2">
        <v>1</v>
      </c>
      <c r="AK35" s="2">
        <v>1</v>
      </c>
      <c r="AL35" s="2">
        <v>1</v>
      </c>
      <c r="AM35" s="3">
        <v>1</v>
      </c>
      <c r="AN35" s="2">
        <v>1</v>
      </c>
      <c r="AO35" s="2">
        <v>1</v>
      </c>
      <c r="AP35" s="2">
        <v>1</v>
      </c>
      <c r="AQ35" s="3">
        <v>1</v>
      </c>
      <c r="AR35" s="2">
        <v>1</v>
      </c>
      <c r="AS35" s="2">
        <v>1</v>
      </c>
      <c r="AT35" s="2">
        <v>1</v>
      </c>
    </row>
    <row r="36" spans="2:46" hidden="1" x14ac:dyDescent="0.4">
      <c r="B36" s="1" t="s">
        <v>82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3">
        <v>1</v>
      </c>
      <c r="AB36" s="2">
        <v>1</v>
      </c>
      <c r="AC36" s="2">
        <v>1</v>
      </c>
      <c r="AD36" s="2">
        <v>1</v>
      </c>
      <c r="AE36" s="3">
        <v>1</v>
      </c>
      <c r="AF36" s="2">
        <v>1</v>
      </c>
      <c r="AG36" s="2">
        <v>1</v>
      </c>
      <c r="AH36" s="2">
        <v>1</v>
      </c>
      <c r="AI36" s="3">
        <v>1</v>
      </c>
      <c r="AJ36" s="2">
        <v>1</v>
      </c>
      <c r="AK36" s="2">
        <v>1</v>
      </c>
      <c r="AL36" s="2">
        <v>1</v>
      </c>
      <c r="AM36" s="3">
        <v>1</v>
      </c>
      <c r="AN36" s="2">
        <v>1</v>
      </c>
      <c r="AO36" s="2">
        <v>1</v>
      </c>
      <c r="AP36" s="2">
        <v>1</v>
      </c>
      <c r="AQ36" s="3">
        <v>1</v>
      </c>
      <c r="AR36" s="2">
        <v>1</v>
      </c>
      <c r="AS36" s="2">
        <v>1</v>
      </c>
      <c r="AT36" s="2">
        <v>1</v>
      </c>
    </row>
    <row r="37" spans="2:46" hidden="1" x14ac:dyDescent="0.4">
      <c r="B37" s="1" t="s">
        <v>83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3">
        <v>1</v>
      </c>
      <c r="AB37" s="2">
        <v>1</v>
      </c>
      <c r="AC37" s="2">
        <v>1</v>
      </c>
      <c r="AD37" s="2">
        <v>1</v>
      </c>
      <c r="AE37" s="3">
        <v>1</v>
      </c>
      <c r="AF37" s="2">
        <v>1</v>
      </c>
      <c r="AG37" s="2">
        <v>1</v>
      </c>
      <c r="AH37" s="2">
        <v>1</v>
      </c>
      <c r="AI37" s="3">
        <v>1</v>
      </c>
      <c r="AJ37" s="2">
        <v>1</v>
      </c>
      <c r="AK37" s="2">
        <v>1</v>
      </c>
      <c r="AL37" s="2">
        <v>1</v>
      </c>
      <c r="AM37" s="3">
        <v>1</v>
      </c>
      <c r="AN37" s="2">
        <v>1</v>
      </c>
      <c r="AO37" s="2">
        <v>1</v>
      </c>
      <c r="AP37" s="2">
        <v>1</v>
      </c>
      <c r="AQ37" s="3">
        <v>1</v>
      </c>
      <c r="AR37" s="2">
        <v>1</v>
      </c>
      <c r="AS37" s="2">
        <v>1</v>
      </c>
      <c r="AT37" s="2">
        <v>1</v>
      </c>
    </row>
    <row r="38" spans="2:46" hidden="1" x14ac:dyDescent="0.4">
      <c r="B38" s="1" t="s">
        <v>84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3">
        <v>1</v>
      </c>
      <c r="AB38" s="2">
        <v>1</v>
      </c>
      <c r="AC38" s="2">
        <v>1</v>
      </c>
      <c r="AD38" s="2">
        <v>1</v>
      </c>
      <c r="AE38" s="3">
        <v>1</v>
      </c>
      <c r="AF38" s="2">
        <v>1</v>
      </c>
      <c r="AG38" s="2">
        <v>1</v>
      </c>
      <c r="AH38" s="2">
        <v>1</v>
      </c>
      <c r="AI38" s="3">
        <v>1</v>
      </c>
      <c r="AJ38" s="2">
        <v>1</v>
      </c>
      <c r="AK38" s="2">
        <v>1</v>
      </c>
      <c r="AL38" s="2">
        <v>1</v>
      </c>
      <c r="AM38" s="3">
        <v>1</v>
      </c>
      <c r="AN38" s="2">
        <v>1</v>
      </c>
      <c r="AO38" s="2">
        <v>1</v>
      </c>
      <c r="AP38" s="2">
        <v>1</v>
      </c>
      <c r="AQ38" s="3">
        <v>1</v>
      </c>
      <c r="AR38" s="2">
        <v>1</v>
      </c>
      <c r="AS38" s="2">
        <v>1</v>
      </c>
      <c r="AT38" s="2">
        <v>1</v>
      </c>
    </row>
    <row r="39" spans="2:46" hidden="1" x14ac:dyDescent="0.4">
      <c r="B39" s="1" t="s">
        <v>85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3">
        <v>1</v>
      </c>
      <c r="AB39" s="2">
        <v>1</v>
      </c>
      <c r="AC39" s="2">
        <v>1</v>
      </c>
      <c r="AD39" s="2">
        <v>1</v>
      </c>
      <c r="AE39" s="3">
        <v>1</v>
      </c>
      <c r="AF39" s="2">
        <v>1</v>
      </c>
      <c r="AG39" s="2">
        <v>1</v>
      </c>
      <c r="AH39" s="2">
        <v>1</v>
      </c>
      <c r="AI39" s="3">
        <v>1</v>
      </c>
      <c r="AJ39" s="2">
        <v>1</v>
      </c>
      <c r="AK39" s="2">
        <v>1</v>
      </c>
      <c r="AL39" s="2">
        <v>1</v>
      </c>
      <c r="AM39" s="3">
        <v>1</v>
      </c>
      <c r="AN39" s="2">
        <v>1</v>
      </c>
      <c r="AO39" s="2">
        <v>1</v>
      </c>
      <c r="AP39" s="2">
        <v>1</v>
      </c>
      <c r="AQ39" s="3">
        <v>1</v>
      </c>
      <c r="AR39" s="2">
        <v>1</v>
      </c>
      <c r="AS39" s="2">
        <v>1</v>
      </c>
      <c r="AT39" s="2">
        <v>1</v>
      </c>
    </row>
    <row r="40" spans="2:46" hidden="1" x14ac:dyDescent="0.4">
      <c r="B40" s="1" t="s">
        <v>86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3">
        <v>1</v>
      </c>
      <c r="AB40" s="2">
        <v>1</v>
      </c>
      <c r="AC40" s="2">
        <v>1</v>
      </c>
      <c r="AD40" s="2">
        <v>1</v>
      </c>
      <c r="AE40" s="3">
        <v>1</v>
      </c>
      <c r="AF40" s="2">
        <v>1</v>
      </c>
      <c r="AG40" s="2">
        <v>1</v>
      </c>
      <c r="AH40" s="2">
        <v>1</v>
      </c>
      <c r="AI40" s="3">
        <v>1</v>
      </c>
      <c r="AJ40" s="2">
        <v>1</v>
      </c>
      <c r="AK40" s="2">
        <v>1</v>
      </c>
      <c r="AL40" s="2">
        <v>1</v>
      </c>
      <c r="AM40" s="3">
        <v>1</v>
      </c>
      <c r="AN40" s="2">
        <v>1</v>
      </c>
      <c r="AO40" s="2">
        <v>1</v>
      </c>
      <c r="AP40" s="2">
        <v>1</v>
      </c>
      <c r="AQ40" s="3">
        <v>1</v>
      </c>
      <c r="AR40" s="2">
        <v>1</v>
      </c>
      <c r="AS40" s="2">
        <v>1</v>
      </c>
      <c r="AT40" s="2">
        <v>1</v>
      </c>
    </row>
    <row r="41" spans="2:46" hidden="1" x14ac:dyDescent="0.4">
      <c r="B41" s="1" t="s">
        <v>87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3">
        <v>1</v>
      </c>
      <c r="AB41" s="2">
        <v>1</v>
      </c>
      <c r="AC41" s="2">
        <v>1</v>
      </c>
      <c r="AD41" s="2">
        <v>1</v>
      </c>
      <c r="AE41" s="3">
        <v>1</v>
      </c>
      <c r="AF41" s="2">
        <v>1</v>
      </c>
      <c r="AG41" s="2">
        <v>1</v>
      </c>
      <c r="AH41" s="2">
        <v>1</v>
      </c>
      <c r="AI41" s="3">
        <v>1</v>
      </c>
      <c r="AJ41" s="2">
        <v>1</v>
      </c>
      <c r="AK41" s="2">
        <v>1</v>
      </c>
      <c r="AL41" s="2">
        <v>1</v>
      </c>
      <c r="AM41" s="3">
        <v>1</v>
      </c>
      <c r="AN41" s="2">
        <v>1</v>
      </c>
      <c r="AO41" s="2">
        <v>1</v>
      </c>
      <c r="AP41" s="2">
        <v>1</v>
      </c>
      <c r="AQ41" s="3">
        <v>1</v>
      </c>
      <c r="AR41" s="2">
        <v>1</v>
      </c>
      <c r="AS41" s="2">
        <v>1</v>
      </c>
      <c r="AT41" s="2">
        <v>1</v>
      </c>
    </row>
    <row r="42" spans="2:46" hidden="1" x14ac:dyDescent="0.4">
      <c r="B42" s="1" t="s">
        <v>88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3">
        <v>1</v>
      </c>
      <c r="AB42" s="2">
        <v>1</v>
      </c>
      <c r="AC42" s="2">
        <v>1</v>
      </c>
      <c r="AD42" s="2">
        <v>1</v>
      </c>
      <c r="AE42" s="3">
        <v>1</v>
      </c>
      <c r="AF42" s="2">
        <v>1</v>
      </c>
      <c r="AG42" s="2">
        <v>1</v>
      </c>
      <c r="AH42" s="2">
        <v>1</v>
      </c>
      <c r="AI42" s="3">
        <v>1</v>
      </c>
      <c r="AJ42" s="2">
        <v>1</v>
      </c>
      <c r="AK42" s="2">
        <v>1</v>
      </c>
      <c r="AL42" s="2">
        <v>1</v>
      </c>
      <c r="AM42" s="3">
        <v>1</v>
      </c>
      <c r="AN42" s="2">
        <v>1</v>
      </c>
      <c r="AO42" s="2">
        <v>1</v>
      </c>
      <c r="AP42" s="2">
        <v>1</v>
      </c>
      <c r="AQ42" s="3">
        <v>1</v>
      </c>
      <c r="AR42" s="2">
        <v>1</v>
      </c>
      <c r="AS42" s="2">
        <v>1</v>
      </c>
      <c r="AT42" s="2">
        <v>1</v>
      </c>
    </row>
    <row r="43" spans="2:46" hidden="1" x14ac:dyDescent="0.4">
      <c r="B43" s="1" t="s">
        <v>89</v>
      </c>
      <c r="C43" s="2">
        <v>1</v>
      </c>
      <c r="D43" s="2">
        <v>1</v>
      </c>
      <c r="E43" s="2">
        <v>1</v>
      </c>
      <c r="F43" s="2">
        <v>0.55000000000000004</v>
      </c>
      <c r="G43" s="2">
        <v>1</v>
      </c>
      <c r="H43" s="2">
        <v>1</v>
      </c>
      <c r="I43" s="2">
        <v>1</v>
      </c>
      <c r="J43" s="2">
        <v>0.65</v>
      </c>
      <c r="K43" s="2">
        <v>1</v>
      </c>
      <c r="L43" s="2">
        <v>1</v>
      </c>
      <c r="M43" s="2">
        <v>1</v>
      </c>
      <c r="N43" s="2">
        <v>0.65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3">
        <v>1</v>
      </c>
      <c r="AB43" s="2">
        <v>1</v>
      </c>
      <c r="AC43" s="2">
        <v>1</v>
      </c>
      <c r="AD43" s="2">
        <v>1</v>
      </c>
      <c r="AE43" s="3">
        <v>1</v>
      </c>
      <c r="AF43" s="2">
        <v>1</v>
      </c>
      <c r="AG43" s="2">
        <v>1</v>
      </c>
      <c r="AH43" s="2">
        <v>1</v>
      </c>
      <c r="AI43" s="3">
        <v>1</v>
      </c>
      <c r="AJ43" s="2">
        <v>1</v>
      </c>
      <c r="AK43" s="2">
        <v>1</v>
      </c>
      <c r="AL43" s="2">
        <v>1</v>
      </c>
      <c r="AM43" s="3">
        <v>1</v>
      </c>
      <c r="AN43" s="2">
        <v>1</v>
      </c>
      <c r="AO43" s="2">
        <v>1</v>
      </c>
      <c r="AP43" s="2">
        <v>1</v>
      </c>
      <c r="AQ43" s="3">
        <v>1</v>
      </c>
      <c r="AR43" s="2">
        <v>1</v>
      </c>
      <c r="AS43" s="2">
        <v>1</v>
      </c>
      <c r="AT43" s="2">
        <v>1</v>
      </c>
    </row>
    <row r="44" spans="2:46" hidden="1" x14ac:dyDescent="0.4">
      <c r="B44" s="1" t="s">
        <v>90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3">
        <v>1</v>
      </c>
      <c r="AB44" s="2">
        <v>1</v>
      </c>
      <c r="AC44" s="2">
        <v>1</v>
      </c>
      <c r="AD44" s="2">
        <v>1</v>
      </c>
      <c r="AE44" s="3">
        <v>1</v>
      </c>
      <c r="AF44" s="2">
        <v>1</v>
      </c>
      <c r="AG44" s="2">
        <v>1</v>
      </c>
      <c r="AH44" s="2">
        <v>1</v>
      </c>
      <c r="AI44" s="3">
        <v>1</v>
      </c>
      <c r="AJ44" s="2">
        <v>1</v>
      </c>
      <c r="AK44" s="2">
        <v>1</v>
      </c>
      <c r="AL44" s="2">
        <v>1</v>
      </c>
      <c r="AM44" s="3">
        <v>1</v>
      </c>
      <c r="AN44" s="2">
        <v>1</v>
      </c>
      <c r="AO44" s="2">
        <v>1</v>
      </c>
      <c r="AP44" s="2">
        <v>1</v>
      </c>
      <c r="AQ44" s="3">
        <v>1</v>
      </c>
      <c r="AR44" s="2">
        <v>1</v>
      </c>
      <c r="AS44" s="2">
        <v>1</v>
      </c>
      <c r="AT44" s="2">
        <v>1</v>
      </c>
    </row>
    <row r="45" spans="2:46" hidden="1" x14ac:dyDescent="0.4">
      <c r="B45" s="1" t="s">
        <v>91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3">
        <v>1</v>
      </c>
      <c r="AB45" s="2">
        <v>1</v>
      </c>
      <c r="AC45" s="2">
        <v>1</v>
      </c>
      <c r="AD45" s="2">
        <v>1</v>
      </c>
      <c r="AE45" s="3">
        <v>1</v>
      </c>
      <c r="AF45" s="2">
        <v>1</v>
      </c>
      <c r="AG45" s="2">
        <v>1</v>
      </c>
      <c r="AH45" s="2">
        <v>1</v>
      </c>
      <c r="AI45" s="3">
        <v>1</v>
      </c>
      <c r="AJ45" s="2">
        <v>1</v>
      </c>
      <c r="AK45" s="2">
        <v>1</v>
      </c>
      <c r="AL45" s="2">
        <v>1</v>
      </c>
      <c r="AM45" s="3">
        <v>1</v>
      </c>
      <c r="AN45" s="2">
        <v>1</v>
      </c>
      <c r="AO45" s="2">
        <v>1</v>
      </c>
      <c r="AP45" s="2">
        <v>1</v>
      </c>
      <c r="AQ45" s="3">
        <v>1</v>
      </c>
      <c r="AR45" s="2">
        <v>1</v>
      </c>
      <c r="AS45" s="2">
        <v>1</v>
      </c>
      <c r="AT45" s="2">
        <v>1</v>
      </c>
    </row>
    <row r="46" spans="2:46" hidden="1" x14ac:dyDescent="0.4">
      <c r="B46" s="1" t="s">
        <v>92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3">
        <v>1</v>
      </c>
      <c r="AB46" s="2">
        <v>1</v>
      </c>
      <c r="AC46" s="2">
        <v>1</v>
      </c>
      <c r="AD46" s="2">
        <v>1</v>
      </c>
      <c r="AE46" s="3">
        <v>1</v>
      </c>
      <c r="AF46" s="2">
        <v>1</v>
      </c>
      <c r="AG46" s="2">
        <v>1</v>
      </c>
      <c r="AH46" s="2">
        <v>1</v>
      </c>
      <c r="AI46" s="3">
        <v>1</v>
      </c>
      <c r="AJ46" s="2">
        <v>1</v>
      </c>
      <c r="AK46" s="2">
        <v>1</v>
      </c>
      <c r="AL46" s="2">
        <v>1</v>
      </c>
      <c r="AM46" s="3">
        <v>1</v>
      </c>
      <c r="AN46" s="2">
        <v>1</v>
      </c>
      <c r="AO46" s="2">
        <v>1</v>
      </c>
      <c r="AP46" s="2">
        <v>1</v>
      </c>
      <c r="AQ46" s="3">
        <v>1</v>
      </c>
      <c r="AR46" s="2">
        <v>1</v>
      </c>
      <c r="AS46" s="2">
        <v>1</v>
      </c>
      <c r="AT46" s="2">
        <v>1</v>
      </c>
    </row>
    <row r="47" spans="2:46" hidden="1" x14ac:dyDescent="0.4">
      <c r="B47" s="1" t="s">
        <v>93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0.87</v>
      </c>
      <c r="P47" s="2">
        <v>1</v>
      </c>
      <c r="Q47" s="2">
        <v>0.85</v>
      </c>
      <c r="R47" s="2">
        <v>0.5</v>
      </c>
      <c r="S47" s="2">
        <v>0.87</v>
      </c>
      <c r="T47" s="2">
        <v>1</v>
      </c>
      <c r="U47" s="2">
        <v>0.9</v>
      </c>
      <c r="V47" s="2">
        <v>0.85</v>
      </c>
      <c r="W47" s="2">
        <v>0.95</v>
      </c>
      <c r="X47" s="2">
        <v>1</v>
      </c>
      <c r="Y47" s="2">
        <v>0.9</v>
      </c>
      <c r="Z47" s="2">
        <v>0.9</v>
      </c>
      <c r="AA47" s="3">
        <v>0.98</v>
      </c>
      <c r="AB47" s="2">
        <v>1</v>
      </c>
      <c r="AC47" s="2">
        <v>0.95</v>
      </c>
      <c r="AD47" s="2">
        <v>1</v>
      </c>
      <c r="AE47" s="3">
        <v>1</v>
      </c>
      <c r="AF47" s="2">
        <v>1</v>
      </c>
      <c r="AG47" s="2">
        <v>0.95</v>
      </c>
      <c r="AH47" s="2">
        <v>1</v>
      </c>
      <c r="AI47" s="3">
        <v>1</v>
      </c>
      <c r="AJ47" s="2">
        <v>1</v>
      </c>
      <c r="AK47" s="2">
        <v>1</v>
      </c>
      <c r="AL47" s="2">
        <v>1</v>
      </c>
      <c r="AM47" s="3">
        <v>1</v>
      </c>
      <c r="AN47" s="2">
        <v>1</v>
      </c>
      <c r="AO47" s="2">
        <v>1</v>
      </c>
      <c r="AP47" s="2">
        <v>1</v>
      </c>
      <c r="AQ47" s="3">
        <v>1</v>
      </c>
      <c r="AR47" s="2">
        <v>1</v>
      </c>
      <c r="AS47" s="2">
        <v>1</v>
      </c>
      <c r="AT47" s="2">
        <v>1</v>
      </c>
    </row>
    <row r="48" spans="2:46" hidden="1" x14ac:dyDescent="0.4">
      <c r="B48" s="1" t="s">
        <v>94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3">
        <v>1</v>
      </c>
      <c r="AB48" s="2">
        <v>1</v>
      </c>
      <c r="AC48" s="2">
        <v>1</v>
      </c>
      <c r="AD48" s="2">
        <v>1</v>
      </c>
      <c r="AE48" s="3">
        <v>1</v>
      </c>
      <c r="AF48" s="2">
        <v>1</v>
      </c>
      <c r="AG48" s="2">
        <v>1</v>
      </c>
      <c r="AH48" s="2">
        <v>1</v>
      </c>
      <c r="AI48" s="3">
        <v>1</v>
      </c>
      <c r="AJ48" s="2">
        <v>1</v>
      </c>
      <c r="AK48" s="2">
        <v>1</v>
      </c>
      <c r="AL48" s="2">
        <v>1</v>
      </c>
      <c r="AM48" s="3">
        <v>1</v>
      </c>
      <c r="AN48" s="2">
        <v>1</v>
      </c>
      <c r="AO48" s="2">
        <v>1</v>
      </c>
      <c r="AP48" s="2">
        <v>1</v>
      </c>
      <c r="AQ48" s="3">
        <v>1</v>
      </c>
      <c r="AR48" s="2">
        <v>1</v>
      </c>
      <c r="AS48" s="2">
        <v>1</v>
      </c>
      <c r="AT48" s="2">
        <v>1</v>
      </c>
    </row>
    <row r="49" spans="2:46" hidden="1" x14ac:dyDescent="0.4">
      <c r="B49" s="1" t="s">
        <v>95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3">
        <v>1</v>
      </c>
      <c r="AB49" s="2">
        <v>1</v>
      </c>
      <c r="AC49" s="2">
        <v>1</v>
      </c>
      <c r="AD49" s="2">
        <v>1</v>
      </c>
      <c r="AE49" s="3">
        <v>1</v>
      </c>
      <c r="AF49" s="2">
        <v>1</v>
      </c>
      <c r="AG49" s="2">
        <v>1</v>
      </c>
      <c r="AH49" s="2">
        <v>1</v>
      </c>
      <c r="AI49" s="3">
        <v>1</v>
      </c>
      <c r="AJ49" s="2">
        <v>1</v>
      </c>
      <c r="AK49" s="2">
        <v>1</v>
      </c>
      <c r="AL49" s="2">
        <v>1</v>
      </c>
      <c r="AM49" s="3">
        <v>1</v>
      </c>
      <c r="AN49" s="2">
        <v>1</v>
      </c>
      <c r="AO49" s="2">
        <v>1</v>
      </c>
      <c r="AP49" s="2">
        <v>1</v>
      </c>
      <c r="AQ49" s="3">
        <v>1</v>
      </c>
      <c r="AR49" s="2">
        <v>1</v>
      </c>
      <c r="AS49" s="2">
        <v>1</v>
      </c>
      <c r="AT49" s="2">
        <v>1</v>
      </c>
    </row>
    <row r="50" spans="2:46" hidden="1" x14ac:dyDescent="0.4">
      <c r="B50" s="1" t="s">
        <v>96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1</v>
      </c>
      <c r="AA50" s="3">
        <v>1</v>
      </c>
      <c r="AB50" s="2">
        <v>1</v>
      </c>
      <c r="AC50" s="2">
        <v>1</v>
      </c>
      <c r="AD50" s="2">
        <v>1</v>
      </c>
      <c r="AE50" s="3">
        <v>1</v>
      </c>
      <c r="AF50" s="2">
        <v>1</v>
      </c>
      <c r="AG50" s="2">
        <v>1</v>
      </c>
      <c r="AH50" s="2">
        <v>1</v>
      </c>
      <c r="AI50" s="3">
        <v>1</v>
      </c>
      <c r="AJ50" s="2">
        <v>1</v>
      </c>
      <c r="AK50" s="2">
        <v>1</v>
      </c>
      <c r="AL50" s="2">
        <v>1</v>
      </c>
      <c r="AM50" s="3">
        <v>1</v>
      </c>
      <c r="AN50" s="2">
        <v>1</v>
      </c>
      <c r="AO50" s="2">
        <v>1</v>
      </c>
      <c r="AP50" s="2">
        <v>1</v>
      </c>
      <c r="AQ50" s="3">
        <v>1</v>
      </c>
      <c r="AR50" s="2">
        <v>1</v>
      </c>
      <c r="AS50" s="2">
        <v>1</v>
      </c>
      <c r="AT50" s="2">
        <v>1</v>
      </c>
    </row>
    <row r="51" spans="2:46" hidden="1" x14ac:dyDescent="0.4">
      <c r="B51" s="1" t="s">
        <v>97</v>
      </c>
      <c r="C51" s="2">
        <v>1</v>
      </c>
      <c r="D51" s="2">
        <v>1</v>
      </c>
      <c r="E51" s="2">
        <v>1</v>
      </c>
      <c r="F51" s="2">
        <v>0.45</v>
      </c>
      <c r="G51" s="2">
        <v>1</v>
      </c>
      <c r="H51" s="2">
        <v>1</v>
      </c>
      <c r="I51" s="2">
        <v>1</v>
      </c>
      <c r="J51" s="2">
        <v>0.55000000000000004</v>
      </c>
      <c r="K51" s="2">
        <v>1</v>
      </c>
      <c r="L51" s="2">
        <v>1</v>
      </c>
      <c r="M51" s="2">
        <v>1</v>
      </c>
      <c r="N51" s="2">
        <v>0.55000000000000004</v>
      </c>
      <c r="O51" s="2">
        <v>1</v>
      </c>
      <c r="P51" s="2">
        <v>1</v>
      </c>
      <c r="Q51" s="2">
        <v>1</v>
      </c>
      <c r="R51" s="2">
        <v>0.7</v>
      </c>
      <c r="S51" s="2">
        <v>1</v>
      </c>
      <c r="T51" s="2">
        <v>1</v>
      </c>
      <c r="U51" s="2">
        <v>1</v>
      </c>
      <c r="V51" s="2">
        <v>0.9</v>
      </c>
      <c r="W51" s="2">
        <v>1</v>
      </c>
      <c r="X51" s="2">
        <v>1</v>
      </c>
      <c r="Y51" s="2">
        <v>1</v>
      </c>
      <c r="Z51" s="2">
        <v>0.9</v>
      </c>
      <c r="AA51" s="3">
        <v>1</v>
      </c>
      <c r="AB51" s="2">
        <v>1</v>
      </c>
      <c r="AC51" s="2">
        <v>1</v>
      </c>
      <c r="AD51" s="2">
        <v>1</v>
      </c>
      <c r="AE51" s="3">
        <v>1</v>
      </c>
      <c r="AF51" s="2">
        <v>1</v>
      </c>
      <c r="AG51" s="2">
        <v>1</v>
      </c>
      <c r="AH51" s="2">
        <v>1</v>
      </c>
      <c r="AI51" s="3">
        <v>1</v>
      </c>
      <c r="AJ51" s="2">
        <v>1</v>
      </c>
      <c r="AK51" s="2">
        <v>1</v>
      </c>
      <c r="AL51" s="2">
        <v>1</v>
      </c>
      <c r="AM51" s="3">
        <v>1</v>
      </c>
      <c r="AN51" s="2">
        <v>1</v>
      </c>
      <c r="AO51" s="2">
        <v>1</v>
      </c>
      <c r="AP51" s="2">
        <v>1</v>
      </c>
      <c r="AQ51" s="3">
        <v>1</v>
      </c>
      <c r="AR51" s="2">
        <v>1</v>
      </c>
      <c r="AS51" s="2">
        <v>1</v>
      </c>
      <c r="AT51" s="2">
        <v>1</v>
      </c>
    </row>
    <row r="52" spans="2:46" hidden="1" x14ac:dyDescent="0.4">
      <c r="B52" s="1" t="s">
        <v>98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>
        <v>1</v>
      </c>
      <c r="AA52" s="3">
        <v>1</v>
      </c>
      <c r="AB52" s="2">
        <v>1</v>
      </c>
      <c r="AC52" s="2">
        <v>1</v>
      </c>
      <c r="AD52" s="2">
        <v>1</v>
      </c>
      <c r="AE52" s="3">
        <v>1</v>
      </c>
      <c r="AF52" s="2">
        <v>1</v>
      </c>
      <c r="AG52" s="2">
        <v>1</v>
      </c>
      <c r="AH52" s="2">
        <v>1</v>
      </c>
      <c r="AI52" s="3">
        <v>1</v>
      </c>
      <c r="AJ52" s="2">
        <v>1</v>
      </c>
      <c r="AK52" s="2">
        <v>1</v>
      </c>
      <c r="AL52" s="2">
        <v>1</v>
      </c>
      <c r="AM52" s="3">
        <v>1</v>
      </c>
      <c r="AN52" s="2">
        <v>1</v>
      </c>
      <c r="AO52" s="2">
        <v>1</v>
      </c>
      <c r="AP52" s="2">
        <v>1</v>
      </c>
      <c r="AQ52" s="3">
        <v>1</v>
      </c>
      <c r="AR52" s="2">
        <v>1</v>
      </c>
      <c r="AS52" s="2">
        <v>1</v>
      </c>
      <c r="AT52" s="2">
        <v>1</v>
      </c>
    </row>
    <row r="53" spans="2:46" hidden="1" x14ac:dyDescent="0.4">
      <c r="B53" s="1" t="s">
        <v>99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3">
        <v>1</v>
      </c>
      <c r="AB53" s="2">
        <v>1</v>
      </c>
      <c r="AC53" s="2">
        <v>1</v>
      </c>
      <c r="AD53" s="2">
        <v>1</v>
      </c>
      <c r="AE53" s="3">
        <v>1</v>
      </c>
      <c r="AF53" s="2">
        <v>1</v>
      </c>
      <c r="AG53" s="2">
        <v>1</v>
      </c>
      <c r="AH53" s="2">
        <v>1</v>
      </c>
      <c r="AI53" s="3">
        <v>1</v>
      </c>
      <c r="AJ53" s="2">
        <v>1</v>
      </c>
      <c r="AK53" s="2">
        <v>1</v>
      </c>
      <c r="AL53" s="2">
        <v>1</v>
      </c>
      <c r="AM53" s="3">
        <v>1</v>
      </c>
      <c r="AN53" s="2">
        <v>1</v>
      </c>
      <c r="AO53" s="2">
        <v>1</v>
      </c>
      <c r="AP53" s="2">
        <v>1</v>
      </c>
      <c r="AQ53" s="3">
        <v>1</v>
      </c>
      <c r="AR53" s="2">
        <v>1</v>
      </c>
      <c r="AS53" s="2">
        <v>1</v>
      </c>
      <c r="AT53" s="2">
        <v>1</v>
      </c>
    </row>
    <row r="54" spans="2:46" hidden="1" x14ac:dyDescent="0.4">
      <c r="B54" s="1" t="s">
        <v>100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3">
        <v>1</v>
      </c>
      <c r="AB54" s="2">
        <v>1</v>
      </c>
      <c r="AC54" s="2">
        <v>1</v>
      </c>
      <c r="AD54" s="2">
        <v>1</v>
      </c>
      <c r="AE54" s="3">
        <v>1</v>
      </c>
      <c r="AF54" s="2">
        <v>1</v>
      </c>
      <c r="AG54" s="2">
        <v>1</v>
      </c>
      <c r="AH54" s="2">
        <v>1</v>
      </c>
      <c r="AI54" s="3">
        <v>1</v>
      </c>
      <c r="AJ54" s="2">
        <v>1</v>
      </c>
      <c r="AK54" s="2">
        <v>1</v>
      </c>
      <c r="AL54" s="2">
        <v>1</v>
      </c>
      <c r="AM54" s="3">
        <v>1</v>
      </c>
      <c r="AN54" s="2">
        <v>1</v>
      </c>
      <c r="AO54" s="2">
        <v>1</v>
      </c>
      <c r="AP54" s="2">
        <v>1</v>
      </c>
      <c r="AQ54" s="3">
        <v>1</v>
      </c>
      <c r="AR54" s="2">
        <v>1</v>
      </c>
      <c r="AS54" s="2">
        <v>1</v>
      </c>
      <c r="AT54" s="2">
        <v>1</v>
      </c>
    </row>
    <row r="55" spans="2:46" hidden="1" x14ac:dyDescent="0.4">
      <c r="B55" s="1" t="s">
        <v>101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3">
        <v>1</v>
      </c>
      <c r="AB55" s="2">
        <v>1</v>
      </c>
      <c r="AC55" s="2">
        <v>1</v>
      </c>
      <c r="AD55" s="2">
        <v>1</v>
      </c>
      <c r="AE55" s="3">
        <v>1</v>
      </c>
      <c r="AF55" s="2">
        <v>1</v>
      </c>
      <c r="AG55" s="2">
        <v>1</v>
      </c>
      <c r="AH55" s="2">
        <v>1</v>
      </c>
      <c r="AI55" s="3">
        <v>1</v>
      </c>
      <c r="AJ55" s="2">
        <v>1</v>
      </c>
      <c r="AK55" s="2">
        <v>1</v>
      </c>
      <c r="AL55" s="2">
        <v>1</v>
      </c>
      <c r="AM55" s="3">
        <v>1</v>
      </c>
      <c r="AN55" s="2">
        <v>1</v>
      </c>
      <c r="AO55" s="2">
        <v>1</v>
      </c>
      <c r="AP55" s="2">
        <v>1</v>
      </c>
      <c r="AQ55" s="3">
        <v>1</v>
      </c>
      <c r="AR55" s="2">
        <v>1</v>
      </c>
      <c r="AS55" s="2">
        <v>1</v>
      </c>
      <c r="AT55" s="2">
        <v>1</v>
      </c>
    </row>
    <row r="56" spans="2:46" hidden="1" x14ac:dyDescent="0.4">
      <c r="B56" s="1" t="s">
        <v>102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3">
        <v>1</v>
      </c>
      <c r="AB56" s="2">
        <v>1</v>
      </c>
      <c r="AC56" s="2">
        <v>1</v>
      </c>
      <c r="AD56" s="2">
        <v>1</v>
      </c>
      <c r="AE56" s="3">
        <v>1</v>
      </c>
      <c r="AF56" s="2">
        <v>1</v>
      </c>
      <c r="AG56" s="2">
        <v>1</v>
      </c>
      <c r="AH56" s="2">
        <v>1</v>
      </c>
      <c r="AI56" s="3">
        <v>1</v>
      </c>
      <c r="AJ56" s="2">
        <v>1</v>
      </c>
      <c r="AK56" s="2">
        <v>1</v>
      </c>
      <c r="AL56" s="2">
        <v>1</v>
      </c>
      <c r="AM56" s="3">
        <v>1</v>
      </c>
      <c r="AN56" s="2">
        <v>1</v>
      </c>
      <c r="AO56" s="2">
        <v>1</v>
      </c>
      <c r="AP56" s="2">
        <v>1</v>
      </c>
      <c r="AQ56" s="3">
        <v>1</v>
      </c>
      <c r="AR56" s="2">
        <v>1</v>
      </c>
      <c r="AS56" s="2">
        <v>1</v>
      </c>
      <c r="AT56" s="2">
        <v>1</v>
      </c>
    </row>
    <row r="57" spans="2:46" hidden="1" x14ac:dyDescent="0.4">
      <c r="B57" s="1" t="s">
        <v>103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0.81</v>
      </c>
      <c r="P57" s="2">
        <v>1</v>
      </c>
      <c r="Q57" s="2">
        <v>0.8</v>
      </c>
      <c r="R57" s="2">
        <v>0.5</v>
      </c>
      <c r="S57" s="2">
        <v>0.81</v>
      </c>
      <c r="T57" s="2">
        <v>1</v>
      </c>
      <c r="U57" s="2">
        <v>0.8</v>
      </c>
      <c r="V57" s="2">
        <v>0.5</v>
      </c>
      <c r="W57" s="2">
        <v>0.9</v>
      </c>
      <c r="X57" s="2">
        <v>1</v>
      </c>
      <c r="Y57" s="2">
        <v>0.8</v>
      </c>
      <c r="Z57" s="2">
        <v>0.75</v>
      </c>
      <c r="AA57" s="3">
        <v>0.9</v>
      </c>
      <c r="AB57" s="2">
        <v>1</v>
      </c>
      <c r="AC57" s="2">
        <v>0.85</v>
      </c>
      <c r="AD57" s="2">
        <v>1</v>
      </c>
      <c r="AE57" s="3">
        <v>0.9</v>
      </c>
      <c r="AF57" s="2">
        <v>1</v>
      </c>
      <c r="AG57" s="2">
        <v>0.85</v>
      </c>
      <c r="AH57" s="2">
        <v>1</v>
      </c>
      <c r="AI57" s="3">
        <v>0.9</v>
      </c>
      <c r="AJ57" s="2">
        <v>1</v>
      </c>
      <c r="AK57" s="2">
        <v>0.85</v>
      </c>
      <c r="AL57" s="2">
        <v>1</v>
      </c>
      <c r="AM57" s="3">
        <v>1</v>
      </c>
      <c r="AN57" s="2">
        <v>1</v>
      </c>
      <c r="AO57" s="2">
        <v>1</v>
      </c>
      <c r="AP57" s="2">
        <v>1</v>
      </c>
      <c r="AQ57" s="3">
        <v>1</v>
      </c>
      <c r="AR57" s="2">
        <v>1</v>
      </c>
      <c r="AS57" s="2">
        <v>1</v>
      </c>
      <c r="AT57" s="2">
        <v>1</v>
      </c>
    </row>
    <row r="58" spans="2:46" hidden="1" x14ac:dyDescent="0.4">
      <c r="B58" s="1" t="s">
        <v>104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0.1</v>
      </c>
      <c r="P58" s="2">
        <v>1</v>
      </c>
      <c r="Q58" s="2">
        <v>1</v>
      </c>
      <c r="R58" s="2">
        <v>1</v>
      </c>
      <c r="S58" s="2">
        <v>0.1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3">
        <v>1</v>
      </c>
      <c r="AB58" s="2">
        <v>1</v>
      </c>
      <c r="AC58" s="2">
        <v>1</v>
      </c>
      <c r="AD58" s="2">
        <v>1</v>
      </c>
      <c r="AE58" s="3">
        <v>1</v>
      </c>
      <c r="AF58" s="2">
        <v>1</v>
      </c>
      <c r="AG58" s="2">
        <v>1</v>
      </c>
      <c r="AH58" s="2">
        <v>1</v>
      </c>
      <c r="AI58" s="3">
        <v>1</v>
      </c>
      <c r="AJ58" s="2">
        <v>1</v>
      </c>
      <c r="AK58" s="2">
        <v>1</v>
      </c>
      <c r="AL58" s="2">
        <v>1</v>
      </c>
      <c r="AM58" s="3">
        <v>1</v>
      </c>
      <c r="AN58" s="2">
        <v>1</v>
      </c>
      <c r="AO58" s="2">
        <v>1</v>
      </c>
      <c r="AP58" s="2">
        <v>1</v>
      </c>
      <c r="AQ58" s="3">
        <v>1</v>
      </c>
      <c r="AR58" s="2">
        <v>1</v>
      </c>
      <c r="AS58" s="2">
        <v>1</v>
      </c>
      <c r="AT58" s="2">
        <v>1</v>
      </c>
    </row>
    <row r="59" spans="2:46" hidden="1" x14ac:dyDescent="0.4">
      <c r="B59" s="1" t="s">
        <v>105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3">
        <v>1</v>
      </c>
      <c r="AB59" s="2">
        <v>1</v>
      </c>
      <c r="AC59" s="2">
        <v>1</v>
      </c>
      <c r="AD59" s="2">
        <v>1</v>
      </c>
      <c r="AE59" s="3">
        <v>1</v>
      </c>
      <c r="AF59" s="2">
        <v>1</v>
      </c>
      <c r="AG59" s="2">
        <v>1</v>
      </c>
      <c r="AH59" s="2">
        <v>1</v>
      </c>
      <c r="AI59" s="3">
        <v>1</v>
      </c>
      <c r="AJ59" s="2">
        <v>1</v>
      </c>
      <c r="AK59" s="2">
        <v>1</v>
      </c>
      <c r="AL59" s="2">
        <v>1</v>
      </c>
      <c r="AM59" s="3">
        <v>1</v>
      </c>
      <c r="AN59" s="2">
        <v>1</v>
      </c>
      <c r="AO59" s="2">
        <v>1</v>
      </c>
      <c r="AP59" s="2">
        <v>1</v>
      </c>
      <c r="AQ59" s="3">
        <v>1</v>
      </c>
      <c r="AR59" s="2">
        <v>1</v>
      </c>
      <c r="AS59" s="2">
        <v>1</v>
      </c>
      <c r="AT59" s="2">
        <v>1</v>
      </c>
    </row>
    <row r="60" spans="2:46" hidden="1" x14ac:dyDescent="0.4">
      <c r="B60" s="1" t="s">
        <v>106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3">
        <v>1</v>
      </c>
      <c r="AB60" s="2">
        <v>1</v>
      </c>
      <c r="AC60" s="2">
        <v>1</v>
      </c>
      <c r="AD60" s="2">
        <v>1</v>
      </c>
      <c r="AE60" s="3">
        <v>1</v>
      </c>
      <c r="AF60" s="2">
        <v>1</v>
      </c>
      <c r="AG60" s="2">
        <v>1</v>
      </c>
      <c r="AH60" s="2">
        <v>1</v>
      </c>
      <c r="AI60" s="3">
        <v>1</v>
      </c>
      <c r="AJ60" s="2">
        <v>1</v>
      </c>
      <c r="AK60" s="2">
        <v>1</v>
      </c>
      <c r="AL60" s="2">
        <v>1</v>
      </c>
      <c r="AM60" s="3">
        <v>1</v>
      </c>
      <c r="AN60" s="2">
        <v>1</v>
      </c>
      <c r="AO60" s="2">
        <v>1</v>
      </c>
      <c r="AP60" s="2">
        <v>1</v>
      </c>
      <c r="AQ60" s="3">
        <v>1</v>
      </c>
      <c r="AR60" s="2">
        <v>1</v>
      </c>
      <c r="AS60" s="2">
        <v>1</v>
      </c>
      <c r="AT60" s="2">
        <v>1</v>
      </c>
    </row>
    <row r="61" spans="2:46" hidden="1" x14ac:dyDescent="0.4">
      <c r="B61" s="1" t="s">
        <v>107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0.72</v>
      </c>
      <c r="P61" s="2">
        <v>1</v>
      </c>
      <c r="Q61" s="2">
        <v>0.8</v>
      </c>
      <c r="R61" s="2">
        <v>0.5</v>
      </c>
      <c r="S61" s="2">
        <v>0.72</v>
      </c>
      <c r="T61" s="2">
        <v>1</v>
      </c>
      <c r="U61" s="2">
        <v>0.8</v>
      </c>
      <c r="V61" s="2">
        <v>0.7</v>
      </c>
      <c r="W61" s="2">
        <v>0.9</v>
      </c>
      <c r="X61" s="2">
        <v>1</v>
      </c>
      <c r="Y61" s="2">
        <v>0.9</v>
      </c>
      <c r="Z61" s="2">
        <v>0.9</v>
      </c>
      <c r="AA61" s="3">
        <v>0.95</v>
      </c>
      <c r="AB61" s="2">
        <v>1</v>
      </c>
      <c r="AC61" s="2">
        <v>0.9</v>
      </c>
      <c r="AD61" s="2">
        <v>1</v>
      </c>
      <c r="AE61" s="3">
        <v>1</v>
      </c>
      <c r="AF61" s="2">
        <v>1</v>
      </c>
      <c r="AG61" s="2">
        <v>0.9</v>
      </c>
      <c r="AH61" s="2">
        <v>1</v>
      </c>
      <c r="AI61" s="3">
        <v>1</v>
      </c>
      <c r="AJ61" s="2">
        <v>1</v>
      </c>
      <c r="AK61" s="2">
        <v>1</v>
      </c>
      <c r="AL61" s="2">
        <v>1</v>
      </c>
      <c r="AM61" s="3">
        <v>1</v>
      </c>
      <c r="AN61" s="2">
        <v>1</v>
      </c>
      <c r="AO61" s="2">
        <v>1</v>
      </c>
      <c r="AP61" s="2">
        <v>1</v>
      </c>
      <c r="AQ61" s="3">
        <v>1</v>
      </c>
      <c r="AR61" s="2">
        <v>1</v>
      </c>
      <c r="AS61" s="2">
        <v>1</v>
      </c>
      <c r="AT61" s="2">
        <v>1</v>
      </c>
    </row>
    <row r="62" spans="2:46" hidden="1" x14ac:dyDescent="0.4">
      <c r="B62" s="1" t="s">
        <v>108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>
        <v>1</v>
      </c>
      <c r="AJ62" s="3">
        <v>0.4</v>
      </c>
      <c r="AK62" s="3">
        <v>0.4</v>
      </c>
      <c r="AL62" s="3">
        <v>0.4</v>
      </c>
      <c r="AM62" s="3">
        <v>1</v>
      </c>
      <c r="AN62" s="3">
        <v>1</v>
      </c>
      <c r="AO62" s="3">
        <v>1</v>
      </c>
      <c r="AP62" s="3">
        <v>1</v>
      </c>
      <c r="AQ62" s="3">
        <v>1</v>
      </c>
      <c r="AR62" s="3">
        <v>1</v>
      </c>
      <c r="AS62" s="3">
        <v>1</v>
      </c>
      <c r="AT62" s="3">
        <v>1</v>
      </c>
    </row>
    <row r="63" spans="2:46" hidden="1" x14ac:dyDescent="0.4">
      <c r="B63" s="1" t="s">
        <v>109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>
        <v>1</v>
      </c>
      <c r="AJ63" s="3">
        <v>0.4</v>
      </c>
      <c r="AK63" s="3">
        <v>0.4</v>
      </c>
      <c r="AL63" s="3">
        <v>0.4</v>
      </c>
      <c r="AM63" s="3">
        <v>1</v>
      </c>
      <c r="AN63" s="3">
        <v>1</v>
      </c>
      <c r="AO63" s="3">
        <v>1</v>
      </c>
      <c r="AP63" s="3">
        <v>1</v>
      </c>
      <c r="AQ63" s="3">
        <v>1</v>
      </c>
      <c r="AR63" s="3">
        <v>1</v>
      </c>
      <c r="AS63" s="3">
        <v>1</v>
      </c>
      <c r="AT63" s="3">
        <v>1</v>
      </c>
    </row>
    <row r="64" spans="2:46" hidden="1" x14ac:dyDescent="0.4">
      <c r="B64" s="1" t="s">
        <v>110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>
        <v>1</v>
      </c>
      <c r="AJ64" s="3">
        <v>0.4</v>
      </c>
      <c r="AK64" s="3">
        <v>0.4</v>
      </c>
      <c r="AL64" s="3">
        <v>0.4</v>
      </c>
      <c r="AM64" s="3">
        <v>1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1</v>
      </c>
    </row>
    <row r="65" spans="2:46" hidden="1" x14ac:dyDescent="0.4">
      <c r="B65" s="1" t="s">
        <v>111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>
        <v>1</v>
      </c>
      <c r="AJ65" s="3">
        <v>0.4</v>
      </c>
      <c r="AK65" s="3">
        <v>0.4</v>
      </c>
      <c r="AL65" s="3">
        <v>1</v>
      </c>
      <c r="AM65" s="3">
        <v>1</v>
      </c>
      <c r="AN65" s="3">
        <v>1</v>
      </c>
      <c r="AO65" s="3">
        <v>1</v>
      </c>
      <c r="AP65" s="3">
        <v>1</v>
      </c>
      <c r="AQ65" s="3">
        <v>1</v>
      </c>
      <c r="AR65" s="3">
        <v>1</v>
      </c>
      <c r="AS65" s="3">
        <v>1</v>
      </c>
      <c r="AT65" s="3">
        <v>1</v>
      </c>
    </row>
    <row r="66" spans="2:46" hidden="1" x14ac:dyDescent="0.4">
      <c r="B66" s="1" t="s">
        <v>112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>
        <v>1</v>
      </c>
      <c r="AJ66" s="3">
        <v>0.4</v>
      </c>
      <c r="AK66" s="3">
        <v>0.4</v>
      </c>
      <c r="AL66" s="3">
        <v>1</v>
      </c>
      <c r="AM66" s="3">
        <v>1</v>
      </c>
      <c r="AN66" s="3">
        <v>1</v>
      </c>
      <c r="AO66" s="3">
        <v>1</v>
      </c>
      <c r="AP66" s="3">
        <v>1</v>
      </c>
      <c r="AQ66" s="3">
        <v>1</v>
      </c>
      <c r="AR66" s="3">
        <v>1</v>
      </c>
      <c r="AS66" s="3">
        <v>1</v>
      </c>
      <c r="AT66" s="3">
        <v>1</v>
      </c>
    </row>
    <row r="67" spans="2:46" hidden="1" x14ac:dyDescent="0.4">
      <c r="B67" s="1" t="s">
        <v>113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>
        <v>1</v>
      </c>
      <c r="AJ67" s="3">
        <v>0.4</v>
      </c>
      <c r="AK67" s="3">
        <v>0.4</v>
      </c>
      <c r="AL67" s="3">
        <v>1</v>
      </c>
      <c r="AM67" s="3">
        <v>1</v>
      </c>
      <c r="AN67" s="3">
        <v>1</v>
      </c>
      <c r="AO67" s="3">
        <v>1</v>
      </c>
      <c r="AP67" s="3">
        <v>1</v>
      </c>
      <c r="AQ67" s="3">
        <v>1</v>
      </c>
      <c r="AR67" s="3">
        <v>1</v>
      </c>
      <c r="AS67" s="3">
        <v>1</v>
      </c>
      <c r="AT67" s="3">
        <v>1</v>
      </c>
    </row>
    <row r="68" spans="2:46" hidden="1" x14ac:dyDescent="0.4">
      <c r="B68" s="1" t="s">
        <v>114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>
        <v>1</v>
      </c>
      <c r="AN68" s="3">
        <v>1</v>
      </c>
      <c r="AO68" s="3">
        <v>1</v>
      </c>
      <c r="AP68" s="3">
        <v>1</v>
      </c>
      <c r="AQ68" s="3">
        <v>1</v>
      </c>
      <c r="AR68" s="3">
        <v>1</v>
      </c>
      <c r="AS68" s="3">
        <v>1</v>
      </c>
      <c r="AT68" s="3">
        <v>1</v>
      </c>
    </row>
    <row r="69" spans="2:46" x14ac:dyDescent="0.4">
      <c r="B69" s="1" t="s">
        <v>115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>
        <v>0.8</v>
      </c>
      <c r="AR69" s="3">
        <v>1</v>
      </c>
      <c r="AS69" s="3">
        <v>1</v>
      </c>
      <c r="AT69" s="3">
        <v>1</v>
      </c>
    </row>
    <row r="70" spans="2:46" hidden="1" x14ac:dyDescent="0.4">
      <c r="B70" s="1" t="s">
        <v>116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>
        <v>1</v>
      </c>
      <c r="AR70" s="3">
        <v>1</v>
      </c>
      <c r="AS70" s="3">
        <v>1</v>
      </c>
      <c r="AT70" s="3">
        <v>1</v>
      </c>
    </row>
    <row r="71" spans="2:46" hidden="1" x14ac:dyDescent="0.4">
      <c r="B71" s="1" t="s">
        <v>117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>
        <v>1</v>
      </c>
      <c r="AJ71" s="3">
        <v>1</v>
      </c>
      <c r="AK71" s="3">
        <v>1</v>
      </c>
      <c r="AL71" s="3">
        <v>1</v>
      </c>
      <c r="AM71" s="3">
        <v>1</v>
      </c>
      <c r="AN71" s="3">
        <v>1</v>
      </c>
      <c r="AO71" s="3">
        <v>1</v>
      </c>
      <c r="AP71" s="3">
        <v>1</v>
      </c>
      <c r="AQ71" s="3">
        <v>1</v>
      </c>
      <c r="AR71" s="3">
        <v>1</v>
      </c>
      <c r="AS71" s="3">
        <v>1</v>
      </c>
      <c r="AT71" s="3">
        <v>1</v>
      </c>
    </row>
    <row r="72" spans="2:46" x14ac:dyDescent="0.4">
      <c r="B72" s="1" t="s">
        <v>118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>
        <v>0.8</v>
      </c>
      <c r="AR72" s="3">
        <v>1</v>
      </c>
      <c r="AS72" s="3">
        <v>1</v>
      </c>
      <c r="AT72" s="3">
        <v>1</v>
      </c>
    </row>
    <row r="73" spans="2:46" x14ac:dyDescent="0.4">
      <c r="B73" s="1" t="s">
        <v>119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>
        <v>0.8</v>
      </c>
      <c r="AR73" s="3">
        <v>1</v>
      </c>
      <c r="AS73" s="3">
        <v>1</v>
      </c>
      <c r="AT73" s="3">
        <v>1</v>
      </c>
    </row>
    <row r="74" spans="2:46" hidden="1" x14ac:dyDescent="0.4">
      <c r="B74" s="1" t="s">
        <v>120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>
        <v>1</v>
      </c>
      <c r="AJ74" s="3">
        <v>1</v>
      </c>
      <c r="AK74" s="3">
        <v>1</v>
      </c>
      <c r="AL74" s="3">
        <v>1</v>
      </c>
      <c r="AM74" s="3">
        <v>1</v>
      </c>
      <c r="AN74" s="3">
        <v>1</v>
      </c>
      <c r="AO74" s="3">
        <v>1</v>
      </c>
      <c r="AP74" s="3">
        <v>1</v>
      </c>
      <c r="AQ74" s="3">
        <v>1</v>
      </c>
      <c r="AR74" s="3">
        <v>1</v>
      </c>
      <c r="AS74" s="3">
        <v>1</v>
      </c>
      <c r="AT74" s="3">
        <v>1</v>
      </c>
    </row>
    <row r="75" spans="2:46" x14ac:dyDescent="0.4">
      <c r="B75" s="1" t="s">
        <v>121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 t="s">
        <v>122</v>
      </c>
      <c r="AJ75" s="3"/>
      <c r="AK75" s="3"/>
      <c r="AL75" s="3"/>
      <c r="AM75" s="3" t="s">
        <v>122</v>
      </c>
      <c r="AN75" s="3"/>
      <c r="AO75" s="3"/>
      <c r="AP75" s="3"/>
      <c r="AQ75" s="3">
        <v>0.4</v>
      </c>
      <c r="AR75" s="3">
        <v>1</v>
      </c>
      <c r="AS75" s="3">
        <v>1</v>
      </c>
      <c r="AT75" s="3">
        <v>1</v>
      </c>
    </row>
    <row r="76" spans="2:46" x14ac:dyDescent="0.4">
      <c r="B76" s="1" t="s">
        <v>123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>
        <v>0.4</v>
      </c>
      <c r="AR76" s="3">
        <v>1</v>
      </c>
      <c r="AS76" s="3">
        <v>1</v>
      </c>
      <c r="AT76" s="3">
        <v>1</v>
      </c>
    </row>
    <row r="77" spans="2:46" x14ac:dyDescent="0.4">
      <c r="B77" s="1" t="s">
        <v>124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>
        <v>0.4</v>
      </c>
      <c r="AR77" s="3">
        <v>1</v>
      </c>
      <c r="AS77" s="3">
        <v>1</v>
      </c>
      <c r="AT77" s="3">
        <v>1</v>
      </c>
    </row>
    <row r="78" spans="2:46" x14ac:dyDescent="0.4">
      <c r="B78" s="1" t="s">
        <v>125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>
        <v>0.8</v>
      </c>
      <c r="AR78" s="3">
        <v>1</v>
      </c>
      <c r="AS78" s="3">
        <v>1</v>
      </c>
      <c r="AT78" s="3">
        <v>1</v>
      </c>
    </row>
    <row r="79" spans="2:46" x14ac:dyDescent="0.4">
      <c r="B79" s="1" t="s">
        <v>126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>
        <v>0.8</v>
      </c>
      <c r="AR79" s="3">
        <v>1</v>
      </c>
      <c r="AS79" s="3">
        <v>1</v>
      </c>
      <c r="AT79" s="3">
        <v>1</v>
      </c>
    </row>
    <row r="80" spans="2:46" x14ac:dyDescent="0.4">
      <c r="B80" s="1" t="s">
        <v>127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>
        <v>0.4</v>
      </c>
      <c r="AR80" s="3">
        <v>1</v>
      </c>
      <c r="AS80" s="3">
        <v>1</v>
      </c>
      <c r="AT80" s="3">
        <v>1</v>
      </c>
    </row>
    <row r="81" spans="2:46" x14ac:dyDescent="0.4">
      <c r="B81" s="1" t="s">
        <v>128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>
        <v>0.7</v>
      </c>
      <c r="AR81" s="3">
        <v>1</v>
      </c>
      <c r="AS81" s="3">
        <v>1</v>
      </c>
      <c r="AT81" s="3">
        <v>1</v>
      </c>
    </row>
    <row r="82" spans="2:46" hidden="1" x14ac:dyDescent="0.4">
      <c r="B82" s="1" t="s">
        <v>129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>
        <v>1</v>
      </c>
      <c r="AN82" s="3">
        <v>1</v>
      </c>
      <c r="AO82" s="3">
        <v>1</v>
      </c>
      <c r="AP82" s="3">
        <v>1</v>
      </c>
      <c r="AQ82" s="3">
        <v>1</v>
      </c>
      <c r="AR82" s="3">
        <v>1</v>
      </c>
      <c r="AS82" s="3">
        <v>1</v>
      </c>
      <c r="AT82" s="3">
        <v>1</v>
      </c>
    </row>
    <row r="83" spans="2:46" hidden="1" x14ac:dyDescent="0.4">
      <c r="B83" s="1" t="s">
        <v>130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>
        <v>1</v>
      </c>
      <c r="AN83" s="3">
        <v>1</v>
      </c>
      <c r="AO83" s="3">
        <v>1</v>
      </c>
      <c r="AP83" s="3">
        <v>1</v>
      </c>
      <c r="AQ83" s="3">
        <v>1</v>
      </c>
      <c r="AR83" s="3">
        <v>1</v>
      </c>
      <c r="AS83" s="3">
        <v>1</v>
      </c>
      <c r="AT83" s="3">
        <v>1</v>
      </c>
    </row>
    <row r="84" spans="2:46" hidden="1" x14ac:dyDescent="0.4">
      <c r="B84" s="1" t="s">
        <v>131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>
        <v>1</v>
      </c>
      <c r="AN84" s="3">
        <v>1</v>
      </c>
      <c r="AO84" s="3">
        <v>1</v>
      </c>
      <c r="AP84" s="3">
        <v>1</v>
      </c>
      <c r="AQ84" s="3">
        <v>1</v>
      </c>
      <c r="AR84" s="3">
        <v>1</v>
      </c>
      <c r="AS84" s="3">
        <v>1</v>
      </c>
      <c r="AT84" s="3">
        <v>1</v>
      </c>
    </row>
    <row r="85" spans="2:46" x14ac:dyDescent="0.4">
      <c r="B85" s="1" t="s">
        <v>132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>
        <v>0</v>
      </c>
      <c r="AR85" s="3">
        <v>1</v>
      </c>
      <c r="AS85" s="3">
        <v>0.6</v>
      </c>
      <c r="AT85" s="3">
        <v>1</v>
      </c>
    </row>
    <row r="86" spans="2:46" x14ac:dyDescent="0.4">
      <c r="B86" s="1" t="s">
        <v>133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>
        <v>0.4</v>
      </c>
      <c r="AR86" s="3">
        <v>1</v>
      </c>
      <c r="AS86" s="3">
        <v>0.4</v>
      </c>
      <c r="AT86" s="3">
        <v>1</v>
      </c>
    </row>
    <row r="87" spans="2:46" hidden="1" x14ac:dyDescent="0.4">
      <c r="B87" s="1" t="s">
        <v>134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>
        <v>1</v>
      </c>
      <c r="AR87" s="3">
        <v>1</v>
      </c>
      <c r="AS87" s="3">
        <v>1</v>
      </c>
      <c r="AT87" s="3">
        <v>1</v>
      </c>
    </row>
    <row r="88" spans="2:46" x14ac:dyDescent="0.4">
      <c r="B88" s="1" t="s">
        <v>135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>
        <v>0.4</v>
      </c>
      <c r="AR88" s="3">
        <v>1</v>
      </c>
      <c r="AS88" s="3">
        <v>0.4</v>
      </c>
      <c r="AT88" s="3">
        <v>1</v>
      </c>
    </row>
    <row r="89" spans="2:46" x14ac:dyDescent="0.4">
      <c r="B89" s="1" t="s">
        <v>136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>
        <v>0.4</v>
      </c>
      <c r="AR89" s="3">
        <v>1</v>
      </c>
      <c r="AS89" s="3">
        <v>0.4</v>
      </c>
      <c r="AT89" s="3">
        <v>1</v>
      </c>
    </row>
    <row r="90" spans="2:46" x14ac:dyDescent="0.4">
      <c r="B90" s="1" t="s">
        <v>137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>
        <v>0.8</v>
      </c>
      <c r="AR90" s="3">
        <v>1</v>
      </c>
      <c r="AS90" s="3">
        <v>1</v>
      </c>
      <c r="AT90" s="3">
        <v>1</v>
      </c>
    </row>
    <row r="91" spans="2:46" x14ac:dyDescent="0.4">
      <c r="B91" s="1" t="s">
        <v>138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>
        <v>0</v>
      </c>
      <c r="AR91" s="3">
        <v>1</v>
      </c>
      <c r="AS91" s="3">
        <v>0.6</v>
      </c>
      <c r="AT91" s="3">
        <v>1</v>
      </c>
    </row>
    <row r="92" spans="2:46" x14ac:dyDescent="0.4">
      <c r="B92" s="1" t="s">
        <v>139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>
        <v>0</v>
      </c>
      <c r="AR92" s="3">
        <v>1</v>
      </c>
      <c r="AS92" s="3">
        <v>0.6</v>
      </c>
      <c r="AT92" s="3">
        <v>1</v>
      </c>
    </row>
    <row r="93" spans="2:46" x14ac:dyDescent="0.4">
      <c r="B93" s="1" t="s">
        <v>140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>
        <v>0.8</v>
      </c>
      <c r="AR93" s="3">
        <v>1</v>
      </c>
      <c r="AS93" s="3">
        <v>1</v>
      </c>
      <c r="AT93" s="3">
        <v>1</v>
      </c>
    </row>
    <row r="94" spans="2:46" x14ac:dyDescent="0.4">
      <c r="B94" s="1" t="s">
        <v>141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>
        <v>0.8</v>
      </c>
      <c r="AR94" s="3">
        <v>1</v>
      </c>
      <c r="AS94" s="3">
        <v>1</v>
      </c>
      <c r="AT94" s="3">
        <v>1</v>
      </c>
    </row>
    <row r="95" spans="2:46" hidden="1" x14ac:dyDescent="0.4">
      <c r="B95" s="1" t="s">
        <v>142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>
        <v>1</v>
      </c>
      <c r="AR95" s="3">
        <v>1</v>
      </c>
      <c r="AS95" s="3">
        <v>1</v>
      </c>
      <c r="AT95" s="3">
        <v>1</v>
      </c>
    </row>
    <row r="96" spans="2:46" hidden="1" x14ac:dyDescent="0.4">
      <c r="B96" s="1" t="s">
        <v>143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>
        <v>0.9</v>
      </c>
      <c r="AR96" s="3">
        <v>1</v>
      </c>
      <c r="AS96" s="3">
        <v>1</v>
      </c>
      <c r="AT96" s="3">
        <v>1</v>
      </c>
    </row>
    <row r="97" spans="2:46" hidden="1" x14ac:dyDescent="0.4">
      <c r="B97" s="1" t="s">
        <v>144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>
        <v>1</v>
      </c>
      <c r="AR97" s="3">
        <v>1</v>
      </c>
      <c r="AS97" s="3">
        <v>1</v>
      </c>
      <c r="AT97" s="3">
        <v>1</v>
      </c>
    </row>
    <row r="98" spans="2:46" hidden="1" x14ac:dyDescent="0.4">
      <c r="B98" s="1" t="s">
        <v>145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>
        <v>1</v>
      </c>
      <c r="AR98" s="3">
        <v>1</v>
      </c>
      <c r="AS98" s="3">
        <v>1</v>
      </c>
      <c r="AT98" s="3">
        <v>1</v>
      </c>
    </row>
    <row r="99" spans="2:46" x14ac:dyDescent="0.4">
      <c r="B99" s="1" t="s">
        <v>146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>
        <v>0.6</v>
      </c>
      <c r="AR99" s="3">
        <v>1</v>
      </c>
      <c r="AS99" s="3">
        <v>0.6</v>
      </c>
      <c r="AT99" s="3">
        <v>1</v>
      </c>
    </row>
    <row r="100" spans="2:46" x14ac:dyDescent="0.4">
      <c r="B100" s="1" t="s">
        <v>147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>
        <v>0.8</v>
      </c>
      <c r="AR100" s="3">
        <v>1</v>
      </c>
      <c r="AS100" s="3">
        <v>1</v>
      </c>
      <c r="AT100" s="3">
        <v>1</v>
      </c>
    </row>
    <row r="101" spans="2:46" hidden="1" x14ac:dyDescent="0.4">
      <c r="B101" s="1" t="s">
        <v>148</v>
      </c>
      <c r="C101" s="3">
        <v>1</v>
      </c>
      <c r="D101" s="3">
        <v>1</v>
      </c>
      <c r="E101" s="3">
        <v>1</v>
      </c>
      <c r="F101" s="3">
        <v>0.4</v>
      </c>
      <c r="G101" s="3">
        <v>1</v>
      </c>
      <c r="H101" s="3">
        <v>1</v>
      </c>
      <c r="I101" s="3">
        <v>1</v>
      </c>
      <c r="J101" s="3">
        <v>0.55000000000000004</v>
      </c>
      <c r="K101" s="3">
        <v>1</v>
      </c>
      <c r="L101" s="3">
        <v>1</v>
      </c>
      <c r="M101" s="3">
        <v>1</v>
      </c>
      <c r="N101" s="3">
        <v>0.55000000000000004</v>
      </c>
      <c r="O101" s="3">
        <v>1</v>
      </c>
      <c r="P101" s="3">
        <v>1</v>
      </c>
      <c r="Q101" s="3">
        <v>1</v>
      </c>
      <c r="R101" s="3">
        <v>0.85</v>
      </c>
      <c r="S101" s="3">
        <v>1</v>
      </c>
      <c r="T101" s="3">
        <v>1</v>
      </c>
      <c r="U101" s="3">
        <v>1</v>
      </c>
      <c r="V101" s="3">
        <v>1</v>
      </c>
      <c r="W101" s="3">
        <v>1</v>
      </c>
      <c r="X101" s="3">
        <v>1</v>
      </c>
      <c r="Y101" s="3">
        <v>1</v>
      </c>
      <c r="Z101" s="3">
        <v>1</v>
      </c>
      <c r="AA101" s="3">
        <v>1</v>
      </c>
      <c r="AB101" s="3">
        <v>1</v>
      </c>
      <c r="AC101" s="3">
        <v>1</v>
      </c>
      <c r="AD101" s="3">
        <v>1</v>
      </c>
      <c r="AE101" s="3">
        <v>1</v>
      </c>
      <c r="AF101" s="3">
        <v>1</v>
      </c>
      <c r="AG101" s="3">
        <v>1</v>
      </c>
      <c r="AH101" s="3">
        <v>1</v>
      </c>
      <c r="AI101" s="3">
        <v>1</v>
      </c>
      <c r="AJ101" s="3">
        <v>1</v>
      </c>
      <c r="AK101" s="3">
        <v>1</v>
      </c>
      <c r="AL101" s="3">
        <v>1</v>
      </c>
      <c r="AM101" s="3">
        <v>1</v>
      </c>
      <c r="AN101" s="3">
        <v>1</v>
      </c>
      <c r="AO101" s="3">
        <v>1</v>
      </c>
      <c r="AP101" s="3">
        <v>1</v>
      </c>
      <c r="AQ101" s="3">
        <v>1</v>
      </c>
      <c r="AR101" s="3">
        <v>1</v>
      </c>
      <c r="AS101" s="3">
        <v>1</v>
      </c>
      <c r="AT101" s="3">
        <v>1</v>
      </c>
    </row>
    <row r="102" spans="2:46" x14ac:dyDescent="0.4">
      <c r="B102" s="1" t="s">
        <v>149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>
        <v>0.8</v>
      </c>
      <c r="AR102" s="3">
        <v>1</v>
      </c>
      <c r="AS102" s="3">
        <v>1</v>
      </c>
      <c r="AT102" s="3">
        <v>1</v>
      </c>
    </row>
    <row r="103" spans="2:46" x14ac:dyDescent="0.4">
      <c r="B103" s="1" t="s">
        <v>150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>
        <v>0.6</v>
      </c>
      <c r="AR103" s="3">
        <v>1</v>
      </c>
      <c r="AS103" s="3">
        <v>0.6</v>
      </c>
      <c r="AT103" s="3">
        <v>1</v>
      </c>
    </row>
    <row r="104" spans="2:46" hidden="1" x14ac:dyDescent="0.4">
      <c r="B104" s="1" t="s">
        <v>151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>
        <v>1</v>
      </c>
      <c r="AR104" s="3">
        <v>1</v>
      </c>
      <c r="AS104" s="3">
        <v>1</v>
      </c>
      <c r="AT104" s="3">
        <v>1</v>
      </c>
    </row>
    <row r="105" spans="2:46" hidden="1" x14ac:dyDescent="0.4">
      <c r="B105" s="1" t="s">
        <v>152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>
        <v>1</v>
      </c>
      <c r="AR105" s="3">
        <v>1</v>
      </c>
      <c r="AS105" s="3">
        <v>1</v>
      </c>
      <c r="AT105" s="3">
        <v>1</v>
      </c>
    </row>
    <row r="106" spans="2:46" x14ac:dyDescent="0.4">
      <c r="B106" s="1" t="s">
        <v>153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>
        <v>0.8</v>
      </c>
      <c r="AR106" s="3">
        <v>1</v>
      </c>
      <c r="AS106" s="3">
        <v>1</v>
      </c>
      <c r="AT106" s="3">
        <v>1</v>
      </c>
    </row>
    <row r="107" spans="2:46" x14ac:dyDescent="0.4">
      <c r="B107" s="1" t="s">
        <v>154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>
        <v>0.6</v>
      </c>
      <c r="AR107" s="3">
        <v>1</v>
      </c>
      <c r="AS107" s="3">
        <v>0.6</v>
      </c>
      <c r="AT107" s="3">
        <v>1</v>
      </c>
    </row>
    <row r="108" spans="2:46" x14ac:dyDescent="0.4">
      <c r="B108" s="1" t="s">
        <v>155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>
        <v>0.6</v>
      </c>
      <c r="AR108" s="3">
        <v>1</v>
      </c>
      <c r="AS108" s="3">
        <v>0.6</v>
      </c>
      <c r="AT108" s="3">
        <v>1</v>
      </c>
    </row>
    <row r="109" spans="2:46" x14ac:dyDescent="0.4">
      <c r="B109" s="1" t="s">
        <v>156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>
        <v>0.6</v>
      </c>
      <c r="AR109" s="3">
        <v>1</v>
      </c>
      <c r="AS109" s="3">
        <v>0.6</v>
      </c>
      <c r="AT109" s="3">
        <v>1</v>
      </c>
    </row>
    <row r="110" spans="2:46" hidden="1" x14ac:dyDescent="0.4">
      <c r="B110" s="1" t="s">
        <v>157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>
        <v>1</v>
      </c>
      <c r="AR110" s="3">
        <v>1</v>
      </c>
      <c r="AS110" s="3">
        <v>1</v>
      </c>
      <c r="AT110" s="3">
        <v>1</v>
      </c>
    </row>
    <row r="111" spans="2:46" hidden="1" x14ac:dyDescent="0.4">
      <c r="B111" s="1" t="s">
        <v>158</v>
      </c>
      <c r="C111" s="3">
        <v>1</v>
      </c>
      <c r="D111" s="3">
        <v>1</v>
      </c>
      <c r="E111" s="3">
        <v>1</v>
      </c>
      <c r="F111" s="3">
        <v>0.4</v>
      </c>
      <c r="G111" s="3">
        <v>1</v>
      </c>
      <c r="H111" s="3">
        <v>1</v>
      </c>
      <c r="I111" s="3">
        <v>1</v>
      </c>
      <c r="J111" s="3">
        <v>0.55000000000000004</v>
      </c>
      <c r="K111" s="3">
        <v>1</v>
      </c>
      <c r="L111" s="3">
        <v>1</v>
      </c>
      <c r="M111" s="3">
        <v>1</v>
      </c>
      <c r="N111" s="3">
        <v>0.55000000000000004</v>
      </c>
      <c r="O111" s="3">
        <v>1</v>
      </c>
      <c r="P111" s="3">
        <v>1</v>
      </c>
      <c r="Q111" s="3">
        <v>1</v>
      </c>
      <c r="R111" s="3">
        <v>0.85</v>
      </c>
      <c r="S111" s="3">
        <v>1</v>
      </c>
      <c r="T111" s="3">
        <v>1</v>
      </c>
      <c r="U111" s="3">
        <v>1</v>
      </c>
      <c r="V111" s="3">
        <v>1</v>
      </c>
      <c r="W111" s="3">
        <v>1</v>
      </c>
      <c r="X111" s="3">
        <v>1</v>
      </c>
      <c r="Y111" s="3">
        <v>1</v>
      </c>
      <c r="Z111" s="3">
        <v>1</v>
      </c>
      <c r="AA111" s="3">
        <v>1</v>
      </c>
      <c r="AB111" s="3">
        <v>1</v>
      </c>
      <c r="AC111" s="3">
        <v>1</v>
      </c>
      <c r="AD111" s="3">
        <v>1</v>
      </c>
      <c r="AE111" s="3">
        <v>1</v>
      </c>
      <c r="AF111" s="3">
        <v>1</v>
      </c>
      <c r="AG111" s="3">
        <v>1</v>
      </c>
      <c r="AH111" s="3">
        <v>1</v>
      </c>
      <c r="AI111" s="3">
        <v>1</v>
      </c>
      <c r="AJ111" s="3">
        <v>1</v>
      </c>
      <c r="AK111" s="3">
        <v>1</v>
      </c>
      <c r="AL111" s="3">
        <v>1</v>
      </c>
      <c r="AM111" s="3">
        <v>1</v>
      </c>
      <c r="AN111" s="3">
        <v>1</v>
      </c>
      <c r="AO111" s="3">
        <v>1</v>
      </c>
      <c r="AP111" s="3">
        <v>1</v>
      </c>
      <c r="AQ111" s="3">
        <v>1</v>
      </c>
      <c r="AR111" s="3">
        <v>1</v>
      </c>
      <c r="AS111" s="3">
        <v>1</v>
      </c>
      <c r="AT111" s="3">
        <v>1</v>
      </c>
    </row>
    <row r="112" spans="2:46" hidden="1" x14ac:dyDescent="0.4">
      <c r="B112" s="1" t="s">
        <v>159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>
        <v>1</v>
      </c>
      <c r="AR112" s="3">
        <v>1</v>
      </c>
      <c r="AS112" s="3">
        <v>1</v>
      </c>
      <c r="AT112" s="3">
        <v>1</v>
      </c>
    </row>
    <row r="113" spans="2:46" x14ac:dyDescent="0.4">
      <c r="B113" s="1" t="s">
        <v>160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>
        <v>0.4</v>
      </c>
      <c r="AR113" s="3">
        <v>1</v>
      </c>
      <c r="AS113" s="3">
        <v>0.4</v>
      </c>
      <c r="AT113" s="3">
        <v>1</v>
      </c>
    </row>
    <row r="114" spans="2:46" x14ac:dyDescent="0.4">
      <c r="B114" s="1" t="s">
        <v>161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>
        <v>0</v>
      </c>
      <c r="AR114" s="3">
        <v>1</v>
      </c>
      <c r="AS114" s="3">
        <v>0.6</v>
      </c>
      <c r="AT114" s="3">
        <v>1</v>
      </c>
    </row>
    <row r="115" spans="2:46" x14ac:dyDescent="0.4">
      <c r="B115" s="1" t="s">
        <v>162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>
        <v>0</v>
      </c>
      <c r="AR115" s="3">
        <v>1</v>
      </c>
      <c r="AS115" s="3">
        <v>0</v>
      </c>
      <c r="AT115" s="3">
        <v>1</v>
      </c>
    </row>
    <row r="116" spans="2:46" x14ac:dyDescent="0.4">
      <c r="B116" s="1" t="s">
        <v>163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>
        <v>0.6</v>
      </c>
      <c r="AR116" s="3">
        <v>1</v>
      </c>
      <c r="AS116" s="3">
        <v>1</v>
      </c>
      <c r="AT116" s="3">
        <v>1</v>
      </c>
    </row>
    <row r="117" spans="2:46" hidden="1" x14ac:dyDescent="0.4">
      <c r="B117" s="1" t="s">
        <v>164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>
        <v>1</v>
      </c>
      <c r="AR117" s="3">
        <v>1</v>
      </c>
      <c r="AS117" s="3">
        <v>1</v>
      </c>
      <c r="AT117" s="3">
        <v>1</v>
      </c>
    </row>
    <row r="118" spans="2:46" hidden="1" x14ac:dyDescent="0.4">
      <c r="B118" s="1" t="s">
        <v>165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>
        <v>1</v>
      </c>
      <c r="AR118" s="3">
        <v>1</v>
      </c>
      <c r="AS118" s="3">
        <v>1</v>
      </c>
      <c r="AT118" s="3">
        <v>1</v>
      </c>
    </row>
    <row r="119" spans="2:46" hidden="1" x14ac:dyDescent="0.4">
      <c r="B119" s="1" t="s">
        <v>166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>
        <v>1</v>
      </c>
      <c r="AR119" s="3">
        <v>1</v>
      </c>
      <c r="AS119" s="3">
        <v>1</v>
      </c>
      <c r="AT119" s="3">
        <v>1</v>
      </c>
    </row>
    <row r="120" spans="2:46" hidden="1" x14ac:dyDescent="0.4">
      <c r="B120" s="1" t="s">
        <v>167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>
        <v>1</v>
      </c>
      <c r="AN120" s="3">
        <v>1</v>
      </c>
      <c r="AO120" s="3">
        <v>1</v>
      </c>
      <c r="AP120" s="3">
        <v>1</v>
      </c>
      <c r="AQ120" s="3">
        <v>1</v>
      </c>
      <c r="AR120" s="3">
        <v>1</v>
      </c>
      <c r="AS120" s="3">
        <v>1</v>
      </c>
      <c r="AT120" s="3">
        <v>1</v>
      </c>
    </row>
    <row r="121" spans="2:46" x14ac:dyDescent="0.4">
      <c r="B121" s="1" t="s">
        <v>168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>
        <v>0.8</v>
      </c>
      <c r="AR121" s="3">
        <v>1</v>
      </c>
      <c r="AS121" s="3">
        <v>0.6</v>
      </c>
      <c r="AT121" s="3">
        <v>1</v>
      </c>
    </row>
    <row r="122" spans="2:46" x14ac:dyDescent="0.4">
      <c r="B122" s="1" t="s">
        <v>169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>
        <v>0.8</v>
      </c>
      <c r="AR122" s="3">
        <v>1</v>
      </c>
      <c r="AS122" s="3">
        <v>0.6</v>
      </c>
      <c r="AT122" s="3">
        <v>1</v>
      </c>
    </row>
    <row r="123" spans="2:46" x14ac:dyDescent="0.4">
      <c r="B123" s="1" t="s">
        <v>170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>
        <v>0.8</v>
      </c>
      <c r="AR123" s="3">
        <v>1</v>
      </c>
      <c r="AS123" s="3">
        <v>1</v>
      </c>
      <c r="AT123" s="3">
        <v>1</v>
      </c>
    </row>
    <row r="124" spans="2:46" hidden="1" x14ac:dyDescent="0.4">
      <c r="B124" s="1" t="s">
        <v>171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>
        <v>1</v>
      </c>
      <c r="AN124" s="3">
        <v>1</v>
      </c>
      <c r="AO124" s="3">
        <v>1</v>
      </c>
      <c r="AP124" s="3">
        <v>1</v>
      </c>
      <c r="AQ124" s="3">
        <v>1</v>
      </c>
      <c r="AR124" s="3">
        <v>1</v>
      </c>
      <c r="AS124" s="3">
        <v>1</v>
      </c>
      <c r="AT124" s="3">
        <v>1</v>
      </c>
    </row>
    <row r="125" spans="2:46" hidden="1" x14ac:dyDescent="0.4">
      <c r="B125" s="1" t="s">
        <v>172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>
        <v>1</v>
      </c>
      <c r="AN125" s="3">
        <v>1</v>
      </c>
      <c r="AO125" s="3">
        <v>1</v>
      </c>
      <c r="AP125" s="3">
        <v>1</v>
      </c>
      <c r="AQ125" s="3">
        <v>1</v>
      </c>
      <c r="AR125" s="3">
        <v>1</v>
      </c>
      <c r="AS125" s="3">
        <v>1</v>
      </c>
      <c r="AT125" s="3">
        <v>1</v>
      </c>
    </row>
    <row r="126" spans="2:46" hidden="1" x14ac:dyDescent="0.4">
      <c r="B126" s="1" t="s">
        <v>173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>
        <v>1</v>
      </c>
      <c r="AN126" s="3">
        <v>1</v>
      </c>
      <c r="AO126" s="3">
        <v>1</v>
      </c>
      <c r="AP126" s="3">
        <v>1</v>
      </c>
      <c r="AQ126" s="3">
        <v>1</v>
      </c>
      <c r="AR126" s="3">
        <v>1</v>
      </c>
      <c r="AS126" s="3">
        <v>1</v>
      </c>
      <c r="AT126" s="3">
        <v>1</v>
      </c>
    </row>
    <row r="127" spans="2:46" hidden="1" x14ac:dyDescent="0.4">
      <c r="B127" s="1" t="s">
        <v>174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>
        <v>1</v>
      </c>
      <c r="AN127" s="3">
        <v>1</v>
      </c>
      <c r="AO127" s="3">
        <v>1</v>
      </c>
      <c r="AP127" s="3">
        <v>1</v>
      </c>
      <c r="AQ127" s="3">
        <v>1</v>
      </c>
      <c r="AR127" s="3">
        <v>1</v>
      </c>
      <c r="AS127" s="3">
        <v>1</v>
      </c>
      <c r="AT127" s="3">
        <v>1</v>
      </c>
    </row>
    <row r="128" spans="2:46" x14ac:dyDescent="0.4">
      <c r="B128" s="1" t="s">
        <v>175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>
        <v>0.4</v>
      </c>
      <c r="AR128" s="3">
        <v>1</v>
      </c>
      <c r="AS128" s="3">
        <v>1</v>
      </c>
      <c r="AT128" s="3">
        <v>1</v>
      </c>
    </row>
    <row r="129" spans="2:46" hidden="1" x14ac:dyDescent="0.4">
      <c r="B129" s="1" t="s">
        <v>176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>
        <v>1</v>
      </c>
      <c r="AJ129" s="3">
        <v>0.4</v>
      </c>
      <c r="AK129" s="3">
        <v>0.4</v>
      </c>
      <c r="AL129" s="3">
        <v>0.4</v>
      </c>
      <c r="AM129" s="3">
        <v>1</v>
      </c>
      <c r="AN129" s="3">
        <v>1</v>
      </c>
      <c r="AO129" s="3">
        <v>1</v>
      </c>
      <c r="AP129" s="3">
        <v>1</v>
      </c>
      <c r="AQ129" s="3">
        <v>1</v>
      </c>
      <c r="AR129" s="3">
        <v>1</v>
      </c>
      <c r="AS129" s="3">
        <v>1</v>
      </c>
      <c r="AT129" s="3">
        <v>1</v>
      </c>
    </row>
    <row r="130" spans="2:46" hidden="1" x14ac:dyDescent="0.4">
      <c r="B130" s="1" t="s">
        <v>177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>
        <v>1</v>
      </c>
      <c r="AJ130" s="3">
        <v>0.4</v>
      </c>
      <c r="AK130" s="3">
        <v>0.4</v>
      </c>
      <c r="AL130" s="3">
        <v>0.4</v>
      </c>
      <c r="AM130" s="3">
        <v>1</v>
      </c>
      <c r="AN130" s="3">
        <v>1</v>
      </c>
      <c r="AO130" s="3">
        <v>1</v>
      </c>
      <c r="AP130" s="3">
        <v>1</v>
      </c>
      <c r="AQ130" s="3">
        <v>1</v>
      </c>
      <c r="AR130" s="3">
        <v>1</v>
      </c>
      <c r="AS130" s="3">
        <v>1</v>
      </c>
      <c r="AT130" s="3">
        <v>1</v>
      </c>
    </row>
    <row r="131" spans="2:46" hidden="1" x14ac:dyDescent="0.4">
      <c r="B131" s="1" t="s">
        <v>178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>
        <v>1</v>
      </c>
      <c r="AR131" s="3">
        <v>1</v>
      </c>
      <c r="AS131" s="3">
        <v>1</v>
      </c>
      <c r="AT131" s="3">
        <v>1</v>
      </c>
    </row>
    <row r="132" spans="2:46" hidden="1" x14ac:dyDescent="0.4">
      <c r="B132" s="1" t="s">
        <v>179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>
        <v>1</v>
      </c>
      <c r="AR132" s="3">
        <v>1</v>
      </c>
      <c r="AS132" s="3">
        <v>1</v>
      </c>
      <c r="AT132" s="3">
        <v>1</v>
      </c>
    </row>
    <row r="133" spans="2:46" hidden="1" x14ac:dyDescent="0.4">
      <c r="B133" s="1" t="s">
        <v>180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1</v>
      </c>
      <c r="AN133" s="3">
        <v>1</v>
      </c>
      <c r="AO133" s="3">
        <v>1</v>
      </c>
      <c r="AP133" s="3">
        <v>1</v>
      </c>
      <c r="AQ133" s="3">
        <v>1</v>
      </c>
      <c r="AR133" s="3">
        <v>1</v>
      </c>
      <c r="AS133" s="3">
        <v>1</v>
      </c>
      <c r="AT133" s="3">
        <v>1</v>
      </c>
    </row>
    <row r="134" spans="2:46" x14ac:dyDescent="0.4">
      <c r="B134" s="1" t="s">
        <v>181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>
        <v>0.4</v>
      </c>
      <c r="AR134" s="3">
        <v>1</v>
      </c>
      <c r="AS134" s="3">
        <v>1</v>
      </c>
      <c r="AT134" s="3">
        <v>1</v>
      </c>
    </row>
    <row r="135" spans="2:46" hidden="1" x14ac:dyDescent="0.4">
      <c r="B135" s="1" t="s">
        <v>182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>
        <v>1</v>
      </c>
      <c r="AR135" s="3">
        <v>1</v>
      </c>
      <c r="AS135" s="3">
        <v>1</v>
      </c>
      <c r="AT135" s="3">
        <v>1</v>
      </c>
    </row>
    <row r="136" spans="2:46" hidden="1" x14ac:dyDescent="0.4">
      <c r="B136" s="1" t="s">
        <v>183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>
        <v>1</v>
      </c>
      <c r="AJ136" s="3">
        <v>0.4</v>
      </c>
      <c r="AK136" s="3">
        <v>0.4</v>
      </c>
      <c r="AL136" s="3">
        <v>1</v>
      </c>
      <c r="AM136" s="3">
        <v>1</v>
      </c>
      <c r="AN136" s="3">
        <v>1</v>
      </c>
      <c r="AO136" s="3">
        <v>1</v>
      </c>
      <c r="AP136" s="3">
        <v>1</v>
      </c>
      <c r="AQ136" s="3">
        <v>1</v>
      </c>
      <c r="AR136" s="3">
        <v>1</v>
      </c>
      <c r="AS136" s="3">
        <v>1</v>
      </c>
      <c r="AT136" s="3">
        <v>1</v>
      </c>
    </row>
    <row r="137" spans="2:46" x14ac:dyDescent="0.4">
      <c r="B137" s="1" t="s">
        <v>184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>
        <v>0.6</v>
      </c>
      <c r="AR137" s="3">
        <v>1</v>
      </c>
      <c r="AS137" s="3">
        <v>0.6</v>
      </c>
      <c r="AT137" s="3">
        <v>1</v>
      </c>
    </row>
    <row r="138" spans="2:46" x14ac:dyDescent="0.4">
      <c r="B138" s="1" t="s">
        <v>185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>
        <v>0.7</v>
      </c>
      <c r="AR138" s="3">
        <v>1</v>
      </c>
      <c r="AS138" s="3">
        <v>1</v>
      </c>
      <c r="AT138" s="3">
        <v>1</v>
      </c>
    </row>
    <row r="139" spans="2:46" x14ac:dyDescent="0.4">
      <c r="B139" s="1" t="s">
        <v>186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>
        <v>0.7</v>
      </c>
      <c r="AR139" s="3">
        <v>1</v>
      </c>
      <c r="AS139" s="3">
        <v>1</v>
      </c>
      <c r="AT139" s="3">
        <v>1</v>
      </c>
    </row>
    <row r="140" spans="2:46" x14ac:dyDescent="0.4">
      <c r="B140" s="1" t="s">
        <v>187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>
        <v>0</v>
      </c>
      <c r="AR140" s="3">
        <v>1</v>
      </c>
      <c r="AS140" s="3">
        <v>0.4</v>
      </c>
      <c r="AT140" s="3">
        <v>1</v>
      </c>
    </row>
    <row r="141" spans="2:46" x14ac:dyDescent="0.4">
      <c r="B141" s="1" t="s">
        <v>188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>
        <v>0.7</v>
      </c>
      <c r="AR141" s="3">
        <v>1</v>
      </c>
      <c r="AS141" s="3">
        <v>1</v>
      </c>
      <c r="AT141" s="3">
        <v>1</v>
      </c>
    </row>
    <row r="142" spans="2:46" x14ac:dyDescent="0.4">
      <c r="B142" s="1" t="s">
        <v>189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>
        <v>0.8</v>
      </c>
      <c r="AR142" s="3">
        <v>1</v>
      </c>
      <c r="AS142" s="3">
        <v>1</v>
      </c>
      <c r="AT142" s="3">
        <v>1</v>
      </c>
    </row>
    <row r="143" spans="2:46" x14ac:dyDescent="0.4">
      <c r="B143" s="1" t="s">
        <v>190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>
        <v>0.8</v>
      </c>
      <c r="AR143" s="3">
        <v>1</v>
      </c>
      <c r="AS143" s="3">
        <v>1</v>
      </c>
      <c r="AT143" s="3">
        <v>1</v>
      </c>
    </row>
    <row r="144" spans="2:46" x14ac:dyDescent="0.4">
      <c r="B144" s="1" t="s">
        <v>191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>
        <v>0.8</v>
      </c>
      <c r="AR144" s="3">
        <v>1</v>
      </c>
      <c r="AS144" s="3">
        <v>1</v>
      </c>
      <c r="AT144" s="3">
        <v>1</v>
      </c>
    </row>
    <row r="145" spans="2:46" x14ac:dyDescent="0.4">
      <c r="B145" s="1" t="s">
        <v>192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>
        <v>0.8</v>
      </c>
      <c r="AR145" s="3">
        <v>1</v>
      </c>
      <c r="AS145" s="3">
        <v>1</v>
      </c>
      <c r="AT145" s="3">
        <v>1</v>
      </c>
    </row>
    <row r="146" spans="2:46" x14ac:dyDescent="0.4">
      <c r="B146" s="1" t="s">
        <v>193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>
        <v>0</v>
      </c>
      <c r="AR146" s="3">
        <v>1</v>
      </c>
      <c r="AS146" s="3">
        <v>0.4</v>
      </c>
      <c r="AT146" s="3">
        <v>1</v>
      </c>
    </row>
    <row r="147" spans="2:46" x14ac:dyDescent="0.4">
      <c r="B147" s="1" t="s">
        <v>194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>
        <v>0</v>
      </c>
      <c r="AR147" s="3">
        <v>1</v>
      </c>
      <c r="AS147" s="3">
        <v>0.4</v>
      </c>
      <c r="AT147" s="3">
        <v>1</v>
      </c>
    </row>
    <row r="148" spans="2:46" x14ac:dyDescent="0.4">
      <c r="B148" s="1" t="s">
        <v>195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>
        <v>0</v>
      </c>
      <c r="AR148" s="3">
        <v>1</v>
      </c>
      <c r="AS148" s="3">
        <v>0.4</v>
      </c>
      <c r="AT148" s="3">
        <v>1</v>
      </c>
    </row>
    <row r="149" spans="2:46" x14ac:dyDescent="0.4">
      <c r="B149" s="1" t="s">
        <v>196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>
        <v>0.8</v>
      </c>
      <c r="AR149" s="3">
        <v>1</v>
      </c>
      <c r="AS149" s="3">
        <v>1</v>
      </c>
      <c r="AT149" s="3">
        <v>1</v>
      </c>
    </row>
    <row r="150" spans="2:46" x14ac:dyDescent="0.4">
      <c r="B150" s="1" t="s">
        <v>197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>
        <v>0.6</v>
      </c>
      <c r="AR150" s="3">
        <v>1</v>
      </c>
      <c r="AS150" s="3">
        <v>1</v>
      </c>
      <c r="AT150" s="3">
        <v>1</v>
      </c>
    </row>
    <row r="151" spans="2:46" x14ac:dyDescent="0.4">
      <c r="B151" s="1" t="s">
        <v>198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>
        <v>0</v>
      </c>
      <c r="AR151" s="3">
        <v>1</v>
      </c>
      <c r="AS151" s="3">
        <v>0.4</v>
      </c>
      <c r="AT151" s="3">
        <v>1</v>
      </c>
    </row>
    <row r="152" spans="2:46" hidden="1" x14ac:dyDescent="0.4">
      <c r="B152" s="1" t="s">
        <v>199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>
        <v>1</v>
      </c>
      <c r="AR152" s="3">
        <v>1</v>
      </c>
      <c r="AS152" s="3">
        <v>1</v>
      </c>
      <c r="AT152" s="3">
        <v>1</v>
      </c>
    </row>
    <row r="153" spans="2:46" x14ac:dyDescent="0.4">
      <c r="B153" s="1" t="s">
        <v>200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>
        <v>0.8</v>
      </c>
      <c r="AR153" s="3">
        <v>1</v>
      </c>
      <c r="AS153" s="3">
        <v>1</v>
      </c>
      <c r="AT153" s="3">
        <v>1</v>
      </c>
    </row>
    <row r="154" spans="2:46" x14ac:dyDescent="0.4">
      <c r="B154" s="1" t="s">
        <v>201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>
        <v>0.4</v>
      </c>
      <c r="AR154" s="3">
        <v>1</v>
      </c>
      <c r="AS154" s="3">
        <v>0.4</v>
      </c>
      <c r="AT154" s="3">
        <v>1</v>
      </c>
    </row>
    <row r="155" spans="2:46" hidden="1" x14ac:dyDescent="0.4">
      <c r="B155" s="1" t="s">
        <v>202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>
        <v>1</v>
      </c>
      <c r="AR155" s="3">
        <v>1</v>
      </c>
      <c r="AS155" s="3">
        <v>1</v>
      </c>
      <c r="AT155" s="3">
        <v>1</v>
      </c>
    </row>
    <row r="156" spans="2:46" hidden="1" x14ac:dyDescent="0.4">
      <c r="B156" s="1" t="s">
        <v>203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>
        <v>1</v>
      </c>
      <c r="AR156" s="3">
        <v>1</v>
      </c>
      <c r="AS156" s="3">
        <v>1</v>
      </c>
      <c r="AT156" s="3">
        <v>1</v>
      </c>
    </row>
    <row r="157" spans="2:46" hidden="1" x14ac:dyDescent="0.4">
      <c r="B157" s="1" t="s">
        <v>204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>
        <v>1</v>
      </c>
      <c r="AR157" s="3">
        <v>1</v>
      </c>
      <c r="AS157" s="3">
        <v>1</v>
      </c>
      <c r="AT157" s="3">
        <v>1</v>
      </c>
    </row>
    <row r="158" spans="2:46" x14ac:dyDescent="0.4">
      <c r="B158" s="4" t="s">
        <v>205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>
        <v>0.6</v>
      </c>
      <c r="AR158" s="3">
        <v>1</v>
      </c>
      <c r="AS158" s="3">
        <v>1</v>
      </c>
      <c r="AT158" s="3">
        <v>1</v>
      </c>
    </row>
    <row r="159" spans="2:46" hidden="1" x14ac:dyDescent="0.4">
      <c r="B159" s="1" t="s">
        <v>206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>
        <v>1</v>
      </c>
      <c r="AN159" s="3">
        <v>1</v>
      </c>
      <c r="AO159" s="3">
        <v>1</v>
      </c>
      <c r="AP159" s="3">
        <v>1</v>
      </c>
      <c r="AQ159" s="3">
        <v>1</v>
      </c>
      <c r="AR159" s="3">
        <v>1</v>
      </c>
      <c r="AS159" s="3">
        <v>1</v>
      </c>
      <c r="AT159" s="3">
        <v>1</v>
      </c>
    </row>
    <row r="160" spans="2:46" hidden="1" x14ac:dyDescent="0.4">
      <c r="B160" s="1" t="s">
        <v>207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>
        <v>1</v>
      </c>
      <c r="AN160" s="3">
        <v>1</v>
      </c>
      <c r="AO160" s="3">
        <v>1</v>
      </c>
      <c r="AP160" s="3">
        <v>1</v>
      </c>
      <c r="AQ160" s="3">
        <v>1</v>
      </c>
      <c r="AR160" s="3">
        <v>1</v>
      </c>
      <c r="AS160" s="3">
        <v>1</v>
      </c>
      <c r="AT160" s="3">
        <v>1</v>
      </c>
    </row>
    <row r="161" spans="2:46" x14ac:dyDescent="0.4">
      <c r="B161" s="1" t="s">
        <v>208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>
        <v>0</v>
      </c>
      <c r="AR161" s="3">
        <v>1</v>
      </c>
      <c r="AS161" s="3">
        <v>0.4</v>
      </c>
      <c r="AT161" s="3">
        <v>1</v>
      </c>
    </row>
    <row r="162" spans="2:46" hidden="1" x14ac:dyDescent="0.4">
      <c r="B162" s="1" t="s">
        <v>209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>
        <v>1</v>
      </c>
      <c r="AR162" s="3">
        <v>1</v>
      </c>
      <c r="AS162" s="3">
        <v>1</v>
      </c>
      <c r="AT162" s="3">
        <v>1</v>
      </c>
    </row>
    <row r="163" spans="2:46" hidden="1" x14ac:dyDescent="0.4">
      <c r="B163" s="1" t="s">
        <v>210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>
        <v>1</v>
      </c>
      <c r="AR163" s="3">
        <v>1</v>
      </c>
      <c r="AS163" s="3">
        <v>1</v>
      </c>
      <c r="AT163" s="3">
        <v>1</v>
      </c>
    </row>
    <row r="164" spans="2:46" hidden="1" x14ac:dyDescent="0.4">
      <c r="B164" s="1" t="s">
        <v>211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>
        <v>1</v>
      </c>
      <c r="AR164" s="3">
        <v>1</v>
      </c>
      <c r="AS164" s="3">
        <v>1</v>
      </c>
      <c r="AT164" s="3">
        <v>1</v>
      </c>
    </row>
    <row r="165" spans="2:46" hidden="1" x14ac:dyDescent="0.4">
      <c r="B165" s="1" t="s">
        <v>212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>
        <v>1</v>
      </c>
      <c r="AR165" s="3">
        <v>1</v>
      </c>
      <c r="AS165" s="3">
        <v>1</v>
      </c>
      <c r="AT165" s="3">
        <v>1</v>
      </c>
    </row>
    <row r="166" spans="2:46" x14ac:dyDescent="0.4">
      <c r="B166" s="1" t="s">
        <v>213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>
        <v>0</v>
      </c>
      <c r="AR166" s="3">
        <v>1</v>
      </c>
      <c r="AS166" s="3">
        <v>0</v>
      </c>
      <c r="AT166" s="3">
        <v>1</v>
      </c>
    </row>
    <row r="167" spans="2:46" x14ac:dyDescent="0.4">
      <c r="B167" s="1" t="s">
        <v>214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>
        <v>0.8</v>
      </c>
      <c r="AR167" s="3">
        <v>1</v>
      </c>
      <c r="AS167" s="3">
        <v>1</v>
      </c>
      <c r="AT167" s="3">
        <v>1</v>
      </c>
    </row>
    <row r="168" spans="2:46" hidden="1" x14ac:dyDescent="0.4">
      <c r="B168" s="1" t="s">
        <v>215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>
        <v>1</v>
      </c>
      <c r="AN168" s="3">
        <v>1</v>
      </c>
      <c r="AO168" s="3">
        <v>1</v>
      </c>
      <c r="AP168" s="3">
        <v>1</v>
      </c>
      <c r="AQ168" s="3">
        <v>1</v>
      </c>
      <c r="AR168" s="3">
        <v>1</v>
      </c>
      <c r="AS168" s="3">
        <v>1</v>
      </c>
      <c r="AT168" s="3">
        <v>1</v>
      </c>
    </row>
    <row r="169" spans="2:46" hidden="1" x14ac:dyDescent="0.4">
      <c r="B169" s="1" t="s">
        <v>216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>
        <v>1</v>
      </c>
      <c r="AN169" s="3">
        <v>1</v>
      </c>
      <c r="AO169" s="3">
        <v>1</v>
      </c>
      <c r="AP169" s="3">
        <v>1</v>
      </c>
      <c r="AQ169" s="3">
        <v>1</v>
      </c>
      <c r="AR169" s="3">
        <v>1</v>
      </c>
      <c r="AS169" s="3">
        <v>1</v>
      </c>
      <c r="AT169" s="3">
        <v>1</v>
      </c>
    </row>
    <row r="170" spans="2:46" x14ac:dyDescent="0.4">
      <c r="B170" s="1" t="s">
        <v>217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>
        <v>0</v>
      </c>
      <c r="AR170" s="3">
        <v>1</v>
      </c>
      <c r="AS170" s="3">
        <v>1</v>
      </c>
      <c r="AT170" s="3">
        <v>1</v>
      </c>
    </row>
    <row r="171" spans="2:46" hidden="1" x14ac:dyDescent="0.4">
      <c r="B171" s="1" t="s">
        <v>218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>
        <v>1</v>
      </c>
      <c r="AR171" s="3">
        <v>1</v>
      </c>
      <c r="AS171" s="3">
        <v>1</v>
      </c>
      <c r="AT171" s="3">
        <v>1</v>
      </c>
    </row>
    <row r="172" spans="2:46" x14ac:dyDescent="0.4">
      <c r="B172" s="1" t="s">
        <v>219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>
        <v>0.6</v>
      </c>
      <c r="AR172" s="3">
        <v>1</v>
      </c>
      <c r="AS172" s="3">
        <v>0.6</v>
      </c>
      <c r="AT172" s="3">
        <v>1</v>
      </c>
    </row>
    <row r="173" spans="2:46" x14ac:dyDescent="0.4">
      <c r="B173" s="1" t="s">
        <v>220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>
        <v>0</v>
      </c>
      <c r="AR173" s="3">
        <v>1</v>
      </c>
      <c r="AS173" s="3">
        <v>0.4</v>
      </c>
      <c r="AT173" s="3">
        <v>1</v>
      </c>
    </row>
    <row r="174" spans="2:46" x14ac:dyDescent="0.4">
      <c r="B174" s="1" t="s">
        <v>221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>
        <v>0</v>
      </c>
      <c r="AR174" s="3">
        <v>1</v>
      </c>
      <c r="AS174" s="3">
        <v>0.4</v>
      </c>
      <c r="AT174" s="3">
        <v>1</v>
      </c>
    </row>
    <row r="175" spans="2:46" x14ac:dyDescent="0.4">
      <c r="B175" s="1" t="s">
        <v>222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>
        <v>0.6</v>
      </c>
      <c r="AR175" s="3">
        <v>1</v>
      </c>
      <c r="AS175" s="3">
        <v>0.6</v>
      </c>
      <c r="AT175" s="3">
        <v>1</v>
      </c>
    </row>
    <row r="176" spans="2:46" x14ac:dyDescent="0.4">
      <c r="B176" s="1" t="s">
        <v>223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>
        <v>0.6</v>
      </c>
      <c r="AR176" s="3">
        <v>1</v>
      </c>
      <c r="AS176" s="3">
        <v>0.6</v>
      </c>
      <c r="AT176" s="3">
        <v>1</v>
      </c>
    </row>
    <row r="177" spans="2:46" x14ac:dyDescent="0.4">
      <c r="B177" s="1" t="s">
        <v>224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>
        <v>0.6</v>
      </c>
      <c r="AR177" s="3">
        <v>1</v>
      </c>
      <c r="AS177" s="3">
        <v>0.6</v>
      </c>
      <c r="AT177" s="3">
        <v>1</v>
      </c>
    </row>
    <row r="178" spans="2:46" x14ac:dyDescent="0.4">
      <c r="B178" s="1" t="s">
        <v>225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>
        <v>0</v>
      </c>
      <c r="AR178" s="3">
        <v>1</v>
      </c>
      <c r="AS178" s="3">
        <v>0.4</v>
      </c>
      <c r="AT178" s="3">
        <v>1</v>
      </c>
    </row>
    <row r="179" spans="2:46" x14ac:dyDescent="0.4">
      <c r="B179" s="1" t="s">
        <v>226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>
        <v>0</v>
      </c>
      <c r="AR179" s="3">
        <v>1</v>
      </c>
      <c r="AS179" s="3">
        <v>0.4</v>
      </c>
      <c r="AT179" s="3">
        <v>1</v>
      </c>
    </row>
    <row r="180" spans="2:46" x14ac:dyDescent="0.4">
      <c r="B180" s="1" t="s">
        <v>227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>
        <v>0.8</v>
      </c>
      <c r="AR180" s="3">
        <v>1</v>
      </c>
      <c r="AS180" s="3">
        <v>1</v>
      </c>
      <c r="AT180" s="3">
        <v>1</v>
      </c>
    </row>
    <row r="181" spans="2:46" hidden="1" x14ac:dyDescent="0.4">
      <c r="B181" s="1" t="s">
        <v>228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>
        <v>1</v>
      </c>
      <c r="AR181" s="3">
        <v>1</v>
      </c>
      <c r="AS181" s="3">
        <v>1</v>
      </c>
      <c r="AT181" s="3">
        <v>1</v>
      </c>
    </row>
    <row r="182" spans="2:46" x14ac:dyDescent="0.4">
      <c r="B182" s="1" t="s">
        <v>229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>
        <v>0.4</v>
      </c>
      <c r="AR182" s="3">
        <v>1</v>
      </c>
      <c r="AS182" s="3">
        <v>1</v>
      </c>
      <c r="AT182" s="3">
        <v>1</v>
      </c>
    </row>
    <row r="183" spans="2:46" hidden="1" x14ac:dyDescent="0.4">
      <c r="B183" s="1" t="s">
        <v>230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>
        <v>1</v>
      </c>
      <c r="AR183" s="3">
        <v>1</v>
      </c>
      <c r="AS183" s="3">
        <v>1</v>
      </c>
      <c r="AT183" s="3">
        <v>1</v>
      </c>
    </row>
    <row r="184" spans="2:46" hidden="1" x14ac:dyDescent="0.4">
      <c r="B184" s="1" t="s">
        <v>231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>
        <v>1</v>
      </c>
      <c r="AJ184" s="3">
        <v>1</v>
      </c>
      <c r="AK184" s="3">
        <v>0.5</v>
      </c>
      <c r="AL184" s="3">
        <v>1</v>
      </c>
      <c r="AM184" s="3">
        <v>1</v>
      </c>
      <c r="AN184" s="3">
        <v>1</v>
      </c>
      <c r="AO184" s="3">
        <v>1</v>
      </c>
      <c r="AP184" s="3">
        <v>1</v>
      </c>
      <c r="AQ184" s="3">
        <v>1</v>
      </c>
      <c r="AR184" s="3">
        <v>1</v>
      </c>
      <c r="AS184" s="3">
        <v>1</v>
      </c>
      <c r="AT184" s="3">
        <v>1</v>
      </c>
    </row>
    <row r="185" spans="2:46" hidden="1" x14ac:dyDescent="0.4">
      <c r="B185" s="1" t="s">
        <v>232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>
        <v>1</v>
      </c>
      <c r="AJ185" s="3">
        <v>1</v>
      </c>
      <c r="AK185" s="3">
        <v>0.5</v>
      </c>
      <c r="AL185" s="3">
        <v>1</v>
      </c>
      <c r="AM185" s="3">
        <v>1</v>
      </c>
      <c r="AN185" s="3">
        <v>1</v>
      </c>
      <c r="AO185" s="3">
        <v>1</v>
      </c>
      <c r="AP185" s="3">
        <v>1</v>
      </c>
      <c r="AQ185" s="3">
        <v>1</v>
      </c>
      <c r="AR185" s="3">
        <v>1</v>
      </c>
      <c r="AS185" s="3">
        <v>1</v>
      </c>
      <c r="AT185" s="3">
        <v>1</v>
      </c>
    </row>
    <row r="186" spans="2:46" hidden="1" x14ac:dyDescent="0.4">
      <c r="B186" s="1" t="s">
        <v>233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>
        <v>1</v>
      </c>
      <c r="AR186" s="3">
        <v>1</v>
      </c>
      <c r="AS186" s="3">
        <v>1</v>
      </c>
      <c r="AT186" s="3">
        <v>1</v>
      </c>
    </row>
    <row r="187" spans="2:46" x14ac:dyDescent="0.4">
      <c r="B187" s="1" t="s">
        <v>234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>
        <v>0.6</v>
      </c>
      <c r="AR187" s="3">
        <v>1</v>
      </c>
      <c r="AS187" s="3">
        <v>1</v>
      </c>
      <c r="AT187" s="3">
        <v>1</v>
      </c>
    </row>
    <row r="188" spans="2:46" hidden="1" x14ac:dyDescent="0.4">
      <c r="B188" s="1" t="s">
        <v>235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>
        <v>1</v>
      </c>
      <c r="AJ188" s="3">
        <v>1</v>
      </c>
      <c r="AK188" s="3">
        <v>0.5</v>
      </c>
      <c r="AL188" s="3">
        <v>1</v>
      </c>
      <c r="AM188" s="3">
        <v>1</v>
      </c>
      <c r="AN188" s="3">
        <v>1</v>
      </c>
      <c r="AO188" s="3">
        <v>1</v>
      </c>
      <c r="AP188" s="3">
        <v>1</v>
      </c>
      <c r="AQ188" s="3">
        <v>1</v>
      </c>
      <c r="AR188" s="3">
        <v>1</v>
      </c>
      <c r="AS188" s="3">
        <v>1</v>
      </c>
      <c r="AT188" s="3">
        <v>1</v>
      </c>
    </row>
    <row r="189" spans="2:46" hidden="1" x14ac:dyDescent="0.4">
      <c r="B189" s="1" t="s">
        <v>236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>
        <v>1</v>
      </c>
      <c r="AR189" s="3">
        <v>1</v>
      </c>
      <c r="AS189" s="3">
        <v>1</v>
      </c>
      <c r="AT189" s="3">
        <v>1</v>
      </c>
    </row>
    <row r="190" spans="2:46" x14ac:dyDescent="0.4">
      <c r="B190" s="1" t="s">
        <v>237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>
        <v>0.6</v>
      </c>
      <c r="AR190" s="3">
        <v>1</v>
      </c>
      <c r="AS190" s="3">
        <v>1</v>
      </c>
      <c r="AT190" s="3">
        <v>1</v>
      </c>
    </row>
    <row r="191" spans="2:46" x14ac:dyDescent="0.4">
      <c r="B191" s="1" t="s">
        <v>238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>
        <v>0.7</v>
      </c>
      <c r="AR191" s="3">
        <v>1</v>
      </c>
      <c r="AS191" s="3">
        <v>1</v>
      </c>
      <c r="AT191" s="3">
        <v>1</v>
      </c>
    </row>
    <row r="192" spans="2:46" hidden="1" x14ac:dyDescent="0.4">
      <c r="B192" s="1" t="s">
        <v>239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0.81</v>
      </c>
      <c r="P192" s="2">
        <v>1</v>
      </c>
      <c r="Q192" s="2">
        <v>0.8</v>
      </c>
      <c r="R192" s="2">
        <v>0.5</v>
      </c>
      <c r="S192" s="2">
        <v>0.81</v>
      </c>
      <c r="T192" s="2">
        <v>1</v>
      </c>
      <c r="U192" s="2">
        <v>0.8</v>
      </c>
      <c r="V192" s="2">
        <v>0.5</v>
      </c>
      <c r="W192" s="2">
        <v>0.9</v>
      </c>
      <c r="X192" s="2">
        <v>1</v>
      </c>
      <c r="Y192" s="2">
        <v>0.8</v>
      </c>
      <c r="Z192" s="2">
        <v>0.75</v>
      </c>
      <c r="AA192" s="3">
        <v>0.9</v>
      </c>
      <c r="AB192" s="2">
        <v>1</v>
      </c>
      <c r="AC192" s="2">
        <v>0.85</v>
      </c>
      <c r="AD192" s="2">
        <v>1</v>
      </c>
      <c r="AE192" s="3">
        <v>0.9</v>
      </c>
      <c r="AF192" s="2">
        <v>1</v>
      </c>
      <c r="AG192" s="2">
        <v>0.85</v>
      </c>
      <c r="AH192" s="2">
        <v>1</v>
      </c>
      <c r="AI192" s="3">
        <v>0.9</v>
      </c>
      <c r="AJ192" s="2">
        <v>1</v>
      </c>
      <c r="AK192" s="2">
        <v>0.85</v>
      </c>
      <c r="AL192" s="2">
        <v>1</v>
      </c>
      <c r="AM192" s="3">
        <v>1</v>
      </c>
      <c r="AN192" s="2">
        <v>1</v>
      </c>
      <c r="AO192" s="2">
        <v>1</v>
      </c>
      <c r="AP192" s="2">
        <v>1</v>
      </c>
      <c r="AQ192" s="3">
        <v>1</v>
      </c>
      <c r="AR192" s="2">
        <v>1</v>
      </c>
      <c r="AS192" s="2">
        <v>1</v>
      </c>
      <c r="AT192" s="2">
        <v>1</v>
      </c>
    </row>
    <row r="193" spans="2:46" hidden="1" x14ac:dyDescent="0.4">
      <c r="B193" s="1" t="s">
        <v>240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0.81</v>
      </c>
      <c r="P193" s="2">
        <v>1</v>
      </c>
      <c r="Q193" s="2">
        <v>0.8</v>
      </c>
      <c r="R193" s="2">
        <v>0.5</v>
      </c>
      <c r="S193" s="2">
        <v>0.81</v>
      </c>
      <c r="T193" s="2">
        <v>1</v>
      </c>
      <c r="U193" s="2">
        <v>0.8</v>
      </c>
      <c r="V193" s="2">
        <v>0.5</v>
      </c>
      <c r="W193" s="2">
        <v>0.9</v>
      </c>
      <c r="X193" s="2">
        <v>1</v>
      </c>
      <c r="Y193" s="2">
        <v>0.8</v>
      </c>
      <c r="Z193" s="2">
        <v>0.75</v>
      </c>
      <c r="AA193" s="3">
        <v>0.9</v>
      </c>
      <c r="AB193" s="2">
        <v>1</v>
      </c>
      <c r="AC193" s="2">
        <v>0.85</v>
      </c>
      <c r="AD193" s="2">
        <v>1</v>
      </c>
      <c r="AE193" s="3">
        <v>0.9</v>
      </c>
      <c r="AF193" s="2">
        <v>1</v>
      </c>
      <c r="AG193" s="2">
        <v>0.85</v>
      </c>
      <c r="AH193" s="2">
        <v>1</v>
      </c>
      <c r="AI193" s="3">
        <v>0.9</v>
      </c>
      <c r="AJ193" s="2">
        <v>1</v>
      </c>
      <c r="AK193" s="2">
        <v>0.85</v>
      </c>
      <c r="AL193" s="2">
        <v>1</v>
      </c>
      <c r="AM193" s="3">
        <v>1</v>
      </c>
      <c r="AN193" s="2">
        <v>1</v>
      </c>
      <c r="AO193" s="2">
        <v>1</v>
      </c>
      <c r="AP193" s="2">
        <v>1</v>
      </c>
      <c r="AQ193" s="3">
        <v>1</v>
      </c>
      <c r="AR193" s="2">
        <v>1</v>
      </c>
      <c r="AS193" s="2">
        <v>1</v>
      </c>
      <c r="AT193" s="2">
        <v>1</v>
      </c>
    </row>
    <row r="194" spans="2:46" hidden="1" x14ac:dyDescent="0.4">
      <c r="B194" s="1" t="s">
        <v>241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>
        <v>1</v>
      </c>
      <c r="AR194" s="3">
        <v>1</v>
      </c>
      <c r="AS194" s="3">
        <v>1</v>
      </c>
      <c r="AT194" s="3">
        <v>1</v>
      </c>
    </row>
    <row r="195" spans="2:46" x14ac:dyDescent="0.4">
      <c r="B195" s="1" t="s">
        <v>242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>
        <v>0</v>
      </c>
      <c r="AR195" s="3">
        <v>1</v>
      </c>
      <c r="AS195" s="3">
        <v>0.4</v>
      </c>
      <c r="AT195" s="3">
        <v>1</v>
      </c>
    </row>
    <row r="196" spans="2:46" x14ac:dyDescent="0.4">
      <c r="B196" s="1" t="s">
        <v>243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>
        <v>0</v>
      </c>
      <c r="AR196" s="3">
        <v>1</v>
      </c>
      <c r="AS196" s="3">
        <v>0.4</v>
      </c>
      <c r="AT196" s="3">
        <v>1</v>
      </c>
    </row>
    <row r="197" spans="2:46" x14ac:dyDescent="0.4">
      <c r="B197" s="1" t="s">
        <v>244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>
        <v>0</v>
      </c>
      <c r="AR197" s="3">
        <v>1</v>
      </c>
      <c r="AS197" s="3">
        <v>0.4</v>
      </c>
      <c r="AT197" s="3">
        <v>1</v>
      </c>
    </row>
    <row r="198" spans="2:46" x14ac:dyDescent="0.4">
      <c r="B198" s="1" t="s">
        <v>245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>
        <v>0</v>
      </c>
      <c r="AR198" s="3">
        <v>1</v>
      </c>
      <c r="AS198" s="3">
        <v>0.4</v>
      </c>
      <c r="AT198" s="3">
        <v>1</v>
      </c>
    </row>
    <row r="199" spans="2:46" x14ac:dyDescent="0.4">
      <c r="B199" s="1" t="s">
        <v>246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>
        <v>0</v>
      </c>
      <c r="AR199" s="3">
        <v>1</v>
      </c>
      <c r="AS199" s="3">
        <v>0.4</v>
      </c>
      <c r="AT199" s="3">
        <v>1</v>
      </c>
    </row>
    <row r="200" spans="2:46" x14ac:dyDescent="0.4">
      <c r="B200" s="1" t="s">
        <v>247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>
        <v>0</v>
      </c>
      <c r="AR200" s="3">
        <v>1</v>
      </c>
      <c r="AS200" s="3">
        <v>0.4</v>
      </c>
      <c r="AT200" s="3">
        <v>1</v>
      </c>
    </row>
    <row r="201" spans="2:46" x14ac:dyDescent="0.4">
      <c r="B201" s="1" t="s">
        <v>248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>
        <v>0</v>
      </c>
      <c r="AR201" s="3">
        <v>1</v>
      </c>
      <c r="AS201" s="3">
        <v>0.4</v>
      </c>
      <c r="AT201" s="3">
        <v>1</v>
      </c>
    </row>
    <row r="202" spans="2:46" x14ac:dyDescent="0.4">
      <c r="B202" s="1" t="s">
        <v>249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>
        <v>0</v>
      </c>
      <c r="AR202" s="3">
        <v>1</v>
      </c>
      <c r="AS202" s="3">
        <v>0.4</v>
      </c>
      <c r="AT202" s="3">
        <v>1</v>
      </c>
    </row>
    <row r="203" spans="2:46" hidden="1" x14ac:dyDescent="0.4">
      <c r="B203" s="1" t="s">
        <v>250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>
        <v>1</v>
      </c>
      <c r="AR203" s="3">
        <v>1</v>
      </c>
      <c r="AS203" s="3">
        <v>1</v>
      </c>
      <c r="AT203" s="3">
        <v>1</v>
      </c>
    </row>
    <row r="204" spans="2:46" hidden="1" x14ac:dyDescent="0.4">
      <c r="B204" s="1" t="s">
        <v>251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>
        <v>1</v>
      </c>
      <c r="AR204" s="3">
        <v>1</v>
      </c>
      <c r="AS204" s="3">
        <v>1</v>
      </c>
      <c r="AT204" s="3">
        <v>1</v>
      </c>
    </row>
    <row r="205" spans="2:46" hidden="1" x14ac:dyDescent="0.4">
      <c r="B205" s="1" t="s">
        <v>252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0.81</v>
      </c>
      <c r="P205" s="2">
        <v>1</v>
      </c>
      <c r="Q205" s="2">
        <v>0.8</v>
      </c>
      <c r="R205" s="2">
        <v>0.5</v>
      </c>
      <c r="S205" s="2">
        <v>0.81</v>
      </c>
      <c r="T205" s="2">
        <v>1</v>
      </c>
      <c r="U205" s="2">
        <v>0.8</v>
      </c>
      <c r="V205" s="2">
        <v>0.5</v>
      </c>
      <c r="W205" s="2">
        <v>0.9</v>
      </c>
      <c r="X205" s="2">
        <v>1</v>
      </c>
      <c r="Y205" s="2">
        <v>0.8</v>
      </c>
      <c r="Z205" s="2">
        <v>0.75</v>
      </c>
      <c r="AA205" s="3">
        <v>0.9</v>
      </c>
      <c r="AB205" s="2">
        <v>1</v>
      </c>
      <c r="AC205" s="2">
        <v>0.85</v>
      </c>
      <c r="AD205" s="2">
        <v>1</v>
      </c>
      <c r="AE205" s="3">
        <v>0.9</v>
      </c>
      <c r="AF205" s="2">
        <v>1</v>
      </c>
      <c r="AG205" s="2">
        <v>0.85</v>
      </c>
      <c r="AH205" s="2">
        <v>1</v>
      </c>
      <c r="AI205" s="3">
        <v>0.9</v>
      </c>
      <c r="AJ205" s="2">
        <v>1</v>
      </c>
      <c r="AK205" s="2">
        <v>0.85</v>
      </c>
      <c r="AL205" s="2">
        <v>1</v>
      </c>
      <c r="AM205" s="3">
        <v>1</v>
      </c>
      <c r="AN205" s="2">
        <v>1</v>
      </c>
      <c r="AO205" s="2">
        <v>1</v>
      </c>
      <c r="AP205" s="2">
        <v>1</v>
      </c>
      <c r="AQ205" s="3">
        <v>1</v>
      </c>
      <c r="AR205" s="2">
        <v>1</v>
      </c>
      <c r="AS205" s="2">
        <v>1</v>
      </c>
      <c r="AT205" s="2">
        <v>1</v>
      </c>
    </row>
    <row r="206" spans="2:46" x14ac:dyDescent="0.4">
      <c r="B206" s="1" t="s">
        <v>253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>
        <v>0</v>
      </c>
      <c r="AR206" s="3">
        <v>1</v>
      </c>
      <c r="AS206" s="3">
        <v>0.4</v>
      </c>
      <c r="AT206" s="3">
        <v>1</v>
      </c>
    </row>
    <row r="207" spans="2:46" x14ac:dyDescent="0.4">
      <c r="B207" s="1" t="s">
        <v>254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>
        <v>0</v>
      </c>
      <c r="AR207" s="3">
        <v>1</v>
      </c>
      <c r="AS207" s="3">
        <v>0.4</v>
      </c>
      <c r="AT207" s="3">
        <v>1</v>
      </c>
    </row>
    <row r="208" spans="2:46" x14ac:dyDescent="0.4">
      <c r="B208" s="1" t="s">
        <v>255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>
        <v>0.8</v>
      </c>
      <c r="AR208" s="3">
        <v>1</v>
      </c>
      <c r="AS208" s="3">
        <v>1</v>
      </c>
      <c r="AT208" s="3">
        <v>1</v>
      </c>
    </row>
    <row r="209" spans="2:46" x14ac:dyDescent="0.4">
      <c r="B209" s="1" t="s">
        <v>256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>
        <v>0</v>
      </c>
      <c r="AR209" s="3">
        <v>1</v>
      </c>
      <c r="AS209" s="3">
        <v>0.4</v>
      </c>
      <c r="AT209" s="3">
        <v>1</v>
      </c>
    </row>
    <row r="210" spans="2:46" x14ac:dyDescent="0.4">
      <c r="B210" s="1" t="s">
        <v>257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>
        <v>0</v>
      </c>
      <c r="AR210" s="3">
        <v>1</v>
      </c>
      <c r="AS210" s="3">
        <v>0.4</v>
      </c>
      <c r="AT210" s="3">
        <v>1</v>
      </c>
    </row>
    <row r="211" spans="2:46" x14ac:dyDescent="0.4">
      <c r="B211" s="1" t="s">
        <v>258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>
        <v>0</v>
      </c>
      <c r="AR211" s="3">
        <v>1</v>
      </c>
      <c r="AS211" s="3">
        <v>0.4</v>
      </c>
      <c r="AT211" s="3">
        <v>1</v>
      </c>
    </row>
    <row r="212" spans="2:46" x14ac:dyDescent="0.4">
      <c r="B212" s="1" t="s">
        <v>259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>
        <v>0</v>
      </c>
      <c r="AR212" s="3">
        <v>1</v>
      </c>
      <c r="AS212" s="3">
        <v>0.4</v>
      </c>
      <c r="AT212" s="3">
        <v>1</v>
      </c>
    </row>
    <row r="213" spans="2:46" x14ac:dyDescent="0.4">
      <c r="B213" s="1" t="s">
        <v>260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>
        <v>0</v>
      </c>
      <c r="AR213" s="3">
        <v>1</v>
      </c>
      <c r="AS213" s="3">
        <v>0.4</v>
      </c>
      <c r="AT213" s="3">
        <v>1</v>
      </c>
    </row>
    <row r="214" spans="2:46" x14ac:dyDescent="0.4">
      <c r="B214" s="1" t="s">
        <v>261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>
        <v>0.8</v>
      </c>
      <c r="AR214" s="3">
        <v>1</v>
      </c>
      <c r="AS214" s="3">
        <v>1</v>
      </c>
      <c r="AT214" s="3">
        <v>1</v>
      </c>
    </row>
    <row r="215" spans="2:46" x14ac:dyDescent="0.4">
      <c r="B215" s="1" t="s">
        <v>262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>
        <v>0</v>
      </c>
      <c r="AR215" s="3">
        <v>1</v>
      </c>
      <c r="AS215" s="3">
        <v>0.4</v>
      </c>
      <c r="AT215" s="3">
        <v>1</v>
      </c>
    </row>
    <row r="216" spans="2:46" x14ac:dyDescent="0.4">
      <c r="B216" s="1" t="s">
        <v>263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>
        <v>0</v>
      </c>
      <c r="AR216" s="3">
        <v>1</v>
      </c>
      <c r="AS216" s="3">
        <v>0.4</v>
      </c>
      <c r="AT216" s="3">
        <v>1</v>
      </c>
    </row>
    <row r="217" spans="2:46" x14ac:dyDescent="0.4">
      <c r="B217" s="1" t="s">
        <v>264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>
        <v>0</v>
      </c>
      <c r="AR217" s="3">
        <v>1</v>
      </c>
      <c r="AS217" s="3">
        <v>0.4</v>
      </c>
      <c r="AT217" s="3">
        <v>1</v>
      </c>
    </row>
    <row r="218" spans="2:46" hidden="1" x14ac:dyDescent="0.4">
      <c r="B218" s="1" t="s">
        <v>265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>
        <v>1</v>
      </c>
      <c r="AN218" s="3">
        <v>1</v>
      </c>
      <c r="AO218" s="3">
        <v>1</v>
      </c>
      <c r="AP218" s="3">
        <v>1</v>
      </c>
      <c r="AQ218" s="3">
        <v>1</v>
      </c>
      <c r="AR218" s="3">
        <v>1</v>
      </c>
      <c r="AS218" s="3">
        <v>1</v>
      </c>
      <c r="AT218" s="3">
        <v>1</v>
      </c>
    </row>
    <row r="219" spans="2:46" hidden="1" x14ac:dyDescent="0.4">
      <c r="B219" s="1" t="s">
        <v>266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3">
        <v>1</v>
      </c>
      <c r="AG219" s="3">
        <v>1</v>
      </c>
      <c r="AH219" s="3">
        <v>1</v>
      </c>
      <c r="AI219" s="3">
        <v>1</v>
      </c>
      <c r="AJ219" s="3">
        <v>1</v>
      </c>
      <c r="AK219" s="3">
        <v>1</v>
      </c>
      <c r="AL219" s="3">
        <v>1</v>
      </c>
      <c r="AM219" s="3">
        <v>1</v>
      </c>
      <c r="AN219" s="3">
        <v>1</v>
      </c>
      <c r="AO219" s="3">
        <v>1</v>
      </c>
      <c r="AP219" s="3">
        <v>1</v>
      </c>
      <c r="AQ219" s="3">
        <v>1</v>
      </c>
      <c r="AR219" s="3">
        <v>1</v>
      </c>
      <c r="AS219" s="3">
        <v>1</v>
      </c>
      <c r="AT219" s="3">
        <v>1</v>
      </c>
    </row>
    <row r="220" spans="2:46" hidden="1" x14ac:dyDescent="0.4">
      <c r="B220" s="1" t="s">
        <v>267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3">
        <v>1</v>
      </c>
      <c r="AG220" s="3">
        <v>1</v>
      </c>
      <c r="AH220" s="3">
        <v>1</v>
      </c>
      <c r="AI220" s="3">
        <v>1</v>
      </c>
      <c r="AJ220" s="3">
        <v>1</v>
      </c>
      <c r="AK220" s="3">
        <v>1</v>
      </c>
      <c r="AL220" s="3">
        <v>1</v>
      </c>
      <c r="AM220" s="3">
        <v>1</v>
      </c>
      <c r="AN220" s="3">
        <v>1</v>
      </c>
      <c r="AO220" s="3">
        <v>1</v>
      </c>
      <c r="AP220" s="3">
        <v>1</v>
      </c>
      <c r="AQ220" s="3">
        <v>1</v>
      </c>
      <c r="AR220" s="3">
        <v>1</v>
      </c>
      <c r="AS220" s="3">
        <v>1</v>
      </c>
      <c r="AT220" s="3">
        <v>1</v>
      </c>
    </row>
    <row r="221" spans="2:46" hidden="1" x14ac:dyDescent="0.4">
      <c r="B221" s="1" t="s">
        <v>268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3">
        <v>1</v>
      </c>
      <c r="AG221" s="3">
        <v>1</v>
      </c>
      <c r="AH221" s="3">
        <v>1</v>
      </c>
      <c r="AI221" s="3">
        <v>1</v>
      </c>
      <c r="AJ221" s="3">
        <v>1</v>
      </c>
      <c r="AK221" s="3">
        <v>1</v>
      </c>
      <c r="AL221" s="3">
        <v>1</v>
      </c>
      <c r="AM221" s="3">
        <v>1</v>
      </c>
      <c r="AN221" s="3">
        <v>1</v>
      </c>
      <c r="AO221" s="3">
        <v>1</v>
      </c>
      <c r="AP221" s="3">
        <v>1</v>
      </c>
      <c r="AQ221" s="3">
        <v>1</v>
      </c>
      <c r="AR221" s="3">
        <v>1</v>
      </c>
      <c r="AS221" s="3">
        <v>1</v>
      </c>
      <c r="AT221" s="3">
        <v>1</v>
      </c>
    </row>
    <row r="222" spans="2:46" hidden="1" x14ac:dyDescent="0.4">
      <c r="B222" s="1" t="s">
        <v>269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3">
        <v>1</v>
      </c>
      <c r="AG222" s="3">
        <v>1</v>
      </c>
      <c r="AH222" s="3">
        <v>1</v>
      </c>
      <c r="AI222" s="3">
        <v>1</v>
      </c>
      <c r="AJ222" s="3">
        <v>1</v>
      </c>
      <c r="AK222" s="3">
        <v>1</v>
      </c>
      <c r="AL222" s="3">
        <v>1</v>
      </c>
      <c r="AM222" s="3">
        <v>1</v>
      </c>
      <c r="AN222" s="3">
        <v>1</v>
      </c>
      <c r="AO222" s="3">
        <v>1</v>
      </c>
      <c r="AP222" s="3">
        <v>1</v>
      </c>
      <c r="AQ222" s="3">
        <v>1</v>
      </c>
      <c r="AR222" s="3">
        <v>1</v>
      </c>
      <c r="AS222" s="3">
        <v>1</v>
      </c>
      <c r="AT222" s="3">
        <v>1</v>
      </c>
    </row>
    <row r="223" spans="2:46" hidden="1" x14ac:dyDescent="0.4">
      <c r="B223" s="1" t="s">
        <v>270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>
        <v>1</v>
      </c>
      <c r="AJ223" s="3">
        <v>1</v>
      </c>
      <c r="AK223" s="3">
        <v>1</v>
      </c>
      <c r="AL223" s="3">
        <v>1</v>
      </c>
      <c r="AM223" s="3">
        <v>1</v>
      </c>
      <c r="AN223" s="3">
        <v>1</v>
      </c>
      <c r="AO223" s="3">
        <v>1</v>
      </c>
      <c r="AP223" s="3">
        <v>1</v>
      </c>
      <c r="AQ223" s="3">
        <v>1</v>
      </c>
      <c r="AR223" s="3">
        <v>1</v>
      </c>
      <c r="AS223" s="3">
        <v>1</v>
      </c>
      <c r="AT223" s="3">
        <v>1</v>
      </c>
    </row>
    <row r="224" spans="2:46" hidden="1" x14ac:dyDescent="0.4">
      <c r="B224" s="1" t="s">
        <v>271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>
        <v>1</v>
      </c>
      <c r="AJ224" s="3">
        <v>1</v>
      </c>
      <c r="AK224" s="3">
        <v>1</v>
      </c>
      <c r="AL224" s="3">
        <v>1</v>
      </c>
      <c r="AM224" s="3">
        <v>1</v>
      </c>
      <c r="AN224" s="3">
        <v>1</v>
      </c>
      <c r="AO224" s="3">
        <v>1</v>
      </c>
      <c r="AP224" s="3">
        <v>1</v>
      </c>
      <c r="AQ224" s="3">
        <v>1</v>
      </c>
      <c r="AR224" s="3">
        <v>1</v>
      </c>
      <c r="AS224" s="3">
        <v>1</v>
      </c>
      <c r="AT224" s="3">
        <v>1</v>
      </c>
    </row>
    <row r="225" spans="2:46" hidden="1" x14ac:dyDescent="0.4">
      <c r="B225" s="1" t="s">
        <v>272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>
        <v>1</v>
      </c>
      <c r="AJ225" s="3">
        <v>1</v>
      </c>
      <c r="AK225" s="3">
        <v>1</v>
      </c>
      <c r="AL225" s="3">
        <v>1</v>
      </c>
      <c r="AM225" s="3">
        <v>1</v>
      </c>
      <c r="AN225" s="3">
        <v>1</v>
      </c>
      <c r="AO225" s="3">
        <v>1</v>
      </c>
      <c r="AP225" s="3">
        <v>1</v>
      </c>
      <c r="AQ225" s="3">
        <v>1</v>
      </c>
      <c r="AR225" s="3">
        <v>1</v>
      </c>
      <c r="AS225" s="3">
        <v>1</v>
      </c>
      <c r="AT225" s="3">
        <v>1</v>
      </c>
    </row>
    <row r="226" spans="2:46" hidden="1" x14ac:dyDescent="0.4">
      <c r="B226" s="1" t="s">
        <v>273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>
        <v>1</v>
      </c>
      <c r="AJ226" s="3">
        <v>1</v>
      </c>
      <c r="AK226" s="3">
        <v>1</v>
      </c>
      <c r="AL226" s="3">
        <v>1</v>
      </c>
      <c r="AM226" s="3">
        <v>1</v>
      </c>
      <c r="AN226" s="3">
        <v>1</v>
      </c>
      <c r="AO226" s="3">
        <v>1</v>
      </c>
      <c r="AP226" s="3">
        <v>1</v>
      </c>
      <c r="AQ226" s="3">
        <v>1</v>
      </c>
      <c r="AR226" s="3">
        <v>1</v>
      </c>
      <c r="AS226" s="3">
        <v>1</v>
      </c>
      <c r="AT226" s="3">
        <v>1</v>
      </c>
    </row>
    <row r="227" spans="2:46" hidden="1" x14ac:dyDescent="0.4">
      <c r="B227" s="1" t="s">
        <v>274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>
        <v>1</v>
      </c>
      <c r="AJ227" s="3">
        <v>1</v>
      </c>
      <c r="AK227" s="3">
        <v>0.5</v>
      </c>
      <c r="AL227" s="3">
        <v>1</v>
      </c>
      <c r="AM227" s="3">
        <v>1</v>
      </c>
      <c r="AN227" s="3">
        <v>1</v>
      </c>
      <c r="AO227" s="3">
        <v>1</v>
      </c>
      <c r="AP227" s="3">
        <v>1</v>
      </c>
      <c r="AQ227" s="3">
        <v>1</v>
      </c>
      <c r="AR227" s="3">
        <v>1</v>
      </c>
      <c r="AS227" s="3">
        <v>1</v>
      </c>
      <c r="AT227" s="3">
        <v>1</v>
      </c>
    </row>
    <row r="228" spans="2:46" hidden="1" x14ac:dyDescent="0.4">
      <c r="B228" s="1" t="s">
        <v>275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>
        <v>1</v>
      </c>
      <c r="AJ228" s="3">
        <v>1</v>
      </c>
      <c r="AK228" s="3">
        <v>0.5</v>
      </c>
      <c r="AL228" s="3">
        <v>1</v>
      </c>
      <c r="AM228" s="3">
        <v>1</v>
      </c>
      <c r="AN228" s="3">
        <v>1</v>
      </c>
      <c r="AO228" s="3">
        <v>1</v>
      </c>
      <c r="AP228" s="3">
        <v>1</v>
      </c>
      <c r="AQ228" s="3">
        <v>1</v>
      </c>
      <c r="AR228" s="3">
        <v>1</v>
      </c>
      <c r="AS228" s="3">
        <v>1</v>
      </c>
      <c r="AT228" s="3">
        <v>1</v>
      </c>
    </row>
    <row r="229" spans="2:46" hidden="1" x14ac:dyDescent="0.4">
      <c r="B229" s="1" t="s">
        <v>276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>
        <v>1</v>
      </c>
      <c r="AN229" s="3">
        <v>1</v>
      </c>
      <c r="AO229" s="3">
        <v>1</v>
      </c>
      <c r="AP229" s="3">
        <v>1</v>
      </c>
      <c r="AQ229" s="3">
        <v>1</v>
      </c>
      <c r="AR229" s="3">
        <v>1</v>
      </c>
      <c r="AS229" s="3">
        <v>1</v>
      </c>
      <c r="AT229" s="3">
        <v>1</v>
      </c>
    </row>
    <row r="230" spans="2:46" hidden="1" x14ac:dyDescent="0.4">
      <c r="B230" s="1" t="s">
        <v>277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>
        <v>1</v>
      </c>
      <c r="AN230" s="3">
        <v>1</v>
      </c>
      <c r="AO230" s="3">
        <v>1</v>
      </c>
      <c r="AP230" s="3">
        <v>1</v>
      </c>
      <c r="AQ230" s="3">
        <v>1</v>
      </c>
      <c r="AR230" s="3">
        <v>1</v>
      </c>
      <c r="AS230" s="3">
        <v>1</v>
      </c>
      <c r="AT230" s="3">
        <v>1</v>
      </c>
    </row>
    <row r="231" spans="2:46" hidden="1" x14ac:dyDescent="0.4">
      <c r="B231" s="1" t="s">
        <v>278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>
        <v>1</v>
      </c>
      <c r="AN231" s="3">
        <v>1</v>
      </c>
      <c r="AO231" s="3">
        <v>1</v>
      </c>
      <c r="AP231" s="3">
        <v>1</v>
      </c>
      <c r="AQ231" s="3">
        <v>1</v>
      </c>
      <c r="AR231" s="3">
        <v>1</v>
      </c>
      <c r="AS231" s="3">
        <v>1</v>
      </c>
      <c r="AT231" s="3">
        <v>1</v>
      </c>
    </row>
    <row r="232" spans="2:46" hidden="1" x14ac:dyDescent="0.4">
      <c r="B232" s="1" t="s">
        <v>279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>
        <v>1</v>
      </c>
      <c r="AN232" s="3">
        <v>1</v>
      </c>
      <c r="AO232" s="3">
        <v>1</v>
      </c>
      <c r="AP232" s="3">
        <v>1</v>
      </c>
      <c r="AQ232" s="3">
        <v>1</v>
      </c>
      <c r="AR232" s="3">
        <v>1</v>
      </c>
      <c r="AS232" s="3">
        <v>1</v>
      </c>
      <c r="AT232" s="3">
        <v>1</v>
      </c>
    </row>
    <row r="233" spans="2:46" hidden="1" x14ac:dyDescent="0.4">
      <c r="B233" s="1" t="s">
        <v>280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>
        <v>1</v>
      </c>
      <c r="AN233" s="3">
        <v>1</v>
      </c>
      <c r="AO233" s="3">
        <v>1</v>
      </c>
      <c r="AP233" s="3">
        <v>1</v>
      </c>
      <c r="AQ233" s="3">
        <v>1</v>
      </c>
      <c r="AR233" s="3">
        <v>1</v>
      </c>
      <c r="AS233" s="3">
        <v>1</v>
      </c>
      <c r="AT233" s="3">
        <v>1</v>
      </c>
    </row>
    <row r="234" spans="2:46" hidden="1" x14ac:dyDescent="0.4">
      <c r="B234" s="1" t="s">
        <v>281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1</v>
      </c>
      <c r="AR234" s="3">
        <v>1</v>
      </c>
      <c r="AS234" s="3">
        <v>1</v>
      </c>
      <c r="AT234" s="3">
        <v>1</v>
      </c>
    </row>
    <row r="235" spans="2:46" hidden="1" x14ac:dyDescent="0.4">
      <c r="B235" s="1" t="s">
        <v>282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>
        <v>1</v>
      </c>
      <c r="AR235" s="3">
        <v>1</v>
      </c>
      <c r="AS235" s="3">
        <v>1</v>
      </c>
      <c r="AT235" s="3">
        <v>1</v>
      </c>
    </row>
    <row r="236" spans="2:46" hidden="1" x14ac:dyDescent="0.4">
      <c r="B236" s="1" t="s">
        <v>283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>
        <v>1</v>
      </c>
      <c r="AR236" s="3">
        <v>1</v>
      </c>
      <c r="AS236" s="3">
        <v>1</v>
      </c>
      <c r="AT236" s="3">
        <v>1</v>
      </c>
    </row>
    <row r="237" spans="2:46" hidden="1" x14ac:dyDescent="0.4">
      <c r="B237" s="1" t="s">
        <v>284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>
        <v>1</v>
      </c>
      <c r="AR237" s="3">
        <v>1</v>
      </c>
      <c r="AS237" s="3">
        <v>1</v>
      </c>
      <c r="AT237" s="3">
        <v>1</v>
      </c>
    </row>
    <row r="238" spans="2:46" hidden="1" x14ac:dyDescent="0.4">
      <c r="B238" s="1" t="s">
        <v>285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>
        <v>1</v>
      </c>
      <c r="AR238" s="3">
        <v>1</v>
      </c>
      <c r="AS238" s="3">
        <v>1</v>
      </c>
      <c r="AT238" s="3">
        <v>1</v>
      </c>
    </row>
    <row r="239" spans="2:46" hidden="1" x14ac:dyDescent="0.4">
      <c r="B239" s="1" t="s">
        <v>286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>
        <v>1</v>
      </c>
      <c r="AR239" s="3">
        <v>1</v>
      </c>
      <c r="AS239" s="3">
        <v>1</v>
      </c>
      <c r="AT239" s="3">
        <v>1</v>
      </c>
    </row>
    <row r="240" spans="2:46" hidden="1" x14ac:dyDescent="0.4">
      <c r="B240" s="1" t="s">
        <v>287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>
        <v>1</v>
      </c>
      <c r="AR240" s="3">
        <v>1</v>
      </c>
      <c r="AS240" s="3">
        <v>1</v>
      </c>
      <c r="AT240" s="3">
        <v>1</v>
      </c>
    </row>
    <row r="241" spans="2:46" hidden="1" x14ac:dyDescent="0.4">
      <c r="B241" s="1" t="s">
        <v>288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>
        <v>1</v>
      </c>
      <c r="AR241" s="3">
        <v>1</v>
      </c>
      <c r="AS241" s="3">
        <v>1</v>
      </c>
      <c r="AT241" s="3">
        <v>1</v>
      </c>
    </row>
    <row r="242" spans="2:46" hidden="1" x14ac:dyDescent="0.4">
      <c r="B242" s="1" t="s">
        <v>289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>
        <v>1</v>
      </c>
      <c r="AR242" s="3">
        <v>1</v>
      </c>
      <c r="AS242" s="3">
        <v>1</v>
      </c>
      <c r="AT242" s="3">
        <v>1</v>
      </c>
    </row>
    <row r="243" spans="2:46" hidden="1" x14ac:dyDescent="0.4">
      <c r="B243" s="1" t="s">
        <v>290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>
        <v>1</v>
      </c>
      <c r="AR243" s="3">
        <v>1</v>
      </c>
      <c r="AS243" s="3">
        <v>1</v>
      </c>
      <c r="AT243" s="3">
        <v>1</v>
      </c>
    </row>
    <row r="244" spans="2:46" hidden="1" x14ac:dyDescent="0.4">
      <c r="B244" s="1" t="s">
        <v>291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>
        <v>1</v>
      </c>
      <c r="AR244" s="3">
        <v>1</v>
      </c>
      <c r="AS244" s="3">
        <v>1</v>
      </c>
      <c r="AT244" s="3">
        <v>1</v>
      </c>
    </row>
    <row r="245" spans="2:46" hidden="1" x14ac:dyDescent="0.4">
      <c r="B245" s="1" t="s">
        <v>292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>
        <v>1</v>
      </c>
      <c r="AR245" s="3">
        <v>1</v>
      </c>
      <c r="AS245" s="3">
        <v>1</v>
      </c>
      <c r="AT245" s="3">
        <v>1</v>
      </c>
    </row>
    <row r="246" spans="2:46" hidden="1" x14ac:dyDescent="0.4">
      <c r="B246" s="1" t="s">
        <v>293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>
        <v>1</v>
      </c>
      <c r="AR246" s="3">
        <v>1</v>
      </c>
      <c r="AS246" s="3">
        <v>1</v>
      </c>
      <c r="AT246" s="3">
        <v>1</v>
      </c>
    </row>
    <row r="247" spans="2:46" hidden="1" x14ac:dyDescent="0.4">
      <c r="B247" s="1" t="s">
        <v>294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>
        <v>1</v>
      </c>
      <c r="AR247" s="3">
        <v>1</v>
      </c>
      <c r="AS247" s="3">
        <v>1</v>
      </c>
      <c r="AT247" s="3">
        <v>1</v>
      </c>
    </row>
    <row r="248" spans="2:46" hidden="1" x14ac:dyDescent="0.4">
      <c r="B248" s="1" t="s">
        <v>295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>
        <v>1</v>
      </c>
      <c r="AR248" s="3">
        <v>1</v>
      </c>
      <c r="AS248" s="3">
        <v>1</v>
      </c>
      <c r="AT248" s="3">
        <v>1</v>
      </c>
    </row>
  </sheetData>
  <mergeCells count="11">
    <mergeCell ref="B5:D5"/>
    <mergeCell ref="E3:G3"/>
    <mergeCell ref="H3:K3"/>
    <mergeCell ref="E4:G4"/>
    <mergeCell ref="E5:G5"/>
    <mergeCell ref="B4:D4"/>
    <mergeCell ref="B2:D2"/>
    <mergeCell ref="B1:D1"/>
    <mergeCell ref="B3:D3"/>
    <mergeCell ref="E2:G2"/>
    <mergeCell ref="H2:K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717D-B2A0-4046-81DB-90CB6533C349}">
  <dimension ref="B1:M244"/>
  <sheetViews>
    <sheetView workbookViewId="0">
      <pane xSplit="2" ySplit="6" topLeftCell="J7" activePane="bottomRight" state="frozen"/>
      <selection pane="topRight" activeCell="C1" sqref="C1"/>
      <selection pane="bottomLeft" activeCell="A3" sqref="A3"/>
      <selection pane="bottomRight" activeCell="C2" sqref="C2:L4"/>
    </sheetView>
  </sheetViews>
  <sheetFormatPr baseColWidth="10" defaultColWidth="11.3984375" defaultRowHeight="14.25" x14ac:dyDescent="0.4"/>
  <cols>
    <col min="1" max="1" width="3.73046875" style="1" customWidth="1"/>
    <col min="2" max="2" width="40.3984375" style="1" customWidth="1"/>
    <col min="3" max="3" width="23.59765625" style="1" bestFit="1" customWidth="1"/>
    <col min="4" max="4" width="23.73046875" style="1" bestFit="1" customWidth="1"/>
    <col min="5" max="5" width="23.265625" style="1" bestFit="1" customWidth="1"/>
    <col min="6" max="6" width="23.86328125" style="1" bestFit="1" customWidth="1"/>
    <col min="7" max="7" width="23.1328125" style="1" bestFit="1" customWidth="1"/>
    <col min="8" max="8" width="23.73046875" style="1" bestFit="1" customWidth="1"/>
    <col min="9" max="9" width="24.73046875" style="1" bestFit="1" customWidth="1"/>
    <col min="10" max="10" width="23.59765625" style="1" bestFit="1" customWidth="1"/>
    <col min="11" max="11" width="23.1328125" style="1" bestFit="1" customWidth="1"/>
    <col min="12" max="12" width="24.265625" style="1" bestFit="1" customWidth="1"/>
    <col min="13" max="13" width="24.86328125" style="1" bestFit="1" customWidth="1"/>
    <col min="14" max="16384" width="11.3984375" style="1"/>
  </cols>
  <sheetData>
    <row r="1" spans="2:13" x14ac:dyDescent="0.4">
      <c r="B1" s="1" t="s">
        <v>296</v>
      </c>
    </row>
    <row r="2" spans="2:13" x14ac:dyDescent="0.4">
      <c r="C2" s="1" t="s">
        <v>379</v>
      </c>
      <c r="D2" s="1" t="s">
        <v>379</v>
      </c>
      <c r="E2" s="1" t="s">
        <v>379</v>
      </c>
      <c r="F2" s="1" t="s">
        <v>379</v>
      </c>
      <c r="G2" s="1" t="s">
        <v>379</v>
      </c>
      <c r="H2" s="1" t="s">
        <v>379</v>
      </c>
      <c r="I2" s="1" t="s">
        <v>379</v>
      </c>
      <c r="J2" s="1" t="s">
        <v>379</v>
      </c>
      <c r="K2" s="1" t="s">
        <v>379</v>
      </c>
      <c r="L2" s="1" t="s">
        <v>379</v>
      </c>
      <c r="M2" s="1" t="s">
        <v>379</v>
      </c>
    </row>
    <row r="3" spans="2:13" x14ac:dyDescent="0.4"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17</v>
      </c>
    </row>
    <row r="4" spans="2:13" x14ac:dyDescent="0.4">
      <c r="C4" s="27">
        <f>SUMIF(C7:C244,"&gt;0")/COUNTIF(C7:C244,"&gt;0")</f>
        <v>0.88676470588235323</v>
      </c>
      <c r="D4" s="27">
        <f t="shared" ref="D4:M4" si="0">SUMIF(D7:D244,"&gt;0")/COUNTIF(D7:D244,"&gt;0")</f>
        <v>0.88872549019607872</v>
      </c>
      <c r="E4" s="27">
        <f t="shared" si="0"/>
        <v>0.95097087378640877</v>
      </c>
      <c r="F4" s="27">
        <f t="shared" si="0"/>
        <v>0.95376213592233106</v>
      </c>
      <c r="G4" s="27">
        <f t="shared" si="0"/>
        <v>0.96696601941747662</v>
      </c>
      <c r="H4" s="27">
        <f t="shared" si="0"/>
        <v>0.96696601941747662</v>
      </c>
      <c r="I4" s="27">
        <f t="shared" si="0"/>
        <v>0.96854761904761988</v>
      </c>
      <c r="J4" s="27">
        <f t="shared" si="0"/>
        <v>0.96854761904761988</v>
      </c>
      <c r="K4" s="27">
        <f t="shared" si="0"/>
        <v>0.96942129629629714</v>
      </c>
      <c r="L4" s="27">
        <f t="shared" si="0"/>
        <v>0.98730769230769255</v>
      </c>
      <c r="M4" s="27">
        <f t="shared" si="0"/>
        <v>0.99196202531645572</v>
      </c>
    </row>
    <row r="5" spans="2:13" x14ac:dyDescent="0.4">
      <c r="B5" s="6"/>
      <c r="C5" s="2">
        <f>AVERAGE(Tabla13[Uso y acceso Ago/2024])</f>
        <v>0.86971153846153881</v>
      </c>
      <c r="D5" s="2">
        <f>AVERAGE(Tabla13[Uso y acceso Sep/2024])</f>
        <v>0.87163461538461573</v>
      </c>
      <c r="E5" s="2">
        <f>AVERAGE(Tabla13[Uso y acceso Oct/2024])</f>
        <v>0.94182692307692406</v>
      </c>
      <c r="F5" s="2">
        <f>AVERAGE(Tabla13[Uso y acceso Nov/2024])</f>
        <v>0.9445913461538471</v>
      </c>
      <c r="G5" s="2">
        <f>AVERAGE(Tabla13[Uso y acceso Dic/2024])</f>
        <v>0.9576682692307702</v>
      </c>
      <c r="H5" s="2">
        <f>AVERAGE(Tabla13[Uso y acceso Ene/2025])</f>
        <v>0.9576682692307702</v>
      </c>
      <c r="I5" s="2">
        <f>AVERAGE(Tabla13[Uso y acceso Feb/2025])</f>
        <v>0.95941037735849144</v>
      </c>
      <c r="J5" s="2">
        <f>AVERAGE(Tabla13[Uso y acceso Mar/2025])</f>
        <v>0.95941037735849144</v>
      </c>
      <c r="K5" s="2">
        <f>AVERAGE(Tabla13[Uso y acceso Abr/2025])</f>
        <v>0.9605275229357807</v>
      </c>
      <c r="L5" s="2">
        <f>AVERAGE(Tabla13[Uso y acceso May/2025])</f>
        <v>0.97845291479820651</v>
      </c>
      <c r="M5" s="2">
        <f>AVERAGE(Tabla13[Uso y acceso Dic/2025])</f>
        <v>0.98779411764705882</v>
      </c>
    </row>
    <row r="6" spans="2:13" x14ac:dyDescent="0.4">
      <c r="B6" s="1" t="s">
        <v>12</v>
      </c>
      <c r="C6" s="1" t="s">
        <v>297</v>
      </c>
      <c r="D6" s="1" t="s">
        <v>298</v>
      </c>
      <c r="E6" s="1" t="s">
        <v>299</v>
      </c>
      <c r="F6" s="1" t="s">
        <v>300</v>
      </c>
      <c r="G6" s="1" t="s">
        <v>301</v>
      </c>
      <c r="H6" s="1" t="s">
        <v>302</v>
      </c>
      <c r="I6" s="1" t="s">
        <v>303</v>
      </c>
      <c r="J6" s="1" t="s">
        <v>304</v>
      </c>
      <c r="K6" s="1" t="s">
        <v>305</v>
      </c>
      <c r="L6" s="1" t="s">
        <v>306</v>
      </c>
      <c r="M6" s="1" t="s">
        <v>307</v>
      </c>
    </row>
    <row r="7" spans="2:13" x14ac:dyDescent="0.4">
      <c r="B7" s="1" t="s">
        <v>57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</row>
    <row r="8" spans="2:13" x14ac:dyDescent="0.4">
      <c r="B8" s="1" t="s">
        <v>58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</row>
    <row r="9" spans="2:13" x14ac:dyDescent="0.4">
      <c r="B9" s="1" t="s">
        <v>59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</row>
    <row r="10" spans="2:13" x14ac:dyDescent="0.4">
      <c r="B10" s="1" t="s">
        <v>60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</row>
    <row r="11" spans="2:13" x14ac:dyDescent="0.4">
      <c r="B11" s="1" t="s">
        <v>61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</row>
    <row r="12" spans="2:13" x14ac:dyDescent="0.4">
      <c r="B12" s="1" t="s">
        <v>62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</row>
    <row r="13" spans="2:13" x14ac:dyDescent="0.4">
      <c r="B13" s="1" t="s">
        <v>63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</row>
    <row r="14" spans="2:13" x14ac:dyDescent="0.4">
      <c r="B14" s="1" t="s">
        <v>64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</row>
    <row r="15" spans="2:13" x14ac:dyDescent="0.4">
      <c r="B15" s="1" t="s">
        <v>65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</row>
    <row r="16" spans="2:13" x14ac:dyDescent="0.4">
      <c r="B16" s="1" t="s">
        <v>66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</row>
    <row r="17" spans="2:13" x14ac:dyDescent="0.4">
      <c r="B17" s="1" t="s">
        <v>67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</row>
    <row r="18" spans="2:13" x14ac:dyDescent="0.4">
      <c r="B18" s="1" t="s">
        <v>68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</row>
    <row r="19" spans="2:13" x14ac:dyDescent="0.4">
      <c r="B19" s="1" t="s">
        <v>69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</row>
    <row r="20" spans="2:13" x14ac:dyDescent="0.4">
      <c r="B20" s="1" t="s">
        <v>70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</row>
    <row r="21" spans="2:13" x14ac:dyDescent="0.4">
      <c r="B21" s="1" t="s">
        <v>71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</row>
    <row r="22" spans="2:13" x14ac:dyDescent="0.4">
      <c r="B22" s="1" t="s">
        <v>72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</row>
    <row r="23" spans="2:13" x14ac:dyDescent="0.4">
      <c r="B23" s="1" t="s">
        <v>73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</row>
    <row r="24" spans="2:13" x14ac:dyDescent="0.4">
      <c r="B24" s="1" t="s">
        <v>74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</row>
    <row r="25" spans="2:13" x14ac:dyDescent="0.4">
      <c r="B25" s="1" t="s">
        <v>75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</row>
    <row r="26" spans="2:13" x14ac:dyDescent="0.4">
      <c r="B26" s="1" t="s">
        <v>76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</row>
    <row r="27" spans="2:13" x14ac:dyDescent="0.4">
      <c r="B27" s="1" t="s">
        <v>77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</row>
    <row r="28" spans="2:13" x14ac:dyDescent="0.4">
      <c r="B28" s="1" t="s">
        <v>78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</row>
    <row r="29" spans="2:13" x14ac:dyDescent="0.4">
      <c r="B29" s="1" t="s">
        <v>79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</row>
    <row r="30" spans="2:13" x14ac:dyDescent="0.4">
      <c r="B30" s="1" t="s">
        <v>80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</row>
    <row r="31" spans="2:13" x14ac:dyDescent="0.4">
      <c r="B31" s="1" t="s">
        <v>81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</row>
    <row r="32" spans="2:13" x14ac:dyDescent="0.4">
      <c r="B32" s="1" t="s">
        <v>82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</row>
    <row r="33" spans="2:13" x14ac:dyDescent="0.4">
      <c r="B33" s="1" t="s">
        <v>83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</row>
    <row r="34" spans="2:13" x14ac:dyDescent="0.4">
      <c r="B34" s="1" t="s">
        <v>84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</row>
    <row r="35" spans="2:13" x14ac:dyDescent="0.4">
      <c r="B35" s="1" t="s">
        <v>85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</row>
    <row r="36" spans="2:13" x14ac:dyDescent="0.4">
      <c r="B36" s="1" t="s">
        <v>86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</row>
    <row r="37" spans="2:13" x14ac:dyDescent="0.4">
      <c r="B37" s="1" t="s">
        <v>87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</row>
    <row r="38" spans="2:13" x14ac:dyDescent="0.4">
      <c r="B38" s="1" t="s">
        <v>88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</row>
    <row r="39" spans="2:13" x14ac:dyDescent="0.4">
      <c r="B39" s="1" t="s">
        <v>89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</row>
    <row r="40" spans="2:13" x14ac:dyDescent="0.4">
      <c r="B40" s="1" t="s">
        <v>90</v>
      </c>
      <c r="C40" s="2">
        <v>0.3</v>
      </c>
      <c r="D40" s="2">
        <v>0.3</v>
      </c>
      <c r="E40" s="2">
        <v>0.5</v>
      </c>
      <c r="F40" s="2">
        <v>1</v>
      </c>
      <c r="G40" s="2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</row>
    <row r="41" spans="2:13" x14ac:dyDescent="0.4">
      <c r="B41" s="1" t="s">
        <v>91</v>
      </c>
      <c r="C41" s="2">
        <v>0.3</v>
      </c>
      <c r="D41" s="2">
        <v>0.3</v>
      </c>
      <c r="E41" s="2">
        <v>0.5</v>
      </c>
      <c r="F41" s="2">
        <v>1</v>
      </c>
      <c r="G41" s="2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</row>
    <row r="42" spans="2:13" x14ac:dyDescent="0.4">
      <c r="B42" s="1" t="s">
        <v>92</v>
      </c>
      <c r="C42" s="2">
        <v>0</v>
      </c>
      <c r="D42" s="2">
        <v>0</v>
      </c>
      <c r="E42" s="2">
        <v>1</v>
      </c>
      <c r="F42" s="2">
        <v>1</v>
      </c>
      <c r="G42" s="2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</row>
    <row r="43" spans="2:13" x14ac:dyDescent="0.4">
      <c r="B43" s="1" t="s">
        <v>93</v>
      </c>
      <c r="C43" s="2">
        <v>0.5</v>
      </c>
      <c r="D43" s="2">
        <v>0.9</v>
      </c>
      <c r="E43" s="2">
        <v>0.9</v>
      </c>
      <c r="F43" s="2">
        <v>0.995</v>
      </c>
      <c r="G43" s="2">
        <v>0.995</v>
      </c>
      <c r="H43" s="3">
        <v>0.995</v>
      </c>
      <c r="I43" s="3">
        <v>0.995</v>
      </c>
      <c r="J43" s="3">
        <v>0.995</v>
      </c>
      <c r="K43" s="3">
        <v>0.995</v>
      </c>
      <c r="L43" s="3">
        <v>0.995</v>
      </c>
      <c r="M43" s="3">
        <v>0.995</v>
      </c>
    </row>
    <row r="44" spans="2:13" x14ac:dyDescent="0.4">
      <c r="B44" s="1" t="s">
        <v>94</v>
      </c>
      <c r="C44" s="2">
        <v>0.3</v>
      </c>
      <c r="D44" s="2">
        <v>0.3</v>
      </c>
      <c r="E44" s="2">
        <v>1</v>
      </c>
      <c r="F44" s="2">
        <v>1</v>
      </c>
      <c r="G44" s="2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</row>
    <row r="45" spans="2:13" x14ac:dyDescent="0.4">
      <c r="B45" s="1" t="s">
        <v>95</v>
      </c>
      <c r="C45" s="2">
        <v>0.3</v>
      </c>
      <c r="D45" s="2">
        <v>0.3</v>
      </c>
      <c r="E45" s="2">
        <v>1</v>
      </c>
      <c r="F45" s="2">
        <v>1</v>
      </c>
      <c r="G45" s="2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</row>
    <row r="46" spans="2:13" x14ac:dyDescent="0.4">
      <c r="B46" s="1" t="s">
        <v>96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</row>
    <row r="47" spans="2:13" x14ac:dyDescent="0.4">
      <c r="B47" s="1" t="s">
        <v>97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</row>
    <row r="48" spans="2:13" x14ac:dyDescent="0.4">
      <c r="B48" s="1" t="s">
        <v>98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</row>
    <row r="49" spans="2:13" x14ac:dyDescent="0.4">
      <c r="B49" s="1" t="s">
        <v>99</v>
      </c>
      <c r="C49" s="2">
        <v>0.3</v>
      </c>
      <c r="D49" s="2">
        <v>0.3</v>
      </c>
      <c r="E49" s="2">
        <v>1</v>
      </c>
      <c r="F49" s="2">
        <v>1</v>
      </c>
      <c r="G49" s="2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</row>
    <row r="50" spans="2:13" x14ac:dyDescent="0.4">
      <c r="B50" s="1" t="s">
        <v>100</v>
      </c>
      <c r="C50" s="2">
        <v>0</v>
      </c>
      <c r="D50" s="2">
        <v>0</v>
      </c>
      <c r="E50" s="2">
        <v>1</v>
      </c>
      <c r="F50" s="2">
        <v>1</v>
      </c>
      <c r="G50" s="2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</row>
    <row r="51" spans="2:13" x14ac:dyDescent="0.4">
      <c r="B51" s="1" t="s">
        <v>101</v>
      </c>
      <c r="C51" s="2">
        <v>0.3</v>
      </c>
      <c r="D51" s="2">
        <v>0.3</v>
      </c>
      <c r="E51" s="2">
        <v>1</v>
      </c>
      <c r="F51" s="2">
        <v>1</v>
      </c>
      <c r="G51" s="2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</row>
    <row r="52" spans="2:13" x14ac:dyDescent="0.4">
      <c r="B52" s="1" t="s">
        <v>102</v>
      </c>
      <c r="C52" s="2">
        <v>0.3</v>
      </c>
      <c r="D52" s="2">
        <v>0.3</v>
      </c>
      <c r="E52" s="2">
        <v>1</v>
      </c>
      <c r="F52" s="2">
        <v>1</v>
      </c>
      <c r="G52" s="2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</row>
    <row r="53" spans="2:13" x14ac:dyDescent="0.4">
      <c r="B53" s="1" t="s">
        <v>103</v>
      </c>
      <c r="C53" s="2">
        <v>0.5</v>
      </c>
      <c r="D53" s="2">
        <v>0.5</v>
      </c>
      <c r="E53" s="2">
        <v>0.8</v>
      </c>
      <c r="F53" s="2">
        <v>1</v>
      </c>
      <c r="G53" s="2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</row>
    <row r="54" spans="2:13" x14ac:dyDescent="0.4">
      <c r="B54" s="1" t="s">
        <v>104</v>
      </c>
      <c r="C54" s="2">
        <v>0.5</v>
      </c>
      <c r="D54" s="2">
        <v>0.5</v>
      </c>
      <c r="E54" s="2">
        <v>0.5</v>
      </c>
      <c r="F54" s="2">
        <v>0.5</v>
      </c>
      <c r="G54" s="2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</row>
    <row r="55" spans="2:13" x14ac:dyDescent="0.4">
      <c r="B55" s="1" t="s">
        <v>105</v>
      </c>
      <c r="C55" s="2">
        <v>0.3</v>
      </c>
      <c r="D55" s="2">
        <v>0.3</v>
      </c>
      <c r="E55" s="2">
        <v>0.5</v>
      </c>
      <c r="F55" s="2">
        <v>0.5</v>
      </c>
      <c r="G55" s="2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</row>
    <row r="56" spans="2:13" x14ac:dyDescent="0.4">
      <c r="B56" s="1" t="s">
        <v>106</v>
      </c>
      <c r="C56" s="2">
        <v>0.3</v>
      </c>
      <c r="D56" s="2">
        <v>0.3</v>
      </c>
      <c r="E56" s="2">
        <v>0.5</v>
      </c>
      <c r="F56" s="2">
        <v>0.5</v>
      </c>
      <c r="G56" s="2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</row>
    <row r="57" spans="2:13" x14ac:dyDescent="0.4">
      <c r="B57" s="1" t="s">
        <v>107</v>
      </c>
      <c r="C57" s="2">
        <v>0.5</v>
      </c>
      <c r="D57" s="2">
        <v>0.5</v>
      </c>
      <c r="E57" s="2">
        <v>0.5</v>
      </c>
      <c r="F57" s="2">
        <v>0.5</v>
      </c>
      <c r="G57" s="2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</row>
    <row r="58" spans="2:13" x14ac:dyDescent="0.4">
      <c r="B58" s="1" t="s">
        <v>108</v>
      </c>
      <c r="C58" s="3">
        <v>0.8</v>
      </c>
      <c r="D58" s="3">
        <v>0.8</v>
      </c>
      <c r="E58" s="3">
        <v>0.8</v>
      </c>
      <c r="F58" s="3">
        <v>0.08</v>
      </c>
      <c r="G58" s="3">
        <v>0.8</v>
      </c>
      <c r="H58" s="3">
        <v>0.8</v>
      </c>
      <c r="I58" s="3">
        <v>0.8</v>
      </c>
      <c r="J58" s="3">
        <v>0.8</v>
      </c>
      <c r="K58" s="3">
        <v>0.8</v>
      </c>
      <c r="L58" s="3">
        <v>1</v>
      </c>
      <c r="M58" s="3">
        <v>1</v>
      </c>
    </row>
    <row r="59" spans="2:13" x14ac:dyDescent="0.4">
      <c r="B59" s="1" t="s">
        <v>109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</row>
    <row r="60" spans="2:13" x14ac:dyDescent="0.4">
      <c r="B60" s="1" t="s">
        <v>110</v>
      </c>
      <c r="C60" s="3">
        <v>0.8</v>
      </c>
      <c r="D60" s="3">
        <v>0.8</v>
      </c>
      <c r="E60" s="3">
        <v>0.8</v>
      </c>
      <c r="F60" s="3">
        <v>0.8</v>
      </c>
      <c r="G60" s="3">
        <v>0.8</v>
      </c>
      <c r="H60" s="3">
        <v>0.8</v>
      </c>
      <c r="I60" s="3">
        <v>0.8</v>
      </c>
      <c r="J60" s="3">
        <v>0.8</v>
      </c>
      <c r="K60" s="3">
        <v>0.8</v>
      </c>
      <c r="L60" s="3">
        <v>1</v>
      </c>
      <c r="M60" s="3">
        <v>1</v>
      </c>
    </row>
    <row r="61" spans="2:13" x14ac:dyDescent="0.4">
      <c r="B61" s="1" t="s">
        <v>111</v>
      </c>
      <c r="C61" s="3">
        <v>0.8</v>
      </c>
      <c r="D61" s="3">
        <v>0.8</v>
      </c>
      <c r="E61" s="3">
        <v>0.8</v>
      </c>
      <c r="F61" s="3">
        <v>0.8</v>
      </c>
      <c r="G61" s="3">
        <v>0.8</v>
      </c>
      <c r="H61" s="3">
        <v>0.8</v>
      </c>
      <c r="I61" s="3">
        <v>0.8</v>
      </c>
      <c r="J61" s="3">
        <v>0.8</v>
      </c>
      <c r="K61" s="3">
        <v>0.8</v>
      </c>
      <c r="L61" s="3">
        <v>1</v>
      </c>
      <c r="M61" s="3">
        <v>1</v>
      </c>
    </row>
    <row r="62" spans="2:13" x14ac:dyDescent="0.4">
      <c r="B62" s="1" t="s">
        <v>112</v>
      </c>
      <c r="C62" s="3">
        <v>0.8</v>
      </c>
      <c r="D62" s="3">
        <v>0.8</v>
      </c>
      <c r="E62" s="3">
        <v>0.8</v>
      </c>
      <c r="F62" s="3">
        <v>0.8</v>
      </c>
      <c r="G62" s="3">
        <v>0.8</v>
      </c>
      <c r="H62" s="3">
        <v>0.8</v>
      </c>
      <c r="I62" s="3">
        <v>0.8</v>
      </c>
      <c r="J62" s="3">
        <v>0.8</v>
      </c>
      <c r="K62" s="3">
        <v>0.8</v>
      </c>
      <c r="L62" s="3">
        <v>1</v>
      </c>
      <c r="M62" s="3">
        <v>1</v>
      </c>
    </row>
    <row r="63" spans="2:13" x14ac:dyDescent="0.4">
      <c r="B63" s="1" t="s">
        <v>113</v>
      </c>
      <c r="C63" s="3">
        <v>0.8</v>
      </c>
      <c r="D63" s="3">
        <v>0.8</v>
      </c>
      <c r="E63" s="3">
        <v>0.8</v>
      </c>
      <c r="F63" s="3">
        <v>0.8</v>
      </c>
      <c r="G63" s="3">
        <v>0.8</v>
      </c>
      <c r="H63" s="3">
        <v>0.8</v>
      </c>
      <c r="I63" s="3">
        <v>0.8</v>
      </c>
      <c r="J63" s="3">
        <v>0.8</v>
      </c>
      <c r="K63" s="3">
        <v>0.8</v>
      </c>
      <c r="L63" s="3">
        <v>1</v>
      </c>
      <c r="M63" s="3">
        <v>1</v>
      </c>
    </row>
    <row r="64" spans="2:13" x14ac:dyDescent="0.4">
      <c r="B64" s="1" t="s">
        <v>114</v>
      </c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</row>
    <row r="65" spans="2:13" x14ac:dyDescent="0.4">
      <c r="B65" s="1" t="s">
        <v>115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</row>
    <row r="66" spans="2:13" x14ac:dyDescent="0.4">
      <c r="B66" s="1" t="s">
        <v>116</v>
      </c>
      <c r="C66" s="3">
        <v>1</v>
      </c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</row>
    <row r="67" spans="2:13" x14ac:dyDescent="0.4">
      <c r="B67" s="1" t="s">
        <v>117</v>
      </c>
      <c r="C67" s="3">
        <v>1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</row>
    <row r="68" spans="2:13" x14ac:dyDescent="0.4">
      <c r="B68" s="1" t="s">
        <v>118</v>
      </c>
      <c r="C68" s="3">
        <v>0.8</v>
      </c>
      <c r="D68" s="3">
        <v>0.8</v>
      </c>
      <c r="E68" s="3">
        <v>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">
        <v>1</v>
      </c>
    </row>
    <row r="69" spans="2:13" x14ac:dyDescent="0.4">
      <c r="B69" s="1" t="s">
        <v>119</v>
      </c>
      <c r="C69" s="3">
        <v>0.8</v>
      </c>
      <c r="D69" s="3">
        <v>0.8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</row>
    <row r="70" spans="2:13" x14ac:dyDescent="0.4">
      <c r="B70" s="1" t="s">
        <v>120</v>
      </c>
      <c r="C70" s="3">
        <v>0.8</v>
      </c>
      <c r="D70" s="3">
        <v>0.8</v>
      </c>
      <c r="E70" s="3">
        <v>1</v>
      </c>
      <c r="F70" s="3">
        <v>1</v>
      </c>
      <c r="G70" s="3">
        <v>1</v>
      </c>
      <c r="H70" s="3">
        <v>1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</row>
    <row r="71" spans="2:13" x14ac:dyDescent="0.4">
      <c r="B71" s="1" t="s">
        <v>121</v>
      </c>
      <c r="C71" s="3">
        <v>0.8</v>
      </c>
      <c r="D71" s="3">
        <v>0.8</v>
      </c>
      <c r="E71" s="3">
        <v>1</v>
      </c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  <c r="M71" s="3">
        <v>1</v>
      </c>
    </row>
    <row r="72" spans="2:13" x14ac:dyDescent="0.4">
      <c r="B72" s="1" t="s">
        <v>123</v>
      </c>
      <c r="C72" s="3">
        <v>0.8</v>
      </c>
      <c r="D72" s="3">
        <v>0.8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  <c r="L72" s="3">
        <v>1</v>
      </c>
      <c r="M72" s="3">
        <v>1</v>
      </c>
    </row>
    <row r="73" spans="2:13" x14ac:dyDescent="0.4">
      <c r="B73" s="1" t="s">
        <v>124</v>
      </c>
      <c r="C73" s="3">
        <v>0.8</v>
      </c>
      <c r="D73" s="3">
        <v>0.8</v>
      </c>
      <c r="E73" s="3">
        <v>1</v>
      </c>
      <c r="F73" s="3">
        <v>1</v>
      </c>
      <c r="G73" s="3">
        <v>1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  <c r="M73" s="3">
        <v>1</v>
      </c>
    </row>
    <row r="74" spans="2:13" x14ac:dyDescent="0.4">
      <c r="B74" s="1" t="s">
        <v>125</v>
      </c>
      <c r="C74" s="3">
        <v>0.8</v>
      </c>
      <c r="D74" s="3">
        <v>0.8</v>
      </c>
      <c r="E74" s="3">
        <v>1</v>
      </c>
      <c r="F74" s="3">
        <v>1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</row>
    <row r="75" spans="2:13" x14ac:dyDescent="0.4">
      <c r="B75" s="1" t="s">
        <v>126</v>
      </c>
      <c r="C75" s="3">
        <v>0.8</v>
      </c>
      <c r="D75" s="3">
        <v>0.8</v>
      </c>
      <c r="E75" s="3">
        <v>1</v>
      </c>
      <c r="F75" s="3">
        <v>1</v>
      </c>
      <c r="G75" s="3">
        <v>1</v>
      </c>
      <c r="H75" s="3">
        <v>1</v>
      </c>
      <c r="I75" s="3">
        <v>1</v>
      </c>
      <c r="J75" s="3">
        <v>1</v>
      </c>
      <c r="K75" s="3">
        <v>1</v>
      </c>
      <c r="L75" s="3">
        <v>1</v>
      </c>
      <c r="M75" s="3">
        <v>1</v>
      </c>
    </row>
    <row r="76" spans="2:13" x14ac:dyDescent="0.4">
      <c r="B76" s="1" t="s">
        <v>127</v>
      </c>
      <c r="C76" s="3">
        <v>1</v>
      </c>
      <c r="D76" s="3">
        <v>1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3">
        <v>1</v>
      </c>
      <c r="K76" s="3">
        <v>1</v>
      </c>
      <c r="L76" s="3">
        <v>1</v>
      </c>
      <c r="M76" s="3">
        <v>1</v>
      </c>
    </row>
    <row r="77" spans="2:13" x14ac:dyDescent="0.4">
      <c r="B77" s="1" t="s">
        <v>128</v>
      </c>
      <c r="C77" s="3">
        <v>0.8</v>
      </c>
      <c r="D77" s="3">
        <v>0.8</v>
      </c>
      <c r="E77" s="3">
        <v>1</v>
      </c>
      <c r="F77" s="3">
        <v>1</v>
      </c>
      <c r="G77" s="3">
        <v>1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</row>
    <row r="78" spans="2:13" x14ac:dyDescent="0.4">
      <c r="B78" s="1" t="s">
        <v>129</v>
      </c>
      <c r="C78" s="3">
        <v>1</v>
      </c>
      <c r="D78" s="3">
        <v>1</v>
      </c>
      <c r="E78" s="3">
        <v>1</v>
      </c>
      <c r="F78" s="3">
        <v>1</v>
      </c>
      <c r="G78" s="3">
        <v>1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</row>
    <row r="79" spans="2:13" x14ac:dyDescent="0.4">
      <c r="B79" s="1" t="s">
        <v>130</v>
      </c>
      <c r="C79" s="3">
        <v>0.8</v>
      </c>
      <c r="D79" s="3">
        <v>0.8</v>
      </c>
      <c r="E79" s="3">
        <v>1</v>
      </c>
      <c r="F79" s="3">
        <v>1</v>
      </c>
      <c r="G79" s="3">
        <v>1</v>
      </c>
      <c r="H79" s="3">
        <v>1</v>
      </c>
      <c r="I79" s="3">
        <v>1</v>
      </c>
      <c r="J79" s="3">
        <v>1</v>
      </c>
      <c r="K79" s="3">
        <v>1</v>
      </c>
      <c r="L79" s="3">
        <v>1</v>
      </c>
      <c r="M79" s="3">
        <v>1</v>
      </c>
    </row>
    <row r="80" spans="2:13" x14ac:dyDescent="0.4">
      <c r="B80" s="1" t="s">
        <v>131</v>
      </c>
      <c r="C80" s="3">
        <v>0.8</v>
      </c>
      <c r="D80" s="3">
        <v>0.8</v>
      </c>
      <c r="E80" s="3">
        <v>1</v>
      </c>
      <c r="F80" s="3">
        <v>1</v>
      </c>
      <c r="G80" s="3">
        <v>1</v>
      </c>
      <c r="H80" s="3">
        <v>1</v>
      </c>
      <c r="I80" s="3">
        <v>1</v>
      </c>
      <c r="J80" s="3">
        <v>1</v>
      </c>
      <c r="K80" s="3">
        <v>1</v>
      </c>
      <c r="L80" s="3">
        <v>1</v>
      </c>
      <c r="M80" s="3">
        <v>1</v>
      </c>
    </row>
    <row r="81" spans="2:13" x14ac:dyDescent="0.4">
      <c r="B81" s="1" t="s">
        <v>132</v>
      </c>
      <c r="C81" s="3">
        <v>1</v>
      </c>
      <c r="D81" s="3">
        <v>1</v>
      </c>
      <c r="E81" s="3">
        <v>1</v>
      </c>
      <c r="F81" s="3">
        <v>1</v>
      </c>
      <c r="G81" s="3">
        <v>1</v>
      </c>
      <c r="H81" s="3">
        <v>1</v>
      </c>
      <c r="I81" s="3">
        <v>1</v>
      </c>
      <c r="J81" s="3">
        <v>1</v>
      </c>
      <c r="K81" s="3">
        <v>1</v>
      </c>
      <c r="L81" s="3">
        <v>1</v>
      </c>
      <c r="M81" s="3">
        <v>1</v>
      </c>
    </row>
    <row r="82" spans="2:13" x14ac:dyDescent="0.4">
      <c r="B82" s="1" t="s">
        <v>133</v>
      </c>
      <c r="C82" s="3">
        <v>1</v>
      </c>
      <c r="D82" s="3">
        <v>1</v>
      </c>
      <c r="E82" s="3">
        <v>1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</row>
    <row r="83" spans="2:13" x14ac:dyDescent="0.4">
      <c r="B83" s="1" t="s">
        <v>134</v>
      </c>
      <c r="C83" s="3">
        <v>1</v>
      </c>
      <c r="D83" s="3">
        <v>1</v>
      </c>
      <c r="E83" s="3">
        <v>1</v>
      </c>
      <c r="F83" s="3">
        <v>1</v>
      </c>
      <c r="G83" s="3">
        <v>1</v>
      </c>
      <c r="H83" s="3">
        <v>1</v>
      </c>
      <c r="I83" s="3">
        <v>1</v>
      </c>
      <c r="J83" s="3">
        <v>1</v>
      </c>
      <c r="K83" s="3">
        <v>1</v>
      </c>
      <c r="L83" s="3">
        <v>1</v>
      </c>
      <c r="M83" s="3">
        <v>1</v>
      </c>
    </row>
    <row r="84" spans="2:13" x14ac:dyDescent="0.4">
      <c r="B84" s="1" t="s">
        <v>135</v>
      </c>
      <c r="C84" s="3">
        <v>1</v>
      </c>
      <c r="D84" s="3">
        <v>1</v>
      </c>
      <c r="E84" s="3">
        <v>1</v>
      </c>
      <c r="F84" s="3">
        <v>1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1</v>
      </c>
      <c r="M84" s="3">
        <v>1</v>
      </c>
    </row>
    <row r="85" spans="2:13" x14ac:dyDescent="0.4">
      <c r="B85" s="1" t="s">
        <v>136</v>
      </c>
      <c r="C85" s="3">
        <v>1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1</v>
      </c>
      <c r="K85" s="3">
        <v>1</v>
      </c>
      <c r="L85" s="3">
        <v>1</v>
      </c>
      <c r="M85" s="3">
        <v>1</v>
      </c>
    </row>
    <row r="86" spans="2:13" x14ac:dyDescent="0.4">
      <c r="B86" s="1" t="s">
        <v>137</v>
      </c>
      <c r="C86" s="3">
        <v>1</v>
      </c>
      <c r="D86" s="3">
        <v>1</v>
      </c>
      <c r="E86" s="3">
        <v>1</v>
      </c>
      <c r="F86" s="3">
        <v>1</v>
      </c>
      <c r="G86" s="3">
        <v>1</v>
      </c>
      <c r="H86" s="3">
        <v>1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</row>
    <row r="87" spans="2:13" x14ac:dyDescent="0.4">
      <c r="B87" s="1" t="s">
        <v>138</v>
      </c>
      <c r="C87" s="3">
        <v>0.8</v>
      </c>
      <c r="D87" s="3">
        <v>0.8</v>
      </c>
      <c r="E87" s="3">
        <v>1</v>
      </c>
      <c r="F87" s="3">
        <v>1</v>
      </c>
      <c r="G87" s="3">
        <v>1</v>
      </c>
      <c r="H87" s="3">
        <v>1</v>
      </c>
      <c r="I87" s="3">
        <v>1</v>
      </c>
      <c r="J87" s="3">
        <v>1</v>
      </c>
      <c r="K87" s="3">
        <v>1</v>
      </c>
      <c r="L87" s="3">
        <v>1</v>
      </c>
      <c r="M87" s="3">
        <v>1</v>
      </c>
    </row>
    <row r="88" spans="2:13" x14ac:dyDescent="0.4">
      <c r="B88" s="1" t="s">
        <v>139</v>
      </c>
      <c r="C88" s="3">
        <v>0.8</v>
      </c>
      <c r="D88" s="3">
        <v>0.8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  <c r="J88" s="3">
        <v>1</v>
      </c>
      <c r="K88" s="3">
        <v>1</v>
      </c>
      <c r="L88" s="3">
        <v>1</v>
      </c>
      <c r="M88" s="3">
        <v>1</v>
      </c>
    </row>
    <row r="89" spans="2:13" x14ac:dyDescent="0.4">
      <c r="B89" s="1" t="s">
        <v>140</v>
      </c>
      <c r="C89" s="3">
        <v>0.8</v>
      </c>
      <c r="D89" s="3">
        <v>0.8</v>
      </c>
      <c r="E89" s="3">
        <v>1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1</v>
      </c>
      <c r="L89" s="3">
        <v>1</v>
      </c>
      <c r="M89" s="3">
        <v>1</v>
      </c>
    </row>
    <row r="90" spans="2:13" x14ac:dyDescent="0.4">
      <c r="B90" s="1" t="s">
        <v>141</v>
      </c>
      <c r="C90" s="3">
        <v>0.8</v>
      </c>
      <c r="D90" s="3">
        <v>0.8</v>
      </c>
      <c r="E90" s="3">
        <v>1</v>
      </c>
      <c r="F90" s="3">
        <v>1</v>
      </c>
      <c r="G90" s="3">
        <v>1</v>
      </c>
      <c r="H90" s="3">
        <v>1</v>
      </c>
      <c r="I90" s="3">
        <v>1</v>
      </c>
      <c r="J90" s="3">
        <v>1</v>
      </c>
      <c r="K90" s="3">
        <v>1</v>
      </c>
      <c r="L90" s="3">
        <v>1</v>
      </c>
      <c r="M90" s="3">
        <v>1</v>
      </c>
    </row>
    <row r="91" spans="2:13" x14ac:dyDescent="0.4">
      <c r="B91" s="1" t="s">
        <v>142</v>
      </c>
      <c r="C91" s="3">
        <v>0.8</v>
      </c>
      <c r="D91" s="3">
        <v>0.8</v>
      </c>
      <c r="E91" s="3">
        <v>1</v>
      </c>
      <c r="F91" s="3">
        <v>1</v>
      </c>
      <c r="G91" s="3">
        <v>1</v>
      </c>
      <c r="H91" s="3">
        <v>1</v>
      </c>
      <c r="I91" s="3">
        <v>1</v>
      </c>
      <c r="J91" s="3">
        <v>1</v>
      </c>
      <c r="K91" s="3">
        <v>1</v>
      </c>
      <c r="L91" s="3">
        <v>1</v>
      </c>
      <c r="M91" s="3">
        <v>1</v>
      </c>
    </row>
    <row r="92" spans="2:13" x14ac:dyDescent="0.4">
      <c r="B92" s="1" t="s">
        <v>143</v>
      </c>
      <c r="C92" s="3">
        <v>0.8</v>
      </c>
      <c r="D92" s="3">
        <v>0.8</v>
      </c>
      <c r="E92" s="3">
        <v>1</v>
      </c>
      <c r="F92" s="3">
        <v>1</v>
      </c>
      <c r="G92" s="3">
        <v>1</v>
      </c>
      <c r="H92" s="3">
        <v>1</v>
      </c>
      <c r="I92" s="3">
        <v>1</v>
      </c>
      <c r="J92" s="3">
        <v>1</v>
      </c>
      <c r="K92" s="3">
        <v>1</v>
      </c>
      <c r="L92" s="3">
        <v>1</v>
      </c>
      <c r="M92" s="3">
        <v>1</v>
      </c>
    </row>
    <row r="93" spans="2:13" x14ac:dyDescent="0.4">
      <c r="B93" s="1" t="s">
        <v>144</v>
      </c>
      <c r="C93" s="3">
        <v>1</v>
      </c>
      <c r="D93" s="3">
        <v>1</v>
      </c>
      <c r="E93" s="3">
        <v>1</v>
      </c>
      <c r="F93" s="3">
        <v>1</v>
      </c>
      <c r="G93" s="3">
        <v>1</v>
      </c>
      <c r="H93" s="3">
        <v>1</v>
      </c>
      <c r="I93" s="3">
        <v>1</v>
      </c>
      <c r="J93" s="3">
        <v>1</v>
      </c>
      <c r="K93" s="3">
        <v>1</v>
      </c>
      <c r="L93" s="3">
        <v>1</v>
      </c>
      <c r="M93" s="3">
        <v>1</v>
      </c>
    </row>
    <row r="94" spans="2:13" x14ac:dyDescent="0.4">
      <c r="B94" s="1" t="s">
        <v>145</v>
      </c>
      <c r="C94" s="3">
        <v>1</v>
      </c>
      <c r="D94" s="3">
        <v>1</v>
      </c>
      <c r="E94" s="3">
        <v>1</v>
      </c>
      <c r="F94" s="3">
        <v>1</v>
      </c>
      <c r="G94" s="3">
        <v>1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  <c r="M94" s="3">
        <v>1</v>
      </c>
    </row>
    <row r="95" spans="2:13" x14ac:dyDescent="0.4">
      <c r="B95" s="1" t="s">
        <v>146</v>
      </c>
      <c r="C95" s="3">
        <v>0.8</v>
      </c>
      <c r="D95" s="3">
        <v>0.8</v>
      </c>
      <c r="E95" s="3">
        <v>1</v>
      </c>
      <c r="F95" s="3">
        <v>1</v>
      </c>
      <c r="G95" s="3">
        <v>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  <c r="M95" s="3">
        <v>1</v>
      </c>
    </row>
    <row r="96" spans="2:13" x14ac:dyDescent="0.4">
      <c r="B96" s="1" t="s">
        <v>147</v>
      </c>
      <c r="C96" s="3">
        <v>0.8</v>
      </c>
      <c r="D96" s="3">
        <v>0.8</v>
      </c>
      <c r="E96" s="3">
        <v>1</v>
      </c>
      <c r="F96" s="3">
        <v>1</v>
      </c>
      <c r="G96" s="3">
        <v>1</v>
      </c>
      <c r="H96" s="3">
        <v>1</v>
      </c>
      <c r="I96" s="3">
        <v>1</v>
      </c>
      <c r="J96" s="3">
        <v>1</v>
      </c>
      <c r="K96" s="3">
        <v>1</v>
      </c>
      <c r="L96" s="3">
        <v>1</v>
      </c>
      <c r="M96" s="3">
        <v>1</v>
      </c>
    </row>
    <row r="97" spans="2:13" x14ac:dyDescent="0.4">
      <c r="B97" s="1" t="s">
        <v>148</v>
      </c>
      <c r="C97" s="3">
        <v>1</v>
      </c>
      <c r="D97" s="3">
        <v>1</v>
      </c>
      <c r="E97" s="3">
        <v>1</v>
      </c>
      <c r="F97" s="3">
        <v>1</v>
      </c>
      <c r="G97" s="3">
        <v>1</v>
      </c>
      <c r="H97" s="3">
        <v>1</v>
      </c>
      <c r="I97" s="3">
        <v>1</v>
      </c>
      <c r="J97" s="3">
        <v>1</v>
      </c>
      <c r="K97" s="3">
        <v>1</v>
      </c>
      <c r="L97" s="3">
        <v>1</v>
      </c>
      <c r="M97" s="3">
        <v>1</v>
      </c>
    </row>
    <row r="98" spans="2:13" x14ac:dyDescent="0.4">
      <c r="B98" s="1" t="s">
        <v>149</v>
      </c>
      <c r="C98" s="3">
        <v>0.8</v>
      </c>
      <c r="D98" s="3">
        <v>0.8</v>
      </c>
      <c r="E98" s="3">
        <v>1</v>
      </c>
      <c r="F98" s="3">
        <v>1</v>
      </c>
      <c r="G98" s="3">
        <v>1</v>
      </c>
      <c r="H98" s="3">
        <v>1</v>
      </c>
      <c r="I98" s="3">
        <v>1</v>
      </c>
      <c r="J98" s="3">
        <v>1</v>
      </c>
      <c r="K98" s="3">
        <v>1</v>
      </c>
      <c r="L98" s="3">
        <v>1</v>
      </c>
      <c r="M98" s="3">
        <v>1</v>
      </c>
    </row>
    <row r="99" spans="2:13" x14ac:dyDescent="0.4">
      <c r="B99" s="1" t="s">
        <v>150</v>
      </c>
      <c r="C99" s="3">
        <v>0.8</v>
      </c>
      <c r="D99" s="3">
        <v>0.8</v>
      </c>
      <c r="E99" s="3">
        <v>1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1</v>
      </c>
      <c r="L99" s="3">
        <v>1</v>
      </c>
      <c r="M99" s="3">
        <v>1</v>
      </c>
    </row>
    <row r="100" spans="2:13" x14ac:dyDescent="0.4">
      <c r="B100" s="1" t="s">
        <v>151</v>
      </c>
      <c r="C100" s="3">
        <v>1</v>
      </c>
      <c r="D100" s="3">
        <v>1</v>
      </c>
      <c r="E100" s="3">
        <v>1</v>
      </c>
      <c r="F100" s="3">
        <v>1</v>
      </c>
      <c r="G100" s="3">
        <v>1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</row>
    <row r="101" spans="2:13" x14ac:dyDescent="0.4">
      <c r="B101" s="1" t="s">
        <v>152</v>
      </c>
      <c r="C101" s="3">
        <v>1</v>
      </c>
      <c r="D101" s="3">
        <v>1</v>
      </c>
      <c r="E101" s="3">
        <v>1</v>
      </c>
      <c r="F101" s="3">
        <v>1</v>
      </c>
      <c r="G101" s="3">
        <v>1</v>
      </c>
      <c r="H101" s="3">
        <v>1</v>
      </c>
      <c r="I101" s="3">
        <v>1</v>
      </c>
      <c r="J101" s="3">
        <v>1</v>
      </c>
      <c r="K101" s="3">
        <v>1</v>
      </c>
      <c r="L101" s="3">
        <v>1</v>
      </c>
      <c r="M101" s="3">
        <v>1</v>
      </c>
    </row>
    <row r="102" spans="2:13" x14ac:dyDescent="0.4">
      <c r="B102" s="1" t="s">
        <v>153</v>
      </c>
      <c r="C102" s="3">
        <v>1</v>
      </c>
      <c r="D102" s="3">
        <v>1</v>
      </c>
      <c r="E102" s="3">
        <v>1</v>
      </c>
      <c r="F102" s="3">
        <v>1</v>
      </c>
      <c r="G102" s="3">
        <v>1</v>
      </c>
      <c r="H102" s="3">
        <v>1</v>
      </c>
      <c r="I102" s="3">
        <v>1</v>
      </c>
      <c r="J102" s="3">
        <v>1</v>
      </c>
      <c r="K102" s="3">
        <v>1</v>
      </c>
      <c r="L102" s="3">
        <v>1</v>
      </c>
      <c r="M102" s="3">
        <v>1</v>
      </c>
    </row>
    <row r="103" spans="2:13" x14ac:dyDescent="0.4">
      <c r="B103" s="1" t="s">
        <v>154</v>
      </c>
      <c r="C103" s="3">
        <v>0.8</v>
      </c>
      <c r="D103" s="3">
        <v>0.8</v>
      </c>
      <c r="E103" s="3">
        <v>1</v>
      </c>
      <c r="F103" s="3">
        <v>1</v>
      </c>
      <c r="G103" s="3">
        <v>1</v>
      </c>
      <c r="H103" s="3">
        <v>1</v>
      </c>
      <c r="I103" s="3">
        <v>1</v>
      </c>
      <c r="J103" s="3">
        <v>1</v>
      </c>
      <c r="K103" s="3">
        <v>1</v>
      </c>
      <c r="L103" s="3">
        <v>1</v>
      </c>
      <c r="M103" s="3">
        <v>1</v>
      </c>
    </row>
    <row r="104" spans="2:13" x14ac:dyDescent="0.4">
      <c r="B104" s="1" t="s">
        <v>155</v>
      </c>
      <c r="C104" s="3">
        <v>0.8</v>
      </c>
      <c r="D104" s="3">
        <v>0.8</v>
      </c>
      <c r="E104" s="3">
        <v>1</v>
      </c>
      <c r="F104" s="3">
        <v>1</v>
      </c>
      <c r="G104" s="3">
        <v>1</v>
      </c>
      <c r="H104" s="3">
        <v>1</v>
      </c>
      <c r="I104" s="3">
        <v>1</v>
      </c>
      <c r="J104" s="3">
        <v>1</v>
      </c>
      <c r="K104" s="3">
        <v>1</v>
      </c>
      <c r="L104" s="3">
        <v>1</v>
      </c>
      <c r="M104" s="3">
        <v>1</v>
      </c>
    </row>
    <row r="105" spans="2:13" x14ac:dyDescent="0.4">
      <c r="B105" s="1" t="s">
        <v>156</v>
      </c>
      <c r="C105" s="3">
        <v>0.8</v>
      </c>
      <c r="D105" s="3">
        <v>0.8</v>
      </c>
      <c r="E105" s="3">
        <v>1</v>
      </c>
      <c r="F105" s="3">
        <v>1</v>
      </c>
      <c r="G105" s="3">
        <v>1</v>
      </c>
      <c r="H105" s="3">
        <v>1</v>
      </c>
      <c r="I105" s="3">
        <v>1</v>
      </c>
      <c r="J105" s="3">
        <v>1</v>
      </c>
      <c r="K105" s="3">
        <v>1</v>
      </c>
      <c r="L105" s="3">
        <v>1</v>
      </c>
      <c r="M105" s="3">
        <v>1</v>
      </c>
    </row>
    <row r="106" spans="2:13" x14ac:dyDescent="0.4">
      <c r="B106" s="1" t="s">
        <v>157</v>
      </c>
      <c r="C106" s="3">
        <v>0.8</v>
      </c>
      <c r="D106" s="3">
        <v>0.8</v>
      </c>
      <c r="E106" s="3">
        <v>1</v>
      </c>
      <c r="F106" s="3">
        <v>1</v>
      </c>
      <c r="G106" s="3">
        <v>1</v>
      </c>
      <c r="H106" s="3">
        <v>1</v>
      </c>
      <c r="I106" s="3">
        <v>1</v>
      </c>
      <c r="J106" s="3">
        <v>1</v>
      </c>
      <c r="K106" s="3">
        <v>1</v>
      </c>
      <c r="L106" s="3">
        <v>1</v>
      </c>
      <c r="M106" s="3">
        <v>1</v>
      </c>
    </row>
    <row r="107" spans="2:13" x14ac:dyDescent="0.4">
      <c r="B107" s="1" t="s">
        <v>158</v>
      </c>
      <c r="C107" s="3">
        <v>1</v>
      </c>
      <c r="D107" s="3">
        <v>1</v>
      </c>
      <c r="E107" s="3">
        <v>1</v>
      </c>
      <c r="F107" s="3">
        <v>1</v>
      </c>
      <c r="G107" s="3">
        <v>1</v>
      </c>
      <c r="H107" s="3">
        <v>1</v>
      </c>
      <c r="I107" s="3">
        <v>1</v>
      </c>
      <c r="J107" s="3">
        <v>1</v>
      </c>
      <c r="K107" s="3">
        <v>1</v>
      </c>
      <c r="L107" s="3">
        <v>1</v>
      </c>
      <c r="M107" s="3">
        <v>1</v>
      </c>
    </row>
    <row r="108" spans="2:13" x14ac:dyDescent="0.4">
      <c r="B108" s="1" t="s">
        <v>159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1</v>
      </c>
    </row>
    <row r="109" spans="2:13" x14ac:dyDescent="0.4">
      <c r="B109" s="1" t="s">
        <v>160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</row>
    <row r="110" spans="2:13" x14ac:dyDescent="0.4">
      <c r="B110" s="1" t="s">
        <v>161</v>
      </c>
      <c r="C110" s="3">
        <v>0.8</v>
      </c>
      <c r="D110" s="3">
        <v>0.8</v>
      </c>
      <c r="E110" s="3">
        <v>1</v>
      </c>
      <c r="F110" s="3">
        <v>1</v>
      </c>
      <c r="G110" s="3">
        <v>1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</row>
    <row r="111" spans="2:13" x14ac:dyDescent="0.4">
      <c r="B111" s="1" t="s">
        <v>162</v>
      </c>
      <c r="C111" s="3">
        <v>1</v>
      </c>
      <c r="D111" s="3">
        <v>1</v>
      </c>
      <c r="E111" s="3">
        <v>1</v>
      </c>
      <c r="F111" s="3">
        <v>1</v>
      </c>
      <c r="G111" s="3">
        <v>1</v>
      </c>
      <c r="H111" s="3">
        <v>1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</row>
    <row r="112" spans="2:13" x14ac:dyDescent="0.4">
      <c r="B112" s="1" t="s">
        <v>163</v>
      </c>
      <c r="C112" s="3">
        <v>1</v>
      </c>
      <c r="D112" s="3">
        <v>1</v>
      </c>
      <c r="E112" s="3">
        <v>1</v>
      </c>
      <c r="F112" s="3">
        <v>1</v>
      </c>
      <c r="G112" s="3">
        <v>1</v>
      </c>
      <c r="H112" s="3">
        <v>1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</row>
    <row r="113" spans="2:13" x14ac:dyDescent="0.4">
      <c r="B113" s="1" t="s">
        <v>164</v>
      </c>
      <c r="C113" s="3">
        <v>1</v>
      </c>
      <c r="D113" s="3">
        <v>1</v>
      </c>
      <c r="E113" s="3">
        <v>1</v>
      </c>
      <c r="F113" s="3">
        <v>1</v>
      </c>
      <c r="G113" s="3">
        <v>1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  <c r="M113" s="3">
        <v>1</v>
      </c>
    </row>
    <row r="114" spans="2:13" x14ac:dyDescent="0.4">
      <c r="B114" s="1" t="s">
        <v>165</v>
      </c>
      <c r="C114" s="3">
        <v>1</v>
      </c>
      <c r="D114" s="3">
        <v>1</v>
      </c>
      <c r="E114" s="3">
        <v>1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  <c r="M114" s="3">
        <v>1</v>
      </c>
    </row>
    <row r="115" spans="2:13" x14ac:dyDescent="0.4">
      <c r="B115" s="1" t="s">
        <v>166</v>
      </c>
      <c r="C115" s="3">
        <v>1</v>
      </c>
      <c r="D115" s="3">
        <v>1</v>
      </c>
      <c r="E115" s="3">
        <v>1</v>
      </c>
      <c r="F115" s="3">
        <v>1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  <c r="M115" s="3">
        <v>1</v>
      </c>
    </row>
    <row r="116" spans="2:13" x14ac:dyDescent="0.4">
      <c r="B116" s="1" t="s">
        <v>167</v>
      </c>
      <c r="C116" s="3">
        <v>0.8</v>
      </c>
      <c r="D116" s="3">
        <v>0.8</v>
      </c>
      <c r="E116" s="3">
        <v>1</v>
      </c>
      <c r="F116" s="3">
        <v>1</v>
      </c>
      <c r="G116" s="3">
        <v>1</v>
      </c>
      <c r="H116" s="3">
        <v>1</v>
      </c>
      <c r="I116" s="3">
        <v>1</v>
      </c>
      <c r="J116" s="3">
        <v>1</v>
      </c>
      <c r="K116" s="3">
        <v>1</v>
      </c>
      <c r="L116" s="3">
        <v>1</v>
      </c>
      <c r="M116" s="3">
        <v>1</v>
      </c>
    </row>
    <row r="117" spans="2:13" x14ac:dyDescent="0.4">
      <c r="B117" s="1" t="s">
        <v>168</v>
      </c>
      <c r="C117" s="3">
        <v>0.8</v>
      </c>
      <c r="D117" s="3">
        <v>0.8</v>
      </c>
      <c r="E117" s="3">
        <v>1</v>
      </c>
      <c r="F117" s="3">
        <v>1</v>
      </c>
      <c r="G117" s="3">
        <v>1</v>
      </c>
      <c r="H117" s="3">
        <v>1</v>
      </c>
      <c r="I117" s="3">
        <v>1</v>
      </c>
      <c r="J117" s="3">
        <v>1</v>
      </c>
      <c r="K117" s="3">
        <v>1</v>
      </c>
      <c r="L117" s="3">
        <v>1</v>
      </c>
      <c r="M117" s="3">
        <v>1</v>
      </c>
    </row>
    <row r="118" spans="2:13" x14ac:dyDescent="0.4">
      <c r="B118" s="1" t="s">
        <v>169</v>
      </c>
      <c r="C118" s="3">
        <v>0.8</v>
      </c>
      <c r="D118" s="3">
        <v>0.8</v>
      </c>
      <c r="E118" s="3">
        <v>1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</row>
    <row r="119" spans="2:13" x14ac:dyDescent="0.4">
      <c r="B119" s="1" t="s">
        <v>170</v>
      </c>
      <c r="C119" s="3">
        <v>0.8</v>
      </c>
      <c r="D119" s="3">
        <v>0.8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</row>
    <row r="120" spans="2:13" x14ac:dyDescent="0.4">
      <c r="B120" s="1" t="s">
        <v>171</v>
      </c>
      <c r="C120" s="3">
        <v>0.8</v>
      </c>
      <c r="D120" s="3">
        <v>0.8</v>
      </c>
      <c r="E120" s="3">
        <v>1</v>
      </c>
      <c r="F120" s="3">
        <v>1</v>
      </c>
      <c r="G120" s="3">
        <v>1</v>
      </c>
      <c r="H120" s="3">
        <v>1</v>
      </c>
      <c r="I120" s="3">
        <v>1</v>
      </c>
      <c r="J120" s="3">
        <v>1</v>
      </c>
      <c r="K120" s="3">
        <v>1</v>
      </c>
      <c r="L120" s="3">
        <v>1</v>
      </c>
      <c r="M120" s="3">
        <v>1</v>
      </c>
    </row>
    <row r="121" spans="2:13" x14ac:dyDescent="0.4">
      <c r="B121" s="1" t="s">
        <v>172</v>
      </c>
      <c r="C121" s="3">
        <v>1</v>
      </c>
      <c r="D121" s="3">
        <v>1</v>
      </c>
      <c r="E121" s="3">
        <v>1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3">
        <v>1</v>
      </c>
      <c r="M121" s="3">
        <v>1</v>
      </c>
    </row>
    <row r="122" spans="2:13" x14ac:dyDescent="0.4">
      <c r="B122" s="1" t="s">
        <v>173</v>
      </c>
      <c r="C122" s="3">
        <v>0.8</v>
      </c>
      <c r="D122" s="3">
        <v>0.8</v>
      </c>
      <c r="E122" s="3">
        <v>1</v>
      </c>
      <c r="F122" s="3">
        <v>1</v>
      </c>
      <c r="G122" s="3">
        <v>1</v>
      </c>
      <c r="H122" s="3">
        <v>1</v>
      </c>
      <c r="I122" s="3">
        <v>1</v>
      </c>
      <c r="J122" s="3">
        <v>1</v>
      </c>
      <c r="K122" s="3">
        <v>1</v>
      </c>
      <c r="L122" s="3">
        <v>1</v>
      </c>
      <c r="M122" s="3">
        <v>1</v>
      </c>
    </row>
    <row r="123" spans="2:13" x14ac:dyDescent="0.4">
      <c r="B123" s="1" t="s">
        <v>174</v>
      </c>
      <c r="C123" s="3">
        <v>1</v>
      </c>
      <c r="D123" s="3">
        <v>1</v>
      </c>
      <c r="E123" s="3">
        <v>1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  <c r="M123" s="3">
        <v>1</v>
      </c>
    </row>
    <row r="124" spans="2:13" x14ac:dyDescent="0.4">
      <c r="B124" s="1" t="s">
        <v>175</v>
      </c>
      <c r="C124" s="3">
        <v>0.8</v>
      </c>
      <c r="D124" s="3">
        <v>0.8</v>
      </c>
      <c r="E124" s="3">
        <v>1</v>
      </c>
      <c r="F124" s="3">
        <v>1</v>
      </c>
      <c r="G124" s="3">
        <v>1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1</v>
      </c>
    </row>
    <row r="125" spans="2:13" x14ac:dyDescent="0.4">
      <c r="B125" s="1" t="s">
        <v>176</v>
      </c>
      <c r="C125" s="3">
        <v>1</v>
      </c>
      <c r="D125" s="3">
        <v>1</v>
      </c>
      <c r="E125" s="3">
        <v>1</v>
      </c>
      <c r="F125" s="3">
        <v>1</v>
      </c>
      <c r="G125" s="3">
        <v>1</v>
      </c>
      <c r="H125" s="3">
        <v>1</v>
      </c>
      <c r="I125" s="3">
        <v>1</v>
      </c>
      <c r="J125" s="3">
        <v>1</v>
      </c>
      <c r="K125" s="3">
        <v>1</v>
      </c>
      <c r="L125" s="3">
        <v>1</v>
      </c>
      <c r="M125" s="3">
        <v>1</v>
      </c>
    </row>
    <row r="126" spans="2:13" x14ac:dyDescent="0.4">
      <c r="B126" s="1" t="s">
        <v>177</v>
      </c>
      <c r="C126" s="3">
        <v>1</v>
      </c>
      <c r="D126" s="3">
        <v>1</v>
      </c>
      <c r="E126" s="3">
        <v>1</v>
      </c>
      <c r="F126" s="3">
        <v>1</v>
      </c>
      <c r="G126" s="3">
        <v>1</v>
      </c>
      <c r="H126" s="3">
        <v>1</v>
      </c>
      <c r="I126" s="3">
        <v>1</v>
      </c>
      <c r="J126" s="3">
        <v>1</v>
      </c>
      <c r="K126" s="3">
        <v>1</v>
      </c>
      <c r="L126" s="3">
        <v>1</v>
      </c>
      <c r="M126" s="3">
        <v>1</v>
      </c>
    </row>
    <row r="127" spans="2:13" x14ac:dyDescent="0.4">
      <c r="B127" s="1" t="s">
        <v>178</v>
      </c>
      <c r="C127" s="3">
        <v>1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  <c r="I127" s="3">
        <v>1</v>
      </c>
      <c r="J127" s="3">
        <v>1</v>
      </c>
      <c r="K127" s="3">
        <v>1</v>
      </c>
      <c r="L127" s="3">
        <v>1</v>
      </c>
      <c r="M127" s="3">
        <v>1</v>
      </c>
    </row>
    <row r="128" spans="2:13" x14ac:dyDescent="0.4">
      <c r="B128" s="1" t="s">
        <v>179</v>
      </c>
      <c r="C128" s="3">
        <v>1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1</v>
      </c>
      <c r="J128" s="3">
        <v>1</v>
      </c>
      <c r="K128" s="3">
        <v>1</v>
      </c>
      <c r="L128" s="3">
        <v>1</v>
      </c>
      <c r="M128" s="3">
        <v>1</v>
      </c>
    </row>
    <row r="129" spans="2:13" x14ac:dyDescent="0.4">
      <c r="B129" s="1" t="s">
        <v>180</v>
      </c>
      <c r="C129" s="3">
        <v>1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  <c r="M129" s="3">
        <v>1</v>
      </c>
    </row>
    <row r="130" spans="2:13" x14ac:dyDescent="0.4">
      <c r="B130" s="1" t="s">
        <v>181</v>
      </c>
      <c r="C130" s="3">
        <v>0.8</v>
      </c>
      <c r="D130" s="3">
        <v>0.8</v>
      </c>
      <c r="E130" s="3">
        <v>1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</row>
    <row r="131" spans="2:13" x14ac:dyDescent="0.4">
      <c r="B131" s="1" t="s">
        <v>182</v>
      </c>
      <c r="C131" s="3">
        <v>1</v>
      </c>
      <c r="D131" s="3">
        <v>1</v>
      </c>
      <c r="E131" s="3">
        <v>1</v>
      </c>
      <c r="F131" s="3">
        <v>1</v>
      </c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  <c r="M131" s="3">
        <v>1</v>
      </c>
    </row>
    <row r="132" spans="2:13" x14ac:dyDescent="0.4">
      <c r="B132" s="1" t="s">
        <v>183</v>
      </c>
      <c r="C132" s="3">
        <v>1</v>
      </c>
      <c r="D132" s="3">
        <v>1</v>
      </c>
      <c r="E132" s="3">
        <v>1</v>
      </c>
      <c r="F132" s="3">
        <v>1</v>
      </c>
      <c r="G132" s="3">
        <v>1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</row>
    <row r="133" spans="2:13" x14ac:dyDescent="0.4">
      <c r="B133" s="1" t="s">
        <v>184</v>
      </c>
      <c r="C133" s="3">
        <v>1</v>
      </c>
      <c r="D133" s="3">
        <v>1</v>
      </c>
      <c r="E133" s="3">
        <v>1</v>
      </c>
      <c r="F133" s="3">
        <v>1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  <c r="M133" s="3">
        <v>1</v>
      </c>
    </row>
    <row r="134" spans="2:13" x14ac:dyDescent="0.4">
      <c r="B134" s="1" t="s">
        <v>185</v>
      </c>
      <c r="C134" s="3">
        <v>1</v>
      </c>
      <c r="D134" s="3">
        <v>1</v>
      </c>
      <c r="E134" s="3">
        <v>1</v>
      </c>
      <c r="F134" s="3">
        <v>1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1</v>
      </c>
    </row>
    <row r="135" spans="2:13" x14ac:dyDescent="0.4">
      <c r="B135" s="1" t="s">
        <v>186</v>
      </c>
      <c r="C135" s="3">
        <v>1</v>
      </c>
      <c r="D135" s="3">
        <v>1</v>
      </c>
      <c r="E135" s="3">
        <v>1</v>
      </c>
      <c r="F135" s="3">
        <v>1</v>
      </c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</row>
    <row r="136" spans="2:13" x14ac:dyDescent="0.4">
      <c r="B136" s="1" t="s">
        <v>187</v>
      </c>
      <c r="C136" s="3">
        <v>1</v>
      </c>
      <c r="D136" s="3">
        <v>1</v>
      </c>
      <c r="E136" s="3">
        <v>1</v>
      </c>
      <c r="F136" s="3">
        <v>1</v>
      </c>
      <c r="G136" s="3">
        <v>1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>
        <v>1</v>
      </c>
    </row>
    <row r="137" spans="2:13" x14ac:dyDescent="0.4">
      <c r="B137" s="1" t="s">
        <v>188</v>
      </c>
      <c r="C137" s="3">
        <v>0.8</v>
      </c>
      <c r="D137" s="3">
        <v>0.8</v>
      </c>
      <c r="E137" s="3">
        <v>1</v>
      </c>
      <c r="F137" s="3">
        <v>1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</row>
    <row r="138" spans="2:13" x14ac:dyDescent="0.4">
      <c r="B138" s="1" t="s">
        <v>189</v>
      </c>
      <c r="C138" s="3">
        <v>0.8</v>
      </c>
      <c r="D138" s="3">
        <v>0.8</v>
      </c>
      <c r="E138" s="3">
        <v>1</v>
      </c>
      <c r="F138" s="3">
        <v>1</v>
      </c>
      <c r="G138" s="3">
        <v>1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>
        <v>1</v>
      </c>
    </row>
    <row r="139" spans="2:13" x14ac:dyDescent="0.4">
      <c r="B139" s="1" t="s">
        <v>190</v>
      </c>
      <c r="C139" s="3">
        <v>0.8</v>
      </c>
      <c r="D139" s="3">
        <v>0.8</v>
      </c>
      <c r="E139" s="3">
        <v>1</v>
      </c>
      <c r="F139" s="3">
        <v>1</v>
      </c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3">
        <v>1</v>
      </c>
      <c r="M139" s="3">
        <v>1</v>
      </c>
    </row>
    <row r="140" spans="2:13" x14ac:dyDescent="0.4">
      <c r="B140" s="1" t="s">
        <v>191</v>
      </c>
      <c r="C140" s="3">
        <v>1</v>
      </c>
      <c r="D140" s="3">
        <v>1</v>
      </c>
      <c r="E140" s="3">
        <v>1</v>
      </c>
      <c r="F140" s="3">
        <v>1</v>
      </c>
      <c r="G140" s="3">
        <v>1</v>
      </c>
      <c r="H140" s="3">
        <v>1</v>
      </c>
      <c r="I140" s="3">
        <v>1</v>
      </c>
      <c r="J140" s="3">
        <v>1</v>
      </c>
      <c r="K140" s="3">
        <v>1</v>
      </c>
      <c r="L140" s="3">
        <v>1</v>
      </c>
      <c r="M140" s="3">
        <v>1</v>
      </c>
    </row>
    <row r="141" spans="2:13" x14ac:dyDescent="0.4">
      <c r="B141" s="1" t="s">
        <v>192</v>
      </c>
      <c r="C141" s="3">
        <v>1</v>
      </c>
      <c r="D141" s="3">
        <v>1</v>
      </c>
      <c r="E141" s="3">
        <v>1</v>
      </c>
      <c r="F141" s="3">
        <v>1</v>
      </c>
      <c r="G141" s="3">
        <v>1</v>
      </c>
      <c r="H141" s="3">
        <v>1</v>
      </c>
      <c r="I141" s="3">
        <v>1</v>
      </c>
      <c r="J141" s="3">
        <v>1</v>
      </c>
      <c r="K141" s="3">
        <v>1</v>
      </c>
      <c r="L141" s="3">
        <v>1</v>
      </c>
      <c r="M141" s="3">
        <v>1</v>
      </c>
    </row>
    <row r="142" spans="2:13" x14ac:dyDescent="0.4">
      <c r="B142" s="1" t="s">
        <v>193</v>
      </c>
      <c r="C142" s="3">
        <v>1</v>
      </c>
      <c r="D142" s="3">
        <v>1</v>
      </c>
      <c r="E142" s="3">
        <v>1</v>
      </c>
      <c r="F142" s="3">
        <v>1</v>
      </c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3">
        <v>1</v>
      </c>
      <c r="M142" s="3">
        <v>1</v>
      </c>
    </row>
    <row r="143" spans="2:13" x14ac:dyDescent="0.4">
      <c r="B143" s="1" t="s">
        <v>194</v>
      </c>
      <c r="C143" s="3">
        <v>1</v>
      </c>
      <c r="D143" s="3">
        <v>1</v>
      </c>
      <c r="E143" s="3">
        <v>1</v>
      </c>
      <c r="F143" s="3">
        <v>1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</row>
    <row r="144" spans="2:13" x14ac:dyDescent="0.4">
      <c r="B144" s="1" t="s">
        <v>195</v>
      </c>
      <c r="C144" s="3">
        <v>1</v>
      </c>
      <c r="D144" s="3">
        <v>1</v>
      </c>
      <c r="E144" s="3">
        <v>1</v>
      </c>
      <c r="F144" s="3">
        <v>1</v>
      </c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  <c r="M144" s="3">
        <v>1</v>
      </c>
    </row>
    <row r="145" spans="2:13" x14ac:dyDescent="0.4">
      <c r="B145" s="1" t="s">
        <v>196</v>
      </c>
      <c r="C145" s="3">
        <v>1</v>
      </c>
      <c r="D145" s="3">
        <v>1</v>
      </c>
      <c r="E145" s="3">
        <v>1</v>
      </c>
      <c r="F145" s="3">
        <v>1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</row>
    <row r="146" spans="2:13" x14ac:dyDescent="0.4">
      <c r="B146" s="1" t="s">
        <v>197</v>
      </c>
      <c r="C146" s="3">
        <v>1</v>
      </c>
      <c r="D146" s="3">
        <v>1</v>
      </c>
      <c r="E146" s="3">
        <v>1</v>
      </c>
      <c r="F146" s="3">
        <v>1</v>
      </c>
      <c r="G146" s="3">
        <v>1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  <c r="M146" s="3">
        <v>1</v>
      </c>
    </row>
    <row r="147" spans="2:13" x14ac:dyDescent="0.4">
      <c r="B147" s="1" t="s">
        <v>198</v>
      </c>
      <c r="C147" s="3">
        <v>1</v>
      </c>
      <c r="D147" s="3">
        <v>1</v>
      </c>
      <c r="E147" s="3">
        <v>1</v>
      </c>
      <c r="F147" s="3">
        <v>1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>
        <v>1</v>
      </c>
    </row>
    <row r="148" spans="2:13" x14ac:dyDescent="0.4">
      <c r="B148" s="1" t="s">
        <v>199</v>
      </c>
      <c r="C148" s="3">
        <v>0.8</v>
      </c>
      <c r="D148" s="3">
        <v>0.8</v>
      </c>
      <c r="E148" s="3">
        <v>1</v>
      </c>
      <c r="F148" s="3">
        <v>1</v>
      </c>
      <c r="G148" s="3">
        <v>1</v>
      </c>
      <c r="H148" s="3">
        <v>1</v>
      </c>
      <c r="I148" s="3">
        <v>1</v>
      </c>
      <c r="J148" s="3">
        <v>1</v>
      </c>
      <c r="K148" s="3">
        <v>1</v>
      </c>
      <c r="L148" s="3">
        <v>1</v>
      </c>
      <c r="M148" s="3">
        <v>1</v>
      </c>
    </row>
    <row r="149" spans="2:13" x14ac:dyDescent="0.4">
      <c r="B149" s="1" t="s">
        <v>200</v>
      </c>
      <c r="C149" s="3">
        <v>1</v>
      </c>
      <c r="D149" s="3">
        <v>1</v>
      </c>
      <c r="E149" s="3">
        <v>1</v>
      </c>
      <c r="F149" s="3">
        <v>1</v>
      </c>
      <c r="G149" s="3">
        <v>1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</row>
    <row r="150" spans="2:13" x14ac:dyDescent="0.4">
      <c r="B150" s="1" t="s">
        <v>201</v>
      </c>
      <c r="C150" s="3">
        <v>1</v>
      </c>
      <c r="D150" s="3">
        <v>1</v>
      </c>
      <c r="E150" s="3">
        <v>1</v>
      </c>
      <c r="F150" s="3">
        <v>1</v>
      </c>
      <c r="G150" s="3">
        <v>1</v>
      </c>
      <c r="H150" s="3">
        <v>1</v>
      </c>
      <c r="I150" s="3">
        <v>1</v>
      </c>
      <c r="J150" s="3">
        <v>1</v>
      </c>
      <c r="K150" s="3">
        <v>1</v>
      </c>
      <c r="L150" s="3">
        <v>1</v>
      </c>
      <c r="M150" s="3">
        <v>1</v>
      </c>
    </row>
    <row r="151" spans="2:13" x14ac:dyDescent="0.4">
      <c r="B151" s="1" t="s">
        <v>202</v>
      </c>
      <c r="C151" s="3">
        <v>1</v>
      </c>
      <c r="D151" s="3">
        <v>1</v>
      </c>
      <c r="E151" s="3">
        <v>1</v>
      </c>
      <c r="F151" s="3">
        <v>1</v>
      </c>
      <c r="G151" s="3">
        <v>1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>
        <v>1</v>
      </c>
    </row>
    <row r="152" spans="2:13" x14ac:dyDescent="0.4">
      <c r="B152" s="1" t="s">
        <v>203</v>
      </c>
      <c r="C152" s="3">
        <v>1</v>
      </c>
      <c r="D152" s="3">
        <v>1</v>
      </c>
      <c r="E152" s="3">
        <v>1</v>
      </c>
      <c r="F152" s="3">
        <v>1</v>
      </c>
      <c r="G152" s="3">
        <v>1</v>
      </c>
      <c r="H152" s="3">
        <v>1</v>
      </c>
      <c r="I152" s="3">
        <v>1</v>
      </c>
      <c r="J152" s="3">
        <v>1</v>
      </c>
      <c r="K152" s="3">
        <v>1</v>
      </c>
      <c r="L152" s="3">
        <v>1</v>
      </c>
      <c r="M152" s="3">
        <v>1</v>
      </c>
    </row>
    <row r="153" spans="2:13" x14ac:dyDescent="0.4">
      <c r="B153" s="1" t="s">
        <v>204</v>
      </c>
      <c r="C153" s="3">
        <v>1</v>
      </c>
      <c r="D153" s="3">
        <v>1</v>
      </c>
      <c r="E153" s="3">
        <v>1</v>
      </c>
      <c r="F153" s="3">
        <v>1</v>
      </c>
      <c r="G153" s="3">
        <v>1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>
        <v>1</v>
      </c>
    </row>
    <row r="154" spans="2:13" x14ac:dyDescent="0.4">
      <c r="B154" s="4" t="s">
        <v>205</v>
      </c>
      <c r="C154" s="3">
        <v>1</v>
      </c>
      <c r="D154" s="3">
        <v>1</v>
      </c>
      <c r="E154" s="3">
        <v>1</v>
      </c>
      <c r="F154" s="3">
        <v>1</v>
      </c>
      <c r="G154" s="3">
        <v>1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>
        <v>1</v>
      </c>
    </row>
    <row r="155" spans="2:13" x14ac:dyDescent="0.4">
      <c r="B155" s="1" t="s">
        <v>206</v>
      </c>
      <c r="C155" s="3">
        <v>0.8</v>
      </c>
      <c r="D155" s="3">
        <v>0.8</v>
      </c>
      <c r="E155" s="3">
        <v>0.8</v>
      </c>
      <c r="F155" s="3">
        <v>0.8</v>
      </c>
      <c r="G155" s="3">
        <v>0.8</v>
      </c>
      <c r="H155" s="3">
        <v>0.8</v>
      </c>
      <c r="I155" s="3">
        <v>0.8</v>
      </c>
      <c r="J155" s="3">
        <v>0.8</v>
      </c>
      <c r="K155" s="3">
        <v>0.8</v>
      </c>
      <c r="L155" s="3">
        <v>0.8</v>
      </c>
      <c r="M155" s="3">
        <v>1</v>
      </c>
    </row>
    <row r="156" spans="2:13" x14ac:dyDescent="0.4">
      <c r="B156" s="1" t="s">
        <v>207</v>
      </c>
      <c r="C156" s="3">
        <v>0.8</v>
      </c>
      <c r="D156" s="3">
        <v>0.8</v>
      </c>
      <c r="E156" s="3">
        <v>0.8</v>
      </c>
      <c r="F156" s="3">
        <v>0.8</v>
      </c>
      <c r="G156" s="3">
        <v>0.8</v>
      </c>
      <c r="H156" s="3">
        <v>0.8</v>
      </c>
      <c r="I156" s="3">
        <v>0.8</v>
      </c>
      <c r="J156" s="3">
        <v>0.8</v>
      </c>
      <c r="K156" s="3">
        <v>0.8</v>
      </c>
      <c r="L156" s="3">
        <v>0.8</v>
      </c>
      <c r="M156" s="3">
        <v>1</v>
      </c>
    </row>
    <row r="157" spans="2:13" x14ac:dyDescent="0.4">
      <c r="B157" s="1" t="s">
        <v>208</v>
      </c>
      <c r="C157" s="3">
        <v>0.8</v>
      </c>
      <c r="D157" s="3">
        <v>0.8</v>
      </c>
      <c r="E157" s="3">
        <v>0.8</v>
      </c>
      <c r="F157" s="3">
        <v>0.8</v>
      </c>
      <c r="G157" s="3">
        <v>0.8</v>
      </c>
      <c r="H157" s="3">
        <v>0.8</v>
      </c>
      <c r="I157" s="3">
        <v>0.8</v>
      </c>
      <c r="J157" s="3">
        <v>0.8</v>
      </c>
      <c r="K157" s="3">
        <v>0.8</v>
      </c>
      <c r="L157" s="3">
        <v>0.8</v>
      </c>
      <c r="M157" s="3">
        <v>0.9</v>
      </c>
    </row>
    <row r="158" spans="2:13" x14ac:dyDescent="0.4">
      <c r="B158" s="1" t="s">
        <v>209</v>
      </c>
      <c r="C158" s="3">
        <v>1</v>
      </c>
      <c r="D158" s="3">
        <v>1</v>
      </c>
      <c r="E158" s="3">
        <v>1</v>
      </c>
      <c r="F158" s="3">
        <v>1</v>
      </c>
      <c r="G158" s="3">
        <v>1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  <c r="M158" s="3">
        <v>1</v>
      </c>
    </row>
    <row r="159" spans="2:13" x14ac:dyDescent="0.4">
      <c r="B159" s="1" t="s">
        <v>210</v>
      </c>
      <c r="C159" s="3">
        <v>1</v>
      </c>
      <c r="D159" s="3">
        <v>1</v>
      </c>
      <c r="E159" s="3">
        <v>1</v>
      </c>
      <c r="F159" s="3">
        <v>1</v>
      </c>
      <c r="G159" s="3">
        <v>1</v>
      </c>
      <c r="H159" s="3">
        <v>1</v>
      </c>
      <c r="I159" s="3">
        <v>1</v>
      </c>
      <c r="J159" s="3">
        <v>1</v>
      </c>
      <c r="K159" s="3">
        <v>1</v>
      </c>
      <c r="L159" s="3">
        <v>1</v>
      </c>
      <c r="M159" s="3">
        <v>1</v>
      </c>
    </row>
    <row r="160" spans="2:13" x14ac:dyDescent="0.4">
      <c r="B160" s="1" t="s">
        <v>211</v>
      </c>
      <c r="C160" s="3">
        <v>1</v>
      </c>
      <c r="D160" s="3">
        <v>1</v>
      </c>
      <c r="E160" s="3">
        <v>1</v>
      </c>
      <c r="F160" s="3">
        <v>1</v>
      </c>
      <c r="G160" s="3">
        <v>1</v>
      </c>
      <c r="H160" s="3">
        <v>1</v>
      </c>
      <c r="I160" s="3">
        <v>1</v>
      </c>
      <c r="J160" s="3">
        <v>1</v>
      </c>
      <c r="K160" s="3">
        <v>1</v>
      </c>
      <c r="L160" s="3">
        <v>1</v>
      </c>
      <c r="M160" s="3">
        <v>1</v>
      </c>
    </row>
    <row r="161" spans="2:13" x14ac:dyDescent="0.4">
      <c r="B161" s="1" t="s">
        <v>212</v>
      </c>
      <c r="C161" s="3">
        <v>1</v>
      </c>
      <c r="D161" s="3">
        <v>1</v>
      </c>
      <c r="E161" s="3">
        <v>1</v>
      </c>
      <c r="F161" s="3">
        <v>1</v>
      </c>
      <c r="G161" s="3">
        <v>1</v>
      </c>
      <c r="H161" s="3">
        <v>1</v>
      </c>
      <c r="I161" s="3">
        <v>1</v>
      </c>
      <c r="J161" s="3">
        <v>1</v>
      </c>
      <c r="K161" s="3">
        <v>1</v>
      </c>
      <c r="L161" s="3">
        <v>1</v>
      </c>
      <c r="M161" s="3">
        <v>1</v>
      </c>
    </row>
    <row r="162" spans="2:13" x14ac:dyDescent="0.4">
      <c r="B162" s="1" t="s">
        <v>213</v>
      </c>
      <c r="C162" s="3">
        <v>0.7</v>
      </c>
      <c r="D162" s="3">
        <v>0.7</v>
      </c>
      <c r="E162" s="3">
        <v>0.7</v>
      </c>
      <c r="F162" s="3">
        <v>0.7</v>
      </c>
      <c r="G162" s="3">
        <v>0.7</v>
      </c>
      <c r="H162" s="3">
        <v>0.7</v>
      </c>
      <c r="I162" s="3">
        <v>0.7</v>
      </c>
      <c r="J162" s="3">
        <v>0.7</v>
      </c>
      <c r="K162" s="3">
        <v>0.7</v>
      </c>
      <c r="L162" s="3">
        <v>0.7</v>
      </c>
      <c r="M162" s="3">
        <v>0.7</v>
      </c>
    </row>
    <row r="163" spans="2:13" x14ac:dyDescent="0.4">
      <c r="B163" s="1" t="s">
        <v>214</v>
      </c>
      <c r="C163" s="3">
        <v>0.8</v>
      </c>
      <c r="D163" s="3">
        <v>0.8</v>
      </c>
      <c r="E163" s="3">
        <v>1</v>
      </c>
      <c r="F163" s="3">
        <v>1</v>
      </c>
      <c r="G163" s="3">
        <v>1</v>
      </c>
      <c r="H163" s="3">
        <v>1</v>
      </c>
      <c r="I163" s="3">
        <v>1</v>
      </c>
      <c r="J163" s="3">
        <v>1</v>
      </c>
      <c r="K163" s="3">
        <v>1</v>
      </c>
      <c r="L163" s="3">
        <v>1</v>
      </c>
      <c r="M163" s="3">
        <v>1</v>
      </c>
    </row>
    <row r="164" spans="2:13" x14ac:dyDescent="0.4">
      <c r="B164" s="1" t="s">
        <v>215</v>
      </c>
      <c r="C164" s="3">
        <v>0.7</v>
      </c>
      <c r="D164" s="3">
        <v>0.7</v>
      </c>
      <c r="E164" s="3">
        <v>0.7</v>
      </c>
      <c r="F164" s="3">
        <v>0.7</v>
      </c>
      <c r="G164" s="3">
        <v>0.7</v>
      </c>
      <c r="H164" s="3">
        <v>0.7</v>
      </c>
      <c r="I164" s="3">
        <v>0.7</v>
      </c>
      <c r="J164" s="3">
        <v>0.7</v>
      </c>
      <c r="K164" s="3">
        <v>0.7</v>
      </c>
      <c r="L164" s="3">
        <v>0.7</v>
      </c>
      <c r="M164" s="3">
        <v>0.7</v>
      </c>
    </row>
    <row r="165" spans="2:13" x14ac:dyDescent="0.4">
      <c r="B165" s="1" t="s">
        <v>216</v>
      </c>
      <c r="C165" s="3">
        <v>0.7</v>
      </c>
      <c r="D165" s="3">
        <v>0.7</v>
      </c>
      <c r="E165" s="3">
        <v>0.7</v>
      </c>
      <c r="F165" s="3">
        <v>0.7</v>
      </c>
      <c r="G165" s="3">
        <v>0.7</v>
      </c>
      <c r="H165" s="3">
        <v>0.7</v>
      </c>
      <c r="I165" s="3">
        <v>0.7</v>
      </c>
      <c r="J165" s="3">
        <v>0.7</v>
      </c>
      <c r="K165" s="3">
        <v>0.7</v>
      </c>
      <c r="L165" s="3">
        <v>0.7</v>
      </c>
      <c r="M165" s="3">
        <v>0.7</v>
      </c>
    </row>
    <row r="166" spans="2:13" x14ac:dyDescent="0.4">
      <c r="B166" s="1" t="s">
        <v>217</v>
      </c>
      <c r="C166" s="3">
        <v>0.5</v>
      </c>
      <c r="D166" s="3">
        <v>0.5</v>
      </c>
      <c r="E166" s="3">
        <v>0.5</v>
      </c>
      <c r="F166" s="3">
        <v>0.5</v>
      </c>
      <c r="G166" s="3">
        <v>0.5</v>
      </c>
      <c r="H166" s="3">
        <v>0.5</v>
      </c>
      <c r="I166" s="3">
        <v>0.5</v>
      </c>
      <c r="J166" s="3">
        <v>0.5</v>
      </c>
      <c r="K166" s="3">
        <v>0.5</v>
      </c>
      <c r="L166" s="3">
        <v>0.5</v>
      </c>
      <c r="M166" s="3">
        <v>0.5</v>
      </c>
    </row>
    <row r="167" spans="2:13" x14ac:dyDescent="0.4">
      <c r="B167" s="1" t="s">
        <v>218</v>
      </c>
      <c r="C167" s="3">
        <v>0.8</v>
      </c>
      <c r="D167" s="3">
        <v>0.8</v>
      </c>
      <c r="E167" s="3">
        <v>0.8</v>
      </c>
      <c r="F167" s="3">
        <v>0.8</v>
      </c>
      <c r="G167" s="3">
        <v>0.8</v>
      </c>
      <c r="H167" s="3">
        <v>0.8</v>
      </c>
      <c r="I167" s="3">
        <v>0.8</v>
      </c>
      <c r="J167" s="3">
        <v>0.8</v>
      </c>
      <c r="K167" s="3">
        <v>0.8</v>
      </c>
      <c r="L167" s="3">
        <v>1</v>
      </c>
      <c r="M167" s="3">
        <v>1</v>
      </c>
    </row>
    <row r="168" spans="2:13" x14ac:dyDescent="0.4">
      <c r="B168" s="1" t="s">
        <v>219</v>
      </c>
      <c r="C168" s="3">
        <v>0.8</v>
      </c>
      <c r="D168" s="3">
        <v>0.8</v>
      </c>
      <c r="E168" s="3">
        <v>0.8</v>
      </c>
      <c r="F168" s="3">
        <v>0.8</v>
      </c>
      <c r="G168" s="3">
        <v>0.8</v>
      </c>
      <c r="H168" s="3">
        <v>0.8</v>
      </c>
      <c r="I168" s="3">
        <v>0.8</v>
      </c>
      <c r="J168" s="3">
        <v>0.8</v>
      </c>
      <c r="K168" s="3">
        <v>0.8</v>
      </c>
      <c r="L168" s="3">
        <v>1</v>
      </c>
      <c r="M168" s="3">
        <v>1</v>
      </c>
    </row>
    <row r="169" spans="2:13" x14ac:dyDescent="0.4">
      <c r="B169" s="1" t="s">
        <v>220</v>
      </c>
      <c r="C169" s="3">
        <v>1</v>
      </c>
      <c r="D169" s="3">
        <v>1</v>
      </c>
      <c r="E169" s="3">
        <v>1</v>
      </c>
      <c r="F169" s="3">
        <v>1</v>
      </c>
      <c r="G169" s="3">
        <v>1</v>
      </c>
      <c r="H169" s="3">
        <v>1</v>
      </c>
      <c r="I169" s="3">
        <v>1</v>
      </c>
      <c r="J169" s="3">
        <v>1</v>
      </c>
      <c r="K169" s="3">
        <v>1</v>
      </c>
      <c r="L169" s="3">
        <v>1</v>
      </c>
      <c r="M169" s="3">
        <v>1</v>
      </c>
    </row>
    <row r="170" spans="2:13" x14ac:dyDescent="0.4">
      <c r="B170" s="1" t="s">
        <v>221</v>
      </c>
      <c r="C170" s="3">
        <v>1</v>
      </c>
      <c r="D170" s="3">
        <v>1</v>
      </c>
      <c r="E170" s="3">
        <v>1</v>
      </c>
      <c r="F170" s="3">
        <v>1</v>
      </c>
      <c r="G170" s="3">
        <v>1</v>
      </c>
      <c r="H170" s="3">
        <v>1</v>
      </c>
      <c r="I170" s="3">
        <v>1</v>
      </c>
      <c r="J170" s="3">
        <v>1</v>
      </c>
      <c r="K170" s="3">
        <v>1</v>
      </c>
      <c r="L170" s="3">
        <v>1</v>
      </c>
      <c r="M170" s="3">
        <v>1</v>
      </c>
    </row>
    <row r="171" spans="2:13" x14ac:dyDescent="0.4">
      <c r="B171" s="1" t="s">
        <v>222</v>
      </c>
      <c r="C171" s="3">
        <v>0.8</v>
      </c>
      <c r="D171" s="3">
        <v>0.8</v>
      </c>
      <c r="E171" s="3">
        <v>0.8</v>
      </c>
      <c r="F171" s="3">
        <v>0.8</v>
      </c>
      <c r="G171" s="3">
        <v>0.8</v>
      </c>
      <c r="H171" s="3">
        <v>0.8</v>
      </c>
      <c r="I171" s="3">
        <v>0.8</v>
      </c>
      <c r="J171" s="3">
        <v>0.8</v>
      </c>
      <c r="K171" s="3">
        <v>0.8</v>
      </c>
      <c r="L171" s="3">
        <v>1</v>
      </c>
      <c r="M171" s="3">
        <v>1</v>
      </c>
    </row>
    <row r="172" spans="2:13" x14ac:dyDescent="0.4">
      <c r="B172" s="1" t="s">
        <v>223</v>
      </c>
      <c r="C172" s="3">
        <v>0.8</v>
      </c>
      <c r="D172" s="3">
        <v>0.8</v>
      </c>
      <c r="E172" s="3">
        <v>0.8</v>
      </c>
      <c r="F172" s="3">
        <v>0.8</v>
      </c>
      <c r="G172" s="3">
        <v>0.8</v>
      </c>
      <c r="H172" s="3">
        <v>0.8</v>
      </c>
      <c r="I172" s="3">
        <v>0.8</v>
      </c>
      <c r="J172" s="3">
        <v>0.8</v>
      </c>
      <c r="K172" s="3">
        <v>0.8</v>
      </c>
      <c r="L172" s="3">
        <v>1</v>
      </c>
      <c r="M172" s="3">
        <v>1</v>
      </c>
    </row>
    <row r="173" spans="2:13" x14ac:dyDescent="0.4">
      <c r="B173" s="1" t="s">
        <v>224</v>
      </c>
      <c r="C173" s="3">
        <v>1</v>
      </c>
      <c r="D173" s="3">
        <v>1</v>
      </c>
      <c r="E173" s="3">
        <v>1</v>
      </c>
      <c r="F173" s="3">
        <v>1</v>
      </c>
      <c r="G173" s="3">
        <v>1</v>
      </c>
      <c r="H173" s="3">
        <v>1</v>
      </c>
      <c r="I173" s="3">
        <v>1</v>
      </c>
      <c r="J173" s="3">
        <v>1</v>
      </c>
      <c r="K173" s="3">
        <v>1</v>
      </c>
      <c r="L173" s="3">
        <v>1</v>
      </c>
      <c r="M173" s="3">
        <v>1</v>
      </c>
    </row>
    <row r="174" spans="2:13" x14ac:dyDescent="0.4">
      <c r="B174" s="1" t="s">
        <v>225</v>
      </c>
      <c r="C174" s="3">
        <v>0.8</v>
      </c>
      <c r="D174" s="3">
        <v>0.8</v>
      </c>
      <c r="E174" s="3">
        <v>0.8</v>
      </c>
      <c r="F174" s="3">
        <v>0.8</v>
      </c>
      <c r="G174" s="3">
        <v>0.8</v>
      </c>
      <c r="H174" s="3">
        <v>0.8</v>
      </c>
      <c r="I174" s="3">
        <v>0.8</v>
      </c>
      <c r="J174" s="3">
        <v>0.8</v>
      </c>
      <c r="K174" s="3">
        <v>0.8</v>
      </c>
      <c r="L174" s="3">
        <v>1</v>
      </c>
      <c r="M174" s="3">
        <v>1</v>
      </c>
    </row>
    <row r="175" spans="2:13" x14ac:dyDescent="0.4">
      <c r="B175" s="1" t="s">
        <v>226</v>
      </c>
      <c r="C175" s="3">
        <v>1</v>
      </c>
      <c r="D175" s="3">
        <v>1</v>
      </c>
      <c r="E175" s="3">
        <v>1</v>
      </c>
      <c r="F175" s="3">
        <v>1</v>
      </c>
      <c r="G175" s="3">
        <v>1</v>
      </c>
      <c r="H175" s="3">
        <v>1</v>
      </c>
      <c r="I175" s="3">
        <v>1</v>
      </c>
      <c r="J175" s="3">
        <v>1</v>
      </c>
      <c r="K175" s="3">
        <v>1</v>
      </c>
      <c r="L175" s="3">
        <v>1</v>
      </c>
      <c r="M175" s="3">
        <v>1</v>
      </c>
    </row>
    <row r="176" spans="2:13" x14ac:dyDescent="0.4">
      <c r="B176" s="1" t="s">
        <v>227</v>
      </c>
      <c r="C176" s="3">
        <v>0.8</v>
      </c>
      <c r="D176" s="3">
        <v>0.8</v>
      </c>
      <c r="E176" s="3">
        <v>1</v>
      </c>
      <c r="F176" s="3">
        <v>1</v>
      </c>
      <c r="G176" s="3">
        <v>1</v>
      </c>
      <c r="H176" s="3">
        <v>1</v>
      </c>
      <c r="I176" s="3">
        <v>1</v>
      </c>
      <c r="J176" s="3">
        <v>1</v>
      </c>
      <c r="K176" s="3">
        <v>1</v>
      </c>
      <c r="L176" s="3">
        <v>1</v>
      </c>
      <c r="M176" s="3">
        <v>1</v>
      </c>
    </row>
    <row r="177" spans="2:13" x14ac:dyDescent="0.4">
      <c r="B177" s="1" t="s">
        <v>228</v>
      </c>
      <c r="C177" s="3">
        <v>1</v>
      </c>
      <c r="D177" s="3">
        <v>1</v>
      </c>
      <c r="E177" s="3">
        <v>1</v>
      </c>
      <c r="F177" s="3">
        <v>1</v>
      </c>
      <c r="G177" s="3">
        <v>1</v>
      </c>
      <c r="H177" s="3">
        <v>1</v>
      </c>
      <c r="I177" s="3">
        <v>1</v>
      </c>
      <c r="J177" s="3">
        <v>1</v>
      </c>
      <c r="K177" s="3">
        <v>1</v>
      </c>
      <c r="L177" s="3">
        <v>1</v>
      </c>
      <c r="M177" s="3">
        <v>1</v>
      </c>
    </row>
    <row r="178" spans="2:13" x14ac:dyDescent="0.4">
      <c r="B178" s="1" t="s">
        <v>229</v>
      </c>
      <c r="C178" s="3">
        <v>1</v>
      </c>
      <c r="D178" s="3">
        <v>1</v>
      </c>
      <c r="E178" s="3">
        <v>1</v>
      </c>
      <c r="F178" s="3">
        <v>1</v>
      </c>
      <c r="G178" s="3">
        <v>1</v>
      </c>
      <c r="H178" s="3">
        <v>1</v>
      </c>
      <c r="I178" s="3">
        <v>1</v>
      </c>
      <c r="J178" s="3">
        <v>1</v>
      </c>
      <c r="K178" s="3">
        <v>1</v>
      </c>
      <c r="L178" s="3">
        <v>1</v>
      </c>
      <c r="M178" s="3">
        <v>1</v>
      </c>
    </row>
    <row r="179" spans="2:13" x14ac:dyDescent="0.4">
      <c r="B179" s="1" t="s">
        <v>230</v>
      </c>
      <c r="C179" s="3">
        <v>1</v>
      </c>
      <c r="D179" s="3">
        <v>1</v>
      </c>
      <c r="E179" s="3">
        <v>1</v>
      </c>
      <c r="F179" s="3">
        <v>1</v>
      </c>
      <c r="G179" s="3">
        <v>1</v>
      </c>
      <c r="H179" s="3">
        <v>1</v>
      </c>
      <c r="I179" s="3">
        <v>1</v>
      </c>
      <c r="J179" s="3">
        <v>1</v>
      </c>
      <c r="K179" s="3">
        <v>1</v>
      </c>
      <c r="L179" s="3">
        <v>1</v>
      </c>
      <c r="M179" s="3">
        <v>1</v>
      </c>
    </row>
    <row r="180" spans="2:13" x14ac:dyDescent="0.4">
      <c r="B180" s="1" t="s">
        <v>231</v>
      </c>
      <c r="C180" s="3">
        <v>1</v>
      </c>
      <c r="D180" s="3">
        <v>1</v>
      </c>
      <c r="E180" s="3">
        <v>1</v>
      </c>
      <c r="F180" s="3">
        <v>1</v>
      </c>
      <c r="G180" s="3">
        <v>1</v>
      </c>
      <c r="H180" s="3">
        <v>1</v>
      </c>
      <c r="I180" s="3">
        <v>1</v>
      </c>
      <c r="J180" s="3">
        <v>1</v>
      </c>
      <c r="K180" s="3">
        <v>1</v>
      </c>
      <c r="L180" s="3">
        <v>1</v>
      </c>
      <c r="M180" s="3">
        <v>1</v>
      </c>
    </row>
    <row r="181" spans="2:13" x14ac:dyDescent="0.4">
      <c r="B181" s="1" t="s">
        <v>232</v>
      </c>
      <c r="C181" s="3">
        <v>1</v>
      </c>
      <c r="D181" s="3">
        <v>1</v>
      </c>
      <c r="E181" s="3">
        <v>1</v>
      </c>
      <c r="F181" s="3">
        <v>1</v>
      </c>
      <c r="G181" s="3">
        <v>1</v>
      </c>
      <c r="H181" s="3">
        <v>1</v>
      </c>
      <c r="I181" s="3">
        <v>1</v>
      </c>
      <c r="J181" s="3">
        <v>1</v>
      </c>
      <c r="K181" s="3">
        <v>1</v>
      </c>
      <c r="L181" s="3">
        <v>1</v>
      </c>
      <c r="M181" s="3">
        <v>1</v>
      </c>
    </row>
    <row r="182" spans="2:13" x14ac:dyDescent="0.4">
      <c r="B182" s="1" t="s">
        <v>233</v>
      </c>
      <c r="C182" s="3">
        <v>1</v>
      </c>
      <c r="D182" s="3">
        <v>1</v>
      </c>
      <c r="E182" s="3">
        <v>1</v>
      </c>
      <c r="F182" s="3">
        <v>1</v>
      </c>
      <c r="G182" s="3">
        <v>1</v>
      </c>
      <c r="H182" s="3">
        <v>1</v>
      </c>
      <c r="I182" s="3">
        <v>1</v>
      </c>
      <c r="J182" s="3">
        <v>1</v>
      </c>
      <c r="K182" s="3">
        <v>1</v>
      </c>
      <c r="L182" s="3">
        <v>1</v>
      </c>
      <c r="M182" s="3">
        <v>1</v>
      </c>
    </row>
    <row r="183" spans="2:13" x14ac:dyDescent="0.4">
      <c r="B183" s="1" t="s">
        <v>234</v>
      </c>
      <c r="C183" s="3">
        <v>1</v>
      </c>
      <c r="D183" s="3">
        <v>1</v>
      </c>
      <c r="E183" s="3">
        <v>1</v>
      </c>
      <c r="F183" s="3">
        <v>1</v>
      </c>
      <c r="G183" s="3">
        <v>1</v>
      </c>
      <c r="H183" s="3">
        <v>1</v>
      </c>
      <c r="I183" s="3">
        <v>1</v>
      </c>
      <c r="J183" s="3">
        <v>1</v>
      </c>
      <c r="K183" s="3">
        <v>1</v>
      </c>
      <c r="L183" s="3">
        <v>1</v>
      </c>
      <c r="M183" s="3">
        <v>1</v>
      </c>
    </row>
    <row r="184" spans="2:13" x14ac:dyDescent="0.4">
      <c r="B184" s="1" t="s">
        <v>235</v>
      </c>
      <c r="C184" s="3">
        <v>1</v>
      </c>
      <c r="D184" s="3">
        <v>1</v>
      </c>
      <c r="E184" s="3">
        <v>1</v>
      </c>
      <c r="F184" s="3">
        <v>1</v>
      </c>
      <c r="G184" s="3">
        <v>1</v>
      </c>
      <c r="H184" s="3">
        <v>1</v>
      </c>
      <c r="I184" s="3">
        <v>1</v>
      </c>
      <c r="J184" s="3">
        <v>1</v>
      </c>
      <c r="K184" s="3">
        <v>1</v>
      </c>
      <c r="L184" s="3">
        <v>1</v>
      </c>
      <c r="M184" s="3">
        <v>1</v>
      </c>
    </row>
    <row r="185" spans="2:13" x14ac:dyDescent="0.4">
      <c r="B185" s="1" t="s">
        <v>236</v>
      </c>
      <c r="C185" s="3">
        <v>1</v>
      </c>
      <c r="D185" s="3">
        <v>1</v>
      </c>
      <c r="E185" s="3">
        <v>1</v>
      </c>
      <c r="F185" s="3">
        <v>1</v>
      </c>
      <c r="G185" s="3">
        <v>1</v>
      </c>
      <c r="H185" s="3">
        <v>1</v>
      </c>
      <c r="I185" s="3">
        <v>1</v>
      </c>
      <c r="J185" s="3">
        <v>1</v>
      </c>
      <c r="K185" s="3">
        <v>1</v>
      </c>
      <c r="L185" s="3">
        <v>1</v>
      </c>
      <c r="M185" s="3">
        <v>1</v>
      </c>
    </row>
    <row r="186" spans="2:13" x14ac:dyDescent="0.4">
      <c r="B186" s="1" t="s">
        <v>237</v>
      </c>
      <c r="C186" s="3">
        <v>1</v>
      </c>
      <c r="D186" s="3">
        <v>1</v>
      </c>
      <c r="E186" s="3">
        <v>1</v>
      </c>
      <c r="F186" s="3">
        <v>1</v>
      </c>
      <c r="G186" s="3">
        <v>1</v>
      </c>
      <c r="H186" s="3">
        <v>1</v>
      </c>
      <c r="I186" s="3">
        <v>1</v>
      </c>
      <c r="J186" s="3">
        <v>1</v>
      </c>
      <c r="K186" s="3">
        <v>1</v>
      </c>
      <c r="L186" s="3">
        <v>1</v>
      </c>
      <c r="M186" s="3">
        <v>1</v>
      </c>
    </row>
    <row r="187" spans="2:13" x14ac:dyDescent="0.4">
      <c r="B187" s="1" t="s">
        <v>238</v>
      </c>
      <c r="C187" s="3">
        <v>0.8</v>
      </c>
      <c r="D187" s="3">
        <v>0.8</v>
      </c>
      <c r="E187" s="3">
        <v>0.8</v>
      </c>
      <c r="F187" s="3">
        <v>0.8</v>
      </c>
      <c r="G187" s="3">
        <v>0.8</v>
      </c>
      <c r="H187" s="3">
        <v>0.8</v>
      </c>
      <c r="I187" s="3">
        <v>0.8</v>
      </c>
      <c r="J187" s="3">
        <v>0.8</v>
      </c>
      <c r="K187" s="3">
        <v>0.8</v>
      </c>
      <c r="L187" s="3">
        <v>1</v>
      </c>
      <c r="M187" s="3">
        <v>1</v>
      </c>
    </row>
    <row r="188" spans="2:13" x14ac:dyDescent="0.4">
      <c r="B188" s="1" t="s">
        <v>239</v>
      </c>
      <c r="C188" s="3">
        <v>0.8</v>
      </c>
      <c r="D188" s="3">
        <v>0.8</v>
      </c>
      <c r="E188" s="3">
        <v>0.8</v>
      </c>
      <c r="F188" s="3">
        <v>0.8</v>
      </c>
      <c r="G188" s="3">
        <v>0.8</v>
      </c>
      <c r="H188" s="3">
        <v>0.8</v>
      </c>
      <c r="I188" s="3">
        <v>0.9</v>
      </c>
      <c r="J188" s="3">
        <v>0.9</v>
      </c>
      <c r="K188" s="3">
        <v>0.9</v>
      </c>
      <c r="L188" s="3">
        <v>1</v>
      </c>
      <c r="M188" s="3">
        <v>1</v>
      </c>
    </row>
    <row r="189" spans="2:13" x14ac:dyDescent="0.4">
      <c r="B189" s="1" t="s">
        <v>240</v>
      </c>
      <c r="C189" s="3">
        <v>0.8</v>
      </c>
      <c r="D189" s="3">
        <v>0.8</v>
      </c>
      <c r="E189" s="3">
        <v>0.8</v>
      </c>
      <c r="F189" s="3">
        <v>0.8</v>
      </c>
      <c r="G189" s="3">
        <v>0.8</v>
      </c>
      <c r="H189" s="3">
        <v>0.8</v>
      </c>
      <c r="I189" s="3">
        <v>0.9</v>
      </c>
      <c r="J189" s="3">
        <v>0.9</v>
      </c>
      <c r="K189" s="3">
        <v>0.9</v>
      </c>
      <c r="L189" s="3">
        <v>1</v>
      </c>
      <c r="M189" s="3">
        <v>1</v>
      </c>
    </row>
    <row r="190" spans="2:13" x14ac:dyDescent="0.4">
      <c r="B190" s="1" t="s">
        <v>241</v>
      </c>
      <c r="C190" s="3">
        <v>0.8</v>
      </c>
      <c r="D190" s="3">
        <v>0.8</v>
      </c>
      <c r="E190" s="3">
        <v>0.8</v>
      </c>
      <c r="F190" s="3">
        <v>0.8</v>
      </c>
      <c r="G190" s="3">
        <v>0.8</v>
      </c>
      <c r="H190" s="3">
        <v>0.8</v>
      </c>
      <c r="I190" s="3">
        <v>0.8</v>
      </c>
      <c r="J190" s="3">
        <v>0.8</v>
      </c>
      <c r="K190" s="3">
        <v>0.8</v>
      </c>
      <c r="L190" s="3">
        <v>1</v>
      </c>
      <c r="M190" s="3">
        <v>1</v>
      </c>
    </row>
    <row r="191" spans="2:13" x14ac:dyDescent="0.4">
      <c r="B191" s="1" t="s">
        <v>242</v>
      </c>
      <c r="C191" s="3">
        <v>0.8</v>
      </c>
      <c r="D191" s="3">
        <v>0.8</v>
      </c>
      <c r="E191" s="3">
        <v>0.8</v>
      </c>
      <c r="F191" s="3">
        <v>0.8</v>
      </c>
      <c r="G191" s="3">
        <v>0.8</v>
      </c>
      <c r="H191" s="3">
        <v>0.8</v>
      </c>
      <c r="I191" s="3">
        <v>0.8</v>
      </c>
      <c r="J191" s="3">
        <v>0.8</v>
      </c>
      <c r="K191" s="3">
        <v>0.8</v>
      </c>
      <c r="L191" s="3">
        <v>1</v>
      </c>
      <c r="M191" s="3">
        <v>1</v>
      </c>
    </row>
    <row r="192" spans="2:13" x14ac:dyDescent="0.4">
      <c r="B192" s="1" t="s">
        <v>243</v>
      </c>
      <c r="C192" s="3">
        <v>0.8</v>
      </c>
      <c r="D192" s="3">
        <v>0.8</v>
      </c>
      <c r="E192" s="3">
        <v>0.8</v>
      </c>
      <c r="F192" s="3">
        <v>0.8</v>
      </c>
      <c r="G192" s="3">
        <v>0.8</v>
      </c>
      <c r="H192" s="3">
        <v>0.8</v>
      </c>
      <c r="I192" s="3">
        <v>0.8</v>
      </c>
      <c r="J192" s="3">
        <v>0.8</v>
      </c>
      <c r="K192" s="3">
        <v>0.8</v>
      </c>
      <c r="L192" s="3">
        <v>0.8</v>
      </c>
      <c r="M192" s="3">
        <v>1</v>
      </c>
    </row>
    <row r="193" spans="2:13" x14ac:dyDescent="0.4">
      <c r="B193" s="1" t="s">
        <v>244</v>
      </c>
      <c r="C193" s="3">
        <v>0.8</v>
      </c>
      <c r="D193" s="3">
        <v>0.8</v>
      </c>
      <c r="E193" s="3">
        <v>0.8</v>
      </c>
      <c r="F193" s="3">
        <v>0.8</v>
      </c>
      <c r="G193" s="3">
        <v>0.8</v>
      </c>
      <c r="H193" s="3">
        <v>0.8</v>
      </c>
      <c r="I193" s="3">
        <v>0.8</v>
      </c>
      <c r="J193" s="3">
        <v>0.8</v>
      </c>
      <c r="K193" s="3">
        <v>0.8</v>
      </c>
      <c r="L193" s="3">
        <v>1</v>
      </c>
      <c r="M193" s="3">
        <v>1</v>
      </c>
    </row>
    <row r="194" spans="2:13" x14ac:dyDescent="0.4">
      <c r="B194" s="1" t="s">
        <v>245</v>
      </c>
      <c r="C194" s="3">
        <v>1</v>
      </c>
      <c r="D194" s="3">
        <v>1</v>
      </c>
      <c r="E194" s="3">
        <v>1</v>
      </c>
      <c r="F194" s="3">
        <v>1</v>
      </c>
      <c r="G194" s="3">
        <v>1</v>
      </c>
      <c r="H194" s="3">
        <v>1</v>
      </c>
      <c r="I194" s="3">
        <v>1</v>
      </c>
      <c r="J194" s="3">
        <v>1</v>
      </c>
      <c r="K194" s="3">
        <v>1</v>
      </c>
      <c r="L194" s="3">
        <v>1</v>
      </c>
      <c r="M194" s="3">
        <v>1</v>
      </c>
    </row>
    <row r="195" spans="2:13" x14ac:dyDescent="0.4">
      <c r="B195" s="1" t="s">
        <v>246</v>
      </c>
      <c r="C195" s="3">
        <v>0.8</v>
      </c>
      <c r="D195" s="3">
        <v>0.8</v>
      </c>
      <c r="E195" s="3">
        <v>0.8</v>
      </c>
      <c r="F195" s="3">
        <v>0.8</v>
      </c>
      <c r="G195" s="3">
        <v>0.8</v>
      </c>
      <c r="H195" s="3">
        <v>0.8</v>
      </c>
      <c r="I195" s="3">
        <v>0.8</v>
      </c>
      <c r="J195" s="3">
        <v>0.8</v>
      </c>
      <c r="K195" s="3">
        <v>0.8</v>
      </c>
      <c r="L195" s="3">
        <v>0.8</v>
      </c>
      <c r="M195" s="3">
        <v>0.8</v>
      </c>
    </row>
    <row r="196" spans="2:13" x14ac:dyDescent="0.4">
      <c r="B196" s="1" t="s">
        <v>247</v>
      </c>
      <c r="C196" s="3">
        <v>0.8</v>
      </c>
      <c r="D196" s="3">
        <v>0.8</v>
      </c>
      <c r="E196" s="3">
        <v>0.8</v>
      </c>
      <c r="F196" s="3">
        <v>0.8</v>
      </c>
      <c r="G196" s="3">
        <v>0.8</v>
      </c>
      <c r="H196" s="3">
        <v>0.8</v>
      </c>
      <c r="I196" s="3">
        <v>0.8</v>
      </c>
      <c r="J196" s="3">
        <v>0.8</v>
      </c>
      <c r="K196" s="3">
        <v>0.8</v>
      </c>
      <c r="L196" s="3">
        <v>0.8</v>
      </c>
      <c r="M196" s="3">
        <v>0.8</v>
      </c>
    </row>
    <row r="197" spans="2:13" x14ac:dyDescent="0.4">
      <c r="B197" s="1" t="s">
        <v>248</v>
      </c>
      <c r="C197" s="3">
        <v>1</v>
      </c>
      <c r="D197" s="3">
        <v>1</v>
      </c>
      <c r="E197" s="3">
        <v>1</v>
      </c>
      <c r="F197" s="3">
        <v>1</v>
      </c>
      <c r="G197" s="3">
        <v>1</v>
      </c>
      <c r="H197" s="3">
        <v>1</v>
      </c>
      <c r="I197" s="3">
        <v>1</v>
      </c>
      <c r="J197" s="3">
        <v>1</v>
      </c>
      <c r="K197" s="3">
        <v>1</v>
      </c>
      <c r="L197" s="3">
        <v>1</v>
      </c>
      <c r="M197" s="3">
        <v>1</v>
      </c>
    </row>
    <row r="198" spans="2:13" x14ac:dyDescent="0.4">
      <c r="B198" s="1" t="s">
        <v>249</v>
      </c>
      <c r="C198" s="3">
        <v>1</v>
      </c>
      <c r="D198" s="3">
        <v>1</v>
      </c>
      <c r="E198" s="3">
        <v>1</v>
      </c>
      <c r="F198" s="3">
        <v>1</v>
      </c>
      <c r="G198" s="3">
        <v>1</v>
      </c>
      <c r="H198" s="3">
        <v>1</v>
      </c>
      <c r="I198" s="3">
        <v>1</v>
      </c>
      <c r="J198" s="3">
        <v>1</v>
      </c>
      <c r="K198" s="3">
        <v>1</v>
      </c>
      <c r="L198" s="3">
        <v>1</v>
      </c>
      <c r="M198" s="3">
        <v>1</v>
      </c>
    </row>
    <row r="199" spans="2:13" x14ac:dyDescent="0.4">
      <c r="B199" s="1" t="s">
        <v>250</v>
      </c>
      <c r="C199" s="3">
        <v>1</v>
      </c>
      <c r="D199" s="3">
        <v>1</v>
      </c>
      <c r="E199" s="3">
        <v>1</v>
      </c>
      <c r="F199" s="3">
        <v>1</v>
      </c>
      <c r="G199" s="3">
        <v>1</v>
      </c>
      <c r="H199" s="3">
        <v>1</v>
      </c>
      <c r="I199" s="3">
        <v>1</v>
      </c>
      <c r="J199" s="3">
        <v>1</v>
      </c>
      <c r="K199" s="3">
        <v>1</v>
      </c>
      <c r="L199" s="3">
        <v>1</v>
      </c>
      <c r="M199" s="3">
        <v>1</v>
      </c>
    </row>
    <row r="200" spans="2:13" x14ac:dyDescent="0.4">
      <c r="B200" s="1" t="s">
        <v>251</v>
      </c>
      <c r="C200" s="3">
        <v>1</v>
      </c>
      <c r="D200" s="3">
        <v>1</v>
      </c>
      <c r="E200" s="3">
        <v>1</v>
      </c>
      <c r="F200" s="3">
        <v>1</v>
      </c>
      <c r="G200" s="3">
        <v>1</v>
      </c>
      <c r="H200" s="3">
        <v>1</v>
      </c>
      <c r="I200" s="3">
        <v>1</v>
      </c>
      <c r="J200" s="3">
        <v>1</v>
      </c>
      <c r="K200" s="3">
        <v>1</v>
      </c>
      <c r="L200" s="3">
        <v>1</v>
      </c>
      <c r="M200" s="3">
        <v>1</v>
      </c>
    </row>
    <row r="201" spans="2:13" x14ac:dyDescent="0.4">
      <c r="B201" s="1" t="s">
        <v>252</v>
      </c>
      <c r="C201" s="3">
        <v>1</v>
      </c>
      <c r="D201" s="3">
        <v>1</v>
      </c>
      <c r="E201" s="3">
        <v>1</v>
      </c>
      <c r="F201" s="3">
        <v>1</v>
      </c>
      <c r="G201" s="3">
        <v>1</v>
      </c>
      <c r="H201" s="3">
        <v>1</v>
      </c>
      <c r="I201" s="3">
        <v>1</v>
      </c>
      <c r="J201" s="3">
        <v>1</v>
      </c>
      <c r="K201" s="3">
        <v>1</v>
      </c>
      <c r="L201" s="3">
        <v>1</v>
      </c>
      <c r="M201" s="3">
        <v>1</v>
      </c>
    </row>
    <row r="202" spans="2:13" x14ac:dyDescent="0.4">
      <c r="B202" s="1" t="s">
        <v>253</v>
      </c>
      <c r="C202" s="3">
        <v>0.8</v>
      </c>
      <c r="D202" s="3">
        <v>0.8</v>
      </c>
      <c r="E202" s="3">
        <v>0.8</v>
      </c>
      <c r="F202" s="3">
        <v>0.8</v>
      </c>
      <c r="G202" s="3">
        <v>0.8</v>
      </c>
      <c r="H202" s="3">
        <v>0.8</v>
      </c>
      <c r="I202" s="3">
        <v>0.8</v>
      </c>
      <c r="J202" s="3">
        <v>0.8</v>
      </c>
      <c r="K202" s="3">
        <v>0.8</v>
      </c>
      <c r="L202" s="3">
        <v>1</v>
      </c>
      <c r="M202" s="3">
        <v>1</v>
      </c>
    </row>
    <row r="203" spans="2:13" x14ac:dyDescent="0.4">
      <c r="B203" s="1" t="s">
        <v>254</v>
      </c>
      <c r="C203" s="3">
        <v>1</v>
      </c>
      <c r="D203" s="3">
        <v>1</v>
      </c>
      <c r="E203" s="3">
        <v>1</v>
      </c>
      <c r="F203" s="3">
        <v>1</v>
      </c>
      <c r="G203" s="3">
        <v>1</v>
      </c>
      <c r="H203" s="3">
        <v>1</v>
      </c>
      <c r="I203" s="3">
        <v>1</v>
      </c>
      <c r="J203" s="3">
        <v>1</v>
      </c>
      <c r="K203" s="3">
        <v>1</v>
      </c>
      <c r="L203" s="3">
        <v>1</v>
      </c>
      <c r="M203" s="3">
        <v>1</v>
      </c>
    </row>
    <row r="204" spans="2:13" x14ac:dyDescent="0.4">
      <c r="B204" s="1" t="s">
        <v>255</v>
      </c>
      <c r="C204" s="3">
        <v>0.8</v>
      </c>
      <c r="D204" s="3">
        <v>0.8</v>
      </c>
      <c r="E204" s="3">
        <v>0.8</v>
      </c>
      <c r="F204" s="3">
        <v>0.8</v>
      </c>
      <c r="G204" s="3">
        <v>0.8</v>
      </c>
      <c r="H204" s="3">
        <v>0.8</v>
      </c>
      <c r="I204" s="3">
        <v>0.8</v>
      </c>
      <c r="J204" s="3">
        <v>0.8</v>
      </c>
      <c r="K204" s="3">
        <v>0.8</v>
      </c>
      <c r="L204" s="3">
        <v>1</v>
      </c>
      <c r="M204" s="3">
        <v>1</v>
      </c>
    </row>
    <row r="205" spans="2:13" x14ac:dyDescent="0.4">
      <c r="B205" s="1" t="s">
        <v>256</v>
      </c>
      <c r="C205" s="3">
        <v>0.8</v>
      </c>
      <c r="D205" s="3">
        <v>0.8</v>
      </c>
      <c r="E205" s="3">
        <v>0.8</v>
      </c>
      <c r="F205" s="3">
        <v>0.8</v>
      </c>
      <c r="G205" s="3">
        <v>0.8</v>
      </c>
      <c r="H205" s="3">
        <v>0.8</v>
      </c>
      <c r="I205" s="3">
        <v>0.8</v>
      </c>
      <c r="J205" s="3">
        <v>0.8</v>
      </c>
      <c r="K205" s="3">
        <v>0.8</v>
      </c>
      <c r="L205" s="3">
        <v>1</v>
      </c>
      <c r="M205" s="3">
        <v>1</v>
      </c>
    </row>
    <row r="206" spans="2:13" x14ac:dyDescent="0.4">
      <c r="B206" s="1" t="s">
        <v>257</v>
      </c>
      <c r="C206" s="3">
        <v>1</v>
      </c>
      <c r="D206" s="3">
        <v>1</v>
      </c>
      <c r="E206" s="3">
        <v>1</v>
      </c>
      <c r="F206" s="3">
        <v>1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  <c r="M206" s="3">
        <v>1</v>
      </c>
    </row>
    <row r="207" spans="2:13" x14ac:dyDescent="0.4">
      <c r="B207" s="1" t="s">
        <v>258</v>
      </c>
      <c r="C207" s="3">
        <v>1</v>
      </c>
      <c r="D207" s="3">
        <v>1</v>
      </c>
      <c r="E207" s="3">
        <v>1</v>
      </c>
      <c r="F207" s="3">
        <v>1</v>
      </c>
      <c r="G207" s="3">
        <v>1</v>
      </c>
      <c r="H207" s="3">
        <v>1</v>
      </c>
      <c r="I207" s="3">
        <v>1</v>
      </c>
      <c r="J207" s="3">
        <v>1</v>
      </c>
      <c r="K207" s="3">
        <v>1</v>
      </c>
      <c r="L207" s="3">
        <v>1</v>
      </c>
      <c r="M207" s="3">
        <v>1</v>
      </c>
    </row>
    <row r="208" spans="2:13" x14ac:dyDescent="0.4">
      <c r="B208" s="1" t="s">
        <v>259</v>
      </c>
      <c r="C208" s="3">
        <v>1</v>
      </c>
      <c r="D208" s="3">
        <v>1</v>
      </c>
      <c r="E208" s="3">
        <v>1</v>
      </c>
      <c r="F208" s="3">
        <v>1</v>
      </c>
      <c r="G208" s="3">
        <v>1</v>
      </c>
      <c r="H208" s="3">
        <v>1</v>
      </c>
      <c r="I208" s="3">
        <v>1</v>
      </c>
      <c r="J208" s="3">
        <v>1</v>
      </c>
      <c r="K208" s="3">
        <v>1</v>
      </c>
      <c r="L208" s="3">
        <v>1</v>
      </c>
      <c r="M208" s="3">
        <v>1</v>
      </c>
    </row>
    <row r="209" spans="2:13" x14ac:dyDescent="0.4">
      <c r="B209" s="1" t="s">
        <v>260</v>
      </c>
      <c r="C209" s="3">
        <v>1</v>
      </c>
      <c r="D209" s="3">
        <v>1</v>
      </c>
      <c r="E209" s="3">
        <v>1</v>
      </c>
      <c r="F209" s="3">
        <v>1</v>
      </c>
      <c r="G209" s="3">
        <v>1</v>
      </c>
      <c r="H209" s="3">
        <v>1</v>
      </c>
      <c r="I209" s="3">
        <v>1</v>
      </c>
      <c r="J209" s="3">
        <v>1</v>
      </c>
      <c r="K209" s="3">
        <v>1</v>
      </c>
      <c r="L209" s="3">
        <v>1</v>
      </c>
      <c r="M209" s="3">
        <v>1</v>
      </c>
    </row>
    <row r="210" spans="2:13" x14ac:dyDescent="0.4">
      <c r="B210" s="1" t="s">
        <v>261</v>
      </c>
      <c r="C210" s="3">
        <v>1</v>
      </c>
      <c r="D210" s="3">
        <v>1</v>
      </c>
      <c r="E210" s="3">
        <v>1</v>
      </c>
      <c r="F210" s="3">
        <v>1</v>
      </c>
      <c r="G210" s="3">
        <v>1</v>
      </c>
      <c r="H210" s="3">
        <v>1</v>
      </c>
      <c r="I210" s="3">
        <v>1</v>
      </c>
      <c r="J210" s="3">
        <v>1</v>
      </c>
      <c r="K210" s="3">
        <v>1</v>
      </c>
      <c r="L210" s="3">
        <v>1</v>
      </c>
      <c r="M210" s="3">
        <v>1</v>
      </c>
    </row>
    <row r="211" spans="2:13" x14ac:dyDescent="0.4">
      <c r="B211" s="1" t="s">
        <v>262</v>
      </c>
      <c r="C211" s="3">
        <v>0.8</v>
      </c>
      <c r="D211" s="3">
        <v>0.8</v>
      </c>
      <c r="E211" s="3">
        <v>0.8</v>
      </c>
      <c r="F211" s="3">
        <v>0.8</v>
      </c>
      <c r="G211" s="3">
        <v>0.8</v>
      </c>
      <c r="H211" s="3">
        <v>0.8</v>
      </c>
      <c r="I211" s="3">
        <v>0.8</v>
      </c>
      <c r="J211" s="3">
        <v>0.8</v>
      </c>
      <c r="K211" s="3">
        <v>0.8</v>
      </c>
      <c r="L211" s="3">
        <v>0.8</v>
      </c>
      <c r="M211" s="3">
        <v>1</v>
      </c>
    </row>
    <row r="212" spans="2:13" x14ac:dyDescent="0.4">
      <c r="B212" s="1" t="s">
        <v>263</v>
      </c>
      <c r="C212" s="3">
        <v>0.8</v>
      </c>
      <c r="D212" s="3">
        <v>0.8</v>
      </c>
      <c r="E212" s="3">
        <v>0.8</v>
      </c>
      <c r="F212" s="3">
        <v>0.8</v>
      </c>
      <c r="G212" s="3">
        <v>0.8</v>
      </c>
      <c r="H212" s="3">
        <v>0.8</v>
      </c>
      <c r="I212" s="3">
        <v>0.8</v>
      </c>
      <c r="J212" s="3">
        <v>0.8</v>
      </c>
      <c r="K212" s="3">
        <v>0.8</v>
      </c>
      <c r="L212" s="3">
        <v>1</v>
      </c>
      <c r="M212" s="3">
        <v>1</v>
      </c>
    </row>
    <row r="213" spans="2:13" x14ac:dyDescent="0.4">
      <c r="B213" s="1" t="s">
        <v>264</v>
      </c>
      <c r="C213" s="3">
        <v>1</v>
      </c>
      <c r="D213" s="3">
        <v>1</v>
      </c>
      <c r="E213" s="3">
        <v>1</v>
      </c>
      <c r="F213" s="3">
        <v>1</v>
      </c>
      <c r="G213" s="3">
        <v>1</v>
      </c>
      <c r="H213" s="3">
        <v>1</v>
      </c>
      <c r="I213" s="3">
        <v>1</v>
      </c>
      <c r="J213" s="3">
        <v>1</v>
      </c>
      <c r="K213" s="3">
        <v>1</v>
      </c>
      <c r="L213" s="3">
        <v>1</v>
      </c>
      <c r="M213" s="3">
        <v>1</v>
      </c>
    </row>
    <row r="214" spans="2:13" x14ac:dyDescent="0.4">
      <c r="B214" s="1" t="s">
        <v>265</v>
      </c>
      <c r="C214" s="3">
        <v>1</v>
      </c>
      <c r="D214" s="3">
        <v>1</v>
      </c>
      <c r="E214" s="3">
        <v>1</v>
      </c>
      <c r="F214" s="3">
        <v>1</v>
      </c>
      <c r="G214" s="3">
        <v>1</v>
      </c>
      <c r="H214" s="3">
        <v>1</v>
      </c>
      <c r="I214" s="3">
        <v>1</v>
      </c>
      <c r="J214" s="3">
        <v>1</v>
      </c>
      <c r="K214" s="3">
        <v>1</v>
      </c>
      <c r="L214" s="3">
        <v>1</v>
      </c>
      <c r="M214" s="3">
        <v>1</v>
      </c>
    </row>
    <row r="215" spans="2:13" x14ac:dyDescent="0.4">
      <c r="B215" s="1" t="s">
        <v>266</v>
      </c>
      <c r="C215" s="3"/>
      <c r="D215" s="3"/>
      <c r="E215" s="3"/>
      <c r="F215" s="3"/>
      <c r="G215" s="3"/>
      <c r="H215" s="3"/>
      <c r="I215" s="3">
        <v>1</v>
      </c>
      <c r="J215" s="3">
        <v>1</v>
      </c>
      <c r="K215" s="3">
        <v>1</v>
      </c>
      <c r="L215" s="3">
        <v>1</v>
      </c>
      <c r="M215" s="3">
        <v>1</v>
      </c>
    </row>
    <row r="216" spans="2:13" x14ac:dyDescent="0.4">
      <c r="B216" s="1" t="s">
        <v>267</v>
      </c>
      <c r="C216" s="3"/>
      <c r="D216" s="3"/>
      <c r="E216" s="3"/>
      <c r="F216" s="3"/>
      <c r="G216" s="3"/>
      <c r="H216" s="3"/>
      <c r="I216" s="3">
        <v>1</v>
      </c>
      <c r="J216" s="3">
        <v>1</v>
      </c>
      <c r="K216" s="3">
        <v>1</v>
      </c>
      <c r="L216" s="3">
        <v>1</v>
      </c>
      <c r="M216" s="3">
        <v>1</v>
      </c>
    </row>
    <row r="217" spans="2:13" x14ac:dyDescent="0.4">
      <c r="B217" s="1" t="s">
        <v>268</v>
      </c>
      <c r="C217" s="3"/>
      <c r="D217" s="3"/>
      <c r="E217" s="3"/>
      <c r="F217" s="3"/>
      <c r="G217" s="3"/>
      <c r="H217" s="3"/>
      <c r="I217" s="3">
        <v>1</v>
      </c>
      <c r="J217" s="3">
        <v>1</v>
      </c>
      <c r="K217" s="3">
        <v>1</v>
      </c>
      <c r="L217" s="3">
        <v>1</v>
      </c>
      <c r="M217" s="3">
        <v>1</v>
      </c>
    </row>
    <row r="218" spans="2:13" x14ac:dyDescent="0.4">
      <c r="B218" s="1" t="s">
        <v>269</v>
      </c>
      <c r="C218" s="3"/>
      <c r="D218" s="3"/>
      <c r="E218" s="3"/>
      <c r="F218" s="3"/>
      <c r="G218" s="3"/>
      <c r="H218" s="3"/>
      <c r="I218" s="3">
        <v>1</v>
      </c>
      <c r="J218" s="3">
        <v>1</v>
      </c>
      <c r="K218" s="3">
        <v>1</v>
      </c>
      <c r="L218" s="3">
        <v>1</v>
      </c>
      <c r="M218" s="3">
        <v>1</v>
      </c>
    </row>
    <row r="219" spans="2:13" x14ac:dyDescent="0.4">
      <c r="B219" s="1" t="s">
        <v>270</v>
      </c>
      <c r="C219" s="3"/>
      <c r="D219" s="3"/>
      <c r="E219" s="3"/>
      <c r="F219" s="3"/>
      <c r="G219" s="3"/>
      <c r="H219" s="3"/>
      <c r="I219" s="3"/>
      <c r="J219" s="3"/>
      <c r="K219" s="3">
        <v>1</v>
      </c>
      <c r="L219" s="3">
        <v>1</v>
      </c>
      <c r="M219" s="3">
        <v>1</v>
      </c>
    </row>
    <row r="220" spans="2:13" x14ac:dyDescent="0.4">
      <c r="B220" s="1" t="s">
        <v>271</v>
      </c>
      <c r="C220" s="3"/>
      <c r="D220" s="3"/>
      <c r="E220" s="3"/>
      <c r="F220" s="3"/>
      <c r="G220" s="3"/>
      <c r="H220" s="3"/>
      <c r="I220" s="3"/>
      <c r="J220" s="3"/>
      <c r="K220" s="3">
        <v>1</v>
      </c>
      <c r="L220" s="3">
        <v>1</v>
      </c>
      <c r="M220" s="3">
        <v>1</v>
      </c>
    </row>
    <row r="221" spans="2:13" x14ac:dyDescent="0.4">
      <c r="B221" s="1" t="s">
        <v>272</v>
      </c>
      <c r="C221" s="3"/>
      <c r="D221" s="3"/>
      <c r="E221" s="3"/>
      <c r="F221" s="3"/>
      <c r="G221" s="3"/>
      <c r="H221" s="3"/>
      <c r="I221" s="3"/>
      <c r="J221" s="3"/>
      <c r="K221" s="3">
        <v>1</v>
      </c>
      <c r="L221" s="3">
        <v>1</v>
      </c>
      <c r="M221" s="3">
        <v>1</v>
      </c>
    </row>
    <row r="222" spans="2:13" x14ac:dyDescent="0.4">
      <c r="B222" s="1" t="s">
        <v>273</v>
      </c>
      <c r="C222" s="3"/>
      <c r="D222" s="3"/>
      <c r="E222" s="3"/>
      <c r="F222" s="3"/>
      <c r="G222" s="3"/>
      <c r="H222" s="3"/>
      <c r="I222" s="3"/>
      <c r="J222" s="3"/>
      <c r="K222" s="3">
        <v>1</v>
      </c>
      <c r="L222" s="3">
        <v>1</v>
      </c>
      <c r="M222" s="3">
        <v>1</v>
      </c>
    </row>
    <row r="223" spans="2:13" x14ac:dyDescent="0.4">
      <c r="B223" s="1" t="s">
        <v>274</v>
      </c>
      <c r="C223" s="3"/>
      <c r="D223" s="3"/>
      <c r="E223" s="3"/>
      <c r="F223" s="3"/>
      <c r="G223" s="3"/>
      <c r="H223" s="3"/>
      <c r="I223" s="3"/>
      <c r="J223" s="3"/>
      <c r="K223" s="3">
        <v>1</v>
      </c>
      <c r="L223" s="3">
        <v>1</v>
      </c>
      <c r="M223" s="3">
        <v>1</v>
      </c>
    </row>
    <row r="224" spans="2:13" x14ac:dyDescent="0.4">
      <c r="B224" s="1" t="s">
        <v>275</v>
      </c>
      <c r="C224" s="3"/>
      <c r="D224" s="3"/>
      <c r="E224" s="3"/>
      <c r="F224" s="3"/>
      <c r="G224" s="3"/>
      <c r="H224" s="3"/>
      <c r="I224" s="3"/>
      <c r="J224" s="3"/>
      <c r="K224" s="3">
        <v>1</v>
      </c>
      <c r="L224" s="3">
        <v>1</v>
      </c>
      <c r="M224" s="3">
        <v>1</v>
      </c>
    </row>
    <row r="225" spans="2:13" x14ac:dyDescent="0.4">
      <c r="B225" s="1" t="s">
        <v>276</v>
      </c>
      <c r="C225" s="3"/>
      <c r="D225" s="3"/>
      <c r="E225" s="3"/>
      <c r="F225" s="3"/>
      <c r="G225" s="3"/>
      <c r="H225" s="3"/>
      <c r="I225" s="3"/>
      <c r="J225" s="3"/>
      <c r="K225" s="3"/>
      <c r="L225" s="3">
        <v>1</v>
      </c>
      <c r="M225" s="3">
        <v>1</v>
      </c>
    </row>
    <row r="226" spans="2:13" x14ac:dyDescent="0.4">
      <c r="B226" s="1" t="s">
        <v>277</v>
      </c>
      <c r="C226" s="3"/>
      <c r="D226" s="3"/>
      <c r="E226" s="3"/>
      <c r="F226" s="3"/>
      <c r="G226" s="3"/>
      <c r="H226" s="3"/>
      <c r="I226" s="3"/>
      <c r="J226" s="3"/>
      <c r="K226" s="3"/>
      <c r="L226" s="3">
        <v>1</v>
      </c>
      <c r="M226" s="3">
        <v>1</v>
      </c>
    </row>
    <row r="227" spans="2:13" x14ac:dyDescent="0.4">
      <c r="B227" s="1" t="s">
        <v>278</v>
      </c>
      <c r="C227" s="3"/>
      <c r="D227" s="3"/>
      <c r="E227" s="3"/>
      <c r="F227" s="3"/>
      <c r="G227" s="3"/>
      <c r="H227" s="3"/>
      <c r="I227" s="3"/>
      <c r="J227" s="3"/>
      <c r="K227" s="3"/>
      <c r="L227" s="3">
        <v>1</v>
      </c>
      <c r="M227" s="3">
        <v>1</v>
      </c>
    </row>
    <row r="228" spans="2:13" x14ac:dyDescent="0.4">
      <c r="B228" s="1" t="s">
        <v>279</v>
      </c>
      <c r="C228" s="3"/>
      <c r="D228" s="3"/>
      <c r="E228" s="3"/>
      <c r="F228" s="3"/>
      <c r="G228" s="3"/>
      <c r="H228" s="3"/>
      <c r="I228" s="3"/>
      <c r="J228" s="3"/>
      <c r="K228" s="3"/>
      <c r="L228" s="3">
        <v>1</v>
      </c>
      <c r="M228" s="3">
        <v>1</v>
      </c>
    </row>
    <row r="229" spans="2:13" x14ac:dyDescent="0.4">
      <c r="B229" s="1" t="s">
        <v>280</v>
      </c>
      <c r="C229" s="3"/>
      <c r="D229" s="3"/>
      <c r="E229" s="3"/>
      <c r="F229" s="3"/>
      <c r="G229" s="3"/>
      <c r="H229" s="3"/>
      <c r="I229" s="3"/>
      <c r="J229" s="3"/>
      <c r="K229" s="3"/>
      <c r="L229" s="3">
        <v>1</v>
      </c>
      <c r="M229" s="3">
        <v>1</v>
      </c>
    </row>
    <row r="230" spans="2:13" x14ac:dyDescent="0.4">
      <c r="B230" s="1" t="s">
        <v>281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>
        <v>1</v>
      </c>
    </row>
    <row r="231" spans="2:13" x14ac:dyDescent="0.4">
      <c r="B231" s="1" t="s">
        <v>282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>
        <v>1</v>
      </c>
    </row>
    <row r="232" spans="2:13" x14ac:dyDescent="0.4">
      <c r="B232" s="1" t="s">
        <v>283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>
        <v>1</v>
      </c>
    </row>
    <row r="233" spans="2:13" x14ac:dyDescent="0.4">
      <c r="B233" s="1" t="s">
        <v>284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>
        <v>1</v>
      </c>
    </row>
    <row r="234" spans="2:13" x14ac:dyDescent="0.4">
      <c r="B234" s="1" t="s">
        <v>285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>
        <v>1</v>
      </c>
    </row>
    <row r="235" spans="2:13" x14ac:dyDescent="0.4">
      <c r="B235" s="1" t="s">
        <v>286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>
        <v>1</v>
      </c>
    </row>
    <row r="236" spans="2:13" x14ac:dyDescent="0.4">
      <c r="B236" s="1" t="s">
        <v>287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>
        <v>1</v>
      </c>
    </row>
    <row r="237" spans="2:13" x14ac:dyDescent="0.4">
      <c r="B237" s="1" t="s">
        <v>288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>
        <v>1</v>
      </c>
    </row>
    <row r="238" spans="2:13" x14ac:dyDescent="0.4">
      <c r="B238" s="1" t="s">
        <v>289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>
        <v>1</v>
      </c>
    </row>
    <row r="239" spans="2:13" x14ac:dyDescent="0.4">
      <c r="B239" s="1" t="s">
        <v>290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>
        <v>1</v>
      </c>
    </row>
    <row r="240" spans="2:13" x14ac:dyDescent="0.4">
      <c r="B240" s="1" t="s">
        <v>291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>
        <v>1</v>
      </c>
    </row>
    <row r="241" spans="2:13" x14ac:dyDescent="0.4">
      <c r="B241" s="1" t="s">
        <v>292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>
        <v>1</v>
      </c>
    </row>
    <row r="242" spans="2:13" x14ac:dyDescent="0.4">
      <c r="B242" s="1" t="s">
        <v>293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>
        <v>1</v>
      </c>
    </row>
    <row r="243" spans="2:13" x14ac:dyDescent="0.4">
      <c r="B243" s="1" t="s">
        <v>294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>
        <v>1</v>
      </c>
    </row>
    <row r="244" spans="2:13" x14ac:dyDescent="0.4">
      <c r="B244" s="1" t="s">
        <v>295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68D2-BD16-4B48-A92F-0C235C1908B1}">
  <dimension ref="B1:O244"/>
  <sheetViews>
    <sheetView workbookViewId="0">
      <pane xSplit="2" ySplit="6" topLeftCell="I7" activePane="bottomRight" state="frozen"/>
      <selection pane="topRight" activeCell="C1" sqref="C1"/>
      <selection pane="bottomLeft" activeCell="A3" sqref="A3"/>
      <selection pane="bottomRight" activeCell="C2" sqref="C2:L4"/>
    </sheetView>
  </sheetViews>
  <sheetFormatPr baseColWidth="10" defaultColWidth="11.3984375" defaultRowHeight="14.25" x14ac:dyDescent="0.4"/>
  <cols>
    <col min="1" max="1" width="3.73046875" style="1" customWidth="1"/>
    <col min="2" max="2" width="40.3984375" style="1" customWidth="1"/>
    <col min="3" max="3" width="23.59765625" style="1" bestFit="1" customWidth="1"/>
    <col min="4" max="4" width="23.73046875" style="1" bestFit="1" customWidth="1"/>
    <col min="5" max="5" width="23.265625" style="1" bestFit="1" customWidth="1"/>
    <col min="6" max="6" width="23.86328125" style="1" bestFit="1" customWidth="1"/>
    <col min="7" max="7" width="23.1328125" style="1" bestFit="1" customWidth="1"/>
    <col min="8" max="8" width="23.73046875" style="1" bestFit="1" customWidth="1"/>
    <col min="9" max="9" width="24.73046875" style="1" bestFit="1" customWidth="1"/>
    <col min="10" max="10" width="23.59765625" style="1" bestFit="1" customWidth="1"/>
    <col min="11" max="11" width="23.1328125" style="1" bestFit="1" customWidth="1"/>
    <col min="12" max="12" width="24.265625" style="1" bestFit="1" customWidth="1"/>
    <col min="13" max="13" width="23.265625" style="1" bestFit="1" customWidth="1"/>
    <col min="14" max="16384" width="11.3984375" style="1"/>
  </cols>
  <sheetData>
    <row r="1" spans="2:15" x14ac:dyDescent="0.4">
      <c r="B1" s="1" t="s">
        <v>296</v>
      </c>
    </row>
    <row r="2" spans="2:15" x14ac:dyDescent="0.4">
      <c r="C2" s="1" t="s">
        <v>380</v>
      </c>
      <c r="D2" s="1" t="s">
        <v>380</v>
      </c>
      <c r="E2" s="1" t="s">
        <v>380</v>
      </c>
      <c r="F2" s="1" t="s">
        <v>380</v>
      </c>
      <c r="G2" s="1" t="s">
        <v>380</v>
      </c>
      <c r="H2" s="1" t="s">
        <v>380</v>
      </c>
      <c r="I2" s="1" t="s">
        <v>380</v>
      </c>
      <c r="J2" s="1" t="s">
        <v>380</v>
      </c>
      <c r="K2" s="1" t="s">
        <v>380</v>
      </c>
      <c r="L2" s="1" t="s">
        <v>380</v>
      </c>
      <c r="M2" s="1" t="s">
        <v>380</v>
      </c>
    </row>
    <row r="3" spans="2:15" x14ac:dyDescent="0.4"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17</v>
      </c>
    </row>
    <row r="4" spans="2:15" x14ac:dyDescent="0.4">
      <c r="C4" s="27">
        <f>SUMIF(C7:C244,"&gt;0")/COUNTIF(C7:C244,"&gt;0")</f>
        <v>0.98684210526315785</v>
      </c>
      <c r="D4" s="27">
        <f t="shared" ref="D4:M4" si="0">SUMIF(D7:D244,"&gt;0")/COUNTIF(D7:D244,"&gt;0")</f>
        <v>0.96666666666666679</v>
      </c>
      <c r="E4" s="27">
        <f t="shared" si="0"/>
        <v>0.79901960784313752</v>
      </c>
      <c r="F4" s="27">
        <f t="shared" si="0"/>
        <v>0.86923076923076925</v>
      </c>
      <c r="G4" s="27">
        <f t="shared" si="0"/>
        <v>0.98867924528301876</v>
      </c>
      <c r="H4" s="27">
        <f t="shared" si="0"/>
        <v>0.98333333333333339</v>
      </c>
      <c r="I4" s="27">
        <f t="shared" si="0"/>
        <v>0.94090909090909058</v>
      </c>
      <c r="J4" s="27">
        <f t="shared" si="0"/>
        <v>0.94090909090909058</v>
      </c>
      <c r="K4" s="27">
        <f t="shared" si="0"/>
        <v>0.82643678160919465</v>
      </c>
      <c r="L4" s="27">
        <f t="shared" si="0"/>
        <v>0.74466019417475637</v>
      </c>
      <c r="M4" s="27">
        <f t="shared" si="0"/>
        <v>0.80042016806722738</v>
      </c>
    </row>
    <row r="5" spans="2:15" x14ac:dyDescent="0.4">
      <c r="B5" s="6"/>
      <c r="C5" s="2">
        <f>AVERAGE(Tabla58[Integración Ago/2024])</f>
        <v>0.18028846153846154</v>
      </c>
      <c r="D5" s="2">
        <f>AVERAGE(Tabla58[Integración Sep/2024])</f>
        <v>0.18125000000000002</v>
      </c>
      <c r="E5" s="2">
        <f>AVERAGE(Tabla58[Integración Oct/2024])</f>
        <v>0.19591346153846162</v>
      </c>
      <c r="F5" s="2">
        <f>AVERAGE(Tabla58[Integración Nov/2024])</f>
        <v>0.21730769230769231</v>
      </c>
      <c r="G5" s="2">
        <f>AVERAGE(Tabla58[Integración Dic/2024])</f>
        <v>0.25192307692307686</v>
      </c>
      <c r="H5" s="2">
        <f>AVERAGE(Tabla58[Integración Ene/2025])</f>
        <v>0.25528846153846152</v>
      </c>
      <c r="I5" s="2">
        <f>AVERAGE(Tabla58[Integración Feb/2025])</f>
        <v>0.2929245283018867</v>
      </c>
      <c r="J5" s="2">
        <f>AVERAGE(Tabla58[Integración Mar/2025])</f>
        <v>0.2929245283018867</v>
      </c>
      <c r="K5" s="2">
        <f>AVERAGE(Tabla58[Integración Abr/2025])</f>
        <v>0.32981651376146759</v>
      </c>
      <c r="L5" s="2">
        <f>AVERAGE(Tabla58[Integración May/2025])</f>
        <v>0.34394618834080676</v>
      </c>
      <c r="M5" s="2">
        <f>AVERAGE(Tabla58[Integración Dic/2025])</f>
        <v>0.80042016806722738</v>
      </c>
      <c r="O5" s="6"/>
    </row>
    <row r="6" spans="2:15" ht="14.65" thickBot="1" x14ac:dyDescent="0.45">
      <c r="B6" s="7" t="s">
        <v>12</v>
      </c>
      <c r="C6" s="7" t="s">
        <v>308</v>
      </c>
      <c r="D6" s="7" t="s">
        <v>309</v>
      </c>
      <c r="E6" s="7" t="s">
        <v>310</v>
      </c>
      <c r="F6" s="7" t="s">
        <v>311</v>
      </c>
      <c r="G6" s="7" t="s">
        <v>312</v>
      </c>
      <c r="H6" s="7" t="s">
        <v>313</v>
      </c>
      <c r="I6" s="7" t="s">
        <v>314</v>
      </c>
      <c r="J6" s="7" t="s">
        <v>315</v>
      </c>
      <c r="K6" s="7" t="s">
        <v>316</v>
      </c>
      <c r="L6" s="7" t="s">
        <v>317</v>
      </c>
      <c r="M6" s="7" t="s">
        <v>318</v>
      </c>
    </row>
    <row r="7" spans="2:15" x14ac:dyDescent="0.4">
      <c r="B7" s="1" t="s">
        <v>57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3">
        <v>1</v>
      </c>
    </row>
    <row r="8" spans="2:15" x14ac:dyDescent="0.4">
      <c r="B8" s="1" t="s">
        <v>58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3">
        <v>1</v>
      </c>
    </row>
    <row r="9" spans="2:15" x14ac:dyDescent="0.4">
      <c r="B9" s="1" t="s">
        <v>59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3">
        <v>1</v>
      </c>
    </row>
    <row r="10" spans="2:15" x14ac:dyDescent="0.4">
      <c r="B10" s="1" t="s">
        <v>60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3">
        <v>1</v>
      </c>
    </row>
    <row r="11" spans="2:15" x14ac:dyDescent="0.4">
      <c r="B11" s="1" t="s">
        <v>61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3">
        <v>1</v>
      </c>
    </row>
    <row r="12" spans="2:15" x14ac:dyDescent="0.4">
      <c r="B12" s="1" t="s">
        <v>62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3">
        <v>1</v>
      </c>
    </row>
    <row r="13" spans="2:15" x14ac:dyDescent="0.4">
      <c r="B13" s="1" t="s">
        <v>63</v>
      </c>
      <c r="C13" s="10">
        <v>1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3">
        <v>1</v>
      </c>
    </row>
    <row r="14" spans="2:15" x14ac:dyDescent="0.4">
      <c r="B14" s="1" t="s">
        <v>64</v>
      </c>
      <c r="C14" s="9">
        <v>1</v>
      </c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M14" s="3">
        <v>1</v>
      </c>
    </row>
    <row r="15" spans="2:15" x14ac:dyDescent="0.4">
      <c r="B15" s="1" t="s">
        <v>65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3">
        <v>1</v>
      </c>
    </row>
    <row r="16" spans="2:15" x14ac:dyDescent="0.4">
      <c r="B16" s="1" t="s">
        <v>66</v>
      </c>
      <c r="C16" s="9">
        <v>1</v>
      </c>
      <c r="D16" s="9">
        <v>1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9">
        <v>1</v>
      </c>
      <c r="L16" s="9">
        <v>1</v>
      </c>
      <c r="M16" s="3">
        <v>1</v>
      </c>
    </row>
    <row r="17" spans="2:13" x14ac:dyDescent="0.4">
      <c r="B17" s="1" t="s">
        <v>67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>
        <v>1</v>
      </c>
      <c r="M17" s="3">
        <v>1</v>
      </c>
    </row>
    <row r="18" spans="2:13" x14ac:dyDescent="0.4">
      <c r="B18" s="1" t="s">
        <v>68</v>
      </c>
      <c r="C18" s="9">
        <v>1</v>
      </c>
      <c r="D18" s="9">
        <v>1</v>
      </c>
      <c r="E18" s="9">
        <v>1</v>
      </c>
      <c r="F18" s="9">
        <v>1</v>
      </c>
      <c r="G18" s="9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  <c r="M18" s="3">
        <v>1</v>
      </c>
    </row>
    <row r="19" spans="2:13" x14ac:dyDescent="0.4">
      <c r="B19" s="1" t="s">
        <v>69</v>
      </c>
      <c r="C19" s="10">
        <v>0.5</v>
      </c>
      <c r="D19" s="10">
        <v>0.5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3">
        <v>1</v>
      </c>
    </row>
    <row r="20" spans="2:13" x14ac:dyDescent="0.4">
      <c r="B20" s="1" t="s">
        <v>70</v>
      </c>
      <c r="C20" s="9">
        <v>1</v>
      </c>
      <c r="D20" s="9">
        <v>1</v>
      </c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3">
        <v>1</v>
      </c>
    </row>
    <row r="21" spans="2:13" x14ac:dyDescent="0.4">
      <c r="B21" s="1" t="s">
        <v>71</v>
      </c>
      <c r="C21" s="10">
        <v>1</v>
      </c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3">
        <v>1</v>
      </c>
    </row>
    <row r="22" spans="2:13" x14ac:dyDescent="0.4">
      <c r="B22" s="1" t="s">
        <v>72</v>
      </c>
      <c r="C22" s="9">
        <v>1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3">
        <v>1</v>
      </c>
    </row>
    <row r="23" spans="2:13" x14ac:dyDescent="0.4">
      <c r="B23" s="1" t="s">
        <v>73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3">
        <v>1</v>
      </c>
    </row>
    <row r="24" spans="2:13" x14ac:dyDescent="0.4">
      <c r="B24" s="1" t="s">
        <v>74</v>
      </c>
      <c r="C24" s="9">
        <v>1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3">
        <v>1</v>
      </c>
    </row>
    <row r="25" spans="2:13" x14ac:dyDescent="0.4">
      <c r="B25" s="1" t="s">
        <v>75</v>
      </c>
      <c r="C25" s="10">
        <v>1</v>
      </c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3">
        <v>1</v>
      </c>
    </row>
    <row r="26" spans="2:13" x14ac:dyDescent="0.4">
      <c r="B26" s="1" t="s">
        <v>76</v>
      </c>
      <c r="C26" s="9">
        <v>1</v>
      </c>
      <c r="D26" s="9">
        <v>1</v>
      </c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3">
        <v>1</v>
      </c>
    </row>
    <row r="27" spans="2:13" x14ac:dyDescent="0.4">
      <c r="B27" s="1" t="s">
        <v>77</v>
      </c>
      <c r="C27" s="10">
        <v>1</v>
      </c>
      <c r="D27" s="10">
        <v>1</v>
      </c>
      <c r="E27" s="10">
        <v>1</v>
      </c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3">
        <v>1</v>
      </c>
    </row>
    <row r="28" spans="2:13" x14ac:dyDescent="0.4">
      <c r="B28" s="1" t="s">
        <v>78</v>
      </c>
      <c r="C28" s="9">
        <v>1</v>
      </c>
      <c r="D28" s="9">
        <v>1</v>
      </c>
      <c r="E28" s="9">
        <v>1</v>
      </c>
      <c r="F28" s="9">
        <v>1</v>
      </c>
      <c r="G28" s="9">
        <v>1</v>
      </c>
      <c r="H28" s="9">
        <v>1</v>
      </c>
      <c r="I28" s="9">
        <v>1</v>
      </c>
      <c r="J28" s="9">
        <v>1</v>
      </c>
      <c r="K28" s="9">
        <v>1</v>
      </c>
      <c r="L28" s="9">
        <v>1</v>
      </c>
      <c r="M28" s="3">
        <v>1</v>
      </c>
    </row>
    <row r="29" spans="2:13" x14ac:dyDescent="0.4">
      <c r="B29" s="1" t="s">
        <v>79</v>
      </c>
      <c r="C29" s="10">
        <v>1</v>
      </c>
      <c r="D29" s="10">
        <v>1</v>
      </c>
      <c r="E29" s="10">
        <v>1</v>
      </c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3">
        <v>1</v>
      </c>
    </row>
    <row r="30" spans="2:13" x14ac:dyDescent="0.4">
      <c r="B30" s="1" t="s">
        <v>80</v>
      </c>
      <c r="C30" s="9">
        <v>1</v>
      </c>
      <c r="D30" s="9">
        <v>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3">
        <v>1</v>
      </c>
    </row>
    <row r="31" spans="2:13" x14ac:dyDescent="0.4">
      <c r="B31" s="1" t="s">
        <v>81</v>
      </c>
      <c r="C31" s="10">
        <v>1</v>
      </c>
      <c r="D31" s="10">
        <v>1</v>
      </c>
      <c r="E31" s="10">
        <v>1</v>
      </c>
      <c r="F31" s="10">
        <v>1</v>
      </c>
      <c r="G31" s="10">
        <v>1</v>
      </c>
      <c r="H31" s="10">
        <v>1</v>
      </c>
      <c r="I31" s="10">
        <v>1</v>
      </c>
      <c r="J31" s="10">
        <v>1</v>
      </c>
      <c r="K31" s="10">
        <v>1</v>
      </c>
      <c r="L31" s="10">
        <v>1</v>
      </c>
      <c r="M31" s="3">
        <v>1</v>
      </c>
    </row>
    <row r="32" spans="2:13" x14ac:dyDescent="0.4">
      <c r="B32" s="1" t="s">
        <v>82</v>
      </c>
      <c r="C32" s="9">
        <v>1</v>
      </c>
      <c r="D32" s="9">
        <v>1</v>
      </c>
      <c r="E32" s="9">
        <v>1</v>
      </c>
      <c r="F32" s="9">
        <v>1</v>
      </c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9">
        <v>1</v>
      </c>
      <c r="M32" s="3">
        <v>1</v>
      </c>
    </row>
    <row r="33" spans="2:13" x14ac:dyDescent="0.4">
      <c r="B33" s="1" t="s">
        <v>83</v>
      </c>
      <c r="C33" s="10">
        <v>1</v>
      </c>
      <c r="D33" s="10">
        <v>1</v>
      </c>
      <c r="E33" s="10">
        <v>1</v>
      </c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3">
        <v>1</v>
      </c>
    </row>
    <row r="34" spans="2:13" x14ac:dyDescent="0.4">
      <c r="B34" s="1" t="s">
        <v>84</v>
      </c>
      <c r="C34" s="9">
        <v>1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3">
        <v>1</v>
      </c>
    </row>
    <row r="35" spans="2:13" x14ac:dyDescent="0.4">
      <c r="B35" s="1" t="s">
        <v>85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3">
        <v>1</v>
      </c>
    </row>
    <row r="36" spans="2:13" x14ac:dyDescent="0.4">
      <c r="B36" s="1" t="s">
        <v>86</v>
      </c>
      <c r="C36" s="9">
        <v>1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M36" s="3">
        <v>1</v>
      </c>
    </row>
    <row r="37" spans="2:13" x14ac:dyDescent="0.4">
      <c r="B37" s="1" t="s">
        <v>87</v>
      </c>
      <c r="C37" s="10">
        <v>1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3">
        <v>1</v>
      </c>
    </row>
    <row r="38" spans="2:13" x14ac:dyDescent="0.4">
      <c r="B38" s="1" t="s">
        <v>88</v>
      </c>
      <c r="C38" s="9">
        <v>1</v>
      </c>
      <c r="D38" s="9">
        <v>1</v>
      </c>
      <c r="E38" s="9">
        <v>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3">
        <v>1</v>
      </c>
    </row>
    <row r="39" spans="2:13" x14ac:dyDescent="0.4">
      <c r="B39" s="1" t="s">
        <v>89</v>
      </c>
      <c r="C39" s="10">
        <v>1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3">
        <v>1</v>
      </c>
    </row>
    <row r="40" spans="2:13" x14ac:dyDescent="0.4">
      <c r="B40" s="1" t="s">
        <v>90</v>
      </c>
      <c r="C40" s="9">
        <v>0</v>
      </c>
      <c r="D40" s="9">
        <v>0</v>
      </c>
      <c r="E40" s="9">
        <v>0.2</v>
      </c>
      <c r="F40" s="9">
        <v>0.5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  <c r="M40" s="3">
        <v>1</v>
      </c>
    </row>
    <row r="41" spans="2:13" x14ac:dyDescent="0.4">
      <c r="B41" s="1" t="s">
        <v>91</v>
      </c>
      <c r="C41" s="10">
        <v>0</v>
      </c>
      <c r="D41" s="10">
        <v>0</v>
      </c>
      <c r="E41" s="10">
        <v>0.2</v>
      </c>
      <c r="F41" s="10">
        <v>0.5</v>
      </c>
      <c r="G41" s="10">
        <v>1</v>
      </c>
      <c r="H41" s="10">
        <v>1</v>
      </c>
      <c r="I41" s="10">
        <v>1</v>
      </c>
      <c r="J41" s="10">
        <v>1</v>
      </c>
      <c r="K41" s="10">
        <v>1</v>
      </c>
      <c r="L41" s="10">
        <v>1</v>
      </c>
      <c r="M41" s="3">
        <v>1</v>
      </c>
    </row>
    <row r="42" spans="2:13" x14ac:dyDescent="0.4">
      <c r="B42" s="1" t="s">
        <v>92</v>
      </c>
      <c r="C42" s="9">
        <v>0</v>
      </c>
      <c r="D42" s="9">
        <v>0.2</v>
      </c>
      <c r="E42" s="9">
        <v>0.25</v>
      </c>
      <c r="F42" s="9">
        <v>0.5</v>
      </c>
      <c r="G42" s="9">
        <v>1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  <c r="M42" s="3">
        <v>1</v>
      </c>
    </row>
    <row r="43" spans="2:13" x14ac:dyDescent="0.4">
      <c r="B43" s="1" t="s">
        <v>93</v>
      </c>
      <c r="C43" s="10">
        <v>0</v>
      </c>
      <c r="D43" s="10">
        <v>0</v>
      </c>
      <c r="E43" s="10">
        <v>0.15</v>
      </c>
      <c r="F43" s="10">
        <v>0.6</v>
      </c>
      <c r="G43" s="10">
        <v>0.9</v>
      </c>
      <c r="H43" s="11">
        <v>0.95</v>
      </c>
      <c r="I43" s="11">
        <v>1</v>
      </c>
      <c r="J43" s="11">
        <v>1</v>
      </c>
      <c r="K43" s="11">
        <v>1</v>
      </c>
      <c r="L43" s="11">
        <v>1</v>
      </c>
      <c r="M43" s="3">
        <v>1</v>
      </c>
    </row>
    <row r="44" spans="2:13" x14ac:dyDescent="0.4">
      <c r="B44" s="1" t="s">
        <v>94</v>
      </c>
      <c r="C44" s="9">
        <v>0</v>
      </c>
      <c r="D44" s="9">
        <v>0</v>
      </c>
      <c r="E44" s="9">
        <v>0.15</v>
      </c>
      <c r="F44" s="9">
        <v>0.6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3">
        <v>1</v>
      </c>
    </row>
    <row r="45" spans="2:13" x14ac:dyDescent="0.4">
      <c r="B45" s="1" t="s">
        <v>95</v>
      </c>
      <c r="C45" s="10">
        <v>0</v>
      </c>
      <c r="D45" s="10">
        <v>0</v>
      </c>
      <c r="E45" s="10">
        <v>0.2</v>
      </c>
      <c r="F45" s="10">
        <v>0.5</v>
      </c>
      <c r="G45" s="10">
        <v>1</v>
      </c>
      <c r="H45" s="10">
        <v>1</v>
      </c>
      <c r="I45" s="10">
        <v>1</v>
      </c>
      <c r="J45" s="10">
        <v>1</v>
      </c>
      <c r="K45" s="10">
        <v>1</v>
      </c>
      <c r="L45" s="10">
        <v>1</v>
      </c>
      <c r="M45" s="3">
        <v>1</v>
      </c>
    </row>
    <row r="46" spans="2:13" x14ac:dyDescent="0.4">
      <c r="B46" s="1" t="s">
        <v>96</v>
      </c>
      <c r="C46" s="9">
        <v>1</v>
      </c>
      <c r="D46" s="9">
        <v>1</v>
      </c>
      <c r="E46" s="9">
        <v>1</v>
      </c>
      <c r="F46" s="9">
        <v>1</v>
      </c>
      <c r="G46" s="9">
        <v>1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3">
        <v>1</v>
      </c>
    </row>
    <row r="47" spans="2:13" x14ac:dyDescent="0.4">
      <c r="B47" s="1" t="s">
        <v>97</v>
      </c>
      <c r="C47" s="10">
        <v>1</v>
      </c>
      <c r="D47" s="10">
        <v>1</v>
      </c>
      <c r="E47" s="10">
        <v>1</v>
      </c>
      <c r="F47" s="10">
        <v>1</v>
      </c>
      <c r="G47" s="10">
        <v>1</v>
      </c>
      <c r="H47" s="10">
        <v>1</v>
      </c>
      <c r="I47" s="10">
        <v>1</v>
      </c>
      <c r="J47" s="10">
        <v>1</v>
      </c>
      <c r="K47" s="10">
        <v>1</v>
      </c>
      <c r="L47" s="10">
        <v>1</v>
      </c>
      <c r="M47" s="3">
        <v>1</v>
      </c>
    </row>
    <row r="48" spans="2:13" x14ac:dyDescent="0.4">
      <c r="B48" s="1" t="s">
        <v>98</v>
      </c>
      <c r="C48" s="9">
        <v>1</v>
      </c>
      <c r="D48" s="9">
        <v>1</v>
      </c>
      <c r="E48" s="9">
        <v>1</v>
      </c>
      <c r="F48" s="9">
        <v>1</v>
      </c>
      <c r="G48" s="9">
        <v>1</v>
      </c>
      <c r="H48" s="9">
        <v>1</v>
      </c>
      <c r="I48" s="9">
        <v>1</v>
      </c>
      <c r="J48" s="9">
        <v>1</v>
      </c>
      <c r="K48" s="9">
        <v>1</v>
      </c>
      <c r="L48" s="9">
        <v>1</v>
      </c>
      <c r="M48" s="3">
        <v>1</v>
      </c>
    </row>
    <row r="49" spans="2:13" x14ac:dyDescent="0.4">
      <c r="B49" s="1" t="s">
        <v>99</v>
      </c>
      <c r="C49" s="10">
        <v>0</v>
      </c>
      <c r="D49" s="10">
        <v>0</v>
      </c>
      <c r="E49" s="10">
        <v>0.2</v>
      </c>
      <c r="F49" s="10">
        <v>0.5</v>
      </c>
      <c r="G49" s="10">
        <v>1</v>
      </c>
      <c r="H49" s="10">
        <v>1</v>
      </c>
      <c r="I49" s="10">
        <v>1</v>
      </c>
      <c r="J49" s="10">
        <v>1</v>
      </c>
      <c r="K49" s="10">
        <v>1</v>
      </c>
      <c r="L49" s="10">
        <v>1</v>
      </c>
      <c r="M49" s="3">
        <v>1</v>
      </c>
    </row>
    <row r="50" spans="2:13" x14ac:dyDescent="0.4">
      <c r="B50" s="1" t="s">
        <v>100</v>
      </c>
      <c r="C50" s="9">
        <v>0</v>
      </c>
      <c r="D50" s="9">
        <v>0</v>
      </c>
      <c r="E50" s="9">
        <v>0.2</v>
      </c>
      <c r="F50" s="9">
        <v>0.5</v>
      </c>
      <c r="G50" s="9">
        <v>1</v>
      </c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3">
        <v>1</v>
      </c>
    </row>
    <row r="51" spans="2:13" x14ac:dyDescent="0.4">
      <c r="B51" s="1" t="s">
        <v>101</v>
      </c>
      <c r="C51" s="10">
        <v>0</v>
      </c>
      <c r="D51" s="10">
        <v>0</v>
      </c>
      <c r="E51" s="10">
        <v>0.2</v>
      </c>
      <c r="F51" s="10">
        <v>0.5</v>
      </c>
      <c r="G51" s="10">
        <v>1</v>
      </c>
      <c r="H51" s="10">
        <v>1</v>
      </c>
      <c r="I51" s="10">
        <v>1</v>
      </c>
      <c r="J51" s="10">
        <v>1</v>
      </c>
      <c r="K51" s="10">
        <v>1</v>
      </c>
      <c r="L51" s="10">
        <v>1</v>
      </c>
      <c r="M51" s="3">
        <v>1</v>
      </c>
    </row>
    <row r="52" spans="2:13" x14ac:dyDescent="0.4">
      <c r="B52" s="1" t="s">
        <v>102</v>
      </c>
      <c r="C52" s="9">
        <v>0</v>
      </c>
      <c r="D52" s="9">
        <v>0</v>
      </c>
      <c r="E52" s="9">
        <v>0.2</v>
      </c>
      <c r="F52" s="9">
        <v>0.5</v>
      </c>
      <c r="G52" s="9">
        <v>1</v>
      </c>
      <c r="H52" s="9">
        <v>1</v>
      </c>
      <c r="I52" s="9">
        <v>1</v>
      </c>
      <c r="J52" s="9">
        <v>1</v>
      </c>
      <c r="K52" s="9">
        <v>1</v>
      </c>
      <c r="L52" s="9">
        <v>1</v>
      </c>
      <c r="M52" s="3">
        <v>1</v>
      </c>
    </row>
    <row r="53" spans="2:13" x14ac:dyDescent="0.4">
      <c r="B53" s="1" t="s">
        <v>103</v>
      </c>
      <c r="C53" s="10">
        <v>0</v>
      </c>
      <c r="D53" s="10">
        <v>0</v>
      </c>
      <c r="E53" s="10">
        <v>0.2</v>
      </c>
      <c r="F53" s="10">
        <v>0.5</v>
      </c>
      <c r="G53" s="10">
        <v>0.9</v>
      </c>
      <c r="H53" s="11">
        <v>0.9</v>
      </c>
      <c r="I53" s="11">
        <v>0.9</v>
      </c>
      <c r="J53" s="11">
        <v>0.9</v>
      </c>
      <c r="K53" s="11">
        <v>0.9</v>
      </c>
      <c r="L53" s="11">
        <v>0.9</v>
      </c>
      <c r="M53" s="3">
        <v>1</v>
      </c>
    </row>
    <row r="54" spans="2:13" x14ac:dyDescent="0.4">
      <c r="B54" s="1" t="s">
        <v>104</v>
      </c>
      <c r="C54" s="9">
        <v>0</v>
      </c>
      <c r="D54" s="9">
        <v>0</v>
      </c>
      <c r="E54" s="9">
        <v>0</v>
      </c>
      <c r="F54" s="9">
        <v>0</v>
      </c>
      <c r="G54" s="9">
        <v>0.9</v>
      </c>
      <c r="H54" s="12">
        <v>1</v>
      </c>
      <c r="I54" s="12">
        <v>1</v>
      </c>
      <c r="J54" s="12">
        <v>1</v>
      </c>
      <c r="K54" s="12">
        <v>1</v>
      </c>
      <c r="L54" s="12">
        <v>1</v>
      </c>
      <c r="M54" s="3">
        <v>1</v>
      </c>
    </row>
    <row r="55" spans="2:13" x14ac:dyDescent="0.4">
      <c r="B55" s="1" t="s">
        <v>105</v>
      </c>
      <c r="C55" s="10">
        <v>0</v>
      </c>
      <c r="D55" s="10">
        <v>0</v>
      </c>
      <c r="E55" s="10">
        <v>0.3</v>
      </c>
      <c r="F55" s="10">
        <v>0.5</v>
      </c>
      <c r="G55" s="10">
        <v>0.9</v>
      </c>
      <c r="H55" s="11">
        <v>1</v>
      </c>
      <c r="I55" s="11">
        <v>1</v>
      </c>
      <c r="J55" s="11">
        <v>1</v>
      </c>
      <c r="K55" s="11">
        <v>1</v>
      </c>
      <c r="L55" s="11">
        <v>1</v>
      </c>
      <c r="M55" s="3">
        <v>1</v>
      </c>
    </row>
    <row r="56" spans="2:13" x14ac:dyDescent="0.4">
      <c r="B56" s="1" t="s">
        <v>106</v>
      </c>
      <c r="C56" s="9">
        <v>0</v>
      </c>
      <c r="D56" s="9">
        <v>0</v>
      </c>
      <c r="E56" s="9">
        <v>0.3</v>
      </c>
      <c r="F56" s="9">
        <v>0.5</v>
      </c>
      <c r="G56" s="9">
        <v>0.9</v>
      </c>
      <c r="H56" s="12">
        <v>1</v>
      </c>
      <c r="I56" s="12">
        <v>1</v>
      </c>
      <c r="J56" s="12">
        <v>1</v>
      </c>
      <c r="K56" s="12">
        <v>1</v>
      </c>
      <c r="L56" s="12">
        <v>1</v>
      </c>
      <c r="M56" s="3">
        <v>1</v>
      </c>
    </row>
    <row r="57" spans="2:13" x14ac:dyDescent="0.4">
      <c r="B57" s="1" t="s">
        <v>107</v>
      </c>
      <c r="C57" s="10">
        <v>0</v>
      </c>
      <c r="D57" s="10">
        <v>0</v>
      </c>
      <c r="E57" s="10">
        <v>0</v>
      </c>
      <c r="F57" s="10">
        <v>0.5</v>
      </c>
      <c r="G57" s="10">
        <v>0.9</v>
      </c>
      <c r="H57" s="11">
        <v>0.95</v>
      </c>
      <c r="I57" s="11">
        <v>1</v>
      </c>
      <c r="J57" s="11">
        <v>1</v>
      </c>
      <c r="K57" s="11">
        <v>1</v>
      </c>
      <c r="L57" s="11">
        <v>1</v>
      </c>
      <c r="M57" s="3">
        <v>1</v>
      </c>
    </row>
    <row r="58" spans="2:13" x14ac:dyDescent="0.4">
      <c r="B58" s="1" t="s">
        <v>108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12">
        <v>0</v>
      </c>
      <c r="I58" s="12">
        <v>0</v>
      </c>
      <c r="J58" s="12">
        <v>0</v>
      </c>
      <c r="K58" s="12">
        <v>0.3</v>
      </c>
      <c r="L58" s="12">
        <v>0.3</v>
      </c>
      <c r="M58" s="3">
        <v>0.8</v>
      </c>
    </row>
    <row r="59" spans="2:13" x14ac:dyDescent="0.4">
      <c r="B59" s="1" t="s">
        <v>109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1">
        <v>0</v>
      </c>
      <c r="I59" s="11">
        <v>0</v>
      </c>
      <c r="J59" s="11">
        <v>0</v>
      </c>
      <c r="K59" s="11">
        <v>0.3</v>
      </c>
      <c r="L59" s="11">
        <v>0.3</v>
      </c>
      <c r="M59" s="3">
        <v>1</v>
      </c>
    </row>
    <row r="60" spans="2:13" x14ac:dyDescent="0.4">
      <c r="B60" s="1" t="s">
        <v>110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12">
        <v>0</v>
      </c>
      <c r="I60" s="12">
        <v>0</v>
      </c>
      <c r="J60" s="12">
        <v>0</v>
      </c>
      <c r="K60" s="12">
        <v>0.3</v>
      </c>
      <c r="L60" s="12">
        <v>0.3</v>
      </c>
      <c r="M60" s="3">
        <v>0.8</v>
      </c>
    </row>
    <row r="61" spans="2:13" x14ac:dyDescent="0.4">
      <c r="B61" s="1" t="s">
        <v>111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1">
        <v>0</v>
      </c>
      <c r="I61" s="11">
        <v>0</v>
      </c>
      <c r="J61" s="11">
        <v>0</v>
      </c>
      <c r="K61" s="11">
        <v>0.3</v>
      </c>
      <c r="L61" s="11">
        <v>0.3</v>
      </c>
      <c r="M61" s="3">
        <v>0.8</v>
      </c>
    </row>
    <row r="62" spans="2:13" x14ac:dyDescent="0.4">
      <c r="B62" s="1" t="s">
        <v>112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12">
        <v>0</v>
      </c>
      <c r="I62" s="12">
        <v>0</v>
      </c>
      <c r="J62" s="12">
        <v>0</v>
      </c>
      <c r="K62" s="12">
        <v>0.3</v>
      </c>
      <c r="L62" s="12">
        <v>0.3</v>
      </c>
      <c r="M62" s="3">
        <v>0.8</v>
      </c>
    </row>
    <row r="63" spans="2:13" x14ac:dyDescent="0.4">
      <c r="B63" s="1" t="s">
        <v>113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1">
        <v>0</v>
      </c>
      <c r="I63" s="11">
        <v>0</v>
      </c>
      <c r="J63" s="11">
        <v>0</v>
      </c>
      <c r="K63" s="11">
        <v>0.3</v>
      </c>
      <c r="L63" s="11">
        <v>0.3</v>
      </c>
      <c r="M63" s="3">
        <v>0.8</v>
      </c>
    </row>
    <row r="64" spans="2:13" x14ac:dyDescent="0.4">
      <c r="B64" s="1" t="s">
        <v>114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0.3</v>
      </c>
      <c r="M64" s="3">
        <v>1</v>
      </c>
    </row>
    <row r="65" spans="2:13" x14ac:dyDescent="0.4">
      <c r="B65" s="1" t="s">
        <v>115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3">
        <v>0.8</v>
      </c>
    </row>
    <row r="66" spans="2:13" x14ac:dyDescent="0.4">
      <c r="B66" s="1" t="s">
        <v>116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3">
        <v>1</v>
      </c>
    </row>
    <row r="67" spans="2:13" x14ac:dyDescent="0.4">
      <c r="B67" s="1" t="s">
        <v>117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1">
        <v>0</v>
      </c>
      <c r="I67" s="11">
        <v>0</v>
      </c>
      <c r="J67" s="11">
        <v>0</v>
      </c>
      <c r="K67" s="11">
        <v>1</v>
      </c>
      <c r="L67" s="11">
        <v>1</v>
      </c>
      <c r="M67" s="3">
        <v>1</v>
      </c>
    </row>
    <row r="68" spans="2:13" x14ac:dyDescent="0.4">
      <c r="B68" s="1" t="s">
        <v>118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3">
        <v>1</v>
      </c>
    </row>
    <row r="69" spans="2:13" x14ac:dyDescent="0.4">
      <c r="B69" s="1" t="s">
        <v>119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3">
        <v>1</v>
      </c>
    </row>
    <row r="70" spans="2:13" x14ac:dyDescent="0.4">
      <c r="B70" s="1" t="s">
        <v>120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12">
        <v>0</v>
      </c>
      <c r="I70" s="12">
        <v>0</v>
      </c>
      <c r="J70" s="12">
        <v>0</v>
      </c>
      <c r="K70" s="12">
        <v>0.3</v>
      </c>
      <c r="L70" s="12">
        <v>0.3</v>
      </c>
      <c r="M70" s="3">
        <v>0.8</v>
      </c>
    </row>
    <row r="71" spans="2:13" x14ac:dyDescent="0.4">
      <c r="B71" s="1" t="s">
        <v>121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3">
        <v>0.4</v>
      </c>
    </row>
    <row r="72" spans="2:13" x14ac:dyDescent="0.4">
      <c r="B72" s="1" t="s">
        <v>123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3">
        <v>0.4</v>
      </c>
    </row>
    <row r="73" spans="2:13" x14ac:dyDescent="0.4">
      <c r="B73" s="1" t="s">
        <v>124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3">
        <v>0.4</v>
      </c>
    </row>
    <row r="74" spans="2:13" x14ac:dyDescent="0.4">
      <c r="B74" s="1" t="s">
        <v>125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3">
        <v>1</v>
      </c>
    </row>
    <row r="75" spans="2:13" x14ac:dyDescent="0.4">
      <c r="B75" s="1" t="s">
        <v>126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3">
        <v>1</v>
      </c>
    </row>
    <row r="76" spans="2:13" x14ac:dyDescent="0.4">
      <c r="B76" s="1" t="s">
        <v>127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3">
        <v>0.4</v>
      </c>
    </row>
    <row r="77" spans="2:13" x14ac:dyDescent="0.4">
      <c r="B77" s="1" t="s">
        <v>128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3">
        <v>0.7</v>
      </c>
    </row>
    <row r="78" spans="2:13" x14ac:dyDescent="0.4">
      <c r="B78" s="1" t="s">
        <v>129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3">
        <v>0.7</v>
      </c>
    </row>
    <row r="79" spans="2:13" x14ac:dyDescent="0.4">
      <c r="B79" s="1" t="s">
        <v>130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0.3</v>
      </c>
      <c r="M79" s="3">
        <v>0.6</v>
      </c>
    </row>
    <row r="80" spans="2:13" x14ac:dyDescent="0.4">
      <c r="B80" s="1" t="s">
        <v>131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0.3</v>
      </c>
      <c r="M80" s="3">
        <v>0.6</v>
      </c>
    </row>
    <row r="81" spans="2:13" x14ac:dyDescent="0.4">
      <c r="B81" s="1" t="s">
        <v>132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0.3</v>
      </c>
      <c r="M81" s="3">
        <v>0.6</v>
      </c>
    </row>
    <row r="82" spans="2:13" x14ac:dyDescent="0.4">
      <c r="B82" s="1" t="s">
        <v>133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3">
        <v>0.4</v>
      </c>
    </row>
    <row r="83" spans="2:13" x14ac:dyDescent="0.4">
      <c r="B83" s="1" t="s">
        <v>134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3">
        <v>0.8</v>
      </c>
    </row>
    <row r="84" spans="2:13" x14ac:dyDescent="0.4">
      <c r="B84" s="1" t="s">
        <v>135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3">
        <v>0.4</v>
      </c>
    </row>
    <row r="85" spans="2:13" x14ac:dyDescent="0.4">
      <c r="B85" s="1" t="s">
        <v>136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3">
        <v>0.4</v>
      </c>
    </row>
    <row r="86" spans="2:13" x14ac:dyDescent="0.4">
      <c r="B86" s="1" t="s">
        <v>137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3">
        <v>1</v>
      </c>
    </row>
    <row r="87" spans="2:13" x14ac:dyDescent="0.4">
      <c r="B87" s="1" t="s">
        <v>138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3">
        <v>0.6</v>
      </c>
    </row>
    <row r="88" spans="2:13" x14ac:dyDescent="0.4">
      <c r="B88" s="1" t="s">
        <v>139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3">
        <v>0.6</v>
      </c>
    </row>
    <row r="89" spans="2:13" x14ac:dyDescent="0.4">
      <c r="B89" s="1" t="s">
        <v>140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3">
        <v>1</v>
      </c>
    </row>
    <row r="90" spans="2:13" x14ac:dyDescent="0.4">
      <c r="B90" s="1" t="s">
        <v>141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3">
        <v>1</v>
      </c>
    </row>
    <row r="91" spans="2:13" x14ac:dyDescent="0.4">
      <c r="B91" s="1" t="s">
        <v>142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3">
        <v>0.8</v>
      </c>
    </row>
    <row r="92" spans="2:13" x14ac:dyDescent="0.4">
      <c r="B92" s="1" t="s">
        <v>143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3">
        <v>1</v>
      </c>
    </row>
    <row r="93" spans="2:13" x14ac:dyDescent="0.4">
      <c r="B93" s="1" t="s">
        <v>144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1">
        <v>0</v>
      </c>
      <c r="I93" s="11">
        <v>0.3</v>
      </c>
      <c r="J93" s="11">
        <v>0.3</v>
      </c>
      <c r="K93" s="11">
        <v>0.3</v>
      </c>
      <c r="L93" s="11">
        <v>0.3</v>
      </c>
      <c r="M93" s="3">
        <v>0.8</v>
      </c>
    </row>
    <row r="94" spans="2:13" x14ac:dyDescent="0.4">
      <c r="B94" s="1" t="s">
        <v>145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12">
        <v>0</v>
      </c>
      <c r="I94" s="12">
        <v>0.3</v>
      </c>
      <c r="J94" s="12">
        <v>0.3</v>
      </c>
      <c r="K94" s="12">
        <v>0.3</v>
      </c>
      <c r="L94" s="12">
        <v>0.3</v>
      </c>
      <c r="M94" s="3">
        <v>0.8</v>
      </c>
    </row>
    <row r="95" spans="2:13" x14ac:dyDescent="0.4">
      <c r="B95" s="1" t="s">
        <v>146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3">
        <v>0.6</v>
      </c>
    </row>
    <row r="96" spans="2:13" x14ac:dyDescent="0.4">
      <c r="B96" s="1" t="s">
        <v>147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3">
        <v>1</v>
      </c>
    </row>
    <row r="97" spans="2:13" x14ac:dyDescent="0.4">
      <c r="B97" s="1" t="s">
        <v>148</v>
      </c>
      <c r="C97" s="10">
        <v>1</v>
      </c>
      <c r="D97" s="10">
        <v>1</v>
      </c>
      <c r="E97" s="10">
        <v>1</v>
      </c>
      <c r="F97" s="10">
        <v>1</v>
      </c>
      <c r="G97" s="10">
        <v>1</v>
      </c>
      <c r="H97" s="10">
        <v>1</v>
      </c>
      <c r="I97" s="11">
        <v>1</v>
      </c>
      <c r="J97" s="11">
        <v>1</v>
      </c>
      <c r="K97" s="11">
        <v>1</v>
      </c>
      <c r="L97" s="11">
        <v>1</v>
      </c>
      <c r="M97" s="3">
        <v>1</v>
      </c>
    </row>
    <row r="98" spans="2:13" x14ac:dyDescent="0.4">
      <c r="B98" s="1" t="s">
        <v>149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3">
        <v>0.8</v>
      </c>
    </row>
    <row r="99" spans="2:13" x14ac:dyDescent="0.4">
      <c r="B99" s="1" t="s">
        <v>150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3">
        <v>0.6</v>
      </c>
    </row>
    <row r="100" spans="2:13" x14ac:dyDescent="0.4">
      <c r="B100" s="1" t="s">
        <v>151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3">
        <v>1</v>
      </c>
    </row>
    <row r="101" spans="2:13" x14ac:dyDescent="0.4">
      <c r="B101" s="1" t="s">
        <v>152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3">
        <v>1</v>
      </c>
    </row>
    <row r="102" spans="2:13" x14ac:dyDescent="0.4">
      <c r="B102" s="1" t="s">
        <v>153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3">
        <v>1</v>
      </c>
    </row>
    <row r="103" spans="2:13" x14ac:dyDescent="0.4">
      <c r="B103" s="1" t="s">
        <v>154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3">
        <v>0.6</v>
      </c>
    </row>
    <row r="104" spans="2:13" x14ac:dyDescent="0.4">
      <c r="B104" s="1" t="s">
        <v>155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3">
        <v>0.6</v>
      </c>
    </row>
    <row r="105" spans="2:13" x14ac:dyDescent="0.4">
      <c r="B105" s="1" t="s">
        <v>156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3">
        <v>0.6</v>
      </c>
    </row>
    <row r="106" spans="2:13" x14ac:dyDescent="0.4">
      <c r="B106" s="1" t="s">
        <v>157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3">
        <v>0.8</v>
      </c>
    </row>
    <row r="107" spans="2:13" x14ac:dyDescent="0.4">
      <c r="B107" s="1" t="s">
        <v>158</v>
      </c>
      <c r="C107" s="10">
        <v>1</v>
      </c>
      <c r="D107" s="10">
        <v>1</v>
      </c>
      <c r="E107" s="10">
        <v>1</v>
      </c>
      <c r="F107" s="10">
        <v>1</v>
      </c>
      <c r="G107" s="10">
        <v>1</v>
      </c>
      <c r="H107" s="10">
        <v>1</v>
      </c>
      <c r="I107" s="11">
        <v>1</v>
      </c>
      <c r="J107" s="11">
        <v>1</v>
      </c>
      <c r="K107" s="11">
        <v>1</v>
      </c>
      <c r="L107" s="11">
        <v>1</v>
      </c>
      <c r="M107" s="3">
        <v>1</v>
      </c>
    </row>
    <row r="108" spans="2:13" x14ac:dyDescent="0.4">
      <c r="B108" s="1" t="s">
        <v>159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3">
        <v>0.8</v>
      </c>
    </row>
    <row r="109" spans="2:13" x14ac:dyDescent="0.4">
      <c r="B109" s="1" t="s">
        <v>160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3">
        <v>0.4</v>
      </c>
    </row>
    <row r="110" spans="2:13" x14ac:dyDescent="0.4">
      <c r="B110" s="1" t="s">
        <v>161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3">
        <v>0.6</v>
      </c>
    </row>
    <row r="111" spans="2:13" x14ac:dyDescent="0.4">
      <c r="B111" s="1" t="s">
        <v>162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3">
        <v>0.4</v>
      </c>
    </row>
    <row r="112" spans="2:13" x14ac:dyDescent="0.4">
      <c r="B112" s="1" t="s">
        <v>163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3">
        <v>0.6</v>
      </c>
    </row>
    <row r="113" spans="2:13" x14ac:dyDescent="0.4">
      <c r="B113" s="1" t="s">
        <v>164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3">
        <v>1</v>
      </c>
    </row>
    <row r="114" spans="2:13" x14ac:dyDescent="0.4">
      <c r="B114" s="1" t="s">
        <v>165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12">
        <v>0</v>
      </c>
      <c r="I114" s="12">
        <v>1</v>
      </c>
      <c r="J114" s="12">
        <v>1</v>
      </c>
      <c r="K114" s="12">
        <v>1</v>
      </c>
      <c r="L114" s="12">
        <v>1</v>
      </c>
      <c r="M114" s="3">
        <v>1</v>
      </c>
    </row>
    <row r="115" spans="2:13" x14ac:dyDescent="0.4">
      <c r="B115" s="1" t="s">
        <v>166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3">
        <v>0.6</v>
      </c>
    </row>
    <row r="116" spans="2:13" x14ac:dyDescent="0.4">
      <c r="B116" s="1" t="s">
        <v>167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0.3</v>
      </c>
      <c r="M116" s="3">
        <v>0.6</v>
      </c>
    </row>
    <row r="117" spans="2:13" x14ac:dyDescent="0.4">
      <c r="B117" s="1" t="s">
        <v>168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3">
        <v>0.6</v>
      </c>
    </row>
    <row r="118" spans="2:13" x14ac:dyDescent="0.4">
      <c r="B118" s="1" t="s">
        <v>169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3">
        <v>0.6</v>
      </c>
    </row>
    <row r="119" spans="2:13" x14ac:dyDescent="0.4">
      <c r="B119" s="1" t="s">
        <v>170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3">
        <v>1</v>
      </c>
    </row>
    <row r="120" spans="2:13" x14ac:dyDescent="0.4">
      <c r="B120" s="1" t="s">
        <v>171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0.3</v>
      </c>
      <c r="M120" s="3">
        <v>0.6</v>
      </c>
    </row>
    <row r="121" spans="2:13" x14ac:dyDescent="0.4">
      <c r="B121" s="1" t="s">
        <v>172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0.3</v>
      </c>
      <c r="M121" s="3">
        <v>0.6</v>
      </c>
    </row>
    <row r="122" spans="2:13" x14ac:dyDescent="0.4">
      <c r="B122" s="1" t="s">
        <v>173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0.3</v>
      </c>
      <c r="M122" s="3">
        <v>0.6</v>
      </c>
    </row>
    <row r="123" spans="2:13" x14ac:dyDescent="0.4">
      <c r="B123" s="1" t="s">
        <v>174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0.3</v>
      </c>
      <c r="M123" s="3">
        <v>0.6</v>
      </c>
    </row>
    <row r="124" spans="2:13" x14ac:dyDescent="0.4">
      <c r="B124" s="1" t="s">
        <v>175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3">
        <v>0.4</v>
      </c>
    </row>
    <row r="125" spans="2:13" x14ac:dyDescent="0.4">
      <c r="B125" s="1" t="s">
        <v>176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1">
        <v>0</v>
      </c>
      <c r="I125" s="11">
        <v>0</v>
      </c>
      <c r="J125" s="11">
        <v>0</v>
      </c>
      <c r="K125" s="11">
        <v>0.3</v>
      </c>
      <c r="L125" s="11">
        <v>0.3</v>
      </c>
      <c r="M125" s="3">
        <v>0.8</v>
      </c>
    </row>
    <row r="126" spans="2:13" x14ac:dyDescent="0.4">
      <c r="B126" s="1" t="s">
        <v>177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12">
        <v>0</v>
      </c>
      <c r="I126" s="12">
        <v>0</v>
      </c>
      <c r="J126" s="12">
        <v>0</v>
      </c>
      <c r="K126" s="12">
        <v>0.3</v>
      </c>
      <c r="L126" s="12">
        <v>0.3</v>
      </c>
      <c r="M126" s="3">
        <v>0.8</v>
      </c>
    </row>
    <row r="127" spans="2:13" x14ac:dyDescent="0.4">
      <c r="B127" s="1" t="s">
        <v>178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3">
        <v>0.8</v>
      </c>
    </row>
    <row r="128" spans="2:13" x14ac:dyDescent="0.4">
      <c r="B128" s="1" t="s">
        <v>179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3">
        <v>1</v>
      </c>
    </row>
    <row r="129" spans="2:13" x14ac:dyDescent="0.4">
      <c r="B129" s="1" t="s">
        <v>180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0.3</v>
      </c>
      <c r="M129" s="3">
        <v>0.8</v>
      </c>
    </row>
    <row r="130" spans="2:13" x14ac:dyDescent="0.4">
      <c r="B130" s="1" t="s">
        <v>181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3">
        <v>0.4</v>
      </c>
    </row>
    <row r="131" spans="2:13" x14ac:dyDescent="0.4">
      <c r="B131" s="1" t="s">
        <v>182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1">
        <v>0</v>
      </c>
      <c r="I131" s="11">
        <v>0.3</v>
      </c>
      <c r="J131" s="11">
        <v>0.3</v>
      </c>
      <c r="K131" s="11">
        <v>0.3</v>
      </c>
      <c r="L131" s="11">
        <v>0</v>
      </c>
      <c r="M131" s="3">
        <v>0.7</v>
      </c>
    </row>
    <row r="132" spans="2:13" x14ac:dyDescent="0.4">
      <c r="B132" s="1" t="s">
        <v>183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12">
        <v>0</v>
      </c>
      <c r="I132" s="12">
        <v>0</v>
      </c>
      <c r="J132" s="12">
        <v>0</v>
      </c>
      <c r="K132" s="12">
        <v>0.3</v>
      </c>
      <c r="L132" s="12">
        <v>0.3</v>
      </c>
      <c r="M132" s="3">
        <v>0.6</v>
      </c>
    </row>
    <row r="133" spans="2:13" x14ac:dyDescent="0.4">
      <c r="B133" s="1" t="s">
        <v>184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3">
        <v>0.6</v>
      </c>
    </row>
    <row r="134" spans="2:13" x14ac:dyDescent="0.4">
      <c r="B134" s="1" t="s">
        <v>185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3">
        <v>0.8</v>
      </c>
    </row>
    <row r="135" spans="2:13" x14ac:dyDescent="0.4">
      <c r="B135" s="1" t="s">
        <v>186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1">
        <v>0</v>
      </c>
      <c r="I135" s="11">
        <v>0.3</v>
      </c>
      <c r="J135" s="11">
        <v>0.3</v>
      </c>
      <c r="K135" s="11">
        <v>0.3</v>
      </c>
      <c r="L135" s="11">
        <v>0</v>
      </c>
      <c r="M135" s="3">
        <v>0.7</v>
      </c>
    </row>
    <row r="136" spans="2:13" x14ac:dyDescent="0.4">
      <c r="B136" s="1" t="s">
        <v>187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3">
        <v>0.4</v>
      </c>
    </row>
    <row r="137" spans="2:13" x14ac:dyDescent="0.4">
      <c r="B137" s="1" t="s">
        <v>188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3">
        <v>0.7</v>
      </c>
    </row>
    <row r="138" spans="2:13" x14ac:dyDescent="0.4">
      <c r="B138" s="1" t="s">
        <v>189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12">
        <v>0</v>
      </c>
      <c r="I138" s="12">
        <v>0.3</v>
      </c>
      <c r="J138" s="12">
        <v>0.3</v>
      </c>
      <c r="K138" s="12">
        <v>0.3</v>
      </c>
      <c r="L138" s="12">
        <v>0</v>
      </c>
      <c r="M138" s="3">
        <v>0.8</v>
      </c>
    </row>
    <row r="139" spans="2:13" x14ac:dyDescent="0.4">
      <c r="B139" s="1" t="s">
        <v>190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3">
        <v>1</v>
      </c>
    </row>
    <row r="140" spans="2:13" x14ac:dyDescent="0.4">
      <c r="B140" s="1" t="s">
        <v>191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3">
        <v>1</v>
      </c>
    </row>
    <row r="141" spans="2:13" x14ac:dyDescent="0.4">
      <c r="B141" s="1" t="s">
        <v>192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3">
        <v>0.8</v>
      </c>
    </row>
    <row r="142" spans="2:13" x14ac:dyDescent="0.4">
      <c r="B142" s="1" t="s">
        <v>193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3">
        <v>0.4</v>
      </c>
    </row>
    <row r="143" spans="2:13" x14ac:dyDescent="0.4">
      <c r="B143" s="1" t="s">
        <v>194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3">
        <v>0.4</v>
      </c>
    </row>
    <row r="144" spans="2:13" x14ac:dyDescent="0.4">
      <c r="B144" s="1" t="s">
        <v>195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3">
        <v>0.4</v>
      </c>
    </row>
    <row r="145" spans="2:13" x14ac:dyDescent="0.4">
      <c r="B145" s="1" t="s">
        <v>196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3">
        <v>1</v>
      </c>
    </row>
    <row r="146" spans="2:13" x14ac:dyDescent="0.4">
      <c r="B146" s="1" t="s">
        <v>197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3">
        <v>0.6</v>
      </c>
    </row>
    <row r="147" spans="2:13" x14ac:dyDescent="0.4">
      <c r="B147" s="1" t="s">
        <v>198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3">
        <v>0.4</v>
      </c>
    </row>
    <row r="148" spans="2:13" x14ac:dyDescent="0.4">
      <c r="B148" s="1" t="s">
        <v>199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3">
        <v>1</v>
      </c>
    </row>
    <row r="149" spans="2:13" x14ac:dyDescent="0.4">
      <c r="B149" s="1" t="s">
        <v>200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3">
        <v>0.8</v>
      </c>
    </row>
    <row r="150" spans="2:13" x14ac:dyDescent="0.4">
      <c r="B150" s="1" t="s">
        <v>201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3">
        <v>0.4</v>
      </c>
    </row>
    <row r="151" spans="2:13" x14ac:dyDescent="0.4">
      <c r="B151" s="1" t="s">
        <v>202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3">
        <v>1</v>
      </c>
    </row>
    <row r="152" spans="2:13" x14ac:dyDescent="0.4">
      <c r="B152" s="1" t="s">
        <v>203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3">
        <v>1</v>
      </c>
    </row>
    <row r="153" spans="2:13" x14ac:dyDescent="0.4">
      <c r="B153" s="1" t="s">
        <v>204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3">
        <v>1</v>
      </c>
    </row>
    <row r="154" spans="2:13" x14ac:dyDescent="0.4">
      <c r="B154" s="4" t="s">
        <v>205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3">
        <v>0.6</v>
      </c>
    </row>
    <row r="155" spans="2:13" x14ac:dyDescent="0.4">
      <c r="B155" s="1" t="s">
        <v>206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0.3</v>
      </c>
      <c r="M155" s="3">
        <v>1</v>
      </c>
    </row>
    <row r="156" spans="2:13" x14ac:dyDescent="0.4">
      <c r="B156" s="1" t="s">
        <v>207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0.3</v>
      </c>
      <c r="M156" s="3">
        <v>0.6</v>
      </c>
    </row>
    <row r="157" spans="2:13" x14ac:dyDescent="0.4">
      <c r="B157" s="1" t="s">
        <v>208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3">
        <v>0.4</v>
      </c>
    </row>
    <row r="158" spans="2:13" x14ac:dyDescent="0.4">
      <c r="B158" s="1" t="s">
        <v>209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3">
        <v>1</v>
      </c>
    </row>
    <row r="159" spans="2:13" x14ac:dyDescent="0.4">
      <c r="B159" s="1" t="s">
        <v>210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3">
        <v>1</v>
      </c>
    </row>
    <row r="160" spans="2:13" x14ac:dyDescent="0.4">
      <c r="B160" s="1" t="s">
        <v>211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3">
        <v>1</v>
      </c>
    </row>
    <row r="161" spans="2:13" x14ac:dyDescent="0.4">
      <c r="B161" s="1" t="s">
        <v>212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3">
        <v>1</v>
      </c>
    </row>
    <row r="162" spans="2:13" x14ac:dyDescent="0.4">
      <c r="B162" s="1" t="s">
        <v>213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3">
        <v>0.4</v>
      </c>
    </row>
    <row r="163" spans="2:13" x14ac:dyDescent="0.4">
      <c r="B163" s="1" t="s">
        <v>214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3">
        <v>1</v>
      </c>
    </row>
    <row r="164" spans="2:13" x14ac:dyDescent="0.4">
      <c r="B164" s="1" t="s">
        <v>215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0.3</v>
      </c>
      <c r="M164" s="3">
        <v>0.6</v>
      </c>
    </row>
    <row r="165" spans="2:13" x14ac:dyDescent="0.4">
      <c r="B165" s="1" t="s">
        <v>216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0.3</v>
      </c>
      <c r="M165" s="3">
        <v>0.6</v>
      </c>
    </row>
    <row r="166" spans="2:13" x14ac:dyDescent="0.4">
      <c r="B166" s="1" t="s">
        <v>217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3">
        <v>0.4</v>
      </c>
    </row>
    <row r="167" spans="2:13" x14ac:dyDescent="0.4">
      <c r="B167" s="1" t="s">
        <v>218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3">
        <v>0.8</v>
      </c>
    </row>
    <row r="168" spans="2:13" x14ac:dyDescent="0.4">
      <c r="B168" s="1" t="s">
        <v>219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3">
        <v>0.6</v>
      </c>
    </row>
    <row r="169" spans="2:13" x14ac:dyDescent="0.4">
      <c r="B169" s="1" t="s">
        <v>220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3">
        <v>0.4</v>
      </c>
    </row>
    <row r="170" spans="2:13" x14ac:dyDescent="0.4">
      <c r="B170" s="1" t="s">
        <v>221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3">
        <v>0.4</v>
      </c>
    </row>
    <row r="171" spans="2:13" x14ac:dyDescent="0.4">
      <c r="B171" s="1" t="s">
        <v>222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3">
        <v>0.6</v>
      </c>
    </row>
    <row r="172" spans="2:13" x14ac:dyDescent="0.4">
      <c r="B172" s="1" t="s">
        <v>223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3">
        <v>0.6</v>
      </c>
    </row>
    <row r="173" spans="2:13" x14ac:dyDescent="0.4">
      <c r="B173" s="1" t="s">
        <v>224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3">
        <v>0.6</v>
      </c>
    </row>
    <row r="174" spans="2:13" x14ac:dyDescent="0.4">
      <c r="B174" s="1" t="s">
        <v>225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3">
        <v>0.4</v>
      </c>
    </row>
    <row r="175" spans="2:13" x14ac:dyDescent="0.4">
      <c r="B175" s="1" t="s">
        <v>226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3">
        <v>0.4</v>
      </c>
    </row>
    <row r="176" spans="2:13" x14ac:dyDescent="0.4">
      <c r="B176" s="1" t="s">
        <v>227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3">
        <v>1</v>
      </c>
    </row>
    <row r="177" spans="2:13" x14ac:dyDescent="0.4">
      <c r="B177" s="1" t="s">
        <v>228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3">
        <v>1</v>
      </c>
    </row>
    <row r="178" spans="2:13" x14ac:dyDescent="0.4">
      <c r="B178" s="1" t="s">
        <v>229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3">
        <v>0.4</v>
      </c>
    </row>
    <row r="179" spans="2:13" x14ac:dyDescent="0.4">
      <c r="B179" s="1" t="s">
        <v>230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3">
        <v>1</v>
      </c>
    </row>
    <row r="180" spans="2:13" x14ac:dyDescent="0.4">
      <c r="B180" s="1" t="s">
        <v>231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12">
        <v>0</v>
      </c>
      <c r="I180" s="12">
        <v>0</v>
      </c>
      <c r="J180" s="12">
        <v>0</v>
      </c>
      <c r="K180" s="12">
        <v>0.3</v>
      </c>
      <c r="L180" s="12">
        <v>0.3</v>
      </c>
      <c r="M180" s="3">
        <v>0.8</v>
      </c>
    </row>
    <row r="181" spans="2:13" x14ac:dyDescent="0.4">
      <c r="B181" s="1" t="s">
        <v>232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1">
        <v>0</v>
      </c>
      <c r="I181" s="11">
        <v>0</v>
      </c>
      <c r="J181" s="11">
        <v>0</v>
      </c>
      <c r="K181" s="11">
        <v>0.3</v>
      </c>
      <c r="L181" s="11">
        <v>0.3</v>
      </c>
      <c r="M181" s="3">
        <v>0.8</v>
      </c>
    </row>
    <row r="182" spans="2:13" x14ac:dyDescent="0.4">
      <c r="B182" s="1" t="s">
        <v>233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3">
        <v>0.8</v>
      </c>
    </row>
    <row r="183" spans="2:13" x14ac:dyDescent="0.4">
      <c r="B183" s="1" t="s">
        <v>234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1">
        <v>0</v>
      </c>
      <c r="I183" s="11">
        <v>0</v>
      </c>
      <c r="J183" s="11">
        <v>0</v>
      </c>
      <c r="K183" s="11">
        <v>0.3</v>
      </c>
      <c r="L183" s="11">
        <v>0</v>
      </c>
      <c r="M183" s="3">
        <v>0.6</v>
      </c>
    </row>
    <row r="184" spans="2:13" x14ac:dyDescent="0.4">
      <c r="B184" s="1" t="s">
        <v>235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12">
        <v>0</v>
      </c>
      <c r="I184" s="12">
        <v>0</v>
      </c>
      <c r="J184" s="12">
        <v>0</v>
      </c>
      <c r="K184" s="12">
        <v>0.3</v>
      </c>
      <c r="L184" s="12">
        <v>0.3</v>
      </c>
      <c r="M184" s="3">
        <v>0.8</v>
      </c>
    </row>
    <row r="185" spans="2:13" x14ac:dyDescent="0.4">
      <c r="B185" s="1" t="s">
        <v>236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3">
        <v>0.8</v>
      </c>
    </row>
    <row r="186" spans="2:13" x14ac:dyDescent="0.4">
      <c r="B186" s="1" t="s">
        <v>237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3">
        <v>0.6</v>
      </c>
    </row>
    <row r="187" spans="2:13" x14ac:dyDescent="0.4">
      <c r="B187" s="1" t="s">
        <v>238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3">
        <v>1</v>
      </c>
    </row>
    <row r="188" spans="2:13" x14ac:dyDescent="0.4">
      <c r="B188" s="1" t="s">
        <v>239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12">
        <v>0</v>
      </c>
      <c r="I188" s="12">
        <v>0.9</v>
      </c>
      <c r="J188" s="12">
        <v>0.9</v>
      </c>
      <c r="K188" s="12">
        <v>0.9</v>
      </c>
      <c r="L188" s="12">
        <v>0.9</v>
      </c>
      <c r="M188" s="3">
        <v>1</v>
      </c>
    </row>
    <row r="189" spans="2:13" x14ac:dyDescent="0.4">
      <c r="B189" s="1" t="s">
        <v>240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1">
        <v>0</v>
      </c>
      <c r="I189" s="11">
        <v>0.9</v>
      </c>
      <c r="J189" s="11">
        <v>0.9</v>
      </c>
      <c r="K189" s="11">
        <v>0.9</v>
      </c>
      <c r="L189" s="11">
        <v>0.9</v>
      </c>
      <c r="M189" s="3">
        <v>1</v>
      </c>
    </row>
    <row r="190" spans="2:13" x14ac:dyDescent="0.4">
      <c r="B190" s="1" t="s">
        <v>241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3">
        <v>1</v>
      </c>
    </row>
    <row r="191" spans="2:13" x14ac:dyDescent="0.4">
      <c r="B191" s="1" t="s">
        <v>242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3">
        <v>0.4</v>
      </c>
    </row>
    <row r="192" spans="2:13" x14ac:dyDescent="0.4">
      <c r="B192" s="1" t="s">
        <v>243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3">
        <v>0.4</v>
      </c>
    </row>
    <row r="193" spans="2:13" x14ac:dyDescent="0.4">
      <c r="B193" s="1" t="s">
        <v>244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3">
        <v>0.4</v>
      </c>
    </row>
    <row r="194" spans="2:13" x14ac:dyDescent="0.4">
      <c r="B194" s="1" t="s">
        <v>245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3">
        <v>0.4</v>
      </c>
    </row>
    <row r="195" spans="2:13" x14ac:dyDescent="0.4">
      <c r="B195" s="1" t="s">
        <v>246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3">
        <v>0.4</v>
      </c>
    </row>
    <row r="196" spans="2:13" x14ac:dyDescent="0.4">
      <c r="B196" s="1" t="s">
        <v>247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3">
        <v>0.4</v>
      </c>
    </row>
    <row r="197" spans="2:13" x14ac:dyDescent="0.4">
      <c r="B197" s="1" t="s">
        <v>248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3">
        <v>0.4</v>
      </c>
    </row>
    <row r="198" spans="2:13" x14ac:dyDescent="0.4">
      <c r="B198" s="1" t="s">
        <v>249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3">
        <v>0.4</v>
      </c>
    </row>
    <row r="199" spans="2:13" x14ac:dyDescent="0.4">
      <c r="B199" s="1" t="s">
        <v>250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3">
        <v>1</v>
      </c>
    </row>
    <row r="200" spans="2:13" x14ac:dyDescent="0.4">
      <c r="B200" s="1" t="s">
        <v>251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3">
        <v>1</v>
      </c>
    </row>
    <row r="201" spans="2:13" x14ac:dyDescent="0.4">
      <c r="B201" s="1" t="s">
        <v>252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1">
        <v>0.3</v>
      </c>
      <c r="I201" s="11">
        <v>0.9</v>
      </c>
      <c r="J201" s="11">
        <v>0.9</v>
      </c>
      <c r="K201" s="11">
        <v>0.9</v>
      </c>
      <c r="L201" s="11">
        <v>0.9</v>
      </c>
      <c r="M201" s="3">
        <v>1</v>
      </c>
    </row>
    <row r="202" spans="2:13" x14ac:dyDescent="0.4">
      <c r="B202" s="1" t="s">
        <v>253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3">
        <v>0.4</v>
      </c>
    </row>
    <row r="203" spans="2:13" x14ac:dyDescent="0.4">
      <c r="B203" s="1" t="s">
        <v>254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3">
        <v>0.4</v>
      </c>
    </row>
    <row r="204" spans="2:13" x14ac:dyDescent="0.4">
      <c r="B204" s="1" t="s">
        <v>255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3">
        <v>0.8</v>
      </c>
    </row>
    <row r="205" spans="2:13" x14ac:dyDescent="0.4">
      <c r="B205" s="1" t="s">
        <v>256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3">
        <v>0.4</v>
      </c>
    </row>
    <row r="206" spans="2:13" x14ac:dyDescent="0.4">
      <c r="B206" s="1" t="s">
        <v>257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3">
        <v>0.4</v>
      </c>
    </row>
    <row r="207" spans="2:13" x14ac:dyDescent="0.4">
      <c r="B207" s="1" t="s">
        <v>258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3">
        <v>0.4</v>
      </c>
    </row>
    <row r="208" spans="2:13" x14ac:dyDescent="0.4">
      <c r="B208" s="1" t="s">
        <v>259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3">
        <v>0.4</v>
      </c>
    </row>
    <row r="209" spans="2:13" x14ac:dyDescent="0.4">
      <c r="B209" s="1" t="s">
        <v>260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3">
        <v>0.4</v>
      </c>
    </row>
    <row r="210" spans="2:13" x14ac:dyDescent="0.4">
      <c r="B210" s="1" t="s">
        <v>261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3">
        <v>1</v>
      </c>
    </row>
    <row r="211" spans="2:13" x14ac:dyDescent="0.4">
      <c r="B211" s="1" t="s">
        <v>262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3">
        <v>0.4</v>
      </c>
    </row>
    <row r="212" spans="2:13" x14ac:dyDescent="0.4">
      <c r="B212" s="1" t="s">
        <v>263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3">
        <v>0.4</v>
      </c>
    </row>
    <row r="213" spans="2:13" x14ac:dyDescent="0.4">
      <c r="B213" s="1" t="s">
        <v>264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3">
        <v>0.4</v>
      </c>
    </row>
    <row r="214" spans="2:13" x14ac:dyDescent="0.4">
      <c r="B214" s="1" t="s">
        <v>265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0.3</v>
      </c>
      <c r="M214" s="3">
        <v>0.6</v>
      </c>
    </row>
    <row r="215" spans="2:13" x14ac:dyDescent="0.4">
      <c r="B215" s="1" t="s">
        <v>266</v>
      </c>
      <c r="C215" s="11"/>
      <c r="D215" s="11"/>
      <c r="E215" s="11"/>
      <c r="F215" s="11"/>
      <c r="G215" s="11"/>
      <c r="H215" s="11"/>
      <c r="I215" s="11">
        <v>1</v>
      </c>
      <c r="J215" s="11">
        <v>1</v>
      </c>
      <c r="K215" s="11">
        <v>1</v>
      </c>
      <c r="L215" s="11">
        <v>1</v>
      </c>
      <c r="M215" s="3">
        <v>1</v>
      </c>
    </row>
    <row r="216" spans="2:13" x14ac:dyDescent="0.4">
      <c r="B216" s="1" t="s">
        <v>267</v>
      </c>
      <c r="C216" s="12"/>
      <c r="D216" s="12"/>
      <c r="E216" s="12"/>
      <c r="F216" s="12"/>
      <c r="G216" s="12"/>
      <c r="H216" s="12"/>
      <c r="I216" s="12">
        <v>1</v>
      </c>
      <c r="J216" s="12">
        <v>1</v>
      </c>
      <c r="K216" s="12">
        <v>1</v>
      </c>
      <c r="L216" s="12">
        <v>1</v>
      </c>
      <c r="M216" s="3">
        <v>1</v>
      </c>
    </row>
    <row r="217" spans="2:13" x14ac:dyDescent="0.4">
      <c r="B217" s="1" t="s">
        <v>268</v>
      </c>
      <c r="C217" s="11"/>
      <c r="D217" s="11"/>
      <c r="E217" s="11"/>
      <c r="F217" s="11"/>
      <c r="G217" s="11"/>
      <c r="H217" s="11"/>
      <c r="I217" s="11">
        <v>1</v>
      </c>
      <c r="J217" s="11">
        <v>1</v>
      </c>
      <c r="K217" s="11">
        <v>1</v>
      </c>
      <c r="L217" s="11">
        <v>1</v>
      </c>
      <c r="M217" s="3">
        <v>1</v>
      </c>
    </row>
    <row r="218" spans="2:13" x14ac:dyDescent="0.4">
      <c r="B218" s="1" t="s">
        <v>269</v>
      </c>
      <c r="C218" s="12"/>
      <c r="D218" s="12"/>
      <c r="E218" s="12"/>
      <c r="F218" s="12"/>
      <c r="G218" s="12"/>
      <c r="H218" s="12"/>
      <c r="I218" s="12">
        <v>1</v>
      </c>
      <c r="J218" s="12">
        <v>1</v>
      </c>
      <c r="K218" s="12">
        <v>1</v>
      </c>
      <c r="L218" s="12">
        <v>1</v>
      </c>
      <c r="M218" s="3">
        <v>1</v>
      </c>
    </row>
    <row r="219" spans="2:13" x14ac:dyDescent="0.4">
      <c r="B219" s="1" t="s">
        <v>270</v>
      </c>
      <c r="C219" s="11"/>
      <c r="D219" s="11"/>
      <c r="E219" s="11"/>
      <c r="F219" s="11"/>
      <c r="G219" s="11"/>
      <c r="H219" s="11"/>
      <c r="I219" s="11"/>
      <c r="J219" s="11"/>
      <c r="K219" s="11">
        <v>1</v>
      </c>
      <c r="L219" s="11">
        <v>1</v>
      </c>
      <c r="M219" s="3">
        <v>1</v>
      </c>
    </row>
    <row r="220" spans="2:13" x14ac:dyDescent="0.4">
      <c r="B220" s="1" t="s">
        <v>271</v>
      </c>
      <c r="C220" s="12"/>
      <c r="D220" s="12"/>
      <c r="E220" s="12"/>
      <c r="F220" s="12"/>
      <c r="G220" s="12"/>
      <c r="H220" s="12"/>
      <c r="I220" s="12"/>
      <c r="J220" s="12"/>
      <c r="K220" s="12">
        <v>1</v>
      </c>
      <c r="L220" s="12">
        <v>1</v>
      </c>
      <c r="M220" s="3">
        <v>1</v>
      </c>
    </row>
    <row r="221" spans="2:13" x14ac:dyDescent="0.4">
      <c r="B221" s="1" t="s">
        <v>272</v>
      </c>
      <c r="C221" s="11"/>
      <c r="D221" s="11"/>
      <c r="E221" s="11"/>
      <c r="F221" s="11"/>
      <c r="G221" s="11"/>
      <c r="H221" s="11"/>
      <c r="I221" s="11"/>
      <c r="J221" s="11"/>
      <c r="K221" s="11">
        <v>1</v>
      </c>
      <c r="L221" s="11">
        <v>1</v>
      </c>
      <c r="M221" s="3">
        <v>1</v>
      </c>
    </row>
    <row r="222" spans="2:13" x14ac:dyDescent="0.4">
      <c r="B222" s="1" t="s">
        <v>273</v>
      </c>
      <c r="C222" s="12"/>
      <c r="D222" s="12"/>
      <c r="E222" s="12"/>
      <c r="F222" s="12"/>
      <c r="G222" s="12"/>
      <c r="H222" s="12"/>
      <c r="I222" s="12"/>
      <c r="J222" s="12"/>
      <c r="K222" s="12">
        <v>1</v>
      </c>
      <c r="L222" s="12">
        <v>1</v>
      </c>
      <c r="M222" s="3">
        <v>1</v>
      </c>
    </row>
    <row r="223" spans="2:13" x14ac:dyDescent="0.4">
      <c r="B223" s="1" t="s">
        <v>274</v>
      </c>
      <c r="C223" s="11"/>
      <c r="D223" s="11"/>
      <c r="E223" s="11"/>
      <c r="F223" s="11"/>
      <c r="G223" s="11"/>
      <c r="H223" s="11"/>
      <c r="I223" s="11"/>
      <c r="J223" s="11"/>
      <c r="K223" s="11">
        <v>0.3</v>
      </c>
      <c r="L223" s="11">
        <v>0.3</v>
      </c>
      <c r="M223" s="3">
        <v>0.8</v>
      </c>
    </row>
    <row r="224" spans="2:13" x14ac:dyDescent="0.4">
      <c r="B224" s="1" t="s">
        <v>275</v>
      </c>
      <c r="C224" s="12"/>
      <c r="D224" s="12"/>
      <c r="E224" s="12"/>
      <c r="F224" s="12"/>
      <c r="G224" s="12"/>
      <c r="H224" s="12"/>
      <c r="I224" s="12"/>
      <c r="J224" s="12"/>
      <c r="K224" s="12">
        <v>0.3</v>
      </c>
      <c r="L224" s="12">
        <v>0.3</v>
      </c>
      <c r="M224" s="3">
        <v>0.8</v>
      </c>
    </row>
    <row r="225" spans="2:13" x14ac:dyDescent="0.4">
      <c r="B225" s="1" t="s">
        <v>276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>
        <v>0.3</v>
      </c>
      <c r="M225" s="3">
        <v>1</v>
      </c>
    </row>
    <row r="226" spans="2:13" x14ac:dyDescent="0.4">
      <c r="B226" s="1" t="s">
        <v>277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>
        <v>0.3</v>
      </c>
      <c r="M226" s="3">
        <v>1</v>
      </c>
    </row>
    <row r="227" spans="2:13" x14ac:dyDescent="0.4">
      <c r="B227" s="1" t="s">
        <v>278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>
        <v>0.3</v>
      </c>
      <c r="M227" s="3">
        <v>0.8</v>
      </c>
    </row>
    <row r="228" spans="2:13" x14ac:dyDescent="0.4">
      <c r="B228" s="1" t="s">
        <v>279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>
        <v>0.3</v>
      </c>
      <c r="M228" s="3">
        <v>0.8</v>
      </c>
    </row>
    <row r="229" spans="2:13" x14ac:dyDescent="0.4">
      <c r="B229" s="1" t="s">
        <v>280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>
        <v>0.3</v>
      </c>
      <c r="M229" s="2">
        <v>1</v>
      </c>
    </row>
    <row r="230" spans="2:13" x14ac:dyDescent="0.4">
      <c r="B230" s="1" t="s">
        <v>281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>
        <v>1</v>
      </c>
    </row>
    <row r="231" spans="2:13" x14ac:dyDescent="0.4">
      <c r="B231" s="1" t="s">
        <v>282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>
        <v>1</v>
      </c>
    </row>
    <row r="232" spans="2:13" x14ac:dyDescent="0.4">
      <c r="B232" s="1" t="s">
        <v>283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>
        <v>1</v>
      </c>
    </row>
    <row r="233" spans="2:13" x14ac:dyDescent="0.4">
      <c r="B233" s="1" t="s">
        <v>284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>
        <v>1</v>
      </c>
    </row>
    <row r="234" spans="2:13" x14ac:dyDescent="0.4">
      <c r="B234" s="1" t="s">
        <v>285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>
        <v>1</v>
      </c>
    </row>
    <row r="235" spans="2:13" x14ac:dyDescent="0.4">
      <c r="B235" s="1" t="s">
        <v>286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>
        <v>1</v>
      </c>
    </row>
    <row r="236" spans="2:13" x14ac:dyDescent="0.4">
      <c r="B236" s="1" t="s">
        <v>287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>
        <v>1</v>
      </c>
    </row>
    <row r="237" spans="2:13" x14ac:dyDescent="0.4">
      <c r="B237" s="1" t="s">
        <v>288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>
        <v>1</v>
      </c>
    </row>
    <row r="238" spans="2:13" x14ac:dyDescent="0.4">
      <c r="B238" s="1" t="s">
        <v>289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>
        <v>1</v>
      </c>
    </row>
    <row r="239" spans="2:13" x14ac:dyDescent="0.4">
      <c r="B239" s="1" t="s">
        <v>290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>
        <v>1</v>
      </c>
    </row>
    <row r="240" spans="2:13" x14ac:dyDescent="0.4">
      <c r="B240" s="1" t="s">
        <v>291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>
        <v>1</v>
      </c>
    </row>
    <row r="241" spans="2:13" x14ac:dyDescent="0.4">
      <c r="B241" s="1" t="s">
        <v>292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>
        <v>1</v>
      </c>
    </row>
    <row r="242" spans="2:13" x14ac:dyDescent="0.4">
      <c r="B242" s="1" t="s">
        <v>293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>
        <v>1</v>
      </c>
    </row>
    <row r="243" spans="2:13" x14ac:dyDescent="0.4">
      <c r="B243" s="1" t="s">
        <v>294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>
        <v>1</v>
      </c>
    </row>
    <row r="244" spans="2:13" x14ac:dyDescent="0.4">
      <c r="B244" s="1" t="s">
        <v>295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63CF-6DB0-46E3-AB1D-C689EB9885C4}">
  <dimension ref="B1:BP244"/>
  <sheetViews>
    <sheetView workbookViewId="0">
      <pane xSplit="2" ySplit="6" topLeftCell="C7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11.3984375" defaultRowHeight="14.25" x14ac:dyDescent="0.4"/>
  <cols>
    <col min="1" max="1" width="11.3984375" style="1"/>
    <col min="2" max="2" width="36" style="1" customWidth="1"/>
    <col min="3" max="3" width="28.86328125" style="1" bestFit="1" customWidth="1"/>
    <col min="4" max="4" width="36.265625" style="1" customWidth="1"/>
    <col min="5" max="5" width="27" style="1" customWidth="1"/>
    <col min="6" max="6" width="23.59765625" style="1" customWidth="1"/>
    <col min="7" max="7" width="42.265625" style="1" customWidth="1"/>
    <col min="8" max="8" width="31" style="1" customWidth="1"/>
    <col min="9" max="9" width="29" style="1" bestFit="1" customWidth="1"/>
    <col min="10" max="10" width="36.3984375" style="1" customWidth="1"/>
    <col min="11" max="11" width="27.1328125" style="1" customWidth="1"/>
    <col min="12" max="12" width="23.73046875" style="1" customWidth="1"/>
    <col min="13" max="13" width="42.3984375" style="1" customWidth="1"/>
    <col min="14" max="14" width="31.1328125" style="1" customWidth="1"/>
    <col min="15" max="15" width="28.73046875" style="1" bestFit="1" customWidth="1"/>
    <col min="16" max="16" width="36.1328125" style="1" customWidth="1"/>
    <col min="17" max="17" width="26.86328125" style="1" customWidth="1"/>
    <col min="18" max="18" width="23.265625" style="1" customWidth="1"/>
    <col min="19" max="19" width="42.1328125" style="1" customWidth="1"/>
    <col min="20" max="20" width="30.86328125" style="1" customWidth="1"/>
    <col min="21" max="21" width="29.1328125" style="1" bestFit="1" customWidth="1"/>
    <col min="22" max="22" width="36.59765625" style="1" customWidth="1"/>
    <col min="23" max="23" width="27.265625" style="1" customWidth="1"/>
    <col min="24" max="24" width="23.86328125" style="1" customWidth="1"/>
    <col min="25" max="25" width="42.59765625" style="1" customWidth="1"/>
    <col min="26" max="26" width="31.265625" style="1" customWidth="1"/>
    <col min="27" max="27" width="28.3984375" style="1" bestFit="1" customWidth="1"/>
    <col min="28" max="28" width="36" style="1" customWidth="1"/>
    <col min="29" max="29" width="26.73046875" style="1" customWidth="1"/>
    <col min="30" max="30" width="23.1328125" style="1" customWidth="1"/>
    <col min="31" max="31" width="42" style="1" customWidth="1"/>
    <col min="32" max="32" width="30.73046875" style="1" customWidth="1"/>
    <col min="33" max="33" width="29" style="1" bestFit="1" customWidth="1"/>
    <col min="34" max="34" width="36.3984375" style="1" customWidth="1"/>
    <col min="35" max="35" width="27.1328125" style="1" customWidth="1"/>
    <col min="36" max="36" width="23.73046875" style="1" customWidth="1"/>
    <col min="37" max="37" width="42.3984375" style="1" customWidth="1"/>
    <col min="38" max="38" width="31.1328125" style="1" customWidth="1"/>
    <col min="39" max="39" width="28.86328125" style="1" bestFit="1" customWidth="1"/>
    <col min="40" max="40" width="36.265625" style="1" customWidth="1"/>
    <col min="41" max="41" width="27" style="1" customWidth="1"/>
    <col min="42" max="42" width="23.59765625" style="1" customWidth="1"/>
    <col min="43" max="43" width="42.265625" style="1" customWidth="1"/>
    <col min="44" max="44" width="31" style="1" customWidth="1"/>
    <col min="45" max="45" width="28.86328125" style="1" bestFit="1" customWidth="1"/>
    <col min="46" max="46" width="36.265625" style="1" customWidth="1"/>
    <col min="47" max="47" width="27" style="1" customWidth="1"/>
    <col min="48" max="48" width="23.59765625" style="1" customWidth="1"/>
    <col min="49" max="49" width="42.265625" style="1" customWidth="1"/>
    <col min="50" max="50" width="31" style="1" customWidth="1"/>
    <col min="51" max="51" width="28.3984375" style="1" bestFit="1" customWidth="1"/>
    <col min="52" max="52" width="36" style="1" customWidth="1"/>
    <col min="53" max="53" width="26.73046875" style="1" customWidth="1"/>
    <col min="54" max="54" width="23.1328125" style="1" customWidth="1"/>
    <col min="55" max="55" width="42" style="1" customWidth="1"/>
    <col min="56" max="56" width="30.73046875" style="1" customWidth="1"/>
    <col min="57" max="57" width="29.1328125" style="1" bestFit="1" customWidth="1"/>
    <col min="58" max="58" width="36.59765625" style="1" bestFit="1" customWidth="1"/>
    <col min="59" max="59" width="27.265625" style="1" bestFit="1" customWidth="1"/>
    <col min="60" max="60" width="23.86328125" style="1" bestFit="1" customWidth="1"/>
    <col min="61" max="61" width="42.59765625" style="1" bestFit="1" customWidth="1"/>
    <col min="62" max="62" width="31.265625" style="1" bestFit="1" customWidth="1"/>
    <col min="63" max="63" width="30.1328125" style="1" bestFit="1" customWidth="1"/>
    <col min="64" max="64" width="37.59765625" style="1" bestFit="1" customWidth="1"/>
    <col min="65" max="65" width="28.265625" style="1" bestFit="1" customWidth="1"/>
    <col min="66" max="66" width="24.86328125" style="1" bestFit="1" customWidth="1"/>
    <col min="67" max="67" width="43.59765625" style="1" bestFit="1" customWidth="1"/>
    <col min="68" max="68" width="32.265625" style="1" bestFit="1" customWidth="1"/>
    <col min="69" max="16384" width="11.3984375" style="1"/>
  </cols>
  <sheetData>
    <row r="1" spans="2:68" x14ac:dyDescent="0.4">
      <c r="B1" s="1" t="s">
        <v>319</v>
      </c>
    </row>
    <row r="2" spans="2:68" x14ac:dyDescent="0.4">
      <c r="C2" s="1" t="s">
        <v>381</v>
      </c>
      <c r="D2" s="1" t="s">
        <v>382</v>
      </c>
      <c r="E2" s="1" t="s">
        <v>383</v>
      </c>
      <c r="F2" s="1" t="s">
        <v>379</v>
      </c>
      <c r="G2" s="1" t="s">
        <v>384</v>
      </c>
      <c r="H2" s="1" t="s">
        <v>385</v>
      </c>
      <c r="I2" s="1" t="s">
        <v>381</v>
      </c>
      <c r="J2" s="1" t="s">
        <v>382</v>
      </c>
      <c r="K2" s="1" t="s">
        <v>383</v>
      </c>
      <c r="L2" s="1" t="s">
        <v>379</v>
      </c>
      <c r="M2" s="1" t="s">
        <v>384</v>
      </c>
      <c r="N2" s="1" t="s">
        <v>385</v>
      </c>
      <c r="O2" s="1" t="s">
        <v>381</v>
      </c>
      <c r="P2" s="1" t="s">
        <v>382</v>
      </c>
      <c r="Q2" s="1" t="s">
        <v>383</v>
      </c>
      <c r="R2" s="1" t="s">
        <v>379</v>
      </c>
      <c r="S2" s="1" t="s">
        <v>384</v>
      </c>
      <c r="T2" s="1" t="s">
        <v>385</v>
      </c>
      <c r="U2" s="1" t="s">
        <v>381</v>
      </c>
      <c r="V2" s="1" t="s">
        <v>382</v>
      </c>
      <c r="W2" s="1" t="s">
        <v>383</v>
      </c>
      <c r="X2" s="1" t="s">
        <v>379</v>
      </c>
      <c r="Y2" s="1" t="s">
        <v>384</v>
      </c>
      <c r="Z2" s="1" t="s">
        <v>385</v>
      </c>
      <c r="AA2" s="1" t="s">
        <v>381</v>
      </c>
      <c r="AB2" s="1" t="s">
        <v>382</v>
      </c>
      <c r="AC2" s="1" t="s">
        <v>383</v>
      </c>
      <c r="AD2" s="1" t="s">
        <v>379</v>
      </c>
      <c r="AE2" s="1" t="s">
        <v>384</v>
      </c>
      <c r="AF2" s="1" t="s">
        <v>385</v>
      </c>
      <c r="AG2" s="1" t="s">
        <v>381</v>
      </c>
      <c r="AH2" s="1" t="s">
        <v>382</v>
      </c>
      <c r="AI2" s="1" t="s">
        <v>383</v>
      </c>
      <c r="AJ2" s="1" t="s">
        <v>379</v>
      </c>
      <c r="AK2" s="1" t="s">
        <v>384</v>
      </c>
      <c r="AL2" s="1" t="s">
        <v>385</v>
      </c>
      <c r="AM2" s="1" t="s">
        <v>381</v>
      </c>
      <c r="AN2" s="1" t="s">
        <v>382</v>
      </c>
      <c r="AO2" s="1" t="s">
        <v>383</v>
      </c>
      <c r="AP2" s="1" t="s">
        <v>379</v>
      </c>
      <c r="AQ2" s="1" t="s">
        <v>384</v>
      </c>
      <c r="AR2" s="1" t="s">
        <v>385</v>
      </c>
      <c r="AS2" s="1" t="s">
        <v>381</v>
      </c>
      <c r="AT2" s="1" t="s">
        <v>382</v>
      </c>
      <c r="AU2" s="1" t="s">
        <v>383</v>
      </c>
      <c r="AV2" s="1" t="s">
        <v>379</v>
      </c>
      <c r="AW2" s="1" t="s">
        <v>384</v>
      </c>
      <c r="AX2" s="1" t="s">
        <v>385</v>
      </c>
      <c r="AY2" s="1" t="s">
        <v>381</v>
      </c>
      <c r="AZ2" s="1" t="s">
        <v>382</v>
      </c>
      <c r="BA2" s="1" t="s">
        <v>383</v>
      </c>
      <c r="BB2" s="1" t="s">
        <v>379</v>
      </c>
      <c r="BC2" s="1" t="s">
        <v>384</v>
      </c>
      <c r="BD2" s="1" t="s">
        <v>385</v>
      </c>
      <c r="BE2" s="1" t="s">
        <v>381</v>
      </c>
      <c r="BF2" s="1" t="s">
        <v>382</v>
      </c>
      <c r="BG2" s="1" t="s">
        <v>383</v>
      </c>
      <c r="BH2" s="1" t="s">
        <v>379</v>
      </c>
      <c r="BI2" s="1" t="s">
        <v>384</v>
      </c>
      <c r="BJ2" s="1" t="s">
        <v>385</v>
      </c>
      <c r="BK2" s="1" t="s">
        <v>381</v>
      </c>
      <c r="BL2" s="1" t="s">
        <v>382</v>
      </c>
      <c r="BM2" s="1" t="s">
        <v>383</v>
      </c>
      <c r="BN2" s="1" t="s">
        <v>379</v>
      </c>
      <c r="BO2" s="1" t="s">
        <v>384</v>
      </c>
      <c r="BP2" s="1" t="s">
        <v>385</v>
      </c>
    </row>
    <row r="3" spans="2:68" x14ac:dyDescent="0.4"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2</v>
      </c>
      <c r="J3" s="1">
        <v>2</v>
      </c>
      <c r="K3" s="1">
        <v>2</v>
      </c>
      <c r="L3" s="1">
        <v>2</v>
      </c>
      <c r="M3" s="1">
        <v>2</v>
      </c>
      <c r="N3" s="1">
        <v>2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4</v>
      </c>
      <c r="V3" s="1">
        <v>4</v>
      </c>
      <c r="W3" s="1">
        <v>4</v>
      </c>
      <c r="X3" s="1">
        <v>4</v>
      </c>
      <c r="Y3" s="1">
        <v>4</v>
      </c>
      <c r="Z3" s="1">
        <v>4</v>
      </c>
      <c r="AA3" s="1">
        <v>5</v>
      </c>
      <c r="AB3" s="1">
        <v>5</v>
      </c>
      <c r="AC3" s="1">
        <v>5</v>
      </c>
      <c r="AD3" s="1">
        <v>5</v>
      </c>
      <c r="AE3" s="1">
        <v>5</v>
      </c>
      <c r="AF3" s="1">
        <v>5</v>
      </c>
      <c r="AG3" s="1">
        <v>6</v>
      </c>
      <c r="AH3" s="1">
        <v>6</v>
      </c>
      <c r="AI3" s="1">
        <v>6</v>
      </c>
      <c r="AJ3" s="1">
        <v>6</v>
      </c>
      <c r="AK3" s="1">
        <v>6</v>
      </c>
      <c r="AL3" s="1">
        <v>6</v>
      </c>
      <c r="AM3" s="1">
        <v>7</v>
      </c>
      <c r="AN3" s="1">
        <v>7</v>
      </c>
      <c r="AO3" s="1">
        <v>7</v>
      </c>
      <c r="AP3" s="1">
        <v>7</v>
      </c>
      <c r="AQ3" s="1">
        <v>7</v>
      </c>
      <c r="AR3" s="1">
        <v>7</v>
      </c>
      <c r="AS3" s="1">
        <v>8</v>
      </c>
      <c r="AT3" s="1">
        <v>8</v>
      </c>
      <c r="AU3" s="1">
        <v>8</v>
      </c>
      <c r="AV3" s="1">
        <v>8</v>
      </c>
      <c r="AW3" s="1">
        <v>8</v>
      </c>
      <c r="AX3" s="1">
        <v>8</v>
      </c>
      <c r="AY3" s="1">
        <v>9</v>
      </c>
      <c r="AZ3" s="1">
        <v>9</v>
      </c>
      <c r="BA3" s="1">
        <v>9</v>
      </c>
      <c r="BB3" s="1">
        <v>9</v>
      </c>
      <c r="BC3" s="1">
        <v>9</v>
      </c>
      <c r="BD3" s="1">
        <v>9</v>
      </c>
      <c r="BE3" s="1">
        <v>10</v>
      </c>
      <c r="BF3" s="1">
        <v>10</v>
      </c>
      <c r="BG3" s="1">
        <v>10</v>
      </c>
      <c r="BH3" s="1">
        <v>10</v>
      </c>
      <c r="BI3" s="1">
        <v>10</v>
      </c>
      <c r="BJ3" s="1">
        <v>10</v>
      </c>
      <c r="BK3" s="1">
        <v>17</v>
      </c>
      <c r="BL3" s="1">
        <v>17</v>
      </c>
      <c r="BM3" s="1">
        <v>17</v>
      </c>
      <c r="BN3" s="1">
        <v>17</v>
      </c>
      <c r="BO3" s="1">
        <v>17</v>
      </c>
      <c r="BP3" s="1">
        <v>17</v>
      </c>
    </row>
    <row r="4" spans="2:68" x14ac:dyDescent="0.4">
      <c r="C4" s="27">
        <f>SUMIF(C7:C244,"&gt;0")/COUNTIF(C7:C244,"&gt;0")</f>
        <v>0.99605263157894741</v>
      </c>
      <c r="D4" s="27">
        <f t="shared" ref="D4:BO4" si="0">SUMIF(D7:D244,"&gt;0")/COUNTIF(D7:D244,"&gt;0")</f>
        <v>0.98684210526315785</v>
      </c>
      <c r="E4" s="27">
        <f t="shared" si="0"/>
        <v>0.93565789473684213</v>
      </c>
      <c r="F4" s="27">
        <f t="shared" si="0"/>
        <v>0.88676470588235323</v>
      </c>
      <c r="G4" s="27">
        <f t="shared" si="0"/>
        <v>0.98684210526315785</v>
      </c>
      <c r="H4" s="27">
        <f t="shared" si="0"/>
        <v>0.52703104575163451</v>
      </c>
      <c r="I4" s="27">
        <f t="shared" si="0"/>
        <v>0.97948717948717956</v>
      </c>
      <c r="J4" s="27">
        <f t="shared" si="0"/>
        <v>0.96666666666666679</v>
      </c>
      <c r="K4" s="27">
        <f t="shared" si="0"/>
        <v>0.94888157894736858</v>
      </c>
      <c r="L4" s="27">
        <f t="shared" si="0"/>
        <v>0.88872549019607872</v>
      </c>
      <c r="M4" s="27">
        <f t="shared" si="0"/>
        <v>0.96666666666666679</v>
      </c>
      <c r="N4" s="27">
        <f t="shared" si="0"/>
        <v>0.52633252032520372</v>
      </c>
      <c r="O4" s="27">
        <f t="shared" si="0"/>
        <v>0.86666666666666659</v>
      </c>
      <c r="P4" s="27">
        <f t="shared" si="0"/>
        <v>0.79901960784313752</v>
      </c>
      <c r="Q4" s="27">
        <f t="shared" si="0"/>
        <v>0.94888157894736858</v>
      </c>
      <c r="R4" s="27">
        <f t="shared" si="0"/>
        <v>0.95097087378640877</v>
      </c>
      <c r="S4" s="27">
        <f t="shared" si="0"/>
        <v>0.79901960784313752</v>
      </c>
      <c r="T4" s="27">
        <f t="shared" si="0"/>
        <v>0.55869660194174808</v>
      </c>
      <c r="U4" s="27">
        <f t="shared" si="0"/>
        <v>0.96785714285714275</v>
      </c>
      <c r="V4" s="27">
        <f t="shared" si="0"/>
        <v>0.91730769230769227</v>
      </c>
      <c r="W4" s="27">
        <f t="shared" si="0"/>
        <v>0.94982142857142871</v>
      </c>
      <c r="X4" s="27">
        <f t="shared" si="0"/>
        <v>0.95376213592233106</v>
      </c>
      <c r="Y4" s="27">
        <f t="shared" si="0"/>
        <v>0.86923076923076925</v>
      </c>
      <c r="Z4" s="27">
        <f t="shared" si="0"/>
        <v>0.59552123786407807</v>
      </c>
      <c r="AA4" s="27">
        <f t="shared" si="0"/>
        <v>0.97142857142857142</v>
      </c>
      <c r="AB4" s="27">
        <f t="shared" si="0"/>
        <v>0.98867924528301876</v>
      </c>
      <c r="AC4" s="27">
        <f t="shared" si="0"/>
        <v>0.96267857142857172</v>
      </c>
      <c r="AD4" s="27">
        <f t="shared" si="0"/>
        <v>0.96696601941747662</v>
      </c>
      <c r="AE4" s="27">
        <f t="shared" si="0"/>
        <v>0.98867924528301876</v>
      </c>
      <c r="AF4" s="27">
        <f t="shared" si="0"/>
        <v>0.61116565533980616</v>
      </c>
      <c r="AG4" s="27">
        <f t="shared" si="0"/>
        <v>0.98571428571428588</v>
      </c>
      <c r="AH4" s="27">
        <f t="shared" si="0"/>
        <v>0.98611111111111116</v>
      </c>
      <c r="AI4" s="27">
        <f t="shared" si="0"/>
        <v>0.97705357142857108</v>
      </c>
      <c r="AJ4" s="27">
        <f t="shared" si="0"/>
        <v>0.96696601941747662</v>
      </c>
      <c r="AK4" s="27">
        <f t="shared" si="0"/>
        <v>0.98333333333333339</v>
      </c>
      <c r="AL4" s="27">
        <f t="shared" si="0"/>
        <v>0.61370509708737908</v>
      </c>
      <c r="AM4" s="27">
        <f t="shared" si="0"/>
        <v>0.9893442622950821</v>
      </c>
      <c r="AN4" s="27">
        <f t="shared" si="0"/>
        <v>0.99344262295081953</v>
      </c>
      <c r="AO4" s="27">
        <f t="shared" si="0"/>
        <v>0.98616666666666652</v>
      </c>
      <c r="AP4" s="27">
        <f t="shared" si="0"/>
        <v>0.96854761904761988</v>
      </c>
      <c r="AQ4" s="27">
        <f t="shared" si="0"/>
        <v>0.94090909090909058</v>
      </c>
      <c r="AR4" s="27">
        <f t="shared" si="0"/>
        <v>0.63120476190476238</v>
      </c>
      <c r="AS4" s="27">
        <f t="shared" si="0"/>
        <v>0.9916666666666667</v>
      </c>
      <c r="AT4" s="27">
        <f t="shared" si="0"/>
        <v>1</v>
      </c>
      <c r="AU4" s="27">
        <f t="shared" si="0"/>
        <v>0.98679166666666673</v>
      </c>
      <c r="AV4" s="27">
        <f t="shared" si="0"/>
        <v>0.96854761904761988</v>
      </c>
      <c r="AW4" s="27">
        <f t="shared" si="0"/>
        <v>0.94090909090909058</v>
      </c>
      <c r="AX4" s="27">
        <f t="shared" si="0"/>
        <v>0.63176428571428622</v>
      </c>
      <c r="AY4" s="27">
        <f t="shared" si="0"/>
        <v>0.9574999999999998</v>
      </c>
      <c r="AZ4" s="27">
        <f t="shared" si="0"/>
        <v>0.90249999999999986</v>
      </c>
      <c r="BA4" s="27">
        <f t="shared" si="0"/>
        <v>0.93965624999999997</v>
      </c>
      <c r="BB4" s="27">
        <f t="shared" si="0"/>
        <v>0.96942129629629714</v>
      </c>
      <c r="BC4" s="27">
        <f t="shared" si="0"/>
        <v>0.82643678160919465</v>
      </c>
      <c r="BD4" s="27">
        <f t="shared" si="0"/>
        <v>0.65311805555555591</v>
      </c>
      <c r="BE4" s="27">
        <f t="shared" si="0"/>
        <v>0.92699999999999916</v>
      </c>
      <c r="BF4" s="27">
        <f t="shared" si="0"/>
        <v>0.83700000000000019</v>
      </c>
      <c r="BG4" s="27">
        <f t="shared" si="0"/>
        <v>0.99687499999999996</v>
      </c>
      <c r="BH4" s="27">
        <f t="shared" si="0"/>
        <v>0.98730769230769255</v>
      </c>
      <c r="BI4" s="27">
        <f t="shared" si="0"/>
        <v>0.74466019417475637</v>
      </c>
      <c r="BJ4" s="27">
        <f t="shared" si="0"/>
        <v>0.67195851851851873</v>
      </c>
      <c r="BK4" s="27">
        <f t="shared" si="0"/>
        <v>0.95766423357664188</v>
      </c>
      <c r="BL4" s="27">
        <f t="shared" si="0"/>
        <v>0.9051094890510949</v>
      </c>
      <c r="BM4" s="27">
        <f t="shared" si="0"/>
        <v>0.91163813025210028</v>
      </c>
      <c r="BN4" s="27">
        <f t="shared" si="0"/>
        <v>0.99196202531645572</v>
      </c>
      <c r="BO4" s="27">
        <f t="shared" si="0"/>
        <v>0.80042016806722738</v>
      </c>
      <c r="BP4" s="27">
        <f t="shared" ref="BP4" si="1">SUMIF(BP7:BP244,"&gt;0")/COUNTIF(BP7:BP244,"&gt;0")</f>
        <v>0.88886754201680607</v>
      </c>
    </row>
    <row r="5" spans="2:68" x14ac:dyDescent="0.4">
      <c r="C5" s="2">
        <f>IFERROR(AVERAGEIF(Tabla4[Creación y captura Ago/2024],"&gt;0",Tabla4[Creación y captura Ago/2024]),0)</f>
        <v>0.99605263157894741</v>
      </c>
      <c r="D5" s="2">
        <f>IFERROR(AVERAGEIF(Tabla4[Almacenamiento y registro Ago/2024],"&gt;0",Tabla4[Almacenamiento y registro Ago/2024]),0)</f>
        <v>0.98684210526315785</v>
      </c>
      <c r="E5" s="2">
        <f>IFERROR(AVERAGEIF(Tabla4[Calidad de datos Ago/2024],"&gt;0",Tabla4[Calidad de datos Ago/2024]),0)</f>
        <v>0.93565789473684213</v>
      </c>
      <c r="F5" s="2">
        <f>AVERAGE(Tabla4[Uso y acceso Ago/2024])</f>
        <v>0.76008403361344568</v>
      </c>
      <c r="G5" s="2">
        <f>AVERAGE(Tabla4[Compartición e Interoperabilidad Ago/2024])</f>
        <v>0.15756302521008403</v>
      </c>
      <c r="H5" s="2">
        <f>AVERAGE(C5:G5)</f>
        <v>0.7672399380804954</v>
      </c>
      <c r="I5" s="2">
        <f>IFERROR(AVERAGEIF(Tabla4[Creación y captura Sep/2024],"&gt;0",Tabla4[Creación y captura Sep/2024]),0)</f>
        <v>0.97948717948717956</v>
      </c>
      <c r="J5" s="2">
        <f>IFERROR(AVERAGEIF(Tabla4[Almacenamiento y registro Sep/2024],"&gt;0",Tabla4[Almacenamiento y registro Sep/2024]),0)</f>
        <v>0.96666666666666679</v>
      </c>
      <c r="K5" s="2">
        <f>IFERROR(AVERAGEIF(Tabla4[Calidad de datos Sep/2024],"&gt;0",Tabla4[Calidad de datos Sep/2024]),0)</f>
        <v>0.94888157894736858</v>
      </c>
      <c r="L5" s="2">
        <f>AVERAGE(Tabla4[Uso y acceso Sep/2024])</f>
        <v>0.76176470588235323</v>
      </c>
      <c r="M5" s="2">
        <f>AVERAGE(Tabla4[Compartición e Interoperabilidad Sep/2024])</f>
        <v>0.15840336134453784</v>
      </c>
      <c r="N5" s="2">
        <f>AVERAGE(I5:M5)</f>
        <v>0.76304069846562117</v>
      </c>
      <c r="O5" s="2">
        <f>IFERROR(AVERAGEIF(Tabla4[Creación y captura Oct/2024],"&gt;0",Tabla4[Creación y captura Oct/2024]),0)</f>
        <v>0.86666666666666659</v>
      </c>
      <c r="P5" s="2">
        <f>IFERROR(AVERAGEIF(Tabla4[Almacenamiento y registro Oct/2024],"&gt;0",Tabla4[Almacenamiento y registro Oct/2024]),0)</f>
        <v>0.79901960784313752</v>
      </c>
      <c r="Q5" s="2">
        <f>IFERROR(AVERAGEIF(Tabla4[Calidad de datos Oct/2024],"&gt;0",Tabla4[Calidad de datos Oct/2024]),0)</f>
        <v>0.94888157894736858</v>
      </c>
      <c r="R5" s="2">
        <f>AVERAGE(Tabla4[Uso y acceso Oct/2024])</f>
        <v>0.82310924369747984</v>
      </c>
      <c r="S5" s="2">
        <f>AVERAGE(Tabla4[Compartición e Interoperabilidad Oct/2024])</f>
        <v>0.17121848739495804</v>
      </c>
      <c r="T5" s="2">
        <f>AVERAGE(O5:S5)</f>
        <v>0.72177911690992202</v>
      </c>
      <c r="U5" s="2">
        <f>IFERROR(AVERAGEIF(Tabla4[Creación y captura Nov/2024],"&gt;0",Tabla4[Creación y captura Nov/2024]),0)</f>
        <v>0.96785714285714275</v>
      </c>
      <c r="V5" s="2">
        <f>IFERROR(AVERAGEIF(Tabla4[Almacenamiento y registro Nov/2024],"&gt;0",Tabla4[Almacenamiento y registro Nov/2024]),0)</f>
        <v>0.91730769230769227</v>
      </c>
      <c r="W5" s="2">
        <f>IFERROR(AVERAGEIF(Tabla4[Calidad de datos Nov/2024],"&gt;0",Tabla4[Calidad de datos Nov/2024]),0)</f>
        <v>0.94982142857142871</v>
      </c>
      <c r="X5" s="2">
        <f>AVERAGE(Tabla4[Uso y acceso Nov/2024])</f>
        <v>0.82552521008403446</v>
      </c>
      <c r="Y5" s="2">
        <f>AVERAGE(Tabla4[Compartición e Interoperabilidad Nov/2024])</f>
        <v>0.18991596638655464</v>
      </c>
      <c r="Z5" s="2">
        <f>AVERAGE(U5:Y5)</f>
        <v>0.77008548804137056</v>
      </c>
      <c r="AA5" s="2">
        <f>IFERROR(AVERAGEIF(Tabla4[Creación y captura Dic/2024],"&gt;0",Tabla4[Creación y captura Dic/2024]),0)</f>
        <v>0.97142857142857142</v>
      </c>
      <c r="AB5" s="2">
        <f>IFERROR(AVERAGEIF(Tabla4[Almacenamiento y registro Dic/2024],"&gt;0",Tabla4[Almacenamiento y registro Dic/2024]),0)</f>
        <v>0.98867924528301876</v>
      </c>
      <c r="AC5" s="2">
        <f>IFERROR(AVERAGEIF(Tabla4[Calidad de datos Dic/2024],"&gt;0",Tabla4[Calidad de datos Dic/2024]),0)</f>
        <v>0.96267857142857172</v>
      </c>
      <c r="AD5" s="2">
        <f>AVERAGE(Tabla4[Uso y acceso Dic/2024])</f>
        <v>0.8369537815126058</v>
      </c>
      <c r="AE5" s="2">
        <f>AVERAGE(Tabla4[Compartición e Interoperabilidad Dic/2024])</f>
        <v>0.22016806722689072</v>
      </c>
      <c r="AF5" s="2">
        <f>AVERAGE(AA5:AE5)</f>
        <v>0.7959816473759318</v>
      </c>
      <c r="AG5" s="2">
        <f>IFERROR(AVERAGEIF(Tabla4[Creación y captura Ene/2025],"&gt;0",Tabla4[Creación y captura Ene/2025]),0)</f>
        <v>0.98571428571428588</v>
      </c>
      <c r="AH5" s="2">
        <f>IFERROR(AVERAGEIF(Tabla4[Almacenamiento y registro Ene/2025],"&gt;0",Tabla4[Almacenamiento y registro Ene/2025]),0)</f>
        <v>0.98611111111111116</v>
      </c>
      <c r="AI5" s="2">
        <f>IFERROR(AVERAGEIF(Tabla4[Calidad de datos Ene/2025],"&gt;0",Tabla4[Calidad de datos Ene/2025]),0)</f>
        <v>0.97705357142857108</v>
      </c>
      <c r="AJ5" s="2">
        <f>AVERAGE(Tabla4[Uso y acceso Ene/2025])</f>
        <v>0.8369537815126058</v>
      </c>
      <c r="AK5" s="2">
        <f>AVERAGE(Tabla4[Compartición e Interoperabilidad Ene/2025])</f>
        <v>0.223109243697479</v>
      </c>
      <c r="AL5" s="2">
        <f>AVERAGE(AG5:AK5)</f>
        <v>0.80178839869281071</v>
      </c>
      <c r="AM5" s="2">
        <f>IFERROR(AVERAGEIF(Tabla4[Creación y captura Feb/2025],"&gt;0",Tabla4[Creación y captura Feb/2025]),0)</f>
        <v>0.9893442622950821</v>
      </c>
      <c r="AN5" s="2">
        <f>IFERROR(AVERAGEIF(Tabla4[Almacenamiento y registro Feb/2025],"&gt;0",Tabla4[Almacenamiento y registro Feb/2025]),0)</f>
        <v>0.99344262295081953</v>
      </c>
      <c r="AO5" s="2">
        <f>IFERROR(AVERAGEIF(Tabla4[Calidad de datos Feb/2025],"&gt;0",Tabla4[Calidad de datos Feb/2025]),0)</f>
        <v>0.98616666666666652</v>
      </c>
      <c r="AP5" s="2">
        <f>AVERAGE(Tabla4[Uso y acceso Feb/2025])</f>
        <v>0.85460084033613526</v>
      </c>
      <c r="AQ5" s="2">
        <f>AVERAGE(Tabla4[Compartición e Interoperabilidad Feb/2025])</f>
        <v>0.26092436974789907</v>
      </c>
      <c r="AR5" s="2">
        <f>AVERAGE(AM5:AQ5)</f>
        <v>0.81689575239932055</v>
      </c>
      <c r="AS5" s="2">
        <f>IFERROR(AVERAGEIF(Tabla4[Creación y captura Mar/2025],"&gt;0",Tabla4[Creación y captura Mar/2025]),0)</f>
        <v>0.9916666666666667</v>
      </c>
      <c r="AT5" s="2">
        <f>IFERROR(AVERAGEIF(Tabla4[Almacenamiento y registro Mar/2025],"&gt;0",Tabla4[Almacenamiento y registro Mar/2025]),0)</f>
        <v>1</v>
      </c>
      <c r="AU5" s="2">
        <f>IFERROR(AVERAGEIF(Tabla4[Calidad de datos Mar/2025],"&gt;0",Tabla4[Calidad de datos Mar/2025]),0)</f>
        <v>0.98679166666666673</v>
      </c>
      <c r="AV5" s="2">
        <f>AVERAGE(Tabla4[Uso y acceso Mar/2025])</f>
        <v>0.85460084033613526</v>
      </c>
      <c r="AW5" s="2">
        <f>AVERAGE(Tabla4[Compartición e Interoperabilidad Mar/2025])</f>
        <v>0.26092436974789907</v>
      </c>
      <c r="AX5" s="2">
        <f>AVERAGE(AS5:AW5)</f>
        <v>0.81879670868347354</v>
      </c>
      <c r="AY5" s="2">
        <f>IFERROR(AVERAGEIF(Tabla4[Creación y captura Abr/2025],"&gt;0",Tabla4[Creación y captura Abr/2025]),0)</f>
        <v>0.9574999999999998</v>
      </c>
      <c r="AZ5" s="2">
        <f>IFERROR(AVERAGEIF(Tabla4[Almacenamiento y registro Abr/2025],"&gt;0",Tabla4[Almacenamiento y registro Abr/2025]),0)</f>
        <v>0.90249999999999986</v>
      </c>
      <c r="BA5" s="2">
        <f>IFERROR(AVERAGEIF(Tabla4[Calidad de datos Abr/2025],"&gt;0",Tabla4[Calidad de datos Abr/2025]),0)</f>
        <v>0.93965624999999997</v>
      </c>
      <c r="BB5" s="2">
        <f>AVERAGE(Tabla4[Uso y acceso Abr/2025])</f>
        <v>0.87981092436974861</v>
      </c>
      <c r="BC5" s="2">
        <f>AVERAGE(Tabla4[Compartición e Interoperabilidad Abr/2025])</f>
        <v>0.30210084033613416</v>
      </c>
      <c r="BD5" s="2">
        <f>AVERAGE(AY5:BC5)</f>
        <v>0.79631360294117648</v>
      </c>
      <c r="BE5" s="2">
        <f>IFERROR(AVERAGEIF(Tabla4[Creación y captura May/2025],"&gt;0",Tabla4[Creación y captura May/2025]),0)</f>
        <v>0.92699999999999916</v>
      </c>
      <c r="BF5" s="2">
        <f>IFERROR(AVERAGEIF(Tabla4[Almacenamiento y registro May/2025],"&gt;0",Tabla4[Almacenamiento y registro May/2025]),0)</f>
        <v>0.83700000000000019</v>
      </c>
      <c r="BG5" s="2">
        <f>IFERROR(AVERAGEIF(Tabla4[Calidad de datos May/2025],"&gt;0",Tabla4[Calidad de datos May/2025]),0)</f>
        <v>0.99687499999999996</v>
      </c>
      <c r="BH5" s="2">
        <f>AVERAGE(Tabla4[Uso y acceso May/2025])</f>
        <v>0.91678571428571454</v>
      </c>
      <c r="BI5" s="2">
        <f>AVERAGE(Tabla4[Compartición e Interoperabilidad May/2025])</f>
        <v>0.32226890756302479</v>
      </c>
      <c r="BJ5" s="2">
        <f>AVERAGE(BE5:BI5)</f>
        <v>0.7999859243697478</v>
      </c>
      <c r="BK5" s="2">
        <f>IFERROR(AVERAGEIF(Tabla4[Creación y captura Dic/2025],"&gt;0",Tabla4[Creación y captura Dic/2025]),0)</f>
        <v>0.95766423357664188</v>
      </c>
      <c r="BL5" s="2">
        <f>IFERROR(AVERAGEIF(Tabla4[Almacenamiento y registro Dic/2025],"&gt;0",Tabla4[Almacenamiento y registro Dic/2025]),0)</f>
        <v>0.9051094890510949</v>
      </c>
      <c r="BM5" s="2">
        <f>IFERROR(AVERAGEIF(Tabla4[Calidad de datos Dic/2025],"&gt;0",Tabla4[Calidad de datos Dic/2025]),0)</f>
        <v>0.91163813025210028</v>
      </c>
      <c r="BN5" s="2">
        <f>AVERAGE(Tabla4[Uso y acceso Dic/2025])</f>
        <v>0.98779411764705882</v>
      </c>
      <c r="BO5" s="2">
        <f>AVERAGE(Tabla4[Compartición e Interoperabilidad Dic/2025])</f>
        <v>0.80042016806722738</v>
      </c>
      <c r="BP5" s="2">
        <f>AVERAGE(BK5:BO5)</f>
        <v>0.91252522771882472</v>
      </c>
    </row>
    <row r="6" spans="2:68" ht="14.65" thickBot="1" x14ac:dyDescent="0.45">
      <c r="B6" s="7" t="s">
        <v>12</v>
      </c>
      <c r="C6" s="13" t="s">
        <v>320</v>
      </c>
      <c r="D6" s="13" t="s">
        <v>321</v>
      </c>
      <c r="E6" s="13" t="s">
        <v>322</v>
      </c>
      <c r="F6" s="13" t="s">
        <v>297</v>
      </c>
      <c r="G6" s="13" t="s">
        <v>323</v>
      </c>
      <c r="H6" s="13" t="s">
        <v>324</v>
      </c>
      <c r="I6" s="13" t="s">
        <v>325</v>
      </c>
      <c r="J6" s="13" t="s">
        <v>326</v>
      </c>
      <c r="K6" s="13" t="s">
        <v>327</v>
      </c>
      <c r="L6" s="13" t="s">
        <v>298</v>
      </c>
      <c r="M6" s="13" t="s">
        <v>328</v>
      </c>
      <c r="N6" s="13" t="s">
        <v>329</v>
      </c>
      <c r="O6" s="13" t="s">
        <v>330</v>
      </c>
      <c r="P6" s="13" t="s">
        <v>331</v>
      </c>
      <c r="Q6" s="13" t="s">
        <v>332</v>
      </c>
      <c r="R6" s="13" t="s">
        <v>299</v>
      </c>
      <c r="S6" s="13" t="s">
        <v>333</v>
      </c>
      <c r="T6" s="13" t="s">
        <v>334</v>
      </c>
      <c r="U6" s="13" t="s">
        <v>335</v>
      </c>
      <c r="V6" s="13" t="s">
        <v>336</v>
      </c>
      <c r="W6" s="13" t="s">
        <v>337</v>
      </c>
      <c r="X6" s="13" t="s">
        <v>300</v>
      </c>
      <c r="Y6" s="13" t="s">
        <v>338</v>
      </c>
      <c r="Z6" s="13" t="s">
        <v>339</v>
      </c>
      <c r="AA6" s="13" t="s">
        <v>340</v>
      </c>
      <c r="AB6" s="13" t="s">
        <v>341</v>
      </c>
      <c r="AC6" s="13" t="s">
        <v>342</v>
      </c>
      <c r="AD6" s="13" t="s">
        <v>301</v>
      </c>
      <c r="AE6" s="13" t="s">
        <v>343</v>
      </c>
      <c r="AF6" s="13" t="s">
        <v>344</v>
      </c>
      <c r="AG6" s="13" t="s">
        <v>345</v>
      </c>
      <c r="AH6" s="13" t="s">
        <v>346</v>
      </c>
      <c r="AI6" s="13" t="s">
        <v>347</v>
      </c>
      <c r="AJ6" s="13" t="s">
        <v>302</v>
      </c>
      <c r="AK6" s="13" t="s">
        <v>348</v>
      </c>
      <c r="AL6" s="13" t="s">
        <v>349</v>
      </c>
      <c r="AM6" s="13" t="s">
        <v>350</v>
      </c>
      <c r="AN6" s="13" t="s">
        <v>351</v>
      </c>
      <c r="AO6" s="13" t="s">
        <v>352</v>
      </c>
      <c r="AP6" s="13" t="s">
        <v>303</v>
      </c>
      <c r="AQ6" s="13" t="s">
        <v>353</v>
      </c>
      <c r="AR6" s="13" t="s">
        <v>354</v>
      </c>
      <c r="AS6" s="13" t="s">
        <v>355</v>
      </c>
      <c r="AT6" s="13" t="s">
        <v>356</v>
      </c>
      <c r="AU6" s="13" t="s">
        <v>357</v>
      </c>
      <c r="AV6" s="13" t="s">
        <v>304</v>
      </c>
      <c r="AW6" s="13" t="s">
        <v>358</v>
      </c>
      <c r="AX6" s="13" t="s">
        <v>359</v>
      </c>
      <c r="AY6" s="13" t="s">
        <v>360</v>
      </c>
      <c r="AZ6" s="13" t="s">
        <v>361</v>
      </c>
      <c r="BA6" s="13" t="s">
        <v>362</v>
      </c>
      <c r="BB6" s="13" t="s">
        <v>305</v>
      </c>
      <c r="BC6" s="13" t="s">
        <v>363</v>
      </c>
      <c r="BD6" s="13" t="s">
        <v>364</v>
      </c>
      <c r="BE6" s="13" t="s">
        <v>365</v>
      </c>
      <c r="BF6" s="13" t="s">
        <v>366</v>
      </c>
      <c r="BG6" s="13" t="s">
        <v>367</v>
      </c>
      <c r="BH6" s="13" t="s">
        <v>306</v>
      </c>
      <c r="BI6" s="13" t="s">
        <v>368</v>
      </c>
      <c r="BJ6" s="13" t="s">
        <v>369</v>
      </c>
      <c r="BK6" s="13" t="s">
        <v>370</v>
      </c>
      <c r="BL6" s="13" t="s">
        <v>371</v>
      </c>
      <c r="BM6" s="13" t="s">
        <v>372</v>
      </c>
      <c r="BN6" s="13" t="s">
        <v>307</v>
      </c>
      <c r="BO6" s="13" t="s">
        <v>373</v>
      </c>
      <c r="BP6" s="13" t="s">
        <v>374</v>
      </c>
    </row>
    <row r="7" spans="2:68" x14ac:dyDescent="0.4">
      <c r="B7" s="1" t="s">
        <v>57</v>
      </c>
      <c r="C7" s="14">
        <v>1</v>
      </c>
      <c r="D7" s="14">
        <v>1</v>
      </c>
      <c r="E7" s="14">
        <f>AVERAGE('Calidad de Datos'!C11:F11)</f>
        <v>0.73499999999999999</v>
      </c>
      <c r="F7" s="15">
        <f>Tabla13[[#This Row],[Uso y acceso Ago/2024]]</f>
        <v>1</v>
      </c>
      <c r="G7" s="15">
        <f>Tabla58[[#This Row],[Integración Ago/2024]]</f>
        <v>1</v>
      </c>
      <c r="H7" s="16">
        <f>AVERAGE(Tabla4[[#This Row],[Creación y captura Ago/2024]:[Compartición e Interoperabilidad Ago/2024]])</f>
        <v>0.94699999999999984</v>
      </c>
      <c r="I7" s="14">
        <v>1</v>
      </c>
      <c r="J7" s="14">
        <v>1</v>
      </c>
      <c r="K7" s="15">
        <f>AVERAGE('Calidad de Datos'!G11:J11)</f>
        <v>0.78750000000000009</v>
      </c>
      <c r="L7" s="15">
        <f>Tabla13[[#This Row],[Uso y acceso Sep/2024]]</f>
        <v>1</v>
      </c>
      <c r="M7" s="15">
        <f>Tabla58[[#This Row],[Integración Sep/2024]]</f>
        <v>1</v>
      </c>
      <c r="N7" s="16">
        <f>AVERAGE(Tabla4[[#This Row],[Creación y captura Sep/2024]:[Compartición e Interoperabilidad Sep/2024]])</f>
        <v>0.95749999999999991</v>
      </c>
      <c r="O7" s="14">
        <v>1</v>
      </c>
      <c r="P7" s="14">
        <v>1</v>
      </c>
      <c r="Q7" s="15">
        <f>AVERAGE('Calidad de Datos'!K11:N11)</f>
        <v>0.78249999999999997</v>
      </c>
      <c r="R7" s="15">
        <f>Tabla13[[#This Row],[Uso y acceso Oct/2024]]</f>
        <v>1</v>
      </c>
      <c r="S7" s="15">
        <f>Tabla58[[#This Row],[Integración Oct/2024]]</f>
        <v>1</v>
      </c>
      <c r="T7" s="16">
        <f>AVERAGE(Tabla4[[#This Row],[Creación y captura Oct/2024]:[Compartición e Interoperabilidad Oct/2024]])</f>
        <v>0.95649999999999991</v>
      </c>
      <c r="U7" s="14">
        <v>1</v>
      </c>
      <c r="V7" s="14">
        <v>1</v>
      </c>
      <c r="W7" s="15">
        <f>AVERAGE('Calidad de Datos'!O11:R11)</f>
        <v>0.875</v>
      </c>
      <c r="X7" s="15">
        <f>Tabla13[[#This Row],[Uso y acceso Nov/2024]]</f>
        <v>1</v>
      </c>
      <c r="Y7" s="15">
        <f>Tabla58[[#This Row],[Integración Nov/2024]]</f>
        <v>1</v>
      </c>
      <c r="Z7" s="16">
        <f>AVERAGE(Tabla4[[#This Row],[Creación y captura Nov/2024]:[Compartición e Interoperabilidad Nov/2024]])</f>
        <v>0.97499999999999998</v>
      </c>
      <c r="AA7" s="14">
        <v>1</v>
      </c>
      <c r="AB7" s="14">
        <v>1</v>
      </c>
      <c r="AC7" s="15">
        <f>AVERAGE('Calidad de Datos'!S11:V11)</f>
        <v>0.91125</v>
      </c>
      <c r="AD7" s="15">
        <f>Tabla13[[#This Row],[Uso y acceso Dic/2024]]</f>
        <v>1</v>
      </c>
      <c r="AE7" s="15">
        <f>Tabla58[[#This Row],[Integración Dic/2024]]</f>
        <v>1</v>
      </c>
      <c r="AF7" s="16">
        <f>AVERAGE(Tabla4[[#This Row],[Creación y captura Dic/2024]:[Compartición e Interoperabilidad Dic/2024]])</f>
        <v>0.98224999999999996</v>
      </c>
      <c r="AG7" s="14">
        <v>1</v>
      </c>
      <c r="AH7" s="14">
        <v>1</v>
      </c>
      <c r="AI7" s="17">
        <f>AVERAGE('Calidad de Datos'!W11:Z11)</f>
        <v>0.92500000000000004</v>
      </c>
      <c r="AJ7" s="15">
        <f>Tabla13[[#This Row],[Uso y acceso Ene/2025]]</f>
        <v>1</v>
      </c>
      <c r="AK7" s="15">
        <f>Tabla58[[#This Row],[Integración Ene/2025]]</f>
        <v>1</v>
      </c>
      <c r="AL7" s="16">
        <f>AVERAGE(Tabla4[[#This Row],[Creación y captura Ene/2025]:[Compartición e Interoperabilidad Ene/2025]])</f>
        <v>0.98499999999999999</v>
      </c>
      <c r="AM7" s="14">
        <v>1</v>
      </c>
      <c r="AN7" s="14">
        <v>1</v>
      </c>
      <c r="AO7" s="17">
        <f>AVERAGE('Calidad de Datos'!AA11:AD11)</f>
        <v>0.92500000000000004</v>
      </c>
      <c r="AP7" s="15">
        <f>Tabla13[[#This Row],[Uso y acceso Feb/2025]]</f>
        <v>1</v>
      </c>
      <c r="AQ7" s="15">
        <f>Tabla58[[#This Row],[Integración Feb/2025]]</f>
        <v>1</v>
      </c>
      <c r="AR7" s="16">
        <f>AVERAGE(Tabla4[[#This Row],[Creación y captura Feb/2025]:[Compartición e Interoperabilidad Feb/2025]])</f>
        <v>0.98499999999999999</v>
      </c>
      <c r="AS7" s="14">
        <v>1</v>
      </c>
      <c r="AT7" s="14">
        <v>1</v>
      </c>
      <c r="AU7" s="17">
        <f>AVERAGE('Calidad de Datos'!AE11:AH11)</f>
        <v>0.92500000000000004</v>
      </c>
      <c r="AV7" s="15">
        <f>Tabla13[[#This Row],[Uso y acceso Mar/2025]]</f>
        <v>1</v>
      </c>
      <c r="AW7" s="15">
        <f>Tabla58[[#This Row],[Integración Mar/2025]]</f>
        <v>1</v>
      </c>
      <c r="AX7" s="16">
        <f>AVERAGE(Tabla4[[#This Row],[Creación y captura Mar/2025]:[Compartición e Interoperabilidad Mar/2025]])</f>
        <v>0.98499999999999999</v>
      </c>
      <c r="AY7" s="14">
        <v>1</v>
      </c>
      <c r="AZ7" s="14">
        <v>1</v>
      </c>
      <c r="BA7" s="17">
        <f>AVERAGE('Calidad de Datos'!AI11:AL11)</f>
        <v>0.92500000000000004</v>
      </c>
      <c r="BB7" s="15">
        <f>Tabla13[[#This Row],[Uso y acceso Abr/2025]]</f>
        <v>1</v>
      </c>
      <c r="BC7" s="15">
        <f>Tabla58[[#This Row],[Integración Abr/2025]]</f>
        <v>1</v>
      </c>
      <c r="BD7" s="16">
        <f>AVERAGE(Tabla4[[#This Row],[Creación y captura Abr/2025]:[Compartición e Interoperabilidad Abr/2025]])</f>
        <v>0.98499999999999999</v>
      </c>
      <c r="BE7" s="14">
        <v>1</v>
      </c>
      <c r="BF7" s="14">
        <v>1</v>
      </c>
      <c r="BG7" s="17">
        <f>AVERAGE('Calidad de Datos'!AM11:AP11)</f>
        <v>0.95</v>
      </c>
      <c r="BH7" s="15">
        <f>Tabla13[[#This Row],[Uso y acceso May/2025]]</f>
        <v>1</v>
      </c>
      <c r="BI7" s="15">
        <f>Tabla58[[#This Row],[Integración May/2025]]</f>
        <v>1</v>
      </c>
      <c r="BJ7" s="16">
        <f>AVERAGE(Tabla4[[#This Row],[Creación y captura May/2025]:[Compartición e Interoperabilidad May/2025]])</f>
        <v>0.99</v>
      </c>
      <c r="BK7" s="14">
        <v>1</v>
      </c>
      <c r="BL7" s="14">
        <v>1</v>
      </c>
      <c r="BM7" s="14">
        <f>AVERAGE('Calidad de Datos'!AQ11:AT11)</f>
        <v>0.88137500000000002</v>
      </c>
      <c r="BN7" s="14">
        <f>Tabla13[[#This Row],[Uso y acceso Dic/2025]]</f>
        <v>1</v>
      </c>
      <c r="BO7" s="14">
        <f>Tabla58[[#This Row],[Integración Dic/2025]]</f>
        <v>1</v>
      </c>
      <c r="BP7" s="16">
        <f>AVERAGE(Tabla4[[#This Row],[Creación y captura Dic/2025]:[Compartición e Interoperabilidad Dic/2025]])</f>
        <v>0.976275</v>
      </c>
    </row>
    <row r="8" spans="2:68" x14ac:dyDescent="0.4">
      <c r="B8" s="1" t="s">
        <v>58</v>
      </c>
      <c r="C8" s="14">
        <v>1</v>
      </c>
      <c r="D8" s="14">
        <v>1</v>
      </c>
      <c r="E8" s="14">
        <f>AVERAGE('Calidad de Datos'!C12:F12)</f>
        <v>1</v>
      </c>
      <c r="F8" s="14">
        <f>Tabla13[[#This Row],[Uso y acceso Ago/2024]]</f>
        <v>1</v>
      </c>
      <c r="G8" s="15">
        <f>Tabla58[[#This Row],[Integración Ago/2024]]</f>
        <v>1</v>
      </c>
      <c r="H8" s="16">
        <f>AVERAGE(Tabla4[[#This Row],[Creación y captura Ago/2024]:[Compartición e Interoperabilidad Ago/2024]])</f>
        <v>1</v>
      </c>
      <c r="I8" s="14">
        <v>1</v>
      </c>
      <c r="J8" s="14">
        <v>1</v>
      </c>
      <c r="K8" s="15">
        <f>AVERAGE('Calidad de Datos'!G12:J12)</f>
        <v>1</v>
      </c>
      <c r="L8" s="15">
        <f>Tabla13[[#This Row],[Uso y acceso Sep/2024]]</f>
        <v>1</v>
      </c>
      <c r="M8" s="15">
        <f>Tabla58[[#This Row],[Integración Sep/2024]]</f>
        <v>1</v>
      </c>
      <c r="N8" s="16">
        <f>AVERAGE(Tabla4[[#This Row],[Creación y captura Sep/2024]:[Compartición e Interoperabilidad Sep/2024]])</f>
        <v>1</v>
      </c>
      <c r="O8" s="14">
        <v>1</v>
      </c>
      <c r="P8" s="14">
        <v>1</v>
      </c>
      <c r="Q8" s="15">
        <f>AVERAGE('Calidad de Datos'!K12:N12)</f>
        <v>1</v>
      </c>
      <c r="R8" s="15">
        <f>Tabla13[[#This Row],[Uso y acceso Oct/2024]]</f>
        <v>1</v>
      </c>
      <c r="S8" s="15">
        <f>Tabla58[[#This Row],[Integración Oct/2024]]</f>
        <v>1</v>
      </c>
      <c r="T8" s="16">
        <f>AVERAGE(Tabla4[[#This Row],[Creación y captura Oct/2024]:[Compartición e Interoperabilidad Oct/2024]])</f>
        <v>1</v>
      </c>
      <c r="U8" s="14">
        <v>1</v>
      </c>
      <c r="V8" s="14">
        <v>1</v>
      </c>
      <c r="W8" s="15">
        <f>AVERAGE('Calidad de Datos'!O12:R12)</f>
        <v>1</v>
      </c>
      <c r="X8" s="15">
        <f>Tabla13[[#This Row],[Uso y acceso Nov/2024]]</f>
        <v>1</v>
      </c>
      <c r="Y8" s="15">
        <f>Tabla58[[#This Row],[Integración Nov/2024]]</f>
        <v>1</v>
      </c>
      <c r="Z8" s="16">
        <f>AVERAGE(Tabla4[[#This Row],[Creación y captura Nov/2024]:[Compartición e Interoperabilidad Nov/2024]])</f>
        <v>1</v>
      </c>
      <c r="AA8" s="14">
        <v>1</v>
      </c>
      <c r="AB8" s="14">
        <v>1</v>
      </c>
      <c r="AC8" s="15">
        <f>AVERAGE('Calidad de Datos'!S12:V12)</f>
        <v>1</v>
      </c>
      <c r="AD8" s="15">
        <f>Tabla13[[#This Row],[Uso y acceso Dic/2024]]</f>
        <v>1</v>
      </c>
      <c r="AE8" s="15">
        <f>Tabla58[[#This Row],[Integración Dic/2024]]</f>
        <v>1</v>
      </c>
      <c r="AF8" s="16">
        <f>AVERAGE(Tabla4[[#This Row],[Creación y captura Dic/2024]:[Compartición e Interoperabilidad Dic/2024]])</f>
        <v>1</v>
      </c>
      <c r="AG8" s="14">
        <v>1</v>
      </c>
      <c r="AH8" s="14">
        <v>1</v>
      </c>
      <c r="AI8" s="17">
        <f>AVERAGE('Calidad de Datos'!W12:Z12)</f>
        <v>1</v>
      </c>
      <c r="AJ8" s="15">
        <f>Tabla13[[#This Row],[Uso y acceso Ene/2025]]</f>
        <v>1</v>
      </c>
      <c r="AK8" s="15">
        <f>Tabla58[[#This Row],[Integración Ene/2025]]</f>
        <v>1</v>
      </c>
      <c r="AL8" s="16">
        <f>AVERAGE(Tabla4[[#This Row],[Creación y captura Ene/2025]:[Compartición e Interoperabilidad Ene/2025]])</f>
        <v>1</v>
      </c>
      <c r="AM8" s="14">
        <v>1</v>
      </c>
      <c r="AN8" s="14">
        <v>1</v>
      </c>
      <c r="AO8" s="17">
        <f>AVERAGE('Calidad de Datos'!AA12:AD12)</f>
        <v>1</v>
      </c>
      <c r="AP8" s="15">
        <f>Tabla13[[#This Row],[Uso y acceso Feb/2025]]</f>
        <v>1</v>
      </c>
      <c r="AQ8" s="15">
        <f>Tabla58[[#This Row],[Integración Feb/2025]]</f>
        <v>1</v>
      </c>
      <c r="AR8" s="16">
        <f>AVERAGE(Tabla4[[#This Row],[Creación y captura Feb/2025]:[Compartición e Interoperabilidad Feb/2025]])</f>
        <v>1</v>
      </c>
      <c r="AS8" s="14">
        <v>1</v>
      </c>
      <c r="AT8" s="14">
        <v>1</v>
      </c>
      <c r="AU8" s="17">
        <f>AVERAGE('Calidad de Datos'!AE12:AH12)</f>
        <v>1</v>
      </c>
      <c r="AV8" s="15">
        <f>Tabla13[[#This Row],[Uso y acceso Mar/2025]]</f>
        <v>1</v>
      </c>
      <c r="AW8" s="15">
        <f>Tabla58[[#This Row],[Integración Mar/2025]]</f>
        <v>1</v>
      </c>
      <c r="AX8" s="16">
        <f>AVERAGE(Tabla4[[#This Row],[Creación y captura Mar/2025]:[Compartición e Interoperabilidad Mar/2025]])</f>
        <v>1</v>
      </c>
      <c r="AY8" s="14">
        <v>1</v>
      </c>
      <c r="AZ8" s="14">
        <v>1</v>
      </c>
      <c r="BA8" s="17">
        <f>AVERAGE('Calidad de Datos'!AI12:AL12)</f>
        <v>1</v>
      </c>
      <c r="BB8" s="15">
        <f>Tabla13[[#This Row],[Uso y acceso Abr/2025]]</f>
        <v>1</v>
      </c>
      <c r="BC8" s="15">
        <f>Tabla58[[#This Row],[Integración Abr/2025]]</f>
        <v>1</v>
      </c>
      <c r="BD8" s="16">
        <f>AVERAGE(Tabla4[[#This Row],[Creación y captura Abr/2025]:[Compartición e Interoperabilidad Abr/2025]])</f>
        <v>1</v>
      </c>
      <c r="BE8" s="14">
        <v>1</v>
      </c>
      <c r="BF8" s="14">
        <v>1</v>
      </c>
      <c r="BG8" s="17">
        <f>AVERAGE('Calidad de Datos'!AM12:AP12)</f>
        <v>1</v>
      </c>
      <c r="BH8" s="15">
        <f>Tabla13[[#This Row],[Uso y acceso May/2025]]</f>
        <v>1</v>
      </c>
      <c r="BI8" s="15">
        <f>Tabla58[[#This Row],[Integración May/2025]]</f>
        <v>1</v>
      </c>
      <c r="BJ8" s="16">
        <f>AVERAGE(Tabla4[[#This Row],[Creación y captura May/2025]:[Compartición e Interoperabilidad May/2025]])</f>
        <v>1</v>
      </c>
      <c r="BK8" s="14">
        <v>1</v>
      </c>
      <c r="BL8" s="14">
        <v>1</v>
      </c>
      <c r="BM8" s="14">
        <f>AVERAGE('Calidad de Datos'!AQ12:AT12)</f>
        <v>1</v>
      </c>
      <c r="BN8" s="14">
        <f>Tabla13[[#This Row],[Uso y acceso Dic/2025]]</f>
        <v>1</v>
      </c>
      <c r="BO8" s="14">
        <f>Tabla58[[#This Row],[Integración Dic/2025]]</f>
        <v>1</v>
      </c>
      <c r="BP8" s="16">
        <f>AVERAGE(Tabla4[[#This Row],[Creación y captura Dic/2025]:[Compartición e Interoperabilidad Dic/2025]])</f>
        <v>1</v>
      </c>
    </row>
    <row r="9" spans="2:68" x14ac:dyDescent="0.4">
      <c r="B9" s="1" t="s">
        <v>59</v>
      </c>
      <c r="C9" s="14">
        <v>1</v>
      </c>
      <c r="D9" s="14">
        <v>1</v>
      </c>
      <c r="E9" s="14">
        <f>AVERAGE('Calidad de Datos'!C13:F13)</f>
        <v>1</v>
      </c>
      <c r="F9" s="14">
        <f>Tabla13[[#This Row],[Uso y acceso Ago/2024]]</f>
        <v>1</v>
      </c>
      <c r="G9" s="15">
        <f>Tabla58[[#This Row],[Integración Ago/2024]]</f>
        <v>1</v>
      </c>
      <c r="H9" s="16">
        <f>AVERAGE(Tabla4[[#This Row],[Creación y captura Ago/2024]:[Compartición e Interoperabilidad Ago/2024]])</f>
        <v>1</v>
      </c>
      <c r="I9" s="14">
        <v>1</v>
      </c>
      <c r="J9" s="14">
        <v>1</v>
      </c>
      <c r="K9" s="15">
        <f>AVERAGE('Calidad de Datos'!G13:J13)</f>
        <v>1</v>
      </c>
      <c r="L9" s="15">
        <f>Tabla13[[#This Row],[Uso y acceso Sep/2024]]</f>
        <v>1</v>
      </c>
      <c r="M9" s="15">
        <f>Tabla58[[#This Row],[Integración Sep/2024]]</f>
        <v>1</v>
      </c>
      <c r="N9" s="16">
        <f>AVERAGE(Tabla4[[#This Row],[Creación y captura Sep/2024]:[Compartición e Interoperabilidad Sep/2024]])</f>
        <v>1</v>
      </c>
      <c r="O9" s="14">
        <v>1</v>
      </c>
      <c r="P9" s="14">
        <v>1</v>
      </c>
      <c r="Q9" s="15">
        <f>AVERAGE('Calidad de Datos'!K13:N13)</f>
        <v>1</v>
      </c>
      <c r="R9" s="15">
        <f>Tabla13[[#This Row],[Uso y acceso Oct/2024]]</f>
        <v>1</v>
      </c>
      <c r="S9" s="15">
        <f>Tabla58[[#This Row],[Integración Oct/2024]]</f>
        <v>1</v>
      </c>
      <c r="T9" s="16">
        <f>AVERAGE(Tabla4[[#This Row],[Creación y captura Oct/2024]:[Compartición e Interoperabilidad Oct/2024]])</f>
        <v>1</v>
      </c>
      <c r="U9" s="14">
        <v>1</v>
      </c>
      <c r="V9" s="14">
        <v>1</v>
      </c>
      <c r="W9" s="15">
        <f>AVERAGE('Calidad de Datos'!O13:R13)</f>
        <v>1</v>
      </c>
      <c r="X9" s="15">
        <f>Tabla13[[#This Row],[Uso y acceso Nov/2024]]</f>
        <v>1</v>
      </c>
      <c r="Y9" s="15">
        <f>Tabla58[[#This Row],[Integración Nov/2024]]</f>
        <v>1</v>
      </c>
      <c r="Z9" s="16">
        <f>AVERAGE(Tabla4[[#This Row],[Creación y captura Nov/2024]:[Compartición e Interoperabilidad Nov/2024]])</f>
        <v>1</v>
      </c>
      <c r="AA9" s="14">
        <v>1</v>
      </c>
      <c r="AB9" s="14">
        <v>1</v>
      </c>
      <c r="AC9" s="15">
        <f>AVERAGE('Calidad de Datos'!S13:V13)</f>
        <v>1</v>
      </c>
      <c r="AD9" s="15">
        <f>Tabla13[[#This Row],[Uso y acceso Dic/2024]]</f>
        <v>1</v>
      </c>
      <c r="AE9" s="15">
        <f>Tabla58[[#This Row],[Integración Dic/2024]]</f>
        <v>1</v>
      </c>
      <c r="AF9" s="16">
        <f>AVERAGE(Tabla4[[#This Row],[Creación y captura Dic/2024]:[Compartición e Interoperabilidad Dic/2024]])</f>
        <v>1</v>
      </c>
      <c r="AG9" s="14">
        <v>1</v>
      </c>
      <c r="AH9" s="14">
        <v>1</v>
      </c>
      <c r="AI9" s="17">
        <f>AVERAGE('Calidad de Datos'!W13:Z13)</f>
        <v>1</v>
      </c>
      <c r="AJ9" s="15">
        <f>Tabla13[[#This Row],[Uso y acceso Ene/2025]]</f>
        <v>1</v>
      </c>
      <c r="AK9" s="15">
        <f>Tabla58[[#This Row],[Integración Ene/2025]]</f>
        <v>1</v>
      </c>
      <c r="AL9" s="16">
        <f>AVERAGE(Tabla4[[#This Row],[Creación y captura Ene/2025]:[Compartición e Interoperabilidad Ene/2025]])</f>
        <v>1</v>
      </c>
      <c r="AM9" s="14">
        <v>1</v>
      </c>
      <c r="AN9" s="14">
        <v>1</v>
      </c>
      <c r="AO9" s="17">
        <f>AVERAGE('Calidad de Datos'!AA13:AD13)</f>
        <v>1</v>
      </c>
      <c r="AP9" s="15">
        <f>Tabla13[[#This Row],[Uso y acceso Feb/2025]]</f>
        <v>1</v>
      </c>
      <c r="AQ9" s="15">
        <f>Tabla58[[#This Row],[Integración Feb/2025]]</f>
        <v>1</v>
      </c>
      <c r="AR9" s="16">
        <f>AVERAGE(Tabla4[[#This Row],[Creación y captura Feb/2025]:[Compartición e Interoperabilidad Feb/2025]])</f>
        <v>1</v>
      </c>
      <c r="AS9" s="14">
        <v>1</v>
      </c>
      <c r="AT9" s="14">
        <v>1</v>
      </c>
      <c r="AU9" s="17">
        <f>AVERAGE('Calidad de Datos'!AE13:AH13)</f>
        <v>1</v>
      </c>
      <c r="AV9" s="15">
        <f>Tabla13[[#This Row],[Uso y acceso Mar/2025]]</f>
        <v>1</v>
      </c>
      <c r="AW9" s="15">
        <f>Tabla58[[#This Row],[Integración Mar/2025]]</f>
        <v>1</v>
      </c>
      <c r="AX9" s="16">
        <f>AVERAGE(Tabla4[[#This Row],[Creación y captura Mar/2025]:[Compartición e Interoperabilidad Mar/2025]])</f>
        <v>1</v>
      </c>
      <c r="AY9" s="14">
        <v>1</v>
      </c>
      <c r="AZ9" s="14">
        <v>1</v>
      </c>
      <c r="BA9" s="17">
        <f>AVERAGE('Calidad de Datos'!AI13:AL13)</f>
        <v>1</v>
      </c>
      <c r="BB9" s="15">
        <f>Tabla13[[#This Row],[Uso y acceso Abr/2025]]</f>
        <v>1</v>
      </c>
      <c r="BC9" s="15">
        <f>Tabla58[[#This Row],[Integración Abr/2025]]</f>
        <v>1</v>
      </c>
      <c r="BD9" s="16">
        <f>AVERAGE(Tabla4[[#This Row],[Creación y captura Abr/2025]:[Compartición e Interoperabilidad Abr/2025]])</f>
        <v>1</v>
      </c>
      <c r="BE9" s="14">
        <v>1</v>
      </c>
      <c r="BF9" s="14">
        <v>1</v>
      </c>
      <c r="BG9" s="17">
        <f>AVERAGE('Calidad de Datos'!AM13:AP13)</f>
        <v>1</v>
      </c>
      <c r="BH9" s="15">
        <f>Tabla13[[#This Row],[Uso y acceso May/2025]]</f>
        <v>1</v>
      </c>
      <c r="BI9" s="15">
        <f>Tabla58[[#This Row],[Integración May/2025]]</f>
        <v>1</v>
      </c>
      <c r="BJ9" s="16">
        <f>AVERAGE(Tabla4[[#This Row],[Creación y captura May/2025]:[Compartición e Interoperabilidad May/2025]])</f>
        <v>1</v>
      </c>
      <c r="BK9" s="14">
        <v>1</v>
      </c>
      <c r="BL9" s="14">
        <v>1</v>
      </c>
      <c r="BM9" s="14">
        <f>AVERAGE('Calidad de Datos'!AQ13:AT13)</f>
        <v>1</v>
      </c>
      <c r="BN9" s="14">
        <f>Tabla13[[#This Row],[Uso y acceso Dic/2025]]</f>
        <v>1</v>
      </c>
      <c r="BO9" s="14">
        <f>Tabla58[[#This Row],[Integración Dic/2025]]</f>
        <v>1</v>
      </c>
      <c r="BP9" s="16">
        <f>AVERAGE(Tabla4[[#This Row],[Creación y captura Dic/2025]:[Compartición e Interoperabilidad Dic/2025]])</f>
        <v>1</v>
      </c>
    </row>
    <row r="10" spans="2:68" x14ac:dyDescent="0.4">
      <c r="B10" s="1" t="s">
        <v>60</v>
      </c>
      <c r="C10" s="14">
        <v>1</v>
      </c>
      <c r="D10" s="14">
        <v>1</v>
      </c>
      <c r="E10" s="14">
        <f>AVERAGE('Calidad de Datos'!C14:F14)</f>
        <v>1</v>
      </c>
      <c r="F10" s="14">
        <f>Tabla13[[#This Row],[Uso y acceso Ago/2024]]</f>
        <v>1</v>
      </c>
      <c r="G10" s="15">
        <f>Tabla58[[#This Row],[Integración Ago/2024]]</f>
        <v>1</v>
      </c>
      <c r="H10" s="16">
        <f>AVERAGE(Tabla4[[#This Row],[Creación y captura Ago/2024]:[Compartición e Interoperabilidad Ago/2024]])</f>
        <v>1</v>
      </c>
      <c r="I10" s="14">
        <v>1</v>
      </c>
      <c r="J10" s="14">
        <v>1</v>
      </c>
      <c r="K10" s="15">
        <f>AVERAGE('Calidad de Datos'!G14:J14)</f>
        <v>1</v>
      </c>
      <c r="L10" s="15">
        <f>Tabla13[[#This Row],[Uso y acceso Sep/2024]]</f>
        <v>1</v>
      </c>
      <c r="M10" s="15">
        <f>Tabla58[[#This Row],[Integración Sep/2024]]</f>
        <v>1</v>
      </c>
      <c r="N10" s="16">
        <f>AVERAGE(Tabla4[[#This Row],[Creación y captura Sep/2024]:[Compartición e Interoperabilidad Sep/2024]])</f>
        <v>1</v>
      </c>
      <c r="O10" s="14">
        <v>1</v>
      </c>
      <c r="P10" s="14">
        <v>1</v>
      </c>
      <c r="Q10" s="15">
        <f>AVERAGE('Calidad de Datos'!K14:N14)</f>
        <v>1</v>
      </c>
      <c r="R10" s="15">
        <f>Tabla13[[#This Row],[Uso y acceso Oct/2024]]</f>
        <v>1</v>
      </c>
      <c r="S10" s="15">
        <f>Tabla58[[#This Row],[Integración Oct/2024]]</f>
        <v>1</v>
      </c>
      <c r="T10" s="16">
        <f>AVERAGE(Tabla4[[#This Row],[Creación y captura Oct/2024]:[Compartición e Interoperabilidad Oct/2024]])</f>
        <v>1</v>
      </c>
      <c r="U10" s="14">
        <v>1</v>
      </c>
      <c r="V10" s="14">
        <v>1</v>
      </c>
      <c r="W10" s="15">
        <f>AVERAGE('Calidad de Datos'!O14:R14)</f>
        <v>1</v>
      </c>
      <c r="X10" s="15">
        <f>Tabla13[[#This Row],[Uso y acceso Nov/2024]]</f>
        <v>1</v>
      </c>
      <c r="Y10" s="15">
        <f>Tabla58[[#This Row],[Integración Nov/2024]]</f>
        <v>1</v>
      </c>
      <c r="Z10" s="16">
        <f>AVERAGE(Tabla4[[#This Row],[Creación y captura Nov/2024]:[Compartición e Interoperabilidad Nov/2024]])</f>
        <v>1</v>
      </c>
      <c r="AA10" s="14">
        <v>1</v>
      </c>
      <c r="AB10" s="14">
        <v>1</v>
      </c>
      <c r="AC10" s="15">
        <f>AVERAGE('Calidad de Datos'!S14:V14)</f>
        <v>1</v>
      </c>
      <c r="AD10" s="15">
        <f>Tabla13[[#This Row],[Uso y acceso Dic/2024]]</f>
        <v>1</v>
      </c>
      <c r="AE10" s="15">
        <f>Tabla58[[#This Row],[Integración Dic/2024]]</f>
        <v>1</v>
      </c>
      <c r="AF10" s="16">
        <f>AVERAGE(Tabla4[[#This Row],[Creación y captura Dic/2024]:[Compartición e Interoperabilidad Dic/2024]])</f>
        <v>1</v>
      </c>
      <c r="AG10" s="14">
        <v>1</v>
      </c>
      <c r="AH10" s="14">
        <v>1</v>
      </c>
      <c r="AI10" s="17">
        <f>AVERAGE('Calidad de Datos'!W14:Z14)</f>
        <v>1</v>
      </c>
      <c r="AJ10" s="15">
        <f>Tabla13[[#This Row],[Uso y acceso Ene/2025]]</f>
        <v>1</v>
      </c>
      <c r="AK10" s="15">
        <f>Tabla58[[#This Row],[Integración Ene/2025]]</f>
        <v>1</v>
      </c>
      <c r="AL10" s="16">
        <f>AVERAGE(Tabla4[[#This Row],[Creación y captura Ene/2025]:[Compartición e Interoperabilidad Ene/2025]])</f>
        <v>1</v>
      </c>
      <c r="AM10" s="14">
        <v>1</v>
      </c>
      <c r="AN10" s="14">
        <v>1</v>
      </c>
      <c r="AO10" s="17">
        <f>AVERAGE('Calidad de Datos'!AA14:AD14)</f>
        <v>1</v>
      </c>
      <c r="AP10" s="15">
        <f>Tabla13[[#This Row],[Uso y acceso Feb/2025]]</f>
        <v>1</v>
      </c>
      <c r="AQ10" s="15">
        <f>Tabla58[[#This Row],[Integración Feb/2025]]</f>
        <v>1</v>
      </c>
      <c r="AR10" s="16">
        <f>AVERAGE(Tabla4[[#This Row],[Creación y captura Feb/2025]:[Compartición e Interoperabilidad Feb/2025]])</f>
        <v>1</v>
      </c>
      <c r="AS10" s="14">
        <v>1</v>
      </c>
      <c r="AT10" s="14">
        <v>1</v>
      </c>
      <c r="AU10" s="17">
        <f>AVERAGE('Calidad de Datos'!AE14:AH14)</f>
        <v>1</v>
      </c>
      <c r="AV10" s="15">
        <f>Tabla13[[#This Row],[Uso y acceso Mar/2025]]</f>
        <v>1</v>
      </c>
      <c r="AW10" s="15">
        <f>Tabla58[[#This Row],[Integración Mar/2025]]</f>
        <v>1</v>
      </c>
      <c r="AX10" s="16">
        <f>AVERAGE(Tabla4[[#This Row],[Creación y captura Mar/2025]:[Compartición e Interoperabilidad Mar/2025]])</f>
        <v>1</v>
      </c>
      <c r="AY10" s="14">
        <v>1</v>
      </c>
      <c r="AZ10" s="14">
        <v>1</v>
      </c>
      <c r="BA10" s="17">
        <f>AVERAGE('Calidad de Datos'!AI14:AL14)</f>
        <v>1</v>
      </c>
      <c r="BB10" s="15">
        <f>Tabla13[[#This Row],[Uso y acceso Abr/2025]]</f>
        <v>1</v>
      </c>
      <c r="BC10" s="15">
        <f>Tabla58[[#This Row],[Integración Abr/2025]]</f>
        <v>1</v>
      </c>
      <c r="BD10" s="16">
        <f>AVERAGE(Tabla4[[#This Row],[Creación y captura Abr/2025]:[Compartición e Interoperabilidad Abr/2025]])</f>
        <v>1</v>
      </c>
      <c r="BE10" s="14">
        <v>1</v>
      </c>
      <c r="BF10" s="14">
        <v>1</v>
      </c>
      <c r="BG10" s="17">
        <f>AVERAGE('Calidad de Datos'!AM14:AP14)</f>
        <v>1</v>
      </c>
      <c r="BH10" s="15">
        <f>Tabla13[[#This Row],[Uso y acceso May/2025]]</f>
        <v>1</v>
      </c>
      <c r="BI10" s="15">
        <f>Tabla58[[#This Row],[Integración May/2025]]</f>
        <v>1</v>
      </c>
      <c r="BJ10" s="16">
        <f>AVERAGE(Tabla4[[#This Row],[Creación y captura May/2025]:[Compartición e Interoperabilidad May/2025]])</f>
        <v>1</v>
      </c>
      <c r="BK10" s="14">
        <v>1</v>
      </c>
      <c r="BL10" s="14">
        <v>1</v>
      </c>
      <c r="BM10" s="14">
        <f>AVERAGE('Calidad de Datos'!AQ14:AT14)</f>
        <v>1</v>
      </c>
      <c r="BN10" s="14">
        <f>Tabla13[[#This Row],[Uso y acceso Dic/2025]]</f>
        <v>1</v>
      </c>
      <c r="BO10" s="14">
        <f>Tabla58[[#This Row],[Integración Dic/2025]]</f>
        <v>1</v>
      </c>
      <c r="BP10" s="16">
        <f>AVERAGE(Tabla4[[#This Row],[Creación y captura Dic/2025]:[Compartición e Interoperabilidad Dic/2025]])</f>
        <v>1</v>
      </c>
    </row>
    <row r="11" spans="2:68" x14ac:dyDescent="0.4">
      <c r="B11" s="1" t="s">
        <v>61</v>
      </c>
      <c r="C11" s="14">
        <v>1</v>
      </c>
      <c r="D11" s="14">
        <v>1</v>
      </c>
      <c r="E11" s="14">
        <f>AVERAGE('Calidad de Datos'!C15:F15)</f>
        <v>0.625</v>
      </c>
      <c r="F11" s="14">
        <f>Tabla13[[#This Row],[Uso y acceso Ago/2024]]</f>
        <v>1</v>
      </c>
      <c r="G11" s="15">
        <f>Tabla58[[#This Row],[Integración Ago/2024]]</f>
        <v>1</v>
      </c>
      <c r="H11" s="16">
        <f>AVERAGE(Tabla4[[#This Row],[Creación y captura Ago/2024]:[Compartición e Interoperabilidad Ago/2024]])</f>
        <v>0.92500000000000004</v>
      </c>
      <c r="I11" s="14">
        <v>1</v>
      </c>
      <c r="J11" s="14">
        <v>1</v>
      </c>
      <c r="K11" s="15">
        <f>AVERAGE('Calidad de Datos'!G15:J15)</f>
        <v>0.625</v>
      </c>
      <c r="L11" s="15">
        <f>Tabla13[[#This Row],[Uso y acceso Sep/2024]]</f>
        <v>1</v>
      </c>
      <c r="M11" s="15">
        <f>Tabla58[[#This Row],[Integración Sep/2024]]</f>
        <v>1</v>
      </c>
      <c r="N11" s="16">
        <f>AVERAGE(Tabla4[[#This Row],[Creación y captura Sep/2024]:[Compartición e Interoperabilidad Sep/2024]])</f>
        <v>0.92500000000000004</v>
      </c>
      <c r="O11" s="14">
        <v>1</v>
      </c>
      <c r="P11" s="14">
        <v>1</v>
      </c>
      <c r="Q11" s="15">
        <f>AVERAGE('Calidad de Datos'!K15:N15)</f>
        <v>0.63249999999999995</v>
      </c>
      <c r="R11" s="15">
        <f>Tabla13[[#This Row],[Uso y acceso Oct/2024]]</f>
        <v>1</v>
      </c>
      <c r="S11" s="15">
        <f>Tabla58[[#This Row],[Integración Oct/2024]]</f>
        <v>1</v>
      </c>
      <c r="T11" s="16">
        <f>AVERAGE(Tabla4[[#This Row],[Creación y captura Oct/2024]:[Compartición e Interoperabilidad Oct/2024]])</f>
        <v>0.9265000000000001</v>
      </c>
      <c r="U11" s="14">
        <v>1</v>
      </c>
      <c r="V11" s="14">
        <v>1</v>
      </c>
      <c r="W11" s="15">
        <f>AVERAGE('Calidad de Datos'!O15:R15)</f>
        <v>0.76249999999999996</v>
      </c>
      <c r="X11" s="15">
        <f>Tabla13[[#This Row],[Uso y acceso Nov/2024]]</f>
        <v>1</v>
      </c>
      <c r="Y11" s="15">
        <f>Tabla58[[#This Row],[Integración Nov/2024]]</f>
        <v>1</v>
      </c>
      <c r="Z11" s="16">
        <f>AVERAGE(Tabla4[[#This Row],[Creación y captura Nov/2024]:[Compartición e Interoperabilidad Nov/2024]])</f>
        <v>0.95250000000000001</v>
      </c>
      <c r="AA11" s="14">
        <v>1</v>
      </c>
      <c r="AB11" s="14">
        <v>1</v>
      </c>
      <c r="AC11" s="15">
        <f>AVERAGE('Calidad de Datos'!S15:V15)</f>
        <v>0.82374999999999998</v>
      </c>
      <c r="AD11" s="15">
        <f>Tabla13[[#This Row],[Uso y acceso Dic/2024]]</f>
        <v>1</v>
      </c>
      <c r="AE11" s="15">
        <f>Tabla58[[#This Row],[Integración Dic/2024]]</f>
        <v>1</v>
      </c>
      <c r="AF11" s="16">
        <f>AVERAGE(Tabla4[[#This Row],[Creación y captura Dic/2024]:[Compartición e Interoperabilidad Dic/2024]])</f>
        <v>0.96475000000000011</v>
      </c>
      <c r="AG11" s="14">
        <v>1</v>
      </c>
      <c r="AH11" s="14">
        <v>1</v>
      </c>
      <c r="AI11" s="17">
        <f>AVERAGE('Calidad de Datos'!W15:Z15)</f>
        <v>0.82499999999999996</v>
      </c>
      <c r="AJ11" s="15">
        <f>Tabla13[[#This Row],[Uso y acceso Ene/2025]]</f>
        <v>1</v>
      </c>
      <c r="AK11" s="15">
        <f>Tabla58[[#This Row],[Integración Ene/2025]]</f>
        <v>1</v>
      </c>
      <c r="AL11" s="16">
        <f>AVERAGE(Tabla4[[#This Row],[Creación y captura Ene/2025]:[Compartición e Interoperabilidad Ene/2025]])</f>
        <v>0.96500000000000008</v>
      </c>
      <c r="AM11" s="14">
        <v>1</v>
      </c>
      <c r="AN11" s="14">
        <v>1</v>
      </c>
      <c r="AO11" s="17">
        <f>AVERAGE('Calidad de Datos'!AA15:AD15)</f>
        <v>0.82499999999999996</v>
      </c>
      <c r="AP11" s="15">
        <f>Tabla13[[#This Row],[Uso y acceso Feb/2025]]</f>
        <v>1</v>
      </c>
      <c r="AQ11" s="15">
        <f>Tabla58[[#This Row],[Integración Feb/2025]]</f>
        <v>1</v>
      </c>
      <c r="AR11" s="16">
        <f>AVERAGE(Tabla4[[#This Row],[Creación y captura Feb/2025]:[Compartición e Interoperabilidad Feb/2025]])</f>
        <v>0.96500000000000008</v>
      </c>
      <c r="AS11" s="14">
        <v>1</v>
      </c>
      <c r="AT11" s="14">
        <v>1</v>
      </c>
      <c r="AU11" s="17">
        <f>AVERAGE('Calidad de Datos'!AE15:AH15)</f>
        <v>0.82499999999999996</v>
      </c>
      <c r="AV11" s="15">
        <f>Tabla13[[#This Row],[Uso y acceso Mar/2025]]</f>
        <v>1</v>
      </c>
      <c r="AW11" s="15">
        <f>Tabla58[[#This Row],[Integración Mar/2025]]</f>
        <v>1</v>
      </c>
      <c r="AX11" s="16">
        <f>AVERAGE(Tabla4[[#This Row],[Creación y captura Mar/2025]:[Compartición e Interoperabilidad Mar/2025]])</f>
        <v>0.96500000000000008</v>
      </c>
      <c r="AY11" s="14">
        <v>1</v>
      </c>
      <c r="AZ11" s="14">
        <v>1</v>
      </c>
      <c r="BA11" s="17">
        <f>AVERAGE('Calidad de Datos'!AI15:AL15)</f>
        <v>0.82499999999999996</v>
      </c>
      <c r="BB11" s="15">
        <f>Tabla13[[#This Row],[Uso y acceso Abr/2025]]</f>
        <v>1</v>
      </c>
      <c r="BC11" s="15">
        <f>Tabla58[[#This Row],[Integración Abr/2025]]</f>
        <v>1</v>
      </c>
      <c r="BD11" s="16">
        <f>AVERAGE(Tabla4[[#This Row],[Creación y captura Abr/2025]:[Compartición e Interoperabilidad Abr/2025]])</f>
        <v>0.96500000000000008</v>
      </c>
      <c r="BE11" s="14">
        <v>1</v>
      </c>
      <c r="BF11" s="14">
        <v>1</v>
      </c>
      <c r="BG11" s="17">
        <f>AVERAGE('Calidad de Datos'!AM15:AP15)</f>
        <v>0.82499999999999996</v>
      </c>
      <c r="BH11" s="15">
        <f>Tabla13[[#This Row],[Uso y acceso May/2025]]</f>
        <v>1</v>
      </c>
      <c r="BI11" s="15">
        <f>Tabla58[[#This Row],[Integración May/2025]]</f>
        <v>1</v>
      </c>
      <c r="BJ11" s="16">
        <f>AVERAGE(Tabla4[[#This Row],[Creación y captura May/2025]:[Compartición e Interoperabilidad May/2025]])</f>
        <v>0.96500000000000008</v>
      </c>
      <c r="BK11" s="14">
        <v>1</v>
      </c>
      <c r="BL11" s="14">
        <v>1</v>
      </c>
      <c r="BM11" s="14">
        <f>AVERAGE('Calidad de Datos'!AQ15:AT15)</f>
        <v>0.83850000000000002</v>
      </c>
      <c r="BN11" s="14">
        <f>Tabla13[[#This Row],[Uso y acceso Dic/2025]]</f>
        <v>1</v>
      </c>
      <c r="BO11" s="14">
        <f>Tabla58[[#This Row],[Integración Dic/2025]]</f>
        <v>1</v>
      </c>
      <c r="BP11" s="16">
        <f>AVERAGE(Tabla4[[#This Row],[Creación y captura Dic/2025]:[Compartición e Interoperabilidad Dic/2025]])</f>
        <v>0.9677</v>
      </c>
    </row>
    <row r="12" spans="2:68" x14ac:dyDescent="0.4">
      <c r="B12" s="1" t="s">
        <v>62</v>
      </c>
      <c r="C12" s="14">
        <v>1</v>
      </c>
      <c r="D12" s="14">
        <v>1</v>
      </c>
      <c r="E12" s="14">
        <f>AVERAGE('Calidad de Datos'!C16:F16)</f>
        <v>1</v>
      </c>
      <c r="F12" s="14">
        <f>Tabla13[[#This Row],[Uso y acceso Ago/2024]]</f>
        <v>1</v>
      </c>
      <c r="G12" s="15">
        <f>Tabla58[[#This Row],[Integración Ago/2024]]</f>
        <v>1</v>
      </c>
      <c r="H12" s="16">
        <f>AVERAGE(Tabla4[[#This Row],[Creación y captura Ago/2024]:[Compartición e Interoperabilidad Ago/2024]])</f>
        <v>1</v>
      </c>
      <c r="I12" s="14">
        <v>1</v>
      </c>
      <c r="J12" s="14">
        <v>1</v>
      </c>
      <c r="K12" s="15">
        <f>AVERAGE('Calidad de Datos'!G16:J16)</f>
        <v>1</v>
      </c>
      <c r="L12" s="15">
        <f>Tabla13[[#This Row],[Uso y acceso Sep/2024]]</f>
        <v>1</v>
      </c>
      <c r="M12" s="15">
        <f>Tabla58[[#This Row],[Integración Sep/2024]]</f>
        <v>1</v>
      </c>
      <c r="N12" s="16">
        <f>AVERAGE(Tabla4[[#This Row],[Creación y captura Sep/2024]:[Compartición e Interoperabilidad Sep/2024]])</f>
        <v>1</v>
      </c>
      <c r="O12" s="14">
        <v>1</v>
      </c>
      <c r="P12" s="14">
        <v>1</v>
      </c>
      <c r="Q12" s="15">
        <f>AVERAGE('Calidad de Datos'!K16:N16)</f>
        <v>1</v>
      </c>
      <c r="R12" s="15">
        <f>Tabla13[[#This Row],[Uso y acceso Oct/2024]]</f>
        <v>1</v>
      </c>
      <c r="S12" s="15">
        <f>Tabla58[[#This Row],[Integración Oct/2024]]</f>
        <v>1</v>
      </c>
      <c r="T12" s="16">
        <f>AVERAGE(Tabla4[[#This Row],[Creación y captura Oct/2024]:[Compartición e Interoperabilidad Oct/2024]])</f>
        <v>1</v>
      </c>
      <c r="U12" s="14">
        <v>1</v>
      </c>
      <c r="V12" s="14">
        <v>1</v>
      </c>
      <c r="W12" s="15">
        <f>AVERAGE('Calidad de Datos'!O16:R16)</f>
        <v>1</v>
      </c>
      <c r="X12" s="15">
        <f>Tabla13[[#This Row],[Uso y acceso Nov/2024]]</f>
        <v>1</v>
      </c>
      <c r="Y12" s="15">
        <f>Tabla58[[#This Row],[Integración Nov/2024]]</f>
        <v>1</v>
      </c>
      <c r="Z12" s="16">
        <f>AVERAGE(Tabla4[[#This Row],[Creación y captura Nov/2024]:[Compartición e Interoperabilidad Nov/2024]])</f>
        <v>1</v>
      </c>
      <c r="AA12" s="14">
        <v>1</v>
      </c>
      <c r="AB12" s="14">
        <v>1</v>
      </c>
      <c r="AC12" s="15">
        <f>AVERAGE('Calidad de Datos'!S16:V16)</f>
        <v>1</v>
      </c>
      <c r="AD12" s="15">
        <f>Tabla13[[#This Row],[Uso y acceso Dic/2024]]</f>
        <v>1</v>
      </c>
      <c r="AE12" s="15">
        <f>Tabla58[[#This Row],[Integración Dic/2024]]</f>
        <v>1</v>
      </c>
      <c r="AF12" s="16">
        <f>AVERAGE(Tabla4[[#This Row],[Creación y captura Dic/2024]:[Compartición e Interoperabilidad Dic/2024]])</f>
        <v>1</v>
      </c>
      <c r="AG12" s="14">
        <v>1</v>
      </c>
      <c r="AH12" s="14">
        <v>1</v>
      </c>
      <c r="AI12" s="17">
        <f>AVERAGE('Calidad de Datos'!W16:Z16)</f>
        <v>1</v>
      </c>
      <c r="AJ12" s="15">
        <f>Tabla13[[#This Row],[Uso y acceso Ene/2025]]</f>
        <v>1</v>
      </c>
      <c r="AK12" s="15">
        <f>Tabla58[[#This Row],[Integración Ene/2025]]</f>
        <v>1</v>
      </c>
      <c r="AL12" s="16">
        <f>AVERAGE(Tabla4[[#This Row],[Creación y captura Ene/2025]:[Compartición e Interoperabilidad Ene/2025]])</f>
        <v>1</v>
      </c>
      <c r="AM12" s="14">
        <v>1</v>
      </c>
      <c r="AN12" s="14">
        <v>1</v>
      </c>
      <c r="AO12" s="17">
        <f>AVERAGE('Calidad de Datos'!AA16:AD16)</f>
        <v>1</v>
      </c>
      <c r="AP12" s="15">
        <f>Tabla13[[#This Row],[Uso y acceso Feb/2025]]</f>
        <v>1</v>
      </c>
      <c r="AQ12" s="15">
        <f>Tabla58[[#This Row],[Integración Feb/2025]]</f>
        <v>1</v>
      </c>
      <c r="AR12" s="16">
        <f>AVERAGE(Tabla4[[#This Row],[Creación y captura Feb/2025]:[Compartición e Interoperabilidad Feb/2025]])</f>
        <v>1</v>
      </c>
      <c r="AS12" s="14">
        <v>1</v>
      </c>
      <c r="AT12" s="14">
        <v>1</v>
      </c>
      <c r="AU12" s="17">
        <f>AVERAGE('Calidad de Datos'!AE16:AH16)</f>
        <v>1</v>
      </c>
      <c r="AV12" s="15">
        <f>Tabla13[[#This Row],[Uso y acceso Mar/2025]]</f>
        <v>1</v>
      </c>
      <c r="AW12" s="15">
        <f>Tabla58[[#This Row],[Integración Mar/2025]]</f>
        <v>1</v>
      </c>
      <c r="AX12" s="16">
        <f>AVERAGE(Tabla4[[#This Row],[Creación y captura Mar/2025]:[Compartición e Interoperabilidad Mar/2025]])</f>
        <v>1</v>
      </c>
      <c r="AY12" s="14">
        <v>1</v>
      </c>
      <c r="AZ12" s="14">
        <v>1</v>
      </c>
      <c r="BA12" s="17">
        <f>AVERAGE('Calidad de Datos'!AI16:AL16)</f>
        <v>1</v>
      </c>
      <c r="BB12" s="15">
        <f>Tabla13[[#This Row],[Uso y acceso Abr/2025]]</f>
        <v>1</v>
      </c>
      <c r="BC12" s="15">
        <f>Tabla58[[#This Row],[Integración Abr/2025]]</f>
        <v>1</v>
      </c>
      <c r="BD12" s="16">
        <f>AVERAGE(Tabla4[[#This Row],[Creación y captura Abr/2025]:[Compartición e Interoperabilidad Abr/2025]])</f>
        <v>1</v>
      </c>
      <c r="BE12" s="14">
        <v>1</v>
      </c>
      <c r="BF12" s="14">
        <v>1</v>
      </c>
      <c r="BG12" s="17">
        <f>AVERAGE('Calidad de Datos'!AM16:AP16)</f>
        <v>1</v>
      </c>
      <c r="BH12" s="15">
        <f>Tabla13[[#This Row],[Uso y acceso May/2025]]</f>
        <v>1</v>
      </c>
      <c r="BI12" s="15">
        <f>Tabla58[[#This Row],[Integración May/2025]]</f>
        <v>1</v>
      </c>
      <c r="BJ12" s="16">
        <f>AVERAGE(Tabla4[[#This Row],[Creación y captura May/2025]:[Compartición e Interoperabilidad May/2025]])</f>
        <v>1</v>
      </c>
      <c r="BK12" s="14">
        <v>1</v>
      </c>
      <c r="BL12" s="14">
        <v>1</v>
      </c>
      <c r="BM12" s="14">
        <f>AVERAGE('Calidad de Datos'!AQ16:AT16)</f>
        <v>1</v>
      </c>
      <c r="BN12" s="14">
        <f>Tabla13[[#This Row],[Uso y acceso Dic/2025]]</f>
        <v>1</v>
      </c>
      <c r="BO12" s="14">
        <f>Tabla58[[#This Row],[Integración Dic/2025]]</f>
        <v>1</v>
      </c>
      <c r="BP12" s="16">
        <f>AVERAGE(Tabla4[[#This Row],[Creación y captura Dic/2025]:[Compartición e Interoperabilidad Dic/2025]])</f>
        <v>1</v>
      </c>
    </row>
    <row r="13" spans="2:68" x14ac:dyDescent="0.4">
      <c r="B13" s="1" t="s">
        <v>63</v>
      </c>
      <c r="C13" s="14">
        <v>1</v>
      </c>
      <c r="D13" s="14">
        <v>1</v>
      </c>
      <c r="E13" s="14">
        <f>AVERAGE('Calidad de Datos'!C17:F17)</f>
        <v>1</v>
      </c>
      <c r="F13" s="14">
        <f>Tabla13[[#This Row],[Uso y acceso Ago/2024]]</f>
        <v>1</v>
      </c>
      <c r="G13" s="15">
        <f>Tabla58[[#This Row],[Integración Ago/2024]]</f>
        <v>1</v>
      </c>
      <c r="H13" s="16">
        <f>AVERAGE(Tabla4[[#This Row],[Creación y captura Ago/2024]:[Compartición e Interoperabilidad Ago/2024]])</f>
        <v>1</v>
      </c>
      <c r="I13" s="14">
        <v>1</v>
      </c>
      <c r="J13" s="14">
        <v>1</v>
      </c>
      <c r="K13" s="15">
        <f>AVERAGE('Calidad de Datos'!G17:J17)</f>
        <v>1</v>
      </c>
      <c r="L13" s="15">
        <f>Tabla13[[#This Row],[Uso y acceso Sep/2024]]</f>
        <v>1</v>
      </c>
      <c r="M13" s="15">
        <f>Tabla58[[#This Row],[Integración Sep/2024]]</f>
        <v>1</v>
      </c>
      <c r="N13" s="16">
        <f>AVERAGE(Tabla4[[#This Row],[Creación y captura Sep/2024]:[Compartición e Interoperabilidad Sep/2024]])</f>
        <v>1</v>
      </c>
      <c r="O13" s="14">
        <v>1</v>
      </c>
      <c r="P13" s="14">
        <v>1</v>
      </c>
      <c r="Q13" s="15">
        <f>AVERAGE('Calidad de Datos'!K17:N17)</f>
        <v>1</v>
      </c>
      <c r="R13" s="15">
        <f>Tabla13[[#This Row],[Uso y acceso Oct/2024]]</f>
        <v>1</v>
      </c>
      <c r="S13" s="15">
        <f>Tabla58[[#This Row],[Integración Oct/2024]]</f>
        <v>1</v>
      </c>
      <c r="T13" s="16">
        <f>AVERAGE(Tabla4[[#This Row],[Creación y captura Oct/2024]:[Compartición e Interoperabilidad Oct/2024]])</f>
        <v>1</v>
      </c>
      <c r="U13" s="14">
        <v>1</v>
      </c>
      <c r="V13" s="14">
        <v>1</v>
      </c>
      <c r="W13" s="15">
        <f>AVERAGE('Calidad de Datos'!O17:R17)</f>
        <v>1</v>
      </c>
      <c r="X13" s="15">
        <f>Tabla13[[#This Row],[Uso y acceso Nov/2024]]</f>
        <v>1</v>
      </c>
      <c r="Y13" s="15">
        <f>Tabla58[[#This Row],[Integración Nov/2024]]</f>
        <v>1</v>
      </c>
      <c r="Z13" s="16">
        <f>AVERAGE(Tabla4[[#This Row],[Creación y captura Nov/2024]:[Compartición e Interoperabilidad Nov/2024]])</f>
        <v>1</v>
      </c>
      <c r="AA13" s="14">
        <v>1</v>
      </c>
      <c r="AB13" s="14">
        <v>1</v>
      </c>
      <c r="AC13" s="15">
        <f>AVERAGE('Calidad de Datos'!S17:V17)</f>
        <v>1</v>
      </c>
      <c r="AD13" s="15">
        <f>Tabla13[[#This Row],[Uso y acceso Dic/2024]]</f>
        <v>1</v>
      </c>
      <c r="AE13" s="15">
        <f>Tabla58[[#This Row],[Integración Dic/2024]]</f>
        <v>1</v>
      </c>
      <c r="AF13" s="16">
        <f>AVERAGE(Tabla4[[#This Row],[Creación y captura Dic/2024]:[Compartición e Interoperabilidad Dic/2024]])</f>
        <v>1</v>
      </c>
      <c r="AG13" s="14">
        <v>1</v>
      </c>
      <c r="AH13" s="14">
        <v>1</v>
      </c>
      <c r="AI13" s="17">
        <f>AVERAGE('Calidad de Datos'!W17:Z17)</f>
        <v>1</v>
      </c>
      <c r="AJ13" s="15">
        <f>Tabla13[[#This Row],[Uso y acceso Ene/2025]]</f>
        <v>1</v>
      </c>
      <c r="AK13" s="15">
        <f>Tabla58[[#This Row],[Integración Ene/2025]]</f>
        <v>1</v>
      </c>
      <c r="AL13" s="16">
        <f>AVERAGE(Tabla4[[#This Row],[Creación y captura Ene/2025]:[Compartición e Interoperabilidad Ene/2025]])</f>
        <v>1</v>
      </c>
      <c r="AM13" s="14">
        <v>1</v>
      </c>
      <c r="AN13" s="14">
        <v>1</v>
      </c>
      <c r="AO13" s="17">
        <f>AVERAGE('Calidad de Datos'!AA17:AD17)</f>
        <v>1</v>
      </c>
      <c r="AP13" s="15">
        <f>Tabla13[[#This Row],[Uso y acceso Feb/2025]]</f>
        <v>1</v>
      </c>
      <c r="AQ13" s="15">
        <f>Tabla58[[#This Row],[Integración Feb/2025]]</f>
        <v>1</v>
      </c>
      <c r="AR13" s="16">
        <f>AVERAGE(Tabla4[[#This Row],[Creación y captura Feb/2025]:[Compartición e Interoperabilidad Feb/2025]])</f>
        <v>1</v>
      </c>
      <c r="AS13" s="14">
        <v>1</v>
      </c>
      <c r="AT13" s="14">
        <v>1</v>
      </c>
      <c r="AU13" s="17">
        <f>AVERAGE('Calidad de Datos'!AE17:AH17)</f>
        <v>1</v>
      </c>
      <c r="AV13" s="15">
        <f>Tabla13[[#This Row],[Uso y acceso Mar/2025]]</f>
        <v>1</v>
      </c>
      <c r="AW13" s="15">
        <f>Tabla58[[#This Row],[Integración Mar/2025]]</f>
        <v>1</v>
      </c>
      <c r="AX13" s="16">
        <f>AVERAGE(Tabla4[[#This Row],[Creación y captura Mar/2025]:[Compartición e Interoperabilidad Mar/2025]])</f>
        <v>1</v>
      </c>
      <c r="AY13" s="14">
        <v>1</v>
      </c>
      <c r="AZ13" s="14">
        <v>1</v>
      </c>
      <c r="BA13" s="17">
        <f>AVERAGE('Calidad de Datos'!AI17:AL17)</f>
        <v>1</v>
      </c>
      <c r="BB13" s="15">
        <f>Tabla13[[#This Row],[Uso y acceso Abr/2025]]</f>
        <v>1</v>
      </c>
      <c r="BC13" s="15">
        <f>Tabla58[[#This Row],[Integración Abr/2025]]</f>
        <v>1</v>
      </c>
      <c r="BD13" s="16">
        <f>AVERAGE(Tabla4[[#This Row],[Creación y captura Abr/2025]:[Compartición e Interoperabilidad Abr/2025]])</f>
        <v>1</v>
      </c>
      <c r="BE13" s="14">
        <v>1</v>
      </c>
      <c r="BF13" s="14">
        <v>1</v>
      </c>
      <c r="BG13" s="17">
        <f>AVERAGE('Calidad de Datos'!AM17:AP17)</f>
        <v>1</v>
      </c>
      <c r="BH13" s="15">
        <f>Tabla13[[#This Row],[Uso y acceso May/2025]]</f>
        <v>1</v>
      </c>
      <c r="BI13" s="15">
        <f>Tabla58[[#This Row],[Integración May/2025]]</f>
        <v>1</v>
      </c>
      <c r="BJ13" s="16">
        <f>AVERAGE(Tabla4[[#This Row],[Creación y captura May/2025]:[Compartición e Interoperabilidad May/2025]])</f>
        <v>1</v>
      </c>
      <c r="BK13" s="14">
        <v>1</v>
      </c>
      <c r="BL13" s="14">
        <v>1</v>
      </c>
      <c r="BM13" s="14">
        <f>AVERAGE('Calidad de Datos'!AQ17:AT17)</f>
        <v>1</v>
      </c>
      <c r="BN13" s="14">
        <f>Tabla13[[#This Row],[Uso y acceso Dic/2025]]</f>
        <v>1</v>
      </c>
      <c r="BO13" s="14">
        <f>Tabla58[[#This Row],[Integración Dic/2025]]</f>
        <v>1</v>
      </c>
      <c r="BP13" s="16">
        <f>AVERAGE(Tabla4[[#This Row],[Creación y captura Dic/2025]:[Compartición e Interoperabilidad Dic/2025]])</f>
        <v>1</v>
      </c>
    </row>
    <row r="14" spans="2:68" x14ac:dyDescent="0.4">
      <c r="B14" s="1" t="s">
        <v>64</v>
      </c>
      <c r="C14" s="14">
        <v>1</v>
      </c>
      <c r="D14" s="14">
        <v>1</v>
      </c>
      <c r="E14" s="14">
        <f>AVERAGE('Calidad de Datos'!C18:F18)</f>
        <v>1</v>
      </c>
      <c r="F14" s="14">
        <f>Tabla13[[#This Row],[Uso y acceso Ago/2024]]</f>
        <v>1</v>
      </c>
      <c r="G14" s="15">
        <f>Tabla58[[#This Row],[Integración Ago/2024]]</f>
        <v>1</v>
      </c>
      <c r="H14" s="16">
        <f>AVERAGE(Tabla4[[#This Row],[Creación y captura Ago/2024]:[Compartición e Interoperabilidad Ago/2024]])</f>
        <v>1</v>
      </c>
      <c r="I14" s="14">
        <v>1</v>
      </c>
      <c r="J14" s="14">
        <v>1</v>
      </c>
      <c r="K14" s="15">
        <f>AVERAGE('Calidad de Datos'!G18:J18)</f>
        <v>1</v>
      </c>
      <c r="L14" s="15">
        <f>Tabla13[[#This Row],[Uso y acceso Sep/2024]]</f>
        <v>1</v>
      </c>
      <c r="M14" s="15">
        <f>Tabla58[[#This Row],[Integración Sep/2024]]</f>
        <v>1</v>
      </c>
      <c r="N14" s="16">
        <f>AVERAGE(Tabla4[[#This Row],[Creación y captura Sep/2024]:[Compartición e Interoperabilidad Sep/2024]])</f>
        <v>1</v>
      </c>
      <c r="O14" s="14">
        <v>1</v>
      </c>
      <c r="P14" s="14">
        <v>1</v>
      </c>
      <c r="Q14" s="15">
        <f>AVERAGE('Calidad de Datos'!K18:N18)</f>
        <v>1</v>
      </c>
      <c r="R14" s="15">
        <f>Tabla13[[#This Row],[Uso y acceso Oct/2024]]</f>
        <v>1</v>
      </c>
      <c r="S14" s="15">
        <f>Tabla58[[#This Row],[Integración Oct/2024]]</f>
        <v>1</v>
      </c>
      <c r="T14" s="16">
        <f>AVERAGE(Tabla4[[#This Row],[Creación y captura Oct/2024]:[Compartición e Interoperabilidad Oct/2024]])</f>
        <v>1</v>
      </c>
      <c r="U14" s="14">
        <v>1</v>
      </c>
      <c r="V14" s="14">
        <v>1</v>
      </c>
      <c r="W14" s="15">
        <f>AVERAGE('Calidad de Datos'!O18:R18)</f>
        <v>1</v>
      </c>
      <c r="X14" s="15">
        <f>Tabla13[[#This Row],[Uso y acceso Nov/2024]]</f>
        <v>1</v>
      </c>
      <c r="Y14" s="15">
        <f>Tabla58[[#This Row],[Integración Nov/2024]]</f>
        <v>1</v>
      </c>
      <c r="Z14" s="16">
        <f>AVERAGE(Tabla4[[#This Row],[Creación y captura Nov/2024]:[Compartición e Interoperabilidad Nov/2024]])</f>
        <v>1</v>
      </c>
      <c r="AA14" s="14">
        <v>1</v>
      </c>
      <c r="AB14" s="14">
        <v>1</v>
      </c>
      <c r="AC14" s="15">
        <f>AVERAGE('Calidad de Datos'!S18:V18)</f>
        <v>1</v>
      </c>
      <c r="AD14" s="15">
        <f>Tabla13[[#This Row],[Uso y acceso Dic/2024]]</f>
        <v>1</v>
      </c>
      <c r="AE14" s="15">
        <f>Tabla58[[#This Row],[Integración Dic/2024]]</f>
        <v>1</v>
      </c>
      <c r="AF14" s="16">
        <f>AVERAGE(Tabla4[[#This Row],[Creación y captura Dic/2024]:[Compartición e Interoperabilidad Dic/2024]])</f>
        <v>1</v>
      </c>
      <c r="AG14" s="14">
        <v>1</v>
      </c>
      <c r="AH14" s="14">
        <v>1</v>
      </c>
      <c r="AI14" s="17">
        <f>AVERAGE('Calidad de Datos'!W18:Z18)</f>
        <v>1</v>
      </c>
      <c r="AJ14" s="15">
        <f>Tabla13[[#This Row],[Uso y acceso Ene/2025]]</f>
        <v>1</v>
      </c>
      <c r="AK14" s="15">
        <f>Tabla58[[#This Row],[Integración Ene/2025]]</f>
        <v>1</v>
      </c>
      <c r="AL14" s="16">
        <f>AVERAGE(Tabla4[[#This Row],[Creación y captura Ene/2025]:[Compartición e Interoperabilidad Ene/2025]])</f>
        <v>1</v>
      </c>
      <c r="AM14" s="14">
        <v>1</v>
      </c>
      <c r="AN14" s="14">
        <v>1</v>
      </c>
      <c r="AO14" s="17">
        <f>AVERAGE('Calidad de Datos'!AA18:AD18)</f>
        <v>1</v>
      </c>
      <c r="AP14" s="15">
        <f>Tabla13[[#This Row],[Uso y acceso Feb/2025]]</f>
        <v>1</v>
      </c>
      <c r="AQ14" s="15">
        <f>Tabla58[[#This Row],[Integración Feb/2025]]</f>
        <v>1</v>
      </c>
      <c r="AR14" s="16">
        <f>AVERAGE(Tabla4[[#This Row],[Creación y captura Feb/2025]:[Compartición e Interoperabilidad Feb/2025]])</f>
        <v>1</v>
      </c>
      <c r="AS14" s="14">
        <v>1</v>
      </c>
      <c r="AT14" s="14">
        <v>1</v>
      </c>
      <c r="AU14" s="17">
        <f>AVERAGE('Calidad de Datos'!AE18:AH18)</f>
        <v>1</v>
      </c>
      <c r="AV14" s="15">
        <f>Tabla13[[#This Row],[Uso y acceso Mar/2025]]</f>
        <v>1</v>
      </c>
      <c r="AW14" s="15">
        <f>Tabla58[[#This Row],[Integración Mar/2025]]</f>
        <v>1</v>
      </c>
      <c r="AX14" s="16">
        <f>AVERAGE(Tabla4[[#This Row],[Creación y captura Mar/2025]:[Compartición e Interoperabilidad Mar/2025]])</f>
        <v>1</v>
      </c>
      <c r="AY14" s="14">
        <v>1</v>
      </c>
      <c r="AZ14" s="14">
        <v>1</v>
      </c>
      <c r="BA14" s="17">
        <f>AVERAGE('Calidad de Datos'!AI18:AL18)</f>
        <v>1</v>
      </c>
      <c r="BB14" s="15">
        <f>Tabla13[[#This Row],[Uso y acceso Abr/2025]]</f>
        <v>1</v>
      </c>
      <c r="BC14" s="15">
        <f>Tabla58[[#This Row],[Integración Abr/2025]]</f>
        <v>1</v>
      </c>
      <c r="BD14" s="16">
        <f>AVERAGE(Tabla4[[#This Row],[Creación y captura Abr/2025]:[Compartición e Interoperabilidad Abr/2025]])</f>
        <v>1</v>
      </c>
      <c r="BE14" s="14">
        <v>1</v>
      </c>
      <c r="BF14" s="14">
        <v>1</v>
      </c>
      <c r="BG14" s="17">
        <f>AVERAGE('Calidad de Datos'!AM18:AP18)</f>
        <v>1</v>
      </c>
      <c r="BH14" s="15">
        <f>Tabla13[[#This Row],[Uso y acceso May/2025]]</f>
        <v>1</v>
      </c>
      <c r="BI14" s="15">
        <f>Tabla58[[#This Row],[Integración May/2025]]</f>
        <v>1</v>
      </c>
      <c r="BJ14" s="16">
        <f>AVERAGE(Tabla4[[#This Row],[Creación y captura May/2025]:[Compartición e Interoperabilidad May/2025]])</f>
        <v>1</v>
      </c>
      <c r="BK14" s="14">
        <v>1</v>
      </c>
      <c r="BL14" s="14">
        <v>1</v>
      </c>
      <c r="BM14" s="14">
        <f>AVERAGE('Calidad de Datos'!AQ18:AT18)</f>
        <v>1</v>
      </c>
      <c r="BN14" s="14">
        <f>Tabla13[[#This Row],[Uso y acceso Dic/2025]]</f>
        <v>1</v>
      </c>
      <c r="BO14" s="14">
        <f>Tabla58[[#This Row],[Integración Dic/2025]]</f>
        <v>1</v>
      </c>
      <c r="BP14" s="16">
        <f>AVERAGE(Tabla4[[#This Row],[Creación y captura Dic/2025]:[Compartición e Interoperabilidad Dic/2025]])</f>
        <v>1</v>
      </c>
    </row>
    <row r="15" spans="2:68" x14ac:dyDescent="0.4">
      <c r="B15" s="1" t="s">
        <v>65</v>
      </c>
      <c r="C15" s="14">
        <v>1</v>
      </c>
      <c r="D15" s="14">
        <v>1</v>
      </c>
      <c r="E15" s="14">
        <f>AVERAGE('Calidad de Datos'!C19:F19)</f>
        <v>1</v>
      </c>
      <c r="F15" s="14">
        <f>Tabla13[[#This Row],[Uso y acceso Ago/2024]]</f>
        <v>1</v>
      </c>
      <c r="G15" s="15">
        <f>Tabla58[[#This Row],[Integración Ago/2024]]</f>
        <v>1</v>
      </c>
      <c r="H15" s="16">
        <f>AVERAGE(Tabla4[[#This Row],[Creación y captura Ago/2024]:[Compartición e Interoperabilidad Ago/2024]])</f>
        <v>1</v>
      </c>
      <c r="I15" s="14">
        <v>1</v>
      </c>
      <c r="J15" s="14">
        <v>1</v>
      </c>
      <c r="K15" s="15">
        <f>AVERAGE('Calidad de Datos'!G19:J19)</f>
        <v>1</v>
      </c>
      <c r="L15" s="15">
        <f>Tabla13[[#This Row],[Uso y acceso Sep/2024]]</f>
        <v>1</v>
      </c>
      <c r="M15" s="15">
        <f>Tabla58[[#This Row],[Integración Sep/2024]]</f>
        <v>1</v>
      </c>
      <c r="N15" s="16">
        <f>AVERAGE(Tabla4[[#This Row],[Creación y captura Sep/2024]:[Compartición e Interoperabilidad Sep/2024]])</f>
        <v>1</v>
      </c>
      <c r="O15" s="14">
        <v>1</v>
      </c>
      <c r="P15" s="14">
        <v>1</v>
      </c>
      <c r="Q15" s="15">
        <f>AVERAGE('Calidad de Datos'!K19:N19)</f>
        <v>1</v>
      </c>
      <c r="R15" s="15">
        <f>Tabla13[[#This Row],[Uso y acceso Oct/2024]]</f>
        <v>1</v>
      </c>
      <c r="S15" s="15">
        <f>Tabla58[[#This Row],[Integración Oct/2024]]</f>
        <v>1</v>
      </c>
      <c r="T15" s="16">
        <f>AVERAGE(Tabla4[[#This Row],[Creación y captura Oct/2024]:[Compartición e Interoperabilidad Oct/2024]])</f>
        <v>1</v>
      </c>
      <c r="U15" s="14">
        <v>1</v>
      </c>
      <c r="V15" s="14">
        <v>1</v>
      </c>
      <c r="W15" s="15">
        <f>AVERAGE('Calidad de Datos'!O19:R19)</f>
        <v>1</v>
      </c>
      <c r="X15" s="15">
        <f>Tabla13[[#This Row],[Uso y acceso Nov/2024]]</f>
        <v>1</v>
      </c>
      <c r="Y15" s="15">
        <f>Tabla58[[#This Row],[Integración Nov/2024]]</f>
        <v>1</v>
      </c>
      <c r="Z15" s="16">
        <f>AVERAGE(Tabla4[[#This Row],[Creación y captura Nov/2024]:[Compartición e Interoperabilidad Nov/2024]])</f>
        <v>1</v>
      </c>
      <c r="AA15" s="14">
        <v>1</v>
      </c>
      <c r="AB15" s="14">
        <v>1</v>
      </c>
      <c r="AC15" s="15">
        <f>AVERAGE('Calidad de Datos'!S19:V19)</f>
        <v>1</v>
      </c>
      <c r="AD15" s="15">
        <f>Tabla13[[#This Row],[Uso y acceso Dic/2024]]</f>
        <v>1</v>
      </c>
      <c r="AE15" s="15">
        <f>Tabla58[[#This Row],[Integración Dic/2024]]</f>
        <v>1</v>
      </c>
      <c r="AF15" s="16">
        <f>AVERAGE(Tabla4[[#This Row],[Creación y captura Dic/2024]:[Compartición e Interoperabilidad Dic/2024]])</f>
        <v>1</v>
      </c>
      <c r="AG15" s="14">
        <v>1</v>
      </c>
      <c r="AH15" s="14">
        <v>1</v>
      </c>
      <c r="AI15" s="17">
        <f>AVERAGE('Calidad de Datos'!W19:Z19)</f>
        <v>1</v>
      </c>
      <c r="AJ15" s="15">
        <f>Tabla13[[#This Row],[Uso y acceso Ene/2025]]</f>
        <v>1</v>
      </c>
      <c r="AK15" s="15">
        <f>Tabla58[[#This Row],[Integración Ene/2025]]</f>
        <v>1</v>
      </c>
      <c r="AL15" s="16">
        <f>AVERAGE(Tabla4[[#This Row],[Creación y captura Ene/2025]:[Compartición e Interoperabilidad Ene/2025]])</f>
        <v>1</v>
      </c>
      <c r="AM15" s="14">
        <v>1</v>
      </c>
      <c r="AN15" s="14">
        <v>1</v>
      </c>
      <c r="AO15" s="17">
        <f>AVERAGE('Calidad de Datos'!AA19:AD19)</f>
        <v>1</v>
      </c>
      <c r="AP15" s="15">
        <f>Tabla13[[#This Row],[Uso y acceso Feb/2025]]</f>
        <v>1</v>
      </c>
      <c r="AQ15" s="15">
        <f>Tabla58[[#This Row],[Integración Feb/2025]]</f>
        <v>1</v>
      </c>
      <c r="AR15" s="16">
        <f>AVERAGE(Tabla4[[#This Row],[Creación y captura Feb/2025]:[Compartición e Interoperabilidad Feb/2025]])</f>
        <v>1</v>
      </c>
      <c r="AS15" s="14">
        <v>1</v>
      </c>
      <c r="AT15" s="14">
        <v>1</v>
      </c>
      <c r="AU15" s="17">
        <f>AVERAGE('Calidad de Datos'!AE19:AH19)</f>
        <v>1</v>
      </c>
      <c r="AV15" s="15">
        <f>Tabla13[[#This Row],[Uso y acceso Mar/2025]]</f>
        <v>1</v>
      </c>
      <c r="AW15" s="15">
        <f>Tabla58[[#This Row],[Integración Mar/2025]]</f>
        <v>1</v>
      </c>
      <c r="AX15" s="16">
        <f>AVERAGE(Tabla4[[#This Row],[Creación y captura Mar/2025]:[Compartición e Interoperabilidad Mar/2025]])</f>
        <v>1</v>
      </c>
      <c r="AY15" s="14">
        <v>1</v>
      </c>
      <c r="AZ15" s="14">
        <v>1</v>
      </c>
      <c r="BA15" s="17">
        <f>AVERAGE('Calidad de Datos'!AI19:AL19)</f>
        <v>1</v>
      </c>
      <c r="BB15" s="15">
        <f>Tabla13[[#This Row],[Uso y acceso Abr/2025]]</f>
        <v>1</v>
      </c>
      <c r="BC15" s="15">
        <f>Tabla58[[#This Row],[Integración Abr/2025]]</f>
        <v>1</v>
      </c>
      <c r="BD15" s="16">
        <f>AVERAGE(Tabla4[[#This Row],[Creación y captura Abr/2025]:[Compartición e Interoperabilidad Abr/2025]])</f>
        <v>1</v>
      </c>
      <c r="BE15" s="14">
        <v>1</v>
      </c>
      <c r="BF15" s="14">
        <v>1</v>
      </c>
      <c r="BG15" s="17">
        <f>AVERAGE('Calidad de Datos'!AM19:AP19)</f>
        <v>1</v>
      </c>
      <c r="BH15" s="15">
        <f>Tabla13[[#This Row],[Uso y acceso May/2025]]</f>
        <v>1</v>
      </c>
      <c r="BI15" s="15">
        <f>Tabla58[[#This Row],[Integración May/2025]]</f>
        <v>1</v>
      </c>
      <c r="BJ15" s="16">
        <f>AVERAGE(Tabla4[[#This Row],[Creación y captura May/2025]:[Compartición e Interoperabilidad May/2025]])</f>
        <v>1</v>
      </c>
      <c r="BK15" s="14">
        <v>1</v>
      </c>
      <c r="BL15" s="14">
        <v>1</v>
      </c>
      <c r="BM15" s="14">
        <f>AVERAGE('Calidad de Datos'!AQ19:AT19)</f>
        <v>1</v>
      </c>
      <c r="BN15" s="14">
        <f>Tabla13[[#This Row],[Uso y acceso Dic/2025]]</f>
        <v>1</v>
      </c>
      <c r="BO15" s="14">
        <f>Tabla58[[#This Row],[Integración Dic/2025]]</f>
        <v>1</v>
      </c>
      <c r="BP15" s="16">
        <f>AVERAGE(Tabla4[[#This Row],[Creación y captura Dic/2025]:[Compartición e Interoperabilidad Dic/2025]])</f>
        <v>1</v>
      </c>
    </row>
    <row r="16" spans="2:68" x14ac:dyDescent="0.4">
      <c r="B16" s="1" t="s">
        <v>66</v>
      </c>
      <c r="C16" s="14">
        <v>1</v>
      </c>
      <c r="D16" s="14">
        <v>1</v>
      </c>
      <c r="E16" s="14">
        <f>AVERAGE('Calidad de Datos'!C20:F20)</f>
        <v>1</v>
      </c>
      <c r="F16" s="14">
        <f>Tabla13[[#This Row],[Uso y acceso Ago/2024]]</f>
        <v>1</v>
      </c>
      <c r="G16" s="15">
        <f>Tabla58[[#This Row],[Integración Ago/2024]]</f>
        <v>1</v>
      </c>
      <c r="H16" s="16">
        <f>AVERAGE(Tabla4[[#This Row],[Creación y captura Ago/2024]:[Compartición e Interoperabilidad Ago/2024]])</f>
        <v>1</v>
      </c>
      <c r="I16" s="14">
        <v>1</v>
      </c>
      <c r="J16" s="14">
        <v>1</v>
      </c>
      <c r="K16" s="15">
        <f>AVERAGE('Calidad de Datos'!G20:J20)</f>
        <v>1</v>
      </c>
      <c r="L16" s="15">
        <f>Tabla13[[#This Row],[Uso y acceso Sep/2024]]</f>
        <v>1</v>
      </c>
      <c r="M16" s="15">
        <f>Tabla58[[#This Row],[Integración Sep/2024]]</f>
        <v>1</v>
      </c>
      <c r="N16" s="16">
        <f>AVERAGE(Tabla4[[#This Row],[Creación y captura Sep/2024]:[Compartición e Interoperabilidad Sep/2024]])</f>
        <v>1</v>
      </c>
      <c r="O16" s="14">
        <v>1</v>
      </c>
      <c r="P16" s="14">
        <v>1</v>
      </c>
      <c r="Q16" s="15">
        <f>AVERAGE('Calidad de Datos'!K20:N20)</f>
        <v>1</v>
      </c>
      <c r="R16" s="15">
        <f>Tabla13[[#This Row],[Uso y acceso Oct/2024]]</f>
        <v>1</v>
      </c>
      <c r="S16" s="15">
        <f>Tabla58[[#This Row],[Integración Oct/2024]]</f>
        <v>1</v>
      </c>
      <c r="T16" s="16">
        <f>AVERAGE(Tabla4[[#This Row],[Creación y captura Oct/2024]:[Compartición e Interoperabilidad Oct/2024]])</f>
        <v>1</v>
      </c>
      <c r="U16" s="14">
        <v>1</v>
      </c>
      <c r="V16" s="14">
        <v>1</v>
      </c>
      <c r="W16" s="15">
        <f>AVERAGE('Calidad de Datos'!O20:R20)</f>
        <v>1</v>
      </c>
      <c r="X16" s="15">
        <f>Tabla13[[#This Row],[Uso y acceso Nov/2024]]</f>
        <v>1</v>
      </c>
      <c r="Y16" s="15">
        <f>Tabla58[[#This Row],[Integración Nov/2024]]</f>
        <v>1</v>
      </c>
      <c r="Z16" s="16">
        <f>AVERAGE(Tabla4[[#This Row],[Creación y captura Nov/2024]:[Compartición e Interoperabilidad Nov/2024]])</f>
        <v>1</v>
      </c>
      <c r="AA16" s="14">
        <v>1</v>
      </c>
      <c r="AB16" s="14">
        <v>1</v>
      </c>
      <c r="AC16" s="15">
        <f>AVERAGE('Calidad de Datos'!S20:V20)</f>
        <v>1</v>
      </c>
      <c r="AD16" s="15">
        <f>Tabla13[[#This Row],[Uso y acceso Dic/2024]]</f>
        <v>1</v>
      </c>
      <c r="AE16" s="15">
        <f>Tabla58[[#This Row],[Integración Dic/2024]]</f>
        <v>1</v>
      </c>
      <c r="AF16" s="16">
        <f>AVERAGE(Tabla4[[#This Row],[Creación y captura Dic/2024]:[Compartición e Interoperabilidad Dic/2024]])</f>
        <v>1</v>
      </c>
      <c r="AG16" s="14">
        <v>1</v>
      </c>
      <c r="AH16" s="14">
        <v>1</v>
      </c>
      <c r="AI16" s="17">
        <f>AVERAGE('Calidad de Datos'!W20:Z20)</f>
        <v>1</v>
      </c>
      <c r="AJ16" s="15">
        <f>Tabla13[[#This Row],[Uso y acceso Ene/2025]]</f>
        <v>1</v>
      </c>
      <c r="AK16" s="15">
        <f>Tabla58[[#This Row],[Integración Ene/2025]]</f>
        <v>1</v>
      </c>
      <c r="AL16" s="16">
        <f>AVERAGE(Tabla4[[#This Row],[Creación y captura Ene/2025]:[Compartición e Interoperabilidad Ene/2025]])</f>
        <v>1</v>
      </c>
      <c r="AM16" s="14">
        <v>1</v>
      </c>
      <c r="AN16" s="14">
        <v>1</v>
      </c>
      <c r="AO16" s="17">
        <f>AVERAGE('Calidad de Datos'!AA20:AD20)</f>
        <v>1</v>
      </c>
      <c r="AP16" s="15">
        <f>Tabla13[[#This Row],[Uso y acceso Feb/2025]]</f>
        <v>1</v>
      </c>
      <c r="AQ16" s="15">
        <f>Tabla58[[#This Row],[Integración Feb/2025]]</f>
        <v>1</v>
      </c>
      <c r="AR16" s="16">
        <f>AVERAGE(Tabla4[[#This Row],[Creación y captura Feb/2025]:[Compartición e Interoperabilidad Feb/2025]])</f>
        <v>1</v>
      </c>
      <c r="AS16" s="14">
        <v>1</v>
      </c>
      <c r="AT16" s="14">
        <v>1</v>
      </c>
      <c r="AU16" s="17">
        <f>AVERAGE('Calidad de Datos'!AE20:AH20)</f>
        <v>1</v>
      </c>
      <c r="AV16" s="15">
        <f>Tabla13[[#This Row],[Uso y acceso Mar/2025]]</f>
        <v>1</v>
      </c>
      <c r="AW16" s="15">
        <f>Tabla58[[#This Row],[Integración Mar/2025]]</f>
        <v>1</v>
      </c>
      <c r="AX16" s="16">
        <f>AVERAGE(Tabla4[[#This Row],[Creación y captura Mar/2025]:[Compartición e Interoperabilidad Mar/2025]])</f>
        <v>1</v>
      </c>
      <c r="AY16" s="14">
        <v>1</v>
      </c>
      <c r="AZ16" s="14">
        <v>1</v>
      </c>
      <c r="BA16" s="17">
        <f>AVERAGE('Calidad de Datos'!AI20:AL20)</f>
        <v>1</v>
      </c>
      <c r="BB16" s="15">
        <f>Tabla13[[#This Row],[Uso y acceso Abr/2025]]</f>
        <v>1</v>
      </c>
      <c r="BC16" s="15">
        <f>Tabla58[[#This Row],[Integración Abr/2025]]</f>
        <v>1</v>
      </c>
      <c r="BD16" s="16">
        <f>AVERAGE(Tabla4[[#This Row],[Creación y captura Abr/2025]:[Compartición e Interoperabilidad Abr/2025]])</f>
        <v>1</v>
      </c>
      <c r="BE16" s="14">
        <v>1</v>
      </c>
      <c r="BF16" s="14">
        <v>1</v>
      </c>
      <c r="BG16" s="17">
        <f>AVERAGE('Calidad de Datos'!AM20:AP20)</f>
        <v>1</v>
      </c>
      <c r="BH16" s="15">
        <f>Tabla13[[#This Row],[Uso y acceso May/2025]]</f>
        <v>1</v>
      </c>
      <c r="BI16" s="15">
        <f>Tabla58[[#This Row],[Integración May/2025]]</f>
        <v>1</v>
      </c>
      <c r="BJ16" s="16">
        <f>AVERAGE(Tabla4[[#This Row],[Creación y captura May/2025]:[Compartición e Interoperabilidad May/2025]])</f>
        <v>1</v>
      </c>
      <c r="BK16" s="14">
        <v>1</v>
      </c>
      <c r="BL16" s="14">
        <v>1</v>
      </c>
      <c r="BM16" s="14">
        <f>AVERAGE('Calidad de Datos'!AQ20:AT20)</f>
        <v>1</v>
      </c>
      <c r="BN16" s="14">
        <f>Tabla13[[#This Row],[Uso y acceso Dic/2025]]</f>
        <v>1</v>
      </c>
      <c r="BO16" s="14">
        <f>Tabla58[[#This Row],[Integración Dic/2025]]</f>
        <v>1</v>
      </c>
      <c r="BP16" s="16">
        <f>AVERAGE(Tabla4[[#This Row],[Creación y captura Dic/2025]:[Compartición e Interoperabilidad Dic/2025]])</f>
        <v>1</v>
      </c>
    </row>
    <row r="17" spans="2:68" x14ac:dyDescent="0.4">
      <c r="B17" s="1" t="s">
        <v>67</v>
      </c>
      <c r="C17" s="14">
        <v>1</v>
      </c>
      <c r="D17" s="14">
        <v>1</v>
      </c>
      <c r="E17" s="14">
        <f>AVERAGE('Calidad de Datos'!C21:F21)</f>
        <v>1</v>
      </c>
      <c r="F17" s="14">
        <f>Tabla13[[#This Row],[Uso y acceso Ago/2024]]</f>
        <v>1</v>
      </c>
      <c r="G17" s="15">
        <f>Tabla58[[#This Row],[Integración Ago/2024]]</f>
        <v>1</v>
      </c>
      <c r="H17" s="16">
        <f>AVERAGE(Tabla4[[#This Row],[Creación y captura Ago/2024]:[Compartición e Interoperabilidad Ago/2024]])</f>
        <v>1</v>
      </c>
      <c r="I17" s="14">
        <v>1</v>
      </c>
      <c r="J17" s="14">
        <v>1</v>
      </c>
      <c r="K17" s="15">
        <f>AVERAGE('Calidad de Datos'!G21:J21)</f>
        <v>1</v>
      </c>
      <c r="L17" s="15">
        <f>Tabla13[[#This Row],[Uso y acceso Sep/2024]]</f>
        <v>1</v>
      </c>
      <c r="M17" s="15">
        <f>Tabla58[[#This Row],[Integración Sep/2024]]</f>
        <v>1</v>
      </c>
      <c r="N17" s="16">
        <f>AVERAGE(Tabla4[[#This Row],[Creación y captura Sep/2024]:[Compartición e Interoperabilidad Sep/2024]])</f>
        <v>1</v>
      </c>
      <c r="O17" s="14">
        <v>1</v>
      </c>
      <c r="P17" s="14">
        <v>1</v>
      </c>
      <c r="Q17" s="15">
        <f>AVERAGE('Calidad de Datos'!K21:N21)</f>
        <v>1</v>
      </c>
      <c r="R17" s="15">
        <f>Tabla13[[#This Row],[Uso y acceso Oct/2024]]</f>
        <v>1</v>
      </c>
      <c r="S17" s="15">
        <f>Tabla58[[#This Row],[Integración Oct/2024]]</f>
        <v>1</v>
      </c>
      <c r="T17" s="16">
        <f>AVERAGE(Tabla4[[#This Row],[Creación y captura Oct/2024]:[Compartición e Interoperabilidad Oct/2024]])</f>
        <v>1</v>
      </c>
      <c r="U17" s="14">
        <v>1</v>
      </c>
      <c r="V17" s="14">
        <v>1</v>
      </c>
      <c r="W17" s="15">
        <f>AVERAGE('Calidad de Datos'!O21:R21)</f>
        <v>1</v>
      </c>
      <c r="X17" s="15">
        <f>Tabla13[[#This Row],[Uso y acceso Nov/2024]]</f>
        <v>1</v>
      </c>
      <c r="Y17" s="15">
        <f>Tabla58[[#This Row],[Integración Nov/2024]]</f>
        <v>1</v>
      </c>
      <c r="Z17" s="16">
        <f>AVERAGE(Tabla4[[#This Row],[Creación y captura Nov/2024]:[Compartición e Interoperabilidad Nov/2024]])</f>
        <v>1</v>
      </c>
      <c r="AA17" s="14">
        <v>1</v>
      </c>
      <c r="AB17" s="14">
        <v>1</v>
      </c>
      <c r="AC17" s="15">
        <f>AVERAGE('Calidad de Datos'!S21:V21)</f>
        <v>1</v>
      </c>
      <c r="AD17" s="15">
        <f>Tabla13[[#This Row],[Uso y acceso Dic/2024]]</f>
        <v>1</v>
      </c>
      <c r="AE17" s="15">
        <f>Tabla58[[#This Row],[Integración Dic/2024]]</f>
        <v>1</v>
      </c>
      <c r="AF17" s="16">
        <f>AVERAGE(Tabla4[[#This Row],[Creación y captura Dic/2024]:[Compartición e Interoperabilidad Dic/2024]])</f>
        <v>1</v>
      </c>
      <c r="AG17" s="14">
        <v>1</v>
      </c>
      <c r="AH17" s="14">
        <v>1</v>
      </c>
      <c r="AI17" s="17">
        <f>AVERAGE('Calidad de Datos'!W21:Z21)</f>
        <v>1</v>
      </c>
      <c r="AJ17" s="15">
        <f>Tabla13[[#This Row],[Uso y acceso Ene/2025]]</f>
        <v>1</v>
      </c>
      <c r="AK17" s="15">
        <f>Tabla58[[#This Row],[Integración Ene/2025]]</f>
        <v>1</v>
      </c>
      <c r="AL17" s="16">
        <f>AVERAGE(Tabla4[[#This Row],[Creación y captura Ene/2025]:[Compartición e Interoperabilidad Ene/2025]])</f>
        <v>1</v>
      </c>
      <c r="AM17" s="14">
        <v>1</v>
      </c>
      <c r="AN17" s="14">
        <v>1</v>
      </c>
      <c r="AO17" s="17">
        <f>AVERAGE('Calidad de Datos'!AA21:AD21)</f>
        <v>1</v>
      </c>
      <c r="AP17" s="15">
        <f>Tabla13[[#This Row],[Uso y acceso Feb/2025]]</f>
        <v>1</v>
      </c>
      <c r="AQ17" s="15">
        <f>Tabla58[[#This Row],[Integración Feb/2025]]</f>
        <v>1</v>
      </c>
      <c r="AR17" s="16">
        <f>AVERAGE(Tabla4[[#This Row],[Creación y captura Feb/2025]:[Compartición e Interoperabilidad Feb/2025]])</f>
        <v>1</v>
      </c>
      <c r="AS17" s="14">
        <v>1</v>
      </c>
      <c r="AT17" s="14">
        <v>1</v>
      </c>
      <c r="AU17" s="17">
        <f>AVERAGE('Calidad de Datos'!AE21:AH21)</f>
        <v>1</v>
      </c>
      <c r="AV17" s="15">
        <f>Tabla13[[#This Row],[Uso y acceso Mar/2025]]</f>
        <v>1</v>
      </c>
      <c r="AW17" s="15">
        <f>Tabla58[[#This Row],[Integración Mar/2025]]</f>
        <v>1</v>
      </c>
      <c r="AX17" s="16">
        <f>AVERAGE(Tabla4[[#This Row],[Creación y captura Mar/2025]:[Compartición e Interoperabilidad Mar/2025]])</f>
        <v>1</v>
      </c>
      <c r="AY17" s="14">
        <v>1</v>
      </c>
      <c r="AZ17" s="14">
        <v>1</v>
      </c>
      <c r="BA17" s="17">
        <f>AVERAGE('Calidad de Datos'!AI21:AL21)</f>
        <v>1</v>
      </c>
      <c r="BB17" s="15">
        <f>Tabla13[[#This Row],[Uso y acceso Abr/2025]]</f>
        <v>1</v>
      </c>
      <c r="BC17" s="15">
        <f>Tabla58[[#This Row],[Integración Abr/2025]]</f>
        <v>1</v>
      </c>
      <c r="BD17" s="16">
        <f>AVERAGE(Tabla4[[#This Row],[Creación y captura Abr/2025]:[Compartición e Interoperabilidad Abr/2025]])</f>
        <v>1</v>
      </c>
      <c r="BE17" s="14">
        <v>1</v>
      </c>
      <c r="BF17" s="14">
        <v>1</v>
      </c>
      <c r="BG17" s="17">
        <f>AVERAGE('Calidad de Datos'!AM21:AP21)</f>
        <v>1</v>
      </c>
      <c r="BH17" s="15">
        <f>Tabla13[[#This Row],[Uso y acceso May/2025]]</f>
        <v>1</v>
      </c>
      <c r="BI17" s="15">
        <f>Tabla58[[#This Row],[Integración May/2025]]</f>
        <v>1</v>
      </c>
      <c r="BJ17" s="16">
        <f>AVERAGE(Tabla4[[#This Row],[Creación y captura May/2025]:[Compartición e Interoperabilidad May/2025]])</f>
        <v>1</v>
      </c>
      <c r="BK17" s="14">
        <v>1</v>
      </c>
      <c r="BL17" s="14">
        <v>1</v>
      </c>
      <c r="BM17" s="14">
        <f>AVERAGE('Calidad de Datos'!AQ21:AT21)</f>
        <v>1</v>
      </c>
      <c r="BN17" s="14">
        <f>Tabla13[[#This Row],[Uso y acceso Dic/2025]]</f>
        <v>1</v>
      </c>
      <c r="BO17" s="14">
        <f>Tabla58[[#This Row],[Integración Dic/2025]]</f>
        <v>1</v>
      </c>
      <c r="BP17" s="16">
        <f>AVERAGE(Tabla4[[#This Row],[Creación y captura Dic/2025]:[Compartición e Interoperabilidad Dic/2025]])</f>
        <v>1</v>
      </c>
    </row>
    <row r="18" spans="2:68" x14ac:dyDescent="0.4">
      <c r="B18" s="1" t="s">
        <v>68</v>
      </c>
      <c r="C18" s="14">
        <v>1</v>
      </c>
      <c r="D18" s="14">
        <v>1</v>
      </c>
      <c r="E18" s="14">
        <f>AVERAGE('Calidad de Datos'!C22:F22)</f>
        <v>1</v>
      </c>
      <c r="F18" s="14">
        <f>Tabla13[[#This Row],[Uso y acceso Ago/2024]]</f>
        <v>1</v>
      </c>
      <c r="G18" s="15">
        <f>Tabla58[[#This Row],[Integración Ago/2024]]</f>
        <v>1</v>
      </c>
      <c r="H18" s="16">
        <f>AVERAGE(Tabla4[[#This Row],[Creación y captura Ago/2024]:[Compartición e Interoperabilidad Ago/2024]])</f>
        <v>1</v>
      </c>
      <c r="I18" s="14">
        <v>1</v>
      </c>
      <c r="J18" s="14">
        <v>1</v>
      </c>
      <c r="K18" s="15">
        <f>AVERAGE('Calidad de Datos'!G22:J22)</f>
        <v>1</v>
      </c>
      <c r="L18" s="15">
        <f>Tabla13[[#This Row],[Uso y acceso Sep/2024]]</f>
        <v>1</v>
      </c>
      <c r="M18" s="15">
        <f>Tabla58[[#This Row],[Integración Sep/2024]]</f>
        <v>1</v>
      </c>
      <c r="N18" s="16">
        <f>AVERAGE(Tabla4[[#This Row],[Creación y captura Sep/2024]:[Compartición e Interoperabilidad Sep/2024]])</f>
        <v>1</v>
      </c>
      <c r="O18" s="14">
        <v>1</v>
      </c>
      <c r="P18" s="14">
        <v>1</v>
      </c>
      <c r="Q18" s="15">
        <f>AVERAGE('Calidad de Datos'!K22:N22)</f>
        <v>1</v>
      </c>
      <c r="R18" s="15">
        <f>Tabla13[[#This Row],[Uso y acceso Oct/2024]]</f>
        <v>1</v>
      </c>
      <c r="S18" s="15">
        <f>Tabla58[[#This Row],[Integración Oct/2024]]</f>
        <v>1</v>
      </c>
      <c r="T18" s="16">
        <f>AVERAGE(Tabla4[[#This Row],[Creación y captura Oct/2024]:[Compartición e Interoperabilidad Oct/2024]])</f>
        <v>1</v>
      </c>
      <c r="U18" s="14">
        <v>1</v>
      </c>
      <c r="V18" s="14">
        <v>1</v>
      </c>
      <c r="W18" s="15">
        <f>AVERAGE('Calidad de Datos'!O22:R22)</f>
        <v>1</v>
      </c>
      <c r="X18" s="15">
        <f>Tabla13[[#This Row],[Uso y acceso Nov/2024]]</f>
        <v>1</v>
      </c>
      <c r="Y18" s="15">
        <f>Tabla58[[#This Row],[Integración Nov/2024]]</f>
        <v>1</v>
      </c>
      <c r="Z18" s="16">
        <f>AVERAGE(Tabla4[[#This Row],[Creación y captura Nov/2024]:[Compartición e Interoperabilidad Nov/2024]])</f>
        <v>1</v>
      </c>
      <c r="AA18" s="14">
        <v>1</v>
      </c>
      <c r="AB18" s="14">
        <v>1</v>
      </c>
      <c r="AC18" s="15">
        <f>AVERAGE('Calidad de Datos'!S22:V22)</f>
        <v>1</v>
      </c>
      <c r="AD18" s="15">
        <f>Tabla13[[#This Row],[Uso y acceso Dic/2024]]</f>
        <v>1</v>
      </c>
      <c r="AE18" s="15">
        <f>Tabla58[[#This Row],[Integración Dic/2024]]</f>
        <v>1</v>
      </c>
      <c r="AF18" s="16">
        <f>AVERAGE(Tabla4[[#This Row],[Creación y captura Dic/2024]:[Compartición e Interoperabilidad Dic/2024]])</f>
        <v>1</v>
      </c>
      <c r="AG18" s="14">
        <v>1</v>
      </c>
      <c r="AH18" s="14">
        <v>1</v>
      </c>
      <c r="AI18" s="17">
        <f>AVERAGE('Calidad de Datos'!W22:Z22)</f>
        <v>1</v>
      </c>
      <c r="AJ18" s="15">
        <f>Tabla13[[#This Row],[Uso y acceso Ene/2025]]</f>
        <v>1</v>
      </c>
      <c r="AK18" s="15">
        <f>Tabla58[[#This Row],[Integración Ene/2025]]</f>
        <v>1</v>
      </c>
      <c r="AL18" s="16">
        <f>AVERAGE(Tabla4[[#This Row],[Creación y captura Ene/2025]:[Compartición e Interoperabilidad Ene/2025]])</f>
        <v>1</v>
      </c>
      <c r="AM18" s="14">
        <v>1</v>
      </c>
      <c r="AN18" s="14">
        <v>1</v>
      </c>
      <c r="AO18" s="17">
        <f>AVERAGE('Calidad de Datos'!AA22:AD22)</f>
        <v>1</v>
      </c>
      <c r="AP18" s="15">
        <f>Tabla13[[#This Row],[Uso y acceso Feb/2025]]</f>
        <v>1</v>
      </c>
      <c r="AQ18" s="15">
        <f>Tabla58[[#This Row],[Integración Feb/2025]]</f>
        <v>1</v>
      </c>
      <c r="AR18" s="16">
        <f>AVERAGE(Tabla4[[#This Row],[Creación y captura Feb/2025]:[Compartición e Interoperabilidad Feb/2025]])</f>
        <v>1</v>
      </c>
      <c r="AS18" s="14">
        <v>1</v>
      </c>
      <c r="AT18" s="14">
        <v>1</v>
      </c>
      <c r="AU18" s="17">
        <f>AVERAGE('Calidad de Datos'!AE22:AH22)</f>
        <v>1</v>
      </c>
      <c r="AV18" s="15">
        <f>Tabla13[[#This Row],[Uso y acceso Mar/2025]]</f>
        <v>1</v>
      </c>
      <c r="AW18" s="15">
        <f>Tabla58[[#This Row],[Integración Mar/2025]]</f>
        <v>1</v>
      </c>
      <c r="AX18" s="16">
        <f>AVERAGE(Tabla4[[#This Row],[Creación y captura Mar/2025]:[Compartición e Interoperabilidad Mar/2025]])</f>
        <v>1</v>
      </c>
      <c r="AY18" s="14">
        <v>1</v>
      </c>
      <c r="AZ18" s="14">
        <v>1</v>
      </c>
      <c r="BA18" s="17">
        <f>AVERAGE('Calidad de Datos'!AI22:AL22)</f>
        <v>1</v>
      </c>
      <c r="BB18" s="15">
        <f>Tabla13[[#This Row],[Uso y acceso Abr/2025]]</f>
        <v>1</v>
      </c>
      <c r="BC18" s="15">
        <f>Tabla58[[#This Row],[Integración Abr/2025]]</f>
        <v>1</v>
      </c>
      <c r="BD18" s="16">
        <f>AVERAGE(Tabla4[[#This Row],[Creación y captura Abr/2025]:[Compartición e Interoperabilidad Abr/2025]])</f>
        <v>1</v>
      </c>
      <c r="BE18" s="14">
        <v>1</v>
      </c>
      <c r="BF18" s="14">
        <v>1</v>
      </c>
      <c r="BG18" s="17">
        <f>AVERAGE('Calidad de Datos'!AM22:AP22)</f>
        <v>1</v>
      </c>
      <c r="BH18" s="15">
        <f>Tabla13[[#This Row],[Uso y acceso May/2025]]</f>
        <v>1</v>
      </c>
      <c r="BI18" s="15">
        <f>Tabla58[[#This Row],[Integración May/2025]]</f>
        <v>1</v>
      </c>
      <c r="BJ18" s="16">
        <f>AVERAGE(Tabla4[[#This Row],[Creación y captura May/2025]:[Compartición e Interoperabilidad May/2025]])</f>
        <v>1</v>
      </c>
      <c r="BK18" s="14">
        <v>1</v>
      </c>
      <c r="BL18" s="14">
        <v>1</v>
      </c>
      <c r="BM18" s="14">
        <f>AVERAGE('Calidad de Datos'!AQ22:AT22)</f>
        <v>1</v>
      </c>
      <c r="BN18" s="14">
        <f>Tabla13[[#This Row],[Uso y acceso Dic/2025]]</f>
        <v>1</v>
      </c>
      <c r="BO18" s="14">
        <f>Tabla58[[#This Row],[Integración Dic/2025]]</f>
        <v>1</v>
      </c>
      <c r="BP18" s="16">
        <f>AVERAGE(Tabla4[[#This Row],[Creación y captura Dic/2025]:[Compartición e Interoperabilidad Dic/2025]])</f>
        <v>1</v>
      </c>
    </row>
    <row r="19" spans="2:68" x14ac:dyDescent="0.4">
      <c r="B19" s="1" t="s">
        <v>69</v>
      </c>
      <c r="C19" s="14">
        <v>1</v>
      </c>
      <c r="D19" s="14">
        <v>0.5</v>
      </c>
      <c r="E19" s="14">
        <f>AVERAGE('Calidad de Datos'!C23:F23)</f>
        <v>0.78749999999999998</v>
      </c>
      <c r="F19" s="14">
        <f>Tabla13[[#This Row],[Uso y acceso Ago/2024]]</f>
        <v>1</v>
      </c>
      <c r="G19" s="15">
        <f>Tabla58[[#This Row],[Integración Ago/2024]]</f>
        <v>0.5</v>
      </c>
      <c r="H19" s="16">
        <f>AVERAGE(Tabla4[[#This Row],[Creación y captura Ago/2024]:[Compartición e Interoperabilidad Ago/2024]])</f>
        <v>0.75750000000000006</v>
      </c>
      <c r="I19" s="14">
        <v>1</v>
      </c>
      <c r="J19" s="14">
        <v>0.5</v>
      </c>
      <c r="K19" s="15">
        <f>AVERAGE('Calidad de Datos'!G23:J23)</f>
        <v>0.8125</v>
      </c>
      <c r="L19" s="15">
        <f>Tabla13[[#This Row],[Uso y acceso Sep/2024]]</f>
        <v>1</v>
      </c>
      <c r="M19" s="15">
        <f>Tabla58[[#This Row],[Integración Sep/2024]]</f>
        <v>0.5</v>
      </c>
      <c r="N19" s="16">
        <f>AVERAGE(Tabla4[[#This Row],[Creación y captura Sep/2024]:[Compartición e Interoperabilidad Sep/2024]])</f>
        <v>0.76249999999999996</v>
      </c>
      <c r="O19" s="14">
        <v>1</v>
      </c>
      <c r="P19" s="14">
        <v>1</v>
      </c>
      <c r="Q19" s="15">
        <f>AVERAGE('Calidad de Datos'!K23:N23)</f>
        <v>0.82000000000000006</v>
      </c>
      <c r="R19" s="15">
        <f>Tabla13[[#This Row],[Uso y acceso Oct/2024]]</f>
        <v>1</v>
      </c>
      <c r="S19" s="15">
        <f>Tabla58[[#This Row],[Integración Oct/2024]]</f>
        <v>1</v>
      </c>
      <c r="T19" s="16">
        <f>AVERAGE(Tabla4[[#This Row],[Creación y captura Oct/2024]:[Compartición e Interoperabilidad Oct/2024]])</f>
        <v>0.96400000000000008</v>
      </c>
      <c r="U19" s="14">
        <v>1</v>
      </c>
      <c r="V19" s="14">
        <v>1</v>
      </c>
      <c r="W19" s="15">
        <f>AVERAGE('Calidad de Datos'!O23:R23)</f>
        <v>0.875</v>
      </c>
      <c r="X19" s="15">
        <f>Tabla13[[#This Row],[Uso y acceso Nov/2024]]</f>
        <v>1</v>
      </c>
      <c r="Y19" s="15">
        <f>Tabla58[[#This Row],[Integración Nov/2024]]</f>
        <v>1</v>
      </c>
      <c r="Z19" s="16">
        <f>AVERAGE(Tabla4[[#This Row],[Creación y captura Nov/2024]:[Compartición e Interoperabilidad Nov/2024]])</f>
        <v>0.97499999999999998</v>
      </c>
      <c r="AA19" s="14">
        <v>1</v>
      </c>
      <c r="AB19" s="14">
        <v>1</v>
      </c>
      <c r="AC19" s="15">
        <f>AVERAGE('Calidad de Datos'!S23:V23)</f>
        <v>0.92</v>
      </c>
      <c r="AD19" s="15">
        <f>Tabla13[[#This Row],[Uso y acceso Dic/2024]]</f>
        <v>1</v>
      </c>
      <c r="AE19" s="15">
        <f>Tabla58[[#This Row],[Integración Dic/2024]]</f>
        <v>1</v>
      </c>
      <c r="AF19" s="16">
        <f>AVERAGE(Tabla4[[#This Row],[Creación y captura Dic/2024]:[Compartición e Interoperabilidad Dic/2024]])</f>
        <v>0.98399999999999999</v>
      </c>
      <c r="AG19" s="14">
        <v>1</v>
      </c>
      <c r="AH19" s="14">
        <v>1</v>
      </c>
      <c r="AI19" s="17">
        <f>AVERAGE('Calidad de Datos'!W23:Z23)</f>
        <v>0.94499999999999995</v>
      </c>
      <c r="AJ19" s="15">
        <f>Tabla13[[#This Row],[Uso y acceso Ene/2025]]</f>
        <v>1</v>
      </c>
      <c r="AK19" s="15">
        <f>Tabla58[[#This Row],[Integración Ene/2025]]</f>
        <v>1</v>
      </c>
      <c r="AL19" s="16">
        <f>AVERAGE(Tabla4[[#This Row],[Creación y captura Ene/2025]:[Compartición e Interoperabilidad Ene/2025]])</f>
        <v>0.9890000000000001</v>
      </c>
      <c r="AM19" s="14">
        <v>1</v>
      </c>
      <c r="AN19" s="14">
        <v>1</v>
      </c>
      <c r="AO19" s="17">
        <f>AVERAGE('Calidad de Datos'!AA23:AD23)</f>
        <v>0.98499999999999999</v>
      </c>
      <c r="AP19" s="15">
        <f>Tabla13[[#This Row],[Uso y acceso Feb/2025]]</f>
        <v>1</v>
      </c>
      <c r="AQ19" s="15">
        <f>Tabla58[[#This Row],[Integración Feb/2025]]</f>
        <v>1</v>
      </c>
      <c r="AR19" s="16">
        <f>AVERAGE(Tabla4[[#This Row],[Creación y captura Feb/2025]:[Compartición e Interoperabilidad Feb/2025]])</f>
        <v>0.99699999999999989</v>
      </c>
      <c r="AS19" s="14">
        <v>1</v>
      </c>
      <c r="AT19" s="14">
        <v>1</v>
      </c>
      <c r="AU19" s="17">
        <f>AVERAGE('Calidad de Datos'!AE23:AH23)</f>
        <v>0.99750000000000005</v>
      </c>
      <c r="AV19" s="15">
        <f>Tabla13[[#This Row],[Uso y acceso Mar/2025]]</f>
        <v>1</v>
      </c>
      <c r="AW19" s="15">
        <f>Tabla58[[#This Row],[Integración Mar/2025]]</f>
        <v>1</v>
      </c>
      <c r="AX19" s="16">
        <f>AVERAGE(Tabla4[[#This Row],[Creación y captura Mar/2025]:[Compartición e Interoperabilidad Mar/2025]])</f>
        <v>0.99950000000000006</v>
      </c>
      <c r="AY19" s="14">
        <v>1</v>
      </c>
      <c r="AZ19" s="14">
        <v>1</v>
      </c>
      <c r="BA19" s="17">
        <f>AVERAGE('Calidad de Datos'!AI23:AL23)</f>
        <v>1</v>
      </c>
      <c r="BB19" s="15">
        <f>Tabla13[[#This Row],[Uso y acceso Abr/2025]]</f>
        <v>1</v>
      </c>
      <c r="BC19" s="15">
        <f>Tabla58[[#This Row],[Integración Abr/2025]]</f>
        <v>1</v>
      </c>
      <c r="BD19" s="16">
        <f>AVERAGE(Tabla4[[#This Row],[Creación y captura Abr/2025]:[Compartición e Interoperabilidad Abr/2025]])</f>
        <v>1</v>
      </c>
      <c r="BE19" s="14">
        <v>1</v>
      </c>
      <c r="BF19" s="14">
        <v>1</v>
      </c>
      <c r="BG19" s="17">
        <f>AVERAGE('Calidad de Datos'!AM23:AP23)</f>
        <v>1</v>
      </c>
      <c r="BH19" s="15">
        <f>Tabla13[[#This Row],[Uso y acceso May/2025]]</f>
        <v>1</v>
      </c>
      <c r="BI19" s="15">
        <f>Tabla58[[#This Row],[Integración May/2025]]</f>
        <v>1</v>
      </c>
      <c r="BJ19" s="16">
        <f>AVERAGE(Tabla4[[#This Row],[Creación y captura May/2025]:[Compartición e Interoperabilidad May/2025]])</f>
        <v>1</v>
      </c>
      <c r="BK19" s="14">
        <v>1</v>
      </c>
      <c r="BL19" s="14">
        <v>1</v>
      </c>
      <c r="BM19" s="14">
        <f>AVERAGE('Calidad de Datos'!AQ23:AT23)</f>
        <v>1</v>
      </c>
      <c r="BN19" s="14">
        <f>Tabla13[[#This Row],[Uso y acceso Dic/2025]]</f>
        <v>1</v>
      </c>
      <c r="BO19" s="14">
        <f>Tabla58[[#This Row],[Integración Dic/2025]]</f>
        <v>1</v>
      </c>
      <c r="BP19" s="16">
        <f>AVERAGE(Tabla4[[#This Row],[Creación y captura Dic/2025]:[Compartición e Interoperabilidad Dic/2025]])</f>
        <v>1</v>
      </c>
    </row>
    <row r="20" spans="2:68" x14ac:dyDescent="0.4">
      <c r="B20" s="1" t="s">
        <v>70</v>
      </c>
      <c r="C20" s="14">
        <v>1</v>
      </c>
      <c r="D20" s="14">
        <v>1</v>
      </c>
      <c r="E20" s="14">
        <f>AVERAGE('Calidad de Datos'!C24:F24)</f>
        <v>0.85</v>
      </c>
      <c r="F20" s="14">
        <f>Tabla13[[#This Row],[Uso y acceso Ago/2024]]</f>
        <v>1</v>
      </c>
      <c r="G20" s="15">
        <f>Tabla58[[#This Row],[Integración Ago/2024]]</f>
        <v>1</v>
      </c>
      <c r="H20" s="16">
        <f>AVERAGE(Tabla4[[#This Row],[Creación y captura Ago/2024]:[Compartición e Interoperabilidad Ago/2024]])</f>
        <v>0.97</v>
      </c>
      <c r="I20" s="14">
        <v>1</v>
      </c>
      <c r="J20" s="14">
        <v>1</v>
      </c>
      <c r="K20" s="15">
        <f>AVERAGE('Calidad de Datos'!G24:J24)</f>
        <v>1</v>
      </c>
      <c r="L20" s="15">
        <f>Tabla13[[#This Row],[Uso y acceso Sep/2024]]</f>
        <v>1</v>
      </c>
      <c r="M20" s="15">
        <f>Tabla58[[#This Row],[Integración Sep/2024]]</f>
        <v>1</v>
      </c>
      <c r="N20" s="16">
        <f>AVERAGE(Tabla4[[#This Row],[Creación y captura Sep/2024]:[Compartición e Interoperabilidad Sep/2024]])</f>
        <v>1</v>
      </c>
      <c r="O20" s="14">
        <v>1</v>
      </c>
      <c r="P20" s="14">
        <v>1</v>
      </c>
      <c r="Q20" s="15">
        <f>AVERAGE('Calidad de Datos'!K24:N24)</f>
        <v>1</v>
      </c>
      <c r="R20" s="15">
        <f>Tabla13[[#This Row],[Uso y acceso Oct/2024]]</f>
        <v>1</v>
      </c>
      <c r="S20" s="15">
        <f>Tabla58[[#This Row],[Integración Oct/2024]]</f>
        <v>1</v>
      </c>
      <c r="T20" s="16">
        <f>AVERAGE(Tabla4[[#This Row],[Creación y captura Oct/2024]:[Compartición e Interoperabilidad Oct/2024]])</f>
        <v>1</v>
      </c>
      <c r="U20" s="14">
        <v>1</v>
      </c>
      <c r="V20" s="14">
        <v>1</v>
      </c>
      <c r="W20" s="15">
        <f>AVERAGE('Calidad de Datos'!O24:R24)</f>
        <v>0.875</v>
      </c>
      <c r="X20" s="15">
        <f>Tabla13[[#This Row],[Uso y acceso Nov/2024]]</f>
        <v>1</v>
      </c>
      <c r="Y20" s="15">
        <f>Tabla58[[#This Row],[Integración Nov/2024]]</f>
        <v>1</v>
      </c>
      <c r="Z20" s="16">
        <f>AVERAGE(Tabla4[[#This Row],[Creación y captura Nov/2024]:[Compartición e Interoperabilidad Nov/2024]])</f>
        <v>0.97499999999999998</v>
      </c>
      <c r="AA20" s="14">
        <v>1</v>
      </c>
      <c r="AB20" s="14">
        <v>1</v>
      </c>
      <c r="AC20" s="15">
        <f>AVERAGE('Calidad de Datos'!S24:V24)</f>
        <v>0.875</v>
      </c>
      <c r="AD20" s="15">
        <f>Tabla13[[#This Row],[Uso y acceso Dic/2024]]</f>
        <v>1</v>
      </c>
      <c r="AE20" s="15">
        <f>Tabla58[[#This Row],[Integración Dic/2024]]</f>
        <v>1</v>
      </c>
      <c r="AF20" s="16">
        <f>AVERAGE(Tabla4[[#This Row],[Creación y captura Dic/2024]:[Compartición e Interoperabilidad Dic/2024]])</f>
        <v>0.97499999999999998</v>
      </c>
      <c r="AG20" s="14">
        <v>1</v>
      </c>
      <c r="AH20" s="14">
        <v>1</v>
      </c>
      <c r="AI20" s="17">
        <f>AVERAGE('Calidad de Datos'!W24:Z24)</f>
        <v>0.875</v>
      </c>
      <c r="AJ20" s="15">
        <f>Tabla13[[#This Row],[Uso y acceso Ene/2025]]</f>
        <v>1</v>
      </c>
      <c r="AK20" s="15">
        <f>Tabla58[[#This Row],[Integración Ene/2025]]</f>
        <v>1</v>
      </c>
      <c r="AL20" s="16">
        <f>AVERAGE(Tabla4[[#This Row],[Creación y captura Ene/2025]:[Compartición e Interoperabilidad Ene/2025]])</f>
        <v>0.97499999999999998</v>
      </c>
      <c r="AM20" s="14">
        <v>1</v>
      </c>
      <c r="AN20" s="14">
        <v>1</v>
      </c>
      <c r="AO20" s="17">
        <f>AVERAGE('Calidad de Datos'!AA24:AD24)</f>
        <v>0.875</v>
      </c>
      <c r="AP20" s="15">
        <f>Tabla13[[#This Row],[Uso y acceso Feb/2025]]</f>
        <v>1</v>
      </c>
      <c r="AQ20" s="15">
        <f>Tabla58[[#This Row],[Integración Feb/2025]]</f>
        <v>1</v>
      </c>
      <c r="AR20" s="16">
        <f>AVERAGE(Tabla4[[#This Row],[Creación y captura Feb/2025]:[Compartición e Interoperabilidad Feb/2025]])</f>
        <v>0.97499999999999998</v>
      </c>
      <c r="AS20" s="14">
        <v>1</v>
      </c>
      <c r="AT20" s="14">
        <v>1</v>
      </c>
      <c r="AU20" s="17">
        <f>AVERAGE('Calidad de Datos'!AE24:AH24)</f>
        <v>0.875</v>
      </c>
      <c r="AV20" s="15">
        <f>Tabla13[[#This Row],[Uso y acceso Mar/2025]]</f>
        <v>1</v>
      </c>
      <c r="AW20" s="15">
        <f>Tabla58[[#This Row],[Integración Mar/2025]]</f>
        <v>1</v>
      </c>
      <c r="AX20" s="16">
        <f>AVERAGE(Tabla4[[#This Row],[Creación y captura Mar/2025]:[Compartición e Interoperabilidad Mar/2025]])</f>
        <v>0.97499999999999998</v>
      </c>
      <c r="AY20" s="14">
        <v>1</v>
      </c>
      <c r="AZ20" s="14">
        <v>1</v>
      </c>
      <c r="BA20" s="17">
        <f>AVERAGE('Calidad de Datos'!AI24:AL24)</f>
        <v>0.875</v>
      </c>
      <c r="BB20" s="15">
        <f>Tabla13[[#This Row],[Uso y acceso Abr/2025]]</f>
        <v>1</v>
      </c>
      <c r="BC20" s="15">
        <f>Tabla58[[#This Row],[Integración Abr/2025]]</f>
        <v>1</v>
      </c>
      <c r="BD20" s="16">
        <f>AVERAGE(Tabla4[[#This Row],[Creación y captura Abr/2025]:[Compartición e Interoperabilidad Abr/2025]])</f>
        <v>0.97499999999999998</v>
      </c>
      <c r="BE20" s="14">
        <v>1</v>
      </c>
      <c r="BF20" s="14">
        <v>1</v>
      </c>
      <c r="BG20" s="17">
        <f>AVERAGE('Calidad de Datos'!AM24:AP24)</f>
        <v>0.95</v>
      </c>
      <c r="BH20" s="15">
        <f>Tabla13[[#This Row],[Uso y acceso May/2025]]</f>
        <v>1</v>
      </c>
      <c r="BI20" s="15">
        <f>Tabla58[[#This Row],[Integración May/2025]]</f>
        <v>1</v>
      </c>
      <c r="BJ20" s="16">
        <f>AVERAGE(Tabla4[[#This Row],[Creación y captura May/2025]:[Compartición e Interoperabilidad May/2025]])</f>
        <v>0.99</v>
      </c>
      <c r="BK20" s="14">
        <v>1</v>
      </c>
      <c r="BL20" s="14">
        <v>1</v>
      </c>
      <c r="BM20" s="14">
        <f>AVERAGE('Calidad de Datos'!AQ24:AT24)</f>
        <v>0.95</v>
      </c>
      <c r="BN20" s="14">
        <f>Tabla13[[#This Row],[Uso y acceso Dic/2025]]</f>
        <v>1</v>
      </c>
      <c r="BO20" s="14">
        <f>Tabla58[[#This Row],[Integración Dic/2025]]</f>
        <v>1</v>
      </c>
      <c r="BP20" s="16">
        <f>AVERAGE(Tabla4[[#This Row],[Creación y captura Dic/2025]:[Compartición e Interoperabilidad Dic/2025]])</f>
        <v>0.99</v>
      </c>
    </row>
    <row r="21" spans="2:68" x14ac:dyDescent="0.4">
      <c r="B21" s="1" t="s">
        <v>71</v>
      </c>
      <c r="C21" s="14">
        <v>1</v>
      </c>
      <c r="D21" s="14">
        <v>1</v>
      </c>
      <c r="E21" s="14">
        <f>AVERAGE('Calidad de Datos'!C25:F25)</f>
        <v>1</v>
      </c>
      <c r="F21" s="14">
        <f>Tabla13[[#This Row],[Uso y acceso Ago/2024]]</f>
        <v>1</v>
      </c>
      <c r="G21" s="15">
        <f>Tabla58[[#This Row],[Integración Ago/2024]]</f>
        <v>1</v>
      </c>
      <c r="H21" s="16">
        <f>AVERAGE(Tabla4[[#This Row],[Creación y captura Ago/2024]:[Compartición e Interoperabilidad Ago/2024]])</f>
        <v>1</v>
      </c>
      <c r="I21" s="14">
        <v>1</v>
      </c>
      <c r="J21" s="14">
        <v>1</v>
      </c>
      <c r="K21" s="15">
        <f>AVERAGE('Calidad de Datos'!G25:J25)</f>
        <v>1</v>
      </c>
      <c r="L21" s="15">
        <f>Tabla13[[#This Row],[Uso y acceso Sep/2024]]</f>
        <v>1</v>
      </c>
      <c r="M21" s="15">
        <f>Tabla58[[#This Row],[Integración Sep/2024]]</f>
        <v>1</v>
      </c>
      <c r="N21" s="16">
        <f>AVERAGE(Tabla4[[#This Row],[Creación y captura Sep/2024]:[Compartición e Interoperabilidad Sep/2024]])</f>
        <v>1</v>
      </c>
      <c r="O21" s="14">
        <v>1</v>
      </c>
      <c r="P21" s="14">
        <v>1</v>
      </c>
      <c r="Q21" s="15">
        <f>AVERAGE('Calidad de Datos'!K25:N25)</f>
        <v>1</v>
      </c>
      <c r="R21" s="15">
        <f>Tabla13[[#This Row],[Uso y acceso Oct/2024]]</f>
        <v>1</v>
      </c>
      <c r="S21" s="15">
        <f>Tabla58[[#This Row],[Integración Oct/2024]]</f>
        <v>1</v>
      </c>
      <c r="T21" s="16">
        <f>AVERAGE(Tabla4[[#This Row],[Creación y captura Oct/2024]:[Compartición e Interoperabilidad Oct/2024]])</f>
        <v>1</v>
      </c>
      <c r="U21" s="14">
        <v>1</v>
      </c>
      <c r="V21" s="14">
        <v>1</v>
      </c>
      <c r="W21" s="15">
        <f>AVERAGE('Calidad de Datos'!O25:R25)</f>
        <v>1</v>
      </c>
      <c r="X21" s="15">
        <f>Tabla13[[#This Row],[Uso y acceso Nov/2024]]</f>
        <v>1</v>
      </c>
      <c r="Y21" s="15">
        <f>Tabla58[[#This Row],[Integración Nov/2024]]</f>
        <v>1</v>
      </c>
      <c r="Z21" s="16">
        <f>AVERAGE(Tabla4[[#This Row],[Creación y captura Nov/2024]:[Compartición e Interoperabilidad Nov/2024]])</f>
        <v>1</v>
      </c>
      <c r="AA21" s="14">
        <v>1</v>
      </c>
      <c r="AB21" s="14">
        <v>1</v>
      </c>
      <c r="AC21" s="15">
        <f>AVERAGE('Calidad de Datos'!S25:V25)</f>
        <v>1</v>
      </c>
      <c r="AD21" s="15">
        <f>Tabla13[[#This Row],[Uso y acceso Dic/2024]]</f>
        <v>1</v>
      </c>
      <c r="AE21" s="15">
        <f>Tabla58[[#This Row],[Integración Dic/2024]]</f>
        <v>1</v>
      </c>
      <c r="AF21" s="16">
        <f>AVERAGE(Tabla4[[#This Row],[Creación y captura Dic/2024]:[Compartición e Interoperabilidad Dic/2024]])</f>
        <v>1</v>
      </c>
      <c r="AG21" s="14">
        <v>1</v>
      </c>
      <c r="AH21" s="14">
        <v>1</v>
      </c>
      <c r="AI21" s="17">
        <f>AVERAGE('Calidad de Datos'!W25:Z25)</f>
        <v>1</v>
      </c>
      <c r="AJ21" s="15">
        <f>Tabla13[[#This Row],[Uso y acceso Ene/2025]]</f>
        <v>1</v>
      </c>
      <c r="AK21" s="15">
        <f>Tabla58[[#This Row],[Integración Ene/2025]]</f>
        <v>1</v>
      </c>
      <c r="AL21" s="16">
        <f>AVERAGE(Tabla4[[#This Row],[Creación y captura Ene/2025]:[Compartición e Interoperabilidad Ene/2025]])</f>
        <v>1</v>
      </c>
      <c r="AM21" s="14">
        <v>1</v>
      </c>
      <c r="AN21" s="14">
        <v>1</v>
      </c>
      <c r="AO21" s="17">
        <f>AVERAGE('Calidad de Datos'!AA25:AD25)</f>
        <v>1</v>
      </c>
      <c r="AP21" s="15">
        <f>Tabla13[[#This Row],[Uso y acceso Feb/2025]]</f>
        <v>1</v>
      </c>
      <c r="AQ21" s="15">
        <f>Tabla58[[#This Row],[Integración Feb/2025]]</f>
        <v>1</v>
      </c>
      <c r="AR21" s="16">
        <f>AVERAGE(Tabla4[[#This Row],[Creación y captura Feb/2025]:[Compartición e Interoperabilidad Feb/2025]])</f>
        <v>1</v>
      </c>
      <c r="AS21" s="14">
        <v>1</v>
      </c>
      <c r="AT21" s="14">
        <v>1</v>
      </c>
      <c r="AU21" s="17">
        <f>AVERAGE('Calidad de Datos'!AE25:AH25)</f>
        <v>1</v>
      </c>
      <c r="AV21" s="15">
        <f>Tabla13[[#This Row],[Uso y acceso Mar/2025]]</f>
        <v>1</v>
      </c>
      <c r="AW21" s="15">
        <f>Tabla58[[#This Row],[Integración Mar/2025]]</f>
        <v>1</v>
      </c>
      <c r="AX21" s="16">
        <f>AVERAGE(Tabla4[[#This Row],[Creación y captura Mar/2025]:[Compartición e Interoperabilidad Mar/2025]])</f>
        <v>1</v>
      </c>
      <c r="AY21" s="14">
        <v>1</v>
      </c>
      <c r="AZ21" s="14">
        <v>1</v>
      </c>
      <c r="BA21" s="17">
        <f>AVERAGE('Calidad de Datos'!AI25:AL25)</f>
        <v>1</v>
      </c>
      <c r="BB21" s="15">
        <f>Tabla13[[#This Row],[Uso y acceso Abr/2025]]</f>
        <v>1</v>
      </c>
      <c r="BC21" s="15">
        <f>Tabla58[[#This Row],[Integración Abr/2025]]</f>
        <v>1</v>
      </c>
      <c r="BD21" s="16">
        <f>AVERAGE(Tabla4[[#This Row],[Creación y captura Abr/2025]:[Compartición e Interoperabilidad Abr/2025]])</f>
        <v>1</v>
      </c>
      <c r="BE21" s="14">
        <v>1</v>
      </c>
      <c r="BF21" s="14">
        <v>1</v>
      </c>
      <c r="BG21" s="17">
        <f>AVERAGE('Calidad de Datos'!AM25:AP25)</f>
        <v>1</v>
      </c>
      <c r="BH21" s="15">
        <f>Tabla13[[#This Row],[Uso y acceso May/2025]]</f>
        <v>1</v>
      </c>
      <c r="BI21" s="15">
        <f>Tabla58[[#This Row],[Integración May/2025]]</f>
        <v>1</v>
      </c>
      <c r="BJ21" s="16">
        <f>AVERAGE(Tabla4[[#This Row],[Creación y captura May/2025]:[Compartición e Interoperabilidad May/2025]])</f>
        <v>1</v>
      </c>
      <c r="BK21" s="14">
        <v>1</v>
      </c>
      <c r="BL21" s="14">
        <v>1</v>
      </c>
      <c r="BM21" s="14">
        <f>AVERAGE('Calidad de Datos'!AQ25:AT25)</f>
        <v>1</v>
      </c>
      <c r="BN21" s="14">
        <f>Tabla13[[#This Row],[Uso y acceso Dic/2025]]</f>
        <v>1</v>
      </c>
      <c r="BO21" s="14">
        <f>Tabla58[[#This Row],[Integración Dic/2025]]</f>
        <v>1</v>
      </c>
      <c r="BP21" s="16">
        <f>AVERAGE(Tabla4[[#This Row],[Creación y captura Dic/2025]:[Compartición e Interoperabilidad Dic/2025]])</f>
        <v>1</v>
      </c>
    </row>
    <row r="22" spans="2:68" x14ac:dyDescent="0.4">
      <c r="B22" s="1" t="s">
        <v>72</v>
      </c>
      <c r="C22" s="14">
        <v>1</v>
      </c>
      <c r="D22" s="14">
        <v>1</v>
      </c>
      <c r="E22" s="14">
        <f>AVERAGE('Calidad de Datos'!C26:F26)</f>
        <v>1</v>
      </c>
      <c r="F22" s="14">
        <f>Tabla13[[#This Row],[Uso y acceso Ago/2024]]</f>
        <v>1</v>
      </c>
      <c r="G22" s="15">
        <f>Tabla58[[#This Row],[Integración Ago/2024]]</f>
        <v>1</v>
      </c>
      <c r="H22" s="16">
        <f>AVERAGE(Tabla4[[#This Row],[Creación y captura Ago/2024]:[Compartición e Interoperabilidad Ago/2024]])</f>
        <v>1</v>
      </c>
      <c r="I22" s="14">
        <v>1</v>
      </c>
      <c r="J22" s="14">
        <v>1</v>
      </c>
      <c r="K22" s="15">
        <f>AVERAGE('Calidad de Datos'!G26:J26)</f>
        <v>1</v>
      </c>
      <c r="L22" s="15">
        <f>Tabla13[[#This Row],[Uso y acceso Sep/2024]]</f>
        <v>1</v>
      </c>
      <c r="M22" s="15">
        <f>Tabla58[[#This Row],[Integración Sep/2024]]</f>
        <v>1</v>
      </c>
      <c r="N22" s="16">
        <f>AVERAGE(Tabla4[[#This Row],[Creación y captura Sep/2024]:[Compartición e Interoperabilidad Sep/2024]])</f>
        <v>1</v>
      </c>
      <c r="O22" s="14">
        <v>1</v>
      </c>
      <c r="P22" s="14">
        <v>1</v>
      </c>
      <c r="Q22" s="15">
        <f>AVERAGE('Calidad de Datos'!K26:N26)</f>
        <v>1</v>
      </c>
      <c r="R22" s="15">
        <f>Tabla13[[#This Row],[Uso y acceso Oct/2024]]</f>
        <v>1</v>
      </c>
      <c r="S22" s="15">
        <f>Tabla58[[#This Row],[Integración Oct/2024]]</f>
        <v>1</v>
      </c>
      <c r="T22" s="16">
        <f>AVERAGE(Tabla4[[#This Row],[Creación y captura Oct/2024]:[Compartición e Interoperabilidad Oct/2024]])</f>
        <v>1</v>
      </c>
      <c r="U22" s="14">
        <v>1</v>
      </c>
      <c r="V22" s="14">
        <v>1</v>
      </c>
      <c r="W22" s="15">
        <f>AVERAGE('Calidad de Datos'!O26:R26)</f>
        <v>1</v>
      </c>
      <c r="X22" s="15">
        <f>Tabla13[[#This Row],[Uso y acceso Nov/2024]]</f>
        <v>1</v>
      </c>
      <c r="Y22" s="15">
        <f>Tabla58[[#This Row],[Integración Nov/2024]]</f>
        <v>1</v>
      </c>
      <c r="Z22" s="16">
        <f>AVERAGE(Tabla4[[#This Row],[Creación y captura Nov/2024]:[Compartición e Interoperabilidad Nov/2024]])</f>
        <v>1</v>
      </c>
      <c r="AA22" s="14">
        <v>1</v>
      </c>
      <c r="AB22" s="14">
        <v>1</v>
      </c>
      <c r="AC22" s="15">
        <f>AVERAGE('Calidad de Datos'!S26:V26)</f>
        <v>1</v>
      </c>
      <c r="AD22" s="15">
        <f>Tabla13[[#This Row],[Uso y acceso Dic/2024]]</f>
        <v>1</v>
      </c>
      <c r="AE22" s="15">
        <f>Tabla58[[#This Row],[Integración Dic/2024]]</f>
        <v>1</v>
      </c>
      <c r="AF22" s="16">
        <f>AVERAGE(Tabla4[[#This Row],[Creación y captura Dic/2024]:[Compartición e Interoperabilidad Dic/2024]])</f>
        <v>1</v>
      </c>
      <c r="AG22" s="14">
        <v>1</v>
      </c>
      <c r="AH22" s="14">
        <v>1</v>
      </c>
      <c r="AI22" s="17">
        <f>AVERAGE('Calidad de Datos'!W26:Z26)</f>
        <v>1</v>
      </c>
      <c r="AJ22" s="15">
        <f>Tabla13[[#This Row],[Uso y acceso Ene/2025]]</f>
        <v>1</v>
      </c>
      <c r="AK22" s="15">
        <f>Tabla58[[#This Row],[Integración Ene/2025]]</f>
        <v>1</v>
      </c>
      <c r="AL22" s="16">
        <f>AVERAGE(Tabla4[[#This Row],[Creación y captura Ene/2025]:[Compartición e Interoperabilidad Ene/2025]])</f>
        <v>1</v>
      </c>
      <c r="AM22" s="14">
        <v>1</v>
      </c>
      <c r="AN22" s="14">
        <v>1</v>
      </c>
      <c r="AO22" s="17">
        <f>AVERAGE('Calidad de Datos'!AA26:AD26)</f>
        <v>1</v>
      </c>
      <c r="AP22" s="15">
        <f>Tabla13[[#This Row],[Uso y acceso Feb/2025]]</f>
        <v>1</v>
      </c>
      <c r="AQ22" s="15">
        <f>Tabla58[[#This Row],[Integración Feb/2025]]</f>
        <v>1</v>
      </c>
      <c r="AR22" s="16">
        <f>AVERAGE(Tabla4[[#This Row],[Creación y captura Feb/2025]:[Compartición e Interoperabilidad Feb/2025]])</f>
        <v>1</v>
      </c>
      <c r="AS22" s="14">
        <v>1</v>
      </c>
      <c r="AT22" s="14">
        <v>1</v>
      </c>
      <c r="AU22" s="17">
        <f>AVERAGE('Calidad de Datos'!AE26:AH26)</f>
        <v>1</v>
      </c>
      <c r="AV22" s="15">
        <f>Tabla13[[#This Row],[Uso y acceso Mar/2025]]</f>
        <v>1</v>
      </c>
      <c r="AW22" s="15">
        <f>Tabla58[[#This Row],[Integración Mar/2025]]</f>
        <v>1</v>
      </c>
      <c r="AX22" s="16">
        <f>AVERAGE(Tabla4[[#This Row],[Creación y captura Mar/2025]:[Compartición e Interoperabilidad Mar/2025]])</f>
        <v>1</v>
      </c>
      <c r="AY22" s="14">
        <v>1</v>
      </c>
      <c r="AZ22" s="14">
        <v>1</v>
      </c>
      <c r="BA22" s="17">
        <f>AVERAGE('Calidad de Datos'!AI26:AL26)</f>
        <v>1</v>
      </c>
      <c r="BB22" s="15">
        <f>Tabla13[[#This Row],[Uso y acceso Abr/2025]]</f>
        <v>1</v>
      </c>
      <c r="BC22" s="15">
        <f>Tabla58[[#This Row],[Integración Abr/2025]]</f>
        <v>1</v>
      </c>
      <c r="BD22" s="16">
        <f>AVERAGE(Tabla4[[#This Row],[Creación y captura Abr/2025]:[Compartición e Interoperabilidad Abr/2025]])</f>
        <v>1</v>
      </c>
      <c r="BE22" s="14">
        <v>1</v>
      </c>
      <c r="BF22" s="14">
        <v>1</v>
      </c>
      <c r="BG22" s="17">
        <f>AVERAGE('Calidad de Datos'!AM26:AP26)</f>
        <v>1</v>
      </c>
      <c r="BH22" s="15">
        <f>Tabla13[[#This Row],[Uso y acceso May/2025]]</f>
        <v>1</v>
      </c>
      <c r="BI22" s="15">
        <f>Tabla58[[#This Row],[Integración May/2025]]</f>
        <v>1</v>
      </c>
      <c r="BJ22" s="16">
        <f>AVERAGE(Tabla4[[#This Row],[Creación y captura May/2025]:[Compartición e Interoperabilidad May/2025]])</f>
        <v>1</v>
      </c>
      <c r="BK22" s="14">
        <v>1</v>
      </c>
      <c r="BL22" s="14">
        <v>1</v>
      </c>
      <c r="BM22" s="14">
        <f>AVERAGE('Calidad de Datos'!AQ26:AT26)</f>
        <v>1</v>
      </c>
      <c r="BN22" s="14">
        <f>Tabla13[[#This Row],[Uso y acceso Dic/2025]]</f>
        <v>1</v>
      </c>
      <c r="BO22" s="14">
        <f>Tabla58[[#This Row],[Integración Dic/2025]]</f>
        <v>1</v>
      </c>
      <c r="BP22" s="16">
        <f>AVERAGE(Tabla4[[#This Row],[Creación y captura Dic/2025]:[Compartición e Interoperabilidad Dic/2025]])</f>
        <v>1</v>
      </c>
    </row>
    <row r="23" spans="2:68" x14ac:dyDescent="0.4">
      <c r="B23" s="1" t="s">
        <v>73</v>
      </c>
      <c r="C23" s="14">
        <v>1</v>
      </c>
      <c r="D23" s="14">
        <v>1</v>
      </c>
      <c r="E23" s="14">
        <f>AVERAGE('Calidad de Datos'!C27:F27)</f>
        <v>0.77500000000000002</v>
      </c>
      <c r="F23" s="14">
        <f>Tabla13[[#This Row],[Uso y acceso Ago/2024]]</f>
        <v>1</v>
      </c>
      <c r="G23" s="15">
        <f>Tabla58[[#This Row],[Integración Ago/2024]]</f>
        <v>1</v>
      </c>
      <c r="H23" s="16">
        <f>AVERAGE(Tabla4[[#This Row],[Creación y captura Ago/2024]:[Compartición e Interoperabilidad Ago/2024]])</f>
        <v>0.95500000000000007</v>
      </c>
      <c r="I23" s="14">
        <v>1</v>
      </c>
      <c r="J23" s="14">
        <v>1</v>
      </c>
      <c r="K23" s="15">
        <f>AVERAGE('Calidad de Datos'!G27:J27)</f>
        <v>0.8125</v>
      </c>
      <c r="L23" s="15">
        <f>Tabla13[[#This Row],[Uso y acceso Sep/2024]]</f>
        <v>1</v>
      </c>
      <c r="M23" s="15">
        <f>Tabla58[[#This Row],[Integración Sep/2024]]</f>
        <v>1</v>
      </c>
      <c r="N23" s="16">
        <f>AVERAGE(Tabla4[[#This Row],[Creación y captura Sep/2024]:[Compartición e Interoperabilidad Sep/2024]])</f>
        <v>0.96250000000000002</v>
      </c>
      <c r="O23" s="14">
        <v>1</v>
      </c>
      <c r="P23" s="14">
        <v>1</v>
      </c>
      <c r="Q23" s="15">
        <f>AVERAGE('Calidad de Datos'!K27:N27)</f>
        <v>0.80249999999999999</v>
      </c>
      <c r="R23" s="15">
        <f>Tabla13[[#This Row],[Uso y acceso Oct/2024]]</f>
        <v>1</v>
      </c>
      <c r="S23" s="15">
        <f>Tabla58[[#This Row],[Integración Oct/2024]]</f>
        <v>1</v>
      </c>
      <c r="T23" s="16">
        <f>AVERAGE(Tabla4[[#This Row],[Creación y captura Oct/2024]:[Compartición e Interoperabilidad Oct/2024]])</f>
        <v>0.96050000000000002</v>
      </c>
      <c r="U23" s="14">
        <v>1</v>
      </c>
      <c r="V23" s="14">
        <v>1</v>
      </c>
      <c r="W23" s="15">
        <f>AVERAGE('Calidad de Datos'!O27:R27)</f>
        <v>0.86250000000000004</v>
      </c>
      <c r="X23" s="15">
        <f>Tabla13[[#This Row],[Uso y acceso Nov/2024]]</f>
        <v>1</v>
      </c>
      <c r="Y23" s="15">
        <f>Tabla58[[#This Row],[Integración Nov/2024]]</f>
        <v>1</v>
      </c>
      <c r="Z23" s="16">
        <f>AVERAGE(Tabla4[[#This Row],[Creación y captura Nov/2024]:[Compartición e Interoperabilidad Nov/2024]])</f>
        <v>0.97249999999999992</v>
      </c>
      <c r="AA23" s="14">
        <v>1</v>
      </c>
      <c r="AB23" s="14">
        <v>1</v>
      </c>
      <c r="AC23" s="15">
        <f>AVERAGE('Calidad de Datos'!S27:V27)</f>
        <v>0.90249999999999997</v>
      </c>
      <c r="AD23" s="15">
        <f>Tabla13[[#This Row],[Uso y acceso Dic/2024]]</f>
        <v>1</v>
      </c>
      <c r="AE23" s="15">
        <f>Tabla58[[#This Row],[Integración Dic/2024]]</f>
        <v>1</v>
      </c>
      <c r="AF23" s="16">
        <f>AVERAGE(Tabla4[[#This Row],[Creación y captura Dic/2024]:[Compartición e Interoperabilidad Dic/2024]])</f>
        <v>0.98049999999999993</v>
      </c>
      <c r="AG23" s="14">
        <v>1</v>
      </c>
      <c r="AH23" s="14">
        <v>1</v>
      </c>
      <c r="AI23" s="17">
        <f>AVERAGE('Calidad de Datos'!W27:Z27)</f>
        <v>0.95</v>
      </c>
      <c r="AJ23" s="15">
        <f>Tabla13[[#This Row],[Uso y acceso Ene/2025]]</f>
        <v>1</v>
      </c>
      <c r="AK23" s="15">
        <f>Tabla58[[#This Row],[Integración Ene/2025]]</f>
        <v>1</v>
      </c>
      <c r="AL23" s="16">
        <f>AVERAGE(Tabla4[[#This Row],[Creación y captura Ene/2025]:[Compartición e Interoperabilidad Ene/2025]])</f>
        <v>0.99</v>
      </c>
      <c r="AM23" s="14">
        <v>1</v>
      </c>
      <c r="AN23" s="14">
        <v>1</v>
      </c>
      <c r="AO23" s="17">
        <f>AVERAGE('Calidad de Datos'!AA27:AD27)</f>
        <v>0.95</v>
      </c>
      <c r="AP23" s="15">
        <f>Tabla13[[#This Row],[Uso y acceso Feb/2025]]</f>
        <v>1</v>
      </c>
      <c r="AQ23" s="15">
        <f>Tabla58[[#This Row],[Integración Feb/2025]]</f>
        <v>1</v>
      </c>
      <c r="AR23" s="16">
        <f>AVERAGE(Tabla4[[#This Row],[Creación y captura Feb/2025]:[Compartición e Interoperabilidad Feb/2025]])</f>
        <v>0.99</v>
      </c>
      <c r="AS23" s="14">
        <v>1</v>
      </c>
      <c r="AT23" s="14">
        <v>1</v>
      </c>
      <c r="AU23" s="17">
        <f>AVERAGE('Calidad de Datos'!AE27:AH27)</f>
        <v>0.95</v>
      </c>
      <c r="AV23" s="15">
        <f>Tabla13[[#This Row],[Uso y acceso Mar/2025]]</f>
        <v>1</v>
      </c>
      <c r="AW23" s="15">
        <f>Tabla58[[#This Row],[Integración Mar/2025]]</f>
        <v>1</v>
      </c>
      <c r="AX23" s="16">
        <f>AVERAGE(Tabla4[[#This Row],[Creación y captura Mar/2025]:[Compartición e Interoperabilidad Mar/2025]])</f>
        <v>0.99</v>
      </c>
      <c r="AY23" s="14">
        <v>1</v>
      </c>
      <c r="AZ23" s="14">
        <v>1</v>
      </c>
      <c r="BA23" s="17">
        <f>AVERAGE('Calidad de Datos'!AI27:AL27)</f>
        <v>0.95</v>
      </c>
      <c r="BB23" s="15">
        <f>Tabla13[[#This Row],[Uso y acceso Abr/2025]]</f>
        <v>1</v>
      </c>
      <c r="BC23" s="15">
        <f>Tabla58[[#This Row],[Integración Abr/2025]]</f>
        <v>1</v>
      </c>
      <c r="BD23" s="16">
        <f>AVERAGE(Tabla4[[#This Row],[Creación y captura Abr/2025]:[Compartición e Interoperabilidad Abr/2025]])</f>
        <v>0.99</v>
      </c>
      <c r="BE23" s="14">
        <v>1</v>
      </c>
      <c r="BF23" s="14">
        <v>1</v>
      </c>
      <c r="BG23" s="17">
        <f>AVERAGE('Calidad de Datos'!AM27:AP27)</f>
        <v>1</v>
      </c>
      <c r="BH23" s="15">
        <f>Tabla13[[#This Row],[Uso y acceso May/2025]]</f>
        <v>1</v>
      </c>
      <c r="BI23" s="15">
        <f>Tabla58[[#This Row],[Integración May/2025]]</f>
        <v>1</v>
      </c>
      <c r="BJ23" s="16">
        <f>AVERAGE(Tabla4[[#This Row],[Creación y captura May/2025]:[Compartición e Interoperabilidad May/2025]])</f>
        <v>1</v>
      </c>
      <c r="BK23" s="14">
        <v>1</v>
      </c>
      <c r="BL23" s="14">
        <v>1</v>
      </c>
      <c r="BM23" s="14">
        <f>AVERAGE('Calidad de Datos'!AQ27:AT27)</f>
        <v>1</v>
      </c>
      <c r="BN23" s="14">
        <f>Tabla13[[#This Row],[Uso y acceso Dic/2025]]</f>
        <v>1</v>
      </c>
      <c r="BO23" s="14">
        <f>Tabla58[[#This Row],[Integración Dic/2025]]</f>
        <v>1</v>
      </c>
      <c r="BP23" s="16">
        <f>AVERAGE(Tabla4[[#This Row],[Creación y captura Dic/2025]:[Compartición e Interoperabilidad Dic/2025]])</f>
        <v>1</v>
      </c>
    </row>
    <row r="24" spans="2:68" x14ac:dyDescent="0.4">
      <c r="B24" s="1" t="s">
        <v>74</v>
      </c>
      <c r="C24" s="14">
        <v>1</v>
      </c>
      <c r="D24" s="14">
        <v>1</v>
      </c>
      <c r="E24" s="14">
        <f>AVERAGE('Calidad de Datos'!C28:F28)</f>
        <v>0.85</v>
      </c>
      <c r="F24" s="14">
        <f>Tabla13[[#This Row],[Uso y acceso Ago/2024]]</f>
        <v>1</v>
      </c>
      <c r="G24" s="15">
        <f>Tabla58[[#This Row],[Integración Ago/2024]]</f>
        <v>1</v>
      </c>
      <c r="H24" s="16">
        <f>AVERAGE(Tabla4[[#This Row],[Creación y captura Ago/2024]:[Compartición e Interoperabilidad Ago/2024]])</f>
        <v>0.97</v>
      </c>
      <c r="I24" s="14">
        <v>1</v>
      </c>
      <c r="J24" s="14">
        <v>1</v>
      </c>
      <c r="K24" s="15">
        <f>AVERAGE('Calidad de Datos'!G28:J28)</f>
        <v>0.875</v>
      </c>
      <c r="L24" s="15">
        <f>Tabla13[[#This Row],[Uso y acceso Sep/2024]]</f>
        <v>1</v>
      </c>
      <c r="M24" s="15">
        <f>Tabla58[[#This Row],[Integración Sep/2024]]</f>
        <v>1</v>
      </c>
      <c r="N24" s="16">
        <f>AVERAGE(Tabla4[[#This Row],[Creación y captura Sep/2024]:[Compartición e Interoperabilidad Sep/2024]])</f>
        <v>0.97499999999999998</v>
      </c>
      <c r="O24" s="14">
        <v>1</v>
      </c>
      <c r="P24" s="14">
        <v>1</v>
      </c>
      <c r="Q24" s="15">
        <f>AVERAGE('Calidad de Datos'!K28:N28)</f>
        <v>0.875</v>
      </c>
      <c r="R24" s="15">
        <f>Tabla13[[#This Row],[Uso y acceso Oct/2024]]</f>
        <v>1</v>
      </c>
      <c r="S24" s="15">
        <f>Tabla58[[#This Row],[Integración Oct/2024]]</f>
        <v>1</v>
      </c>
      <c r="T24" s="16">
        <f>AVERAGE(Tabla4[[#This Row],[Creación y captura Oct/2024]:[Compartición e Interoperabilidad Oct/2024]])</f>
        <v>0.97499999999999998</v>
      </c>
      <c r="U24" s="14">
        <v>1</v>
      </c>
      <c r="V24" s="14">
        <v>1</v>
      </c>
      <c r="W24" s="15">
        <f>AVERAGE('Calidad de Datos'!O28:R28)</f>
        <v>0.92500000000000004</v>
      </c>
      <c r="X24" s="15">
        <f>Tabla13[[#This Row],[Uso y acceso Nov/2024]]</f>
        <v>1</v>
      </c>
      <c r="Y24" s="15">
        <f>Tabla58[[#This Row],[Integración Nov/2024]]</f>
        <v>1</v>
      </c>
      <c r="Z24" s="16">
        <f>AVERAGE(Tabla4[[#This Row],[Creación y captura Nov/2024]:[Compartición e Interoperabilidad Nov/2024]])</f>
        <v>0.98499999999999999</v>
      </c>
      <c r="AA24" s="14">
        <v>1</v>
      </c>
      <c r="AB24" s="14">
        <v>1</v>
      </c>
      <c r="AC24" s="15">
        <f>AVERAGE('Calidad de Datos'!S28:V28)</f>
        <v>1</v>
      </c>
      <c r="AD24" s="15">
        <f>Tabla13[[#This Row],[Uso y acceso Dic/2024]]</f>
        <v>1</v>
      </c>
      <c r="AE24" s="15">
        <f>Tabla58[[#This Row],[Integración Dic/2024]]</f>
        <v>1</v>
      </c>
      <c r="AF24" s="16">
        <f>AVERAGE(Tabla4[[#This Row],[Creación y captura Dic/2024]:[Compartición e Interoperabilidad Dic/2024]])</f>
        <v>1</v>
      </c>
      <c r="AG24" s="14">
        <v>1</v>
      </c>
      <c r="AH24" s="14">
        <v>1</v>
      </c>
      <c r="AI24" s="17">
        <f>AVERAGE('Calidad de Datos'!W28:Z28)</f>
        <v>1</v>
      </c>
      <c r="AJ24" s="15">
        <f>Tabla13[[#This Row],[Uso y acceso Ene/2025]]</f>
        <v>1</v>
      </c>
      <c r="AK24" s="15">
        <f>Tabla58[[#This Row],[Integración Ene/2025]]</f>
        <v>1</v>
      </c>
      <c r="AL24" s="16">
        <f>AVERAGE(Tabla4[[#This Row],[Creación y captura Ene/2025]:[Compartición e Interoperabilidad Ene/2025]])</f>
        <v>1</v>
      </c>
      <c r="AM24" s="14">
        <v>1</v>
      </c>
      <c r="AN24" s="14">
        <v>1</v>
      </c>
      <c r="AO24" s="17">
        <f>AVERAGE('Calidad de Datos'!AA28:AD28)</f>
        <v>1</v>
      </c>
      <c r="AP24" s="15">
        <f>Tabla13[[#This Row],[Uso y acceso Feb/2025]]</f>
        <v>1</v>
      </c>
      <c r="AQ24" s="15">
        <f>Tabla58[[#This Row],[Integración Feb/2025]]</f>
        <v>1</v>
      </c>
      <c r="AR24" s="16">
        <f>AVERAGE(Tabla4[[#This Row],[Creación y captura Feb/2025]:[Compartición e Interoperabilidad Feb/2025]])</f>
        <v>1</v>
      </c>
      <c r="AS24" s="14">
        <v>1</v>
      </c>
      <c r="AT24" s="14">
        <v>1</v>
      </c>
      <c r="AU24" s="17">
        <f>AVERAGE('Calidad de Datos'!AE28:AH28)</f>
        <v>1</v>
      </c>
      <c r="AV24" s="15">
        <f>Tabla13[[#This Row],[Uso y acceso Mar/2025]]</f>
        <v>1</v>
      </c>
      <c r="AW24" s="15">
        <f>Tabla58[[#This Row],[Integración Mar/2025]]</f>
        <v>1</v>
      </c>
      <c r="AX24" s="16">
        <f>AVERAGE(Tabla4[[#This Row],[Creación y captura Mar/2025]:[Compartición e Interoperabilidad Mar/2025]])</f>
        <v>1</v>
      </c>
      <c r="AY24" s="14">
        <v>1</v>
      </c>
      <c r="AZ24" s="14">
        <v>1</v>
      </c>
      <c r="BA24" s="17">
        <f>AVERAGE('Calidad de Datos'!AI28:AL28)</f>
        <v>1</v>
      </c>
      <c r="BB24" s="15">
        <f>Tabla13[[#This Row],[Uso y acceso Abr/2025]]</f>
        <v>1</v>
      </c>
      <c r="BC24" s="15">
        <f>Tabla58[[#This Row],[Integración Abr/2025]]</f>
        <v>1</v>
      </c>
      <c r="BD24" s="16">
        <f>AVERAGE(Tabla4[[#This Row],[Creación y captura Abr/2025]:[Compartición e Interoperabilidad Abr/2025]])</f>
        <v>1</v>
      </c>
      <c r="BE24" s="14">
        <v>1</v>
      </c>
      <c r="BF24" s="14">
        <v>1</v>
      </c>
      <c r="BG24" s="17">
        <f>AVERAGE('Calidad de Datos'!AM28:AP28)</f>
        <v>1</v>
      </c>
      <c r="BH24" s="15">
        <f>Tabla13[[#This Row],[Uso y acceso May/2025]]</f>
        <v>1</v>
      </c>
      <c r="BI24" s="15">
        <f>Tabla58[[#This Row],[Integración May/2025]]</f>
        <v>1</v>
      </c>
      <c r="BJ24" s="16">
        <f>AVERAGE(Tabla4[[#This Row],[Creación y captura May/2025]:[Compartición e Interoperabilidad May/2025]])</f>
        <v>1</v>
      </c>
      <c r="BK24" s="14">
        <v>1</v>
      </c>
      <c r="BL24" s="14">
        <v>1</v>
      </c>
      <c r="BM24" s="14">
        <f>AVERAGE('Calidad de Datos'!AQ28:AT28)</f>
        <v>1</v>
      </c>
      <c r="BN24" s="14">
        <f>Tabla13[[#This Row],[Uso y acceso Dic/2025]]</f>
        <v>1</v>
      </c>
      <c r="BO24" s="14">
        <f>Tabla58[[#This Row],[Integración Dic/2025]]</f>
        <v>1</v>
      </c>
      <c r="BP24" s="16">
        <f>AVERAGE(Tabla4[[#This Row],[Creación y captura Dic/2025]:[Compartición e Interoperabilidad Dic/2025]])</f>
        <v>1</v>
      </c>
    </row>
    <row r="25" spans="2:68" x14ac:dyDescent="0.4">
      <c r="B25" s="1" t="s">
        <v>75</v>
      </c>
      <c r="C25" s="14">
        <v>1</v>
      </c>
      <c r="D25" s="14">
        <v>1</v>
      </c>
      <c r="E25" s="14">
        <f>AVERAGE('Calidad de Datos'!C29:F29)</f>
        <v>0.85</v>
      </c>
      <c r="F25" s="14">
        <f>Tabla13[[#This Row],[Uso y acceso Ago/2024]]</f>
        <v>1</v>
      </c>
      <c r="G25" s="15">
        <f>Tabla58[[#This Row],[Integración Ago/2024]]</f>
        <v>1</v>
      </c>
      <c r="H25" s="16">
        <f>AVERAGE(Tabla4[[#This Row],[Creación y captura Ago/2024]:[Compartición e Interoperabilidad Ago/2024]])</f>
        <v>0.97</v>
      </c>
      <c r="I25" s="14">
        <v>1</v>
      </c>
      <c r="J25" s="14">
        <v>1</v>
      </c>
      <c r="K25" s="15">
        <f>AVERAGE('Calidad de Datos'!G29:J29)</f>
        <v>0.88749999999999996</v>
      </c>
      <c r="L25" s="15">
        <f>Tabla13[[#This Row],[Uso y acceso Sep/2024]]</f>
        <v>1</v>
      </c>
      <c r="M25" s="15">
        <f>Tabla58[[#This Row],[Integración Sep/2024]]</f>
        <v>1</v>
      </c>
      <c r="N25" s="16">
        <f>AVERAGE(Tabla4[[#This Row],[Creación y captura Sep/2024]:[Compartición e Interoperabilidad Sep/2024]])</f>
        <v>0.97750000000000004</v>
      </c>
      <c r="O25" s="14">
        <v>1</v>
      </c>
      <c r="P25" s="14">
        <v>1</v>
      </c>
      <c r="Q25" s="15">
        <f>AVERAGE('Calidad de Datos'!K29:N29)</f>
        <v>0.88749999999999996</v>
      </c>
      <c r="R25" s="15">
        <f>Tabla13[[#This Row],[Uso y acceso Oct/2024]]</f>
        <v>1</v>
      </c>
      <c r="S25" s="15">
        <f>Tabla58[[#This Row],[Integración Oct/2024]]</f>
        <v>1</v>
      </c>
      <c r="T25" s="16">
        <f>AVERAGE(Tabla4[[#This Row],[Creación y captura Oct/2024]:[Compartición e Interoperabilidad Oct/2024]])</f>
        <v>0.97750000000000004</v>
      </c>
      <c r="U25" s="14">
        <v>1</v>
      </c>
      <c r="V25" s="14">
        <v>1</v>
      </c>
      <c r="W25" s="15">
        <f>AVERAGE('Calidad de Datos'!O29:R29)</f>
        <v>0.95</v>
      </c>
      <c r="X25" s="15">
        <f>Tabla13[[#This Row],[Uso y acceso Nov/2024]]</f>
        <v>1</v>
      </c>
      <c r="Y25" s="15">
        <f>Tabla58[[#This Row],[Integración Nov/2024]]</f>
        <v>1</v>
      </c>
      <c r="Z25" s="16">
        <f>AVERAGE(Tabla4[[#This Row],[Creación y captura Nov/2024]:[Compartición e Interoperabilidad Nov/2024]])</f>
        <v>0.99</v>
      </c>
      <c r="AA25" s="14">
        <v>1</v>
      </c>
      <c r="AB25" s="14">
        <v>1</v>
      </c>
      <c r="AC25" s="15">
        <f>AVERAGE('Calidad de Datos'!S29:V29)</f>
        <v>1</v>
      </c>
      <c r="AD25" s="15">
        <f>Tabla13[[#This Row],[Uso y acceso Dic/2024]]</f>
        <v>1</v>
      </c>
      <c r="AE25" s="15">
        <f>Tabla58[[#This Row],[Integración Dic/2024]]</f>
        <v>1</v>
      </c>
      <c r="AF25" s="16">
        <f>AVERAGE(Tabla4[[#This Row],[Creación y captura Dic/2024]:[Compartición e Interoperabilidad Dic/2024]])</f>
        <v>1</v>
      </c>
      <c r="AG25" s="14">
        <v>1</v>
      </c>
      <c r="AH25" s="14">
        <v>1</v>
      </c>
      <c r="AI25" s="17">
        <f>AVERAGE('Calidad de Datos'!W29:Z29)</f>
        <v>1</v>
      </c>
      <c r="AJ25" s="15">
        <f>Tabla13[[#This Row],[Uso y acceso Ene/2025]]</f>
        <v>1</v>
      </c>
      <c r="AK25" s="15">
        <f>Tabla58[[#This Row],[Integración Ene/2025]]</f>
        <v>1</v>
      </c>
      <c r="AL25" s="16">
        <f>AVERAGE(Tabla4[[#This Row],[Creación y captura Ene/2025]:[Compartición e Interoperabilidad Ene/2025]])</f>
        <v>1</v>
      </c>
      <c r="AM25" s="14">
        <v>1</v>
      </c>
      <c r="AN25" s="14">
        <v>1</v>
      </c>
      <c r="AO25" s="17">
        <f>AVERAGE('Calidad de Datos'!AA29:AD29)</f>
        <v>1</v>
      </c>
      <c r="AP25" s="15">
        <f>Tabla13[[#This Row],[Uso y acceso Feb/2025]]</f>
        <v>1</v>
      </c>
      <c r="AQ25" s="15">
        <f>Tabla58[[#This Row],[Integración Feb/2025]]</f>
        <v>1</v>
      </c>
      <c r="AR25" s="16">
        <f>AVERAGE(Tabla4[[#This Row],[Creación y captura Feb/2025]:[Compartición e Interoperabilidad Feb/2025]])</f>
        <v>1</v>
      </c>
      <c r="AS25" s="14">
        <v>1</v>
      </c>
      <c r="AT25" s="14">
        <v>1</v>
      </c>
      <c r="AU25" s="17">
        <f>AVERAGE('Calidad de Datos'!AE29:AH29)</f>
        <v>1</v>
      </c>
      <c r="AV25" s="15">
        <f>Tabla13[[#This Row],[Uso y acceso Mar/2025]]</f>
        <v>1</v>
      </c>
      <c r="AW25" s="15">
        <f>Tabla58[[#This Row],[Integración Mar/2025]]</f>
        <v>1</v>
      </c>
      <c r="AX25" s="16">
        <f>AVERAGE(Tabla4[[#This Row],[Creación y captura Mar/2025]:[Compartición e Interoperabilidad Mar/2025]])</f>
        <v>1</v>
      </c>
      <c r="AY25" s="14">
        <v>1</v>
      </c>
      <c r="AZ25" s="14">
        <v>1</v>
      </c>
      <c r="BA25" s="17">
        <f>AVERAGE('Calidad de Datos'!AI29:AL29)</f>
        <v>1</v>
      </c>
      <c r="BB25" s="15">
        <f>Tabla13[[#This Row],[Uso y acceso Abr/2025]]</f>
        <v>1</v>
      </c>
      <c r="BC25" s="15">
        <f>Tabla58[[#This Row],[Integración Abr/2025]]</f>
        <v>1</v>
      </c>
      <c r="BD25" s="16">
        <f>AVERAGE(Tabla4[[#This Row],[Creación y captura Abr/2025]:[Compartición e Interoperabilidad Abr/2025]])</f>
        <v>1</v>
      </c>
      <c r="BE25" s="14">
        <v>1</v>
      </c>
      <c r="BF25" s="14">
        <v>1</v>
      </c>
      <c r="BG25" s="17">
        <f>AVERAGE('Calidad de Datos'!AM29:AP29)</f>
        <v>1</v>
      </c>
      <c r="BH25" s="15">
        <f>Tabla13[[#This Row],[Uso y acceso May/2025]]</f>
        <v>1</v>
      </c>
      <c r="BI25" s="15">
        <f>Tabla58[[#This Row],[Integración May/2025]]</f>
        <v>1</v>
      </c>
      <c r="BJ25" s="16">
        <f>AVERAGE(Tabla4[[#This Row],[Creación y captura May/2025]:[Compartición e Interoperabilidad May/2025]])</f>
        <v>1</v>
      </c>
      <c r="BK25" s="14">
        <v>1</v>
      </c>
      <c r="BL25" s="14">
        <v>1</v>
      </c>
      <c r="BM25" s="14">
        <f>AVERAGE('Calidad de Datos'!AQ29:AT29)</f>
        <v>1</v>
      </c>
      <c r="BN25" s="14">
        <f>Tabla13[[#This Row],[Uso y acceso Dic/2025]]</f>
        <v>1</v>
      </c>
      <c r="BO25" s="14">
        <f>Tabla58[[#This Row],[Integración Dic/2025]]</f>
        <v>1</v>
      </c>
      <c r="BP25" s="16">
        <f>AVERAGE(Tabla4[[#This Row],[Creación y captura Dic/2025]:[Compartición e Interoperabilidad Dic/2025]])</f>
        <v>1</v>
      </c>
    </row>
    <row r="26" spans="2:68" x14ac:dyDescent="0.4">
      <c r="B26" s="1" t="s">
        <v>76</v>
      </c>
      <c r="C26" s="14">
        <v>1</v>
      </c>
      <c r="D26" s="14">
        <v>1</v>
      </c>
      <c r="E26" s="14">
        <f>AVERAGE('Calidad de Datos'!C30:F30)</f>
        <v>0.83499999999999996</v>
      </c>
      <c r="F26" s="14">
        <f>Tabla13[[#This Row],[Uso y acceso Ago/2024]]</f>
        <v>1</v>
      </c>
      <c r="G26" s="15">
        <f>Tabla58[[#This Row],[Integración Ago/2024]]</f>
        <v>1</v>
      </c>
      <c r="H26" s="16">
        <f>AVERAGE(Tabla4[[#This Row],[Creación y captura Ago/2024]:[Compartición e Interoperabilidad Ago/2024]])</f>
        <v>0.96699999999999997</v>
      </c>
      <c r="I26" s="14">
        <v>1</v>
      </c>
      <c r="J26" s="14">
        <v>1</v>
      </c>
      <c r="K26" s="15">
        <f>AVERAGE('Calidad de Datos'!G30:J30)</f>
        <v>0.87250000000000005</v>
      </c>
      <c r="L26" s="15">
        <f>Tabla13[[#This Row],[Uso y acceso Sep/2024]]</f>
        <v>1</v>
      </c>
      <c r="M26" s="15">
        <f>Tabla58[[#This Row],[Integración Sep/2024]]</f>
        <v>1</v>
      </c>
      <c r="N26" s="16">
        <f>AVERAGE(Tabla4[[#This Row],[Creación y captura Sep/2024]:[Compartición e Interoperabilidad Sep/2024]])</f>
        <v>0.97450000000000014</v>
      </c>
      <c r="O26" s="14">
        <v>1</v>
      </c>
      <c r="P26" s="14">
        <v>1</v>
      </c>
      <c r="Q26" s="15">
        <f>AVERAGE('Calidad de Datos'!K30:N30)</f>
        <v>0.87250000000000005</v>
      </c>
      <c r="R26" s="15">
        <f>Tabla13[[#This Row],[Uso y acceso Oct/2024]]</f>
        <v>1</v>
      </c>
      <c r="S26" s="15">
        <f>Tabla58[[#This Row],[Integración Oct/2024]]</f>
        <v>1</v>
      </c>
      <c r="T26" s="16">
        <f>AVERAGE(Tabla4[[#This Row],[Creación y captura Oct/2024]:[Compartición e Interoperabilidad Oct/2024]])</f>
        <v>0.97450000000000014</v>
      </c>
      <c r="U26" s="14">
        <v>1</v>
      </c>
      <c r="V26" s="14">
        <v>1</v>
      </c>
      <c r="W26" s="15">
        <f>AVERAGE('Calidad de Datos'!O30:R30)</f>
        <v>0.92249999999999999</v>
      </c>
      <c r="X26" s="15">
        <f>Tabla13[[#This Row],[Uso y acceso Nov/2024]]</f>
        <v>1</v>
      </c>
      <c r="Y26" s="15">
        <f>Tabla58[[#This Row],[Integración Nov/2024]]</f>
        <v>1</v>
      </c>
      <c r="Z26" s="16">
        <f>AVERAGE(Tabla4[[#This Row],[Creación y captura Nov/2024]:[Compartición e Interoperabilidad Nov/2024]])</f>
        <v>0.98449999999999993</v>
      </c>
      <c r="AA26" s="14">
        <v>1</v>
      </c>
      <c r="AB26" s="14">
        <v>1</v>
      </c>
      <c r="AC26" s="15">
        <f>AVERAGE('Calidad de Datos'!S30:V30)</f>
        <v>0.98499999999999999</v>
      </c>
      <c r="AD26" s="15">
        <f>Tabla13[[#This Row],[Uso y acceso Dic/2024]]</f>
        <v>1</v>
      </c>
      <c r="AE26" s="15">
        <f>Tabla58[[#This Row],[Integración Dic/2024]]</f>
        <v>1</v>
      </c>
      <c r="AF26" s="16">
        <f>AVERAGE(Tabla4[[#This Row],[Creación y captura Dic/2024]:[Compartición e Interoperabilidad Dic/2024]])</f>
        <v>0.99699999999999989</v>
      </c>
      <c r="AG26" s="14">
        <v>1</v>
      </c>
      <c r="AH26" s="14">
        <v>1</v>
      </c>
      <c r="AI26" s="17">
        <f>AVERAGE('Calidad de Datos'!W30:Z30)</f>
        <v>0.98499999999999999</v>
      </c>
      <c r="AJ26" s="15">
        <f>Tabla13[[#This Row],[Uso y acceso Ene/2025]]</f>
        <v>1</v>
      </c>
      <c r="AK26" s="15">
        <f>Tabla58[[#This Row],[Integración Ene/2025]]</f>
        <v>1</v>
      </c>
      <c r="AL26" s="16">
        <f>AVERAGE(Tabla4[[#This Row],[Creación y captura Ene/2025]:[Compartición e Interoperabilidad Ene/2025]])</f>
        <v>0.99699999999999989</v>
      </c>
      <c r="AM26" s="14">
        <v>1</v>
      </c>
      <c r="AN26" s="14">
        <v>1</v>
      </c>
      <c r="AO26" s="17">
        <f>AVERAGE('Calidad de Datos'!AA30:AD30)</f>
        <v>0.99249999999999994</v>
      </c>
      <c r="AP26" s="15">
        <f>Tabla13[[#This Row],[Uso y acceso Feb/2025]]</f>
        <v>1</v>
      </c>
      <c r="AQ26" s="15">
        <f>Tabla58[[#This Row],[Integración Feb/2025]]</f>
        <v>1</v>
      </c>
      <c r="AR26" s="16">
        <f>AVERAGE(Tabla4[[#This Row],[Creación y captura Feb/2025]:[Compartición e Interoperabilidad Feb/2025]])</f>
        <v>0.99849999999999994</v>
      </c>
      <c r="AS26" s="14">
        <v>1</v>
      </c>
      <c r="AT26" s="14">
        <v>1</v>
      </c>
      <c r="AU26" s="17">
        <f>AVERAGE('Calidad de Datos'!AE30:AH30)</f>
        <v>1</v>
      </c>
      <c r="AV26" s="15">
        <f>Tabla13[[#This Row],[Uso y acceso Mar/2025]]</f>
        <v>1</v>
      </c>
      <c r="AW26" s="15">
        <f>Tabla58[[#This Row],[Integración Mar/2025]]</f>
        <v>1</v>
      </c>
      <c r="AX26" s="16">
        <f>AVERAGE(Tabla4[[#This Row],[Creación y captura Mar/2025]:[Compartición e Interoperabilidad Mar/2025]])</f>
        <v>1</v>
      </c>
      <c r="AY26" s="14">
        <v>1</v>
      </c>
      <c r="AZ26" s="14">
        <v>1</v>
      </c>
      <c r="BA26" s="17">
        <f>AVERAGE('Calidad de Datos'!AI30:AL30)</f>
        <v>1</v>
      </c>
      <c r="BB26" s="15">
        <f>Tabla13[[#This Row],[Uso y acceso Abr/2025]]</f>
        <v>1</v>
      </c>
      <c r="BC26" s="15">
        <f>Tabla58[[#This Row],[Integración Abr/2025]]</f>
        <v>1</v>
      </c>
      <c r="BD26" s="16">
        <f>AVERAGE(Tabla4[[#This Row],[Creación y captura Abr/2025]:[Compartición e Interoperabilidad Abr/2025]])</f>
        <v>1</v>
      </c>
      <c r="BE26" s="14">
        <v>1</v>
      </c>
      <c r="BF26" s="14">
        <v>1</v>
      </c>
      <c r="BG26" s="17">
        <f>AVERAGE('Calidad de Datos'!AM30:AP30)</f>
        <v>1</v>
      </c>
      <c r="BH26" s="15">
        <f>Tabla13[[#This Row],[Uso y acceso May/2025]]</f>
        <v>1</v>
      </c>
      <c r="BI26" s="15">
        <f>Tabla58[[#This Row],[Integración May/2025]]</f>
        <v>1</v>
      </c>
      <c r="BJ26" s="16">
        <f>AVERAGE(Tabla4[[#This Row],[Creación y captura May/2025]:[Compartición e Interoperabilidad May/2025]])</f>
        <v>1</v>
      </c>
      <c r="BK26" s="14">
        <v>1</v>
      </c>
      <c r="BL26" s="14">
        <v>1</v>
      </c>
      <c r="BM26" s="14">
        <f>AVERAGE('Calidad de Datos'!AQ30:AT30)</f>
        <v>1</v>
      </c>
      <c r="BN26" s="14">
        <f>Tabla13[[#This Row],[Uso y acceso Dic/2025]]</f>
        <v>1</v>
      </c>
      <c r="BO26" s="14">
        <f>Tabla58[[#This Row],[Integración Dic/2025]]</f>
        <v>1</v>
      </c>
      <c r="BP26" s="16">
        <f>AVERAGE(Tabla4[[#This Row],[Creación y captura Dic/2025]:[Compartición e Interoperabilidad Dic/2025]])</f>
        <v>1</v>
      </c>
    </row>
    <row r="27" spans="2:68" x14ac:dyDescent="0.4">
      <c r="B27" s="1" t="s">
        <v>77</v>
      </c>
      <c r="C27" s="14">
        <v>1</v>
      </c>
      <c r="D27" s="14">
        <v>1</v>
      </c>
      <c r="E27" s="14">
        <f>AVERAGE('Calidad de Datos'!C31:F31)</f>
        <v>1</v>
      </c>
      <c r="F27" s="14">
        <f>Tabla13[[#This Row],[Uso y acceso Ago/2024]]</f>
        <v>1</v>
      </c>
      <c r="G27" s="15">
        <f>Tabla58[[#This Row],[Integración Ago/2024]]</f>
        <v>1</v>
      </c>
      <c r="H27" s="16">
        <f>AVERAGE(Tabla4[[#This Row],[Creación y captura Ago/2024]:[Compartición e Interoperabilidad Ago/2024]])</f>
        <v>1</v>
      </c>
      <c r="I27" s="14">
        <v>1</v>
      </c>
      <c r="J27" s="14">
        <v>1</v>
      </c>
      <c r="K27" s="15">
        <f>AVERAGE('Calidad de Datos'!G31:J31)</f>
        <v>1</v>
      </c>
      <c r="L27" s="15">
        <f>Tabla13[[#This Row],[Uso y acceso Sep/2024]]</f>
        <v>1</v>
      </c>
      <c r="M27" s="15">
        <f>Tabla58[[#This Row],[Integración Sep/2024]]</f>
        <v>1</v>
      </c>
      <c r="N27" s="16">
        <f>AVERAGE(Tabla4[[#This Row],[Creación y captura Sep/2024]:[Compartición e Interoperabilidad Sep/2024]])</f>
        <v>1</v>
      </c>
      <c r="O27" s="14">
        <v>1</v>
      </c>
      <c r="P27" s="14">
        <v>1</v>
      </c>
      <c r="Q27" s="15">
        <f>AVERAGE('Calidad de Datos'!K31:N31)</f>
        <v>1</v>
      </c>
      <c r="R27" s="15">
        <f>Tabla13[[#This Row],[Uso y acceso Oct/2024]]</f>
        <v>1</v>
      </c>
      <c r="S27" s="15">
        <f>Tabla58[[#This Row],[Integración Oct/2024]]</f>
        <v>1</v>
      </c>
      <c r="T27" s="16">
        <f>AVERAGE(Tabla4[[#This Row],[Creación y captura Oct/2024]:[Compartición e Interoperabilidad Oct/2024]])</f>
        <v>1</v>
      </c>
      <c r="U27" s="14">
        <v>1</v>
      </c>
      <c r="V27" s="14">
        <v>1</v>
      </c>
      <c r="W27" s="15">
        <f>AVERAGE('Calidad de Datos'!O31:R31)</f>
        <v>1</v>
      </c>
      <c r="X27" s="15">
        <f>Tabla13[[#This Row],[Uso y acceso Nov/2024]]</f>
        <v>1</v>
      </c>
      <c r="Y27" s="15">
        <f>Tabla58[[#This Row],[Integración Nov/2024]]</f>
        <v>1</v>
      </c>
      <c r="Z27" s="16">
        <f>AVERAGE(Tabla4[[#This Row],[Creación y captura Nov/2024]:[Compartición e Interoperabilidad Nov/2024]])</f>
        <v>1</v>
      </c>
      <c r="AA27" s="14">
        <v>1</v>
      </c>
      <c r="AB27" s="14">
        <v>1</v>
      </c>
      <c r="AC27" s="15">
        <f>AVERAGE('Calidad de Datos'!S31:V31)</f>
        <v>1</v>
      </c>
      <c r="AD27" s="15">
        <f>Tabla13[[#This Row],[Uso y acceso Dic/2024]]</f>
        <v>1</v>
      </c>
      <c r="AE27" s="15">
        <f>Tabla58[[#This Row],[Integración Dic/2024]]</f>
        <v>1</v>
      </c>
      <c r="AF27" s="16">
        <f>AVERAGE(Tabla4[[#This Row],[Creación y captura Dic/2024]:[Compartición e Interoperabilidad Dic/2024]])</f>
        <v>1</v>
      </c>
      <c r="AG27" s="14">
        <v>1</v>
      </c>
      <c r="AH27" s="14">
        <v>1</v>
      </c>
      <c r="AI27" s="17">
        <f>AVERAGE('Calidad de Datos'!W31:Z31)</f>
        <v>1</v>
      </c>
      <c r="AJ27" s="15">
        <f>Tabla13[[#This Row],[Uso y acceso Ene/2025]]</f>
        <v>1</v>
      </c>
      <c r="AK27" s="15">
        <f>Tabla58[[#This Row],[Integración Ene/2025]]</f>
        <v>1</v>
      </c>
      <c r="AL27" s="16">
        <f>AVERAGE(Tabla4[[#This Row],[Creación y captura Ene/2025]:[Compartición e Interoperabilidad Ene/2025]])</f>
        <v>1</v>
      </c>
      <c r="AM27" s="14">
        <v>1</v>
      </c>
      <c r="AN27" s="14">
        <v>1</v>
      </c>
      <c r="AO27" s="17">
        <f>AVERAGE('Calidad de Datos'!AA31:AD31)</f>
        <v>1</v>
      </c>
      <c r="AP27" s="15">
        <f>Tabla13[[#This Row],[Uso y acceso Feb/2025]]</f>
        <v>1</v>
      </c>
      <c r="AQ27" s="15">
        <f>Tabla58[[#This Row],[Integración Feb/2025]]</f>
        <v>1</v>
      </c>
      <c r="AR27" s="16">
        <f>AVERAGE(Tabla4[[#This Row],[Creación y captura Feb/2025]:[Compartición e Interoperabilidad Feb/2025]])</f>
        <v>1</v>
      </c>
      <c r="AS27" s="14">
        <v>1</v>
      </c>
      <c r="AT27" s="14">
        <v>1</v>
      </c>
      <c r="AU27" s="17">
        <f>AVERAGE('Calidad de Datos'!AE31:AH31)</f>
        <v>1</v>
      </c>
      <c r="AV27" s="15">
        <f>Tabla13[[#This Row],[Uso y acceso Mar/2025]]</f>
        <v>1</v>
      </c>
      <c r="AW27" s="15">
        <f>Tabla58[[#This Row],[Integración Mar/2025]]</f>
        <v>1</v>
      </c>
      <c r="AX27" s="16">
        <f>AVERAGE(Tabla4[[#This Row],[Creación y captura Mar/2025]:[Compartición e Interoperabilidad Mar/2025]])</f>
        <v>1</v>
      </c>
      <c r="AY27" s="14">
        <v>1</v>
      </c>
      <c r="AZ27" s="14">
        <v>1</v>
      </c>
      <c r="BA27" s="17">
        <f>AVERAGE('Calidad de Datos'!AI31:AL31)</f>
        <v>1</v>
      </c>
      <c r="BB27" s="15">
        <f>Tabla13[[#This Row],[Uso y acceso Abr/2025]]</f>
        <v>1</v>
      </c>
      <c r="BC27" s="15">
        <f>Tabla58[[#This Row],[Integración Abr/2025]]</f>
        <v>1</v>
      </c>
      <c r="BD27" s="16">
        <f>AVERAGE(Tabla4[[#This Row],[Creación y captura Abr/2025]:[Compartición e Interoperabilidad Abr/2025]])</f>
        <v>1</v>
      </c>
      <c r="BE27" s="14">
        <v>1</v>
      </c>
      <c r="BF27" s="14">
        <v>1</v>
      </c>
      <c r="BG27" s="17">
        <f>AVERAGE('Calidad de Datos'!AM31:AP31)</f>
        <v>1</v>
      </c>
      <c r="BH27" s="15">
        <f>Tabla13[[#This Row],[Uso y acceso May/2025]]</f>
        <v>1</v>
      </c>
      <c r="BI27" s="15">
        <f>Tabla58[[#This Row],[Integración May/2025]]</f>
        <v>1</v>
      </c>
      <c r="BJ27" s="16">
        <f>AVERAGE(Tabla4[[#This Row],[Creación y captura May/2025]:[Compartición e Interoperabilidad May/2025]])</f>
        <v>1</v>
      </c>
      <c r="BK27" s="14">
        <v>1</v>
      </c>
      <c r="BL27" s="14">
        <v>1</v>
      </c>
      <c r="BM27" s="14">
        <f>AVERAGE('Calidad de Datos'!AQ31:AT31)</f>
        <v>1</v>
      </c>
      <c r="BN27" s="14">
        <f>Tabla13[[#This Row],[Uso y acceso Dic/2025]]</f>
        <v>1</v>
      </c>
      <c r="BO27" s="14">
        <f>Tabla58[[#This Row],[Integración Dic/2025]]</f>
        <v>1</v>
      </c>
      <c r="BP27" s="16">
        <f>AVERAGE(Tabla4[[#This Row],[Creación y captura Dic/2025]:[Compartición e Interoperabilidad Dic/2025]])</f>
        <v>1</v>
      </c>
    </row>
    <row r="28" spans="2:68" x14ac:dyDescent="0.4">
      <c r="B28" s="1" t="s">
        <v>78</v>
      </c>
      <c r="C28" s="14">
        <v>1</v>
      </c>
      <c r="D28" s="14">
        <v>1</v>
      </c>
      <c r="E28" s="14">
        <f>AVERAGE('Calidad de Datos'!C32:F32)</f>
        <v>1</v>
      </c>
      <c r="F28" s="14">
        <f>Tabla13[[#This Row],[Uso y acceso Ago/2024]]</f>
        <v>1</v>
      </c>
      <c r="G28" s="15">
        <f>Tabla58[[#This Row],[Integración Ago/2024]]</f>
        <v>1</v>
      </c>
      <c r="H28" s="16">
        <f>AVERAGE(Tabla4[[#This Row],[Creación y captura Ago/2024]:[Compartición e Interoperabilidad Ago/2024]])</f>
        <v>1</v>
      </c>
      <c r="I28" s="14">
        <v>1</v>
      </c>
      <c r="J28" s="14">
        <v>1</v>
      </c>
      <c r="K28" s="15">
        <f>AVERAGE('Calidad de Datos'!G32:J32)</f>
        <v>1</v>
      </c>
      <c r="L28" s="15">
        <f>Tabla13[[#This Row],[Uso y acceso Sep/2024]]</f>
        <v>1</v>
      </c>
      <c r="M28" s="15">
        <f>Tabla58[[#This Row],[Integración Sep/2024]]</f>
        <v>1</v>
      </c>
      <c r="N28" s="16">
        <f>AVERAGE(Tabla4[[#This Row],[Creación y captura Sep/2024]:[Compartición e Interoperabilidad Sep/2024]])</f>
        <v>1</v>
      </c>
      <c r="O28" s="14">
        <v>1</v>
      </c>
      <c r="P28" s="14">
        <v>1</v>
      </c>
      <c r="Q28" s="15">
        <f>AVERAGE('Calidad de Datos'!K32:N32)</f>
        <v>1</v>
      </c>
      <c r="R28" s="15">
        <f>Tabla13[[#This Row],[Uso y acceso Oct/2024]]</f>
        <v>1</v>
      </c>
      <c r="S28" s="15">
        <f>Tabla58[[#This Row],[Integración Oct/2024]]</f>
        <v>1</v>
      </c>
      <c r="T28" s="16">
        <f>AVERAGE(Tabla4[[#This Row],[Creación y captura Oct/2024]:[Compartición e Interoperabilidad Oct/2024]])</f>
        <v>1</v>
      </c>
      <c r="U28" s="14">
        <v>1</v>
      </c>
      <c r="V28" s="14">
        <v>1</v>
      </c>
      <c r="W28" s="15">
        <f>AVERAGE('Calidad de Datos'!O32:R32)</f>
        <v>1</v>
      </c>
      <c r="X28" s="15">
        <f>Tabla13[[#This Row],[Uso y acceso Nov/2024]]</f>
        <v>1</v>
      </c>
      <c r="Y28" s="15">
        <f>Tabla58[[#This Row],[Integración Nov/2024]]</f>
        <v>1</v>
      </c>
      <c r="Z28" s="16">
        <f>AVERAGE(Tabla4[[#This Row],[Creación y captura Nov/2024]:[Compartición e Interoperabilidad Nov/2024]])</f>
        <v>1</v>
      </c>
      <c r="AA28" s="14">
        <v>1</v>
      </c>
      <c r="AB28" s="14">
        <v>1</v>
      </c>
      <c r="AC28" s="15">
        <f>AVERAGE('Calidad de Datos'!S32:V32)</f>
        <v>1</v>
      </c>
      <c r="AD28" s="15">
        <f>Tabla13[[#This Row],[Uso y acceso Dic/2024]]</f>
        <v>1</v>
      </c>
      <c r="AE28" s="15">
        <f>Tabla58[[#This Row],[Integración Dic/2024]]</f>
        <v>1</v>
      </c>
      <c r="AF28" s="16">
        <f>AVERAGE(Tabla4[[#This Row],[Creación y captura Dic/2024]:[Compartición e Interoperabilidad Dic/2024]])</f>
        <v>1</v>
      </c>
      <c r="AG28" s="14">
        <v>1</v>
      </c>
      <c r="AH28" s="14">
        <v>1</v>
      </c>
      <c r="AI28" s="17">
        <f>AVERAGE('Calidad de Datos'!W32:Z32)</f>
        <v>1</v>
      </c>
      <c r="AJ28" s="15">
        <f>Tabla13[[#This Row],[Uso y acceso Ene/2025]]</f>
        <v>1</v>
      </c>
      <c r="AK28" s="15">
        <f>Tabla58[[#This Row],[Integración Ene/2025]]</f>
        <v>1</v>
      </c>
      <c r="AL28" s="16">
        <f>AVERAGE(Tabla4[[#This Row],[Creación y captura Ene/2025]:[Compartición e Interoperabilidad Ene/2025]])</f>
        <v>1</v>
      </c>
      <c r="AM28" s="14">
        <v>1</v>
      </c>
      <c r="AN28" s="14">
        <v>1</v>
      </c>
      <c r="AO28" s="17">
        <f>AVERAGE('Calidad de Datos'!AA32:AD32)</f>
        <v>1</v>
      </c>
      <c r="AP28" s="15">
        <f>Tabla13[[#This Row],[Uso y acceso Feb/2025]]</f>
        <v>1</v>
      </c>
      <c r="AQ28" s="15">
        <f>Tabla58[[#This Row],[Integración Feb/2025]]</f>
        <v>1</v>
      </c>
      <c r="AR28" s="16">
        <f>AVERAGE(Tabla4[[#This Row],[Creación y captura Feb/2025]:[Compartición e Interoperabilidad Feb/2025]])</f>
        <v>1</v>
      </c>
      <c r="AS28" s="14">
        <v>1</v>
      </c>
      <c r="AT28" s="14">
        <v>1</v>
      </c>
      <c r="AU28" s="17">
        <f>AVERAGE('Calidad de Datos'!AE32:AH32)</f>
        <v>1</v>
      </c>
      <c r="AV28" s="15">
        <f>Tabla13[[#This Row],[Uso y acceso Mar/2025]]</f>
        <v>1</v>
      </c>
      <c r="AW28" s="15">
        <f>Tabla58[[#This Row],[Integración Mar/2025]]</f>
        <v>1</v>
      </c>
      <c r="AX28" s="16">
        <f>AVERAGE(Tabla4[[#This Row],[Creación y captura Mar/2025]:[Compartición e Interoperabilidad Mar/2025]])</f>
        <v>1</v>
      </c>
      <c r="AY28" s="14">
        <v>1</v>
      </c>
      <c r="AZ28" s="14">
        <v>1</v>
      </c>
      <c r="BA28" s="17">
        <f>AVERAGE('Calidad de Datos'!AI32:AL32)</f>
        <v>1</v>
      </c>
      <c r="BB28" s="15">
        <f>Tabla13[[#This Row],[Uso y acceso Abr/2025]]</f>
        <v>1</v>
      </c>
      <c r="BC28" s="15">
        <f>Tabla58[[#This Row],[Integración Abr/2025]]</f>
        <v>1</v>
      </c>
      <c r="BD28" s="16">
        <f>AVERAGE(Tabla4[[#This Row],[Creación y captura Abr/2025]:[Compartición e Interoperabilidad Abr/2025]])</f>
        <v>1</v>
      </c>
      <c r="BE28" s="14">
        <v>1</v>
      </c>
      <c r="BF28" s="14">
        <v>1</v>
      </c>
      <c r="BG28" s="17">
        <f>AVERAGE('Calidad de Datos'!AM32:AP32)</f>
        <v>1</v>
      </c>
      <c r="BH28" s="15">
        <f>Tabla13[[#This Row],[Uso y acceso May/2025]]</f>
        <v>1</v>
      </c>
      <c r="BI28" s="15">
        <f>Tabla58[[#This Row],[Integración May/2025]]</f>
        <v>1</v>
      </c>
      <c r="BJ28" s="16">
        <f>AVERAGE(Tabla4[[#This Row],[Creación y captura May/2025]:[Compartición e Interoperabilidad May/2025]])</f>
        <v>1</v>
      </c>
      <c r="BK28" s="14">
        <v>1</v>
      </c>
      <c r="BL28" s="14">
        <v>1</v>
      </c>
      <c r="BM28" s="14">
        <f>AVERAGE('Calidad de Datos'!AQ32:AT32)</f>
        <v>1</v>
      </c>
      <c r="BN28" s="14">
        <f>Tabla13[[#This Row],[Uso y acceso Dic/2025]]</f>
        <v>1</v>
      </c>
      <c r="BO28" s="14">
        <f>Tabla58[[#This Row],[Integración Dic/2025]]</f>
        <v>1</v>
      </c>
      <c r="BP28" s="16">
        <f>AVERAGE(Tabla4[[#This Row],[Creación y captura Dic/2025]:[Compartición e Interoperabilidad Dic/2025]])</f>
        <v>1</v>
      </c>
    </row>
    <row r="29" spans="2:68" x14ac:dyDescent="0.4">
      <c r="B29" s="1" t="s">
        <v>79</v>
      </c>
      <c r="C29" s="14">
        <v>1</v>
      </c>
      <c r="D29" s="14">
        <v>1</v>
      </c>
      <c r="E29" s="14">
        <f>AVERAGE('Calidad de Datos'!C33:F33)</f>
        <v>0.79749999999999999</v>
      </c>
      <c r="F29" s="14">
        <f>Tabla13[[#This Row],[Uso y acceso Ago/2024]]</f>
        <v>1</v>
      </c>
      <c r="G29" s="15">
        <f>Tabla58[[#This Row],[Integración Ago/2024]]</f>
        <v>1</v>
      </c>
      <c r="H29" s="16">
        <f>AVERAGE(Tabla4[[#This Row],[Creación y captura Ago/2024]:[Compartición e Interoperabilidad Ago/2024]])</f>
        <v>0.95949999999999991</v>
      </c>
      <c r="I29" s="14">
        <v>1</v>
      </c>
      <c r="J29" s="14">
        <v>1</v>
      </c>
      <c r="K29" s="15">
        <f>AVERAGE('Calidad de Datos'!G33:J33)</f>
        <v>0.81</v>
      </c>
      <c r="L29" s="15">
        <f>Tabla13[[#This Row],[Uso y acceso Sep/2024]]</f>
        <v>1</v>
      </c>
      <c r="M29" s="15">
        <f>Tabla58[[#This Row],[Integración Sep/2024]]</f>
        <v>1</v>
      </c>
      <c r="N29" s="16">
        <f>AVERAGE(Tabla4[[#This Row],[Creación y captura Sep/2024]:[Compartición e Interoperabilidad Sep/2024]])</f>
        <v>0.96200000000000008</v>
      </c>
      <c r="O29" s="14">
        <v>1</v>
      </c>
      <c r="P29" s="14">
        <v>1</v>
      </c>
      <c r="Q29" s="15">
        <f>AVERAGE('Calidad de Datos'!K33:N33)</f>
        <v>0.81</v>
      </c>
      <c r="R29" s="15">
        <f>Tabla13[[#This Row],[Uso y acceso Oct/2024]]</f>
        <v>1</v>
      </c>
      <c r="S29" s="15">
        <f>Tabla58[[#This Row],[Integración Oct/2024]]</f>
        <v>1</v>
      </c>
      <c r="T29" s="16">
        <f>AVERAGE(Tabla4[[#This Row],[Creación y captura Oct/2024]:[Compartición e Interoperabilidad Oct/2024]])</f>
        <v>0.96200000000000008</v>
      </c>
      <c r="U29" s="14">
        <v>1</v>
      </c>
      <c r="V29" s="14">
        <v>1</v>
      </c>
      <c r="W29" s="15">
        <f>AVERAGE('Calidad de Datos'!O33:R33)</f>
        <v>0.84749999999999992</v>
      </c>
      <c r="X29" s="15">
        <f>Tabla13[[#This Row],[Uso y acceso Nov/2024]]</f>
        <v>1</v>
      </c>
      <c r="Y29" s="15">
        <f>Tabla58[[#This Row],[Integración Nov/2024]]</f>
        <v>1</v>
      </c>
      <c r="Z29" s="16">
        <f>AVERAGE(Tabla4[[#This Row],[Creación y captura Nov/2024]:[Compartición e Interoperabilidad Nov/2024]])</f>
        <v>0.96950000000000003</v>
      </c>
      <c r="AA29" s="14">
        <v>1</v>
      </c>
      <c r="AB29" s="14">
        <v>1</v>
      </c>
      <c r="AC29" s="15">
        <f>AVERAGE('Calidad de Datos'!S33:V33)</f>
        <v>0.92249999999999999</v>
      </c>
      <c r="AD29" s="15">
        <f>Tabla13[[#This Row],[Uso y acceso Dic/2024]]</f>
        <v>1</v>
      </c>
      <c r="AE29" s="15">
        <f>Tabla58[[#This Row],[Integración Dic/2024]]</f>
        <v>1</v>
      </c>
      <c r="AF29" s="16">
        <f>AVERAGE(Tabla4[[#This Row],[Creación y captura Dic/2024]:[Compartición e Interoperabilidad Dic/2024]])</f>
        <v>0.98449999999999993</v>
      </c>
      <c r="AG29" s="14">
        <v>1</v>
      </c>
      <c r="AH29" s="14">
        <v>1</v>
      </c>
      <c r="AI29" s="17">
        <f>AVERAGE('Calidad de Datos'!W33:Z33)</f>
        <v>0.92249999999999999</v>
      </c>
      <c r="AJ29" s="15">
        <f>Tabla13[[#This Row],[Uso y acceso Ene/2025]]</f>
        <v>1</v>
      </c>
      <c r="AK29" s="15">
        <f>Tabla58[[#This Row],[Integración Ene/2025]]</f>
        <v>1</v>
      </c>
      <c r="AL29" s="16">
        <f>AVERAGE(Tabla4[[#This Row],[Creación y captura Ene/2025]:[Compartición e Interoperabilidad Ene/2025]])</f>
        <v>0.98449999999999993</v>
      </c>
      <c r="AM29" s="14">
        <v>1</v>
      </c>
      <c r="AN29" s="14">
        <v>1</v>
      </c>
      <c r="AO29" s="17">
        <f>AVERAGE('Calidad de Datos'!AA33:AD33)</f>
        <v>0.92249999999999999</v>
      </c>
      <c r="AP29" s="15">
        <f>Tabla13[[#This Row],[Uso y acceso Feb/2025]]</f>
        <v>1</v>
      </c>
      <c r="AQ29" s="15">
        <f>Tabla58[[#This Row],[Integración Feb/2025]]</f>
        <v>1</v>
      </c>
      <c r="AR29" s="16">
        <f>AVERAGE(Tabla4[[#This Row],[Creación y captura Feb/2025]:[Compartición e Interoperabilidad Feb/2025]])</f>
        <v>0.98449999999999993</v>
      </c>
      <c r="AS29" s="14">
        <v>1</v>
      </c>
      <c r="AT29" s="14">
        <v>1</v>
      </c>
      <c r="AU29" s="17">
        <f>AVERAGE('Calidad de Datos'!AE33:AH33)</f>
        <v>0.92249999999999999</v>
      </c>
      <c r="AV29" s="15">
        <f>Tabla13[[#This Row],[Uso y acceso Mar/2025]]</f>
        <v>1</v>
      </c>
      <c r="AW29" s="15">
        <f>Tabla58[[#This Row],[Integración Mar/2025]]</f>
        <v>1</v>
      </c>
      <c r="AX29" s="16">
        <f>AVERAGE(Tabla4[[#This Row],[Creación y captura Mar/2025]:[Compartición e Interoperabilidad Mar/2025]])</f>
        <v>0.98449999999999993</v>
      </c>
      <c r="AY29" s="14">
        <v>1</v>
      </c>
      <c r="AZ29" s="14">
        <v>1</v>
      </c>
      <c r="BA29" s="17">
        <f>AVERAGE('Calidad de Datos'!AI33:AL33)</f>
        <v>0.92249999999999999</v>
      </c>
      <c r="BB29" s="15">
        <f>Tabla13[[#This Row],[Uso y acceso Abr/2025]]</f>
        <v>1</v>
      </c>
      <c r="BC29" s="15">
        <f>Tabla58[[#This Row],[Integración Abr/2025]]</f>
        <v>1</v>
      </c>
      <c r="BD29" s="16">
        <f>AVERAGE(Tabla4[[#This Row],[Creación y captura Abr/2025]:[Compartición e Interoperabilidad Abr/2025]])</f>
        <v>0.98449999999999993</v>
      </c>
      <c r="BE29" s="14">
        <v>1</v>
      </c>
      <c r="BF29" s="14">
        <v>1</v>
      </c>
      <c r="BG29" s="17">
        <f>AVERAGE('Calidad de Datos'!AM33:AP33)</f>
        <v>0.95</v>
      </c>
      <c r="BH29" s="15">
        <f>Tabla13[[#This Row],[Uso y acceso May/2025]]</f>
        <v>1</v>
      </c>
      <c r="BI29" s="15">
        <f>Tabla58[[#This Row],[Integración May/2025]]</f>
        <v>1</v>
      </c>
      <c r="BJ29" s="16">
        <f>AVERAGE(Tabla4[[#This Row],[Creación y captura May/2025]:[Compartición e Interoperabilidad May/2025]])</f>
        <v>0.99</v>
      </c>
      <c r="BK29" s="14">
        <v>1</v>
      </c>
      <c r="BL29" s="14">
        <v>1</v>
      </c>
      <c r="BM29" s="14">
        <f>AVERAGE('Calidad de Datos'!AQ33:AT33)</f>
        <v>1</v>
      </c>
      <c r="BN29" s="14">
        <f>Tabla13[[#This Row],[Uso y acceso Dic/2025]]</f>
        <v>1</v>
      </c>
      <c r="BO29" s="14">
        <f>Tabla58[[#This Row],[Integración Dic/2025]]</f>
        <v>1</v>
      </c>
      <c r="BP29" s="16">
        <f>AVERAGE(Tabla4[[#This Row],[Creación y captura Dic/2025]:[Compartición e Interoperabilidad Dic/2025]])</f>
        <v>1</v>
      </c>
    </row>
    <row r="30" spans="2:68" x14ac:dyDescent="0.4">
      <c r="B30" s="1" t="s">
        <v>80</v>
      </c>
      <c r="C30" s="14">
        <v>1</v>
      </c>
      <c r="D30" s="14">
        <v>1</v>
      </c>
      <c r="E30" s="14">
        <f>AVERAGE('Calidad de Datos'!C34:F34)</f>
        <v>1</v>
      </c>
      <c r="F30" s="14">
        <f>Tabla13[[#This Row],[Uso y acceso Ago/2024]]</f>
        <v>1</v>
      </c>
      <c r="G30" s="15">
        <f>Tabla58[[#This Row],[Integración Ago/2024]]</f>
        <v>1</v>
      </c>
      <c r="H30" s="16">
        <f>AVERAGE(Tabla4[[#This Row],[Creación y captura Ago/2024]:[Compartición e Interoperabilidad Ago/2024]])</f>
        <v>1</v>
      </c>
      <c r="I30" s="14">
        <v>1</v>
      </c>
      <c r="J30" s="14">
        <v>1</v>
      </c>
      <c r="K30" s="15">
        <f>AVERAGE('Calidad de Datos'!G34:J34)</f>
        <v>1</v>
      </c>
      <c r="L30" s="15">
        <f>Tabla13[[#This Row],[Uso y acceso Sep/2024]]</f>
        <v>1</v>
      </c>
      <c r="M30" s="15">
        <f>Tabla58[[#This Row],[Integración Sep/2024]]</f>
        <v>1</v>
      </c>
      <c r="N30" s="16">
        <f>AVERAGE(Tabla4[[#This Row],[Creación y captura Sep/2024]:[Compartición e Interoperabilidad Sep/2024]])</f>
        <v>1</v>
      </c>
      <c r="O30" s="14">
        <v>1</v>
      </c>
      <c r="P30" s="14">
        <v>1</v>
      </c>
      <c r="Q30" s="15">
        <f>AVERAGE('Calidad de Datos'!K34:N34)</f>
        <v>1</v>
      </c>
      <c r="R30" s="15">
        <f>Tabla13[[#This Row],[Uso y acceso Oct/2024]]</f>
        <v>1</v>
      </c>
      <c r="S30" s="15">
        <f>Tabla58[[#This Row],[Integración Oct/2024]]</f>
        <v>1</v>
      </c>
      <c r="T30" s="16">
        <f>AVERAGE(Tabla4[[#This Row],[Creación y captura Oct/2024]:[Compartición e Interoperabilidad Oct/2024]])</f>
        <v>1</v>
      </c>
      <c r="U30" s="14">
        <v>1</v>
      </c>
      <c r="V30" s="14">
        <v>1</v>
      </c>
      <c r="W30" s="15">
        <f>AVERAGE('Calidad de Datos'!O34:R34)</f>
        <v>1</v>
      </c>
      <c r="X30" s="15">
        <f>Tabla13[[#This Row],[Uso y acceso Nov/2024]]</f>
        <v>1</v>
      </c>
      <c r="Y30" s="15">
        <f>Tabla58[[#This Row],[Integración Nov/2024]]</f>
        <v>1</v>
      </c>
      <c r="Z30" s="16">
        <f>AVERAGE(Tabla4[[#This Row],[Creación y captura Nov/2024]:[Compartición e Interoperabilidad Nov/2024]])</f>
        <v>1</v>
      </c>
      <c r="AA30" s="14">
        <v>1</v>
      </c>
      <c r="AB30" s="14">
        <v>1</v>
      </c>
      <c r="AC30" s="15">
        <f>AVERAGE('Calidad de Datos'!S34:V34)</f>
        <v>1</v>
      </c>
      <c r="AD30" s="15">
        <f>Tabla13[[#This Row],[Uso y acceso Dic/2024]]</f>
        <v>1</v>
      </c>
      <c r="AE30" s="15">
        <f>Tabla58[[#This Row],[Integración Dic/2024]]</f>
        <v>1</v>
      </c>
      <c r="AF30" s="16">
        <f>AVERAGE(Tabla4[[#This Row],[Creación y captura Dic/2024]:[Compartición e Interoperabilidad Dic/2024]])</f>
        <v>1</v>
      </c>
      <c r="AG30" s="14">
        <v>1</v>
      </c>
      <c r="AH30" s="14">
        <v>1</v>
      </c>
      <c r="AI30" s="17">
        <f>AVERAGE('Calidad de Datos'!W34:Z34)</f>
        <v>1</v>
      </c>
      <c r="AJ30" s="15">
        <f>Tabla13[[#This Row],[Uso y acceso Ene/2025]]</f>
        <v>1</v>
      </c>
      <c r="AK30" s="15">
        <f>Tabla58[[#This Row],[Integración Ene/2025]]</f>
        <v>1</v>
      </c>
      <c r="AL30" s="16">
        <f>AVERAGE(Tabla4[[#This Row],[Creación y captura Ene/2025]:[Compartición e Interoperabilidad Ene/2025]])</f>
        <v>1</v>
      </c>
      <c r="AM30" s="14">
        <v>1</v>
      </c>
      <c r="AN30" s="14">
        <v>1</v>
      </c>
      <c r="AO30" s="17">
        <f>AVERAGE('Calidad de Datos'!AA34:AD34)</f>
        <v>1</v>
      </c>
      <c r="AP30" s="15">
        <f>Tabla13[[#This Row],[Uso y acceso Feb/2025]]</f>
        <v>1</v>
      </c>
      <c r="AQ30" s="15">
        <f>Tabla58[[#This Row],[Integración Feb/2025]]</f>
        <v>1</v>
      </c>
      <c r="AR30" s="16">
        <f>AVERAGE(Tabla4[[#This Row],[Creación y captura Feb/2025]:[Compartición e Interoperabilidad Feb/2025]])</f>
        <v>1</v>
      </c>
      <c r="AS30" s="14">
        <v>1</v>
      </c>
      <c r="AT30" s="14">
        <v>1</v>
      </c>
      <c r="AU30" s="17">
        <f>AVERAGE('Calidad de Datos'!AE34:AH34)</f>
        <v>1</v>
      </c>
      <c r="AV30" s="15">
        <f>Tabla13[[#This Row],[Uso y acceso Mar/2025]]</f>
        <v>1</v>
      </c>
      <c r="AW30" s="15">
        <f>Tabla58[[#This Row],[Integración Mar/2025]]</f>
        <v>1</v>
      </c>
      <c r="AX30" s="16">
        <f>AVERAGE(Tabla4[[#This Row],[Creación y captura Mar/2025]:[Compartición e Interoperabilidad Mar/2025]])</f>
        <v>1</v>
      </c>
      <c r="AY30" s="14">
        <v>1</v>
      </c>
      <c r="AZ30" s="14">
        <v>1</v>
      </c>
      <c r="BA30" s="17">
        <f>AVERAGE('Calidad de Datos'!AI34:AL34)</f>
        <v>1</v>
      </c>
      <c r="BB30" s="15">
        <f>Tabla13[[#This Row],[Uso y acceso Abr/2025]]</f>
        <v>1</v>
      </c>
      <c r="BC30" s="15">
        <f>Tabla58[[#This Row],[Integración Abr/2025]]</f>
        <v>1</v>
      </c>
      <c r="BD30" s="16">
        <f>AVERAGE(Tabla4[[#This Row],[Creación y captura Abr/2025]:[Compartición e Interoperabilidad Abr/2025]])</f>
        <v>1</v>
      </c>
      <c r="BE30" s="14">
        <v>1</v>
      </c>
      <c r="BF30" s="14">
        <v>1</v>
      </c>
      <c r="BG30" s="17">
        <f>AVERAGE('Calidad de Datos'!AM34:AP34)</f>
        <v>1</v>
      </c>
      <c r="BH30" s="15">
        <f>Tabla13[[#This Row],[Uso y acceso May/2025]]</f>
        <v>1</v>
      </c>
      <c r="BI30" s="15">
        <f>Tabla58[[#This Row],[Integración May/2025]]</f>
        <v>1</v>
      </c>
      <c r="BJ30" s="16">
        <f>AVERAGE(Tabla4[[#This Row],[Creación y captura May/2025]:[Compartición e Interoperabilidad May/2025]])</f>
        <v>1</v>
      </c>
      <c r="BK30" s="14">
        <v>1</v>
      </c>
      <c r="BL30" s="14">
        <v>1</v>
      </c>
      <c r="BM30" s="14">
        <f>AVERAGE('Calidad de Datos'!AQ34:AT34)</f>
        <v>1</v>
      </c>
      <c r="BN30" s="14">
        <f>Tabla13[[#This Row],[Uso y acceso Dic/2025]]</f>
        <v>1</v>
      </c>
      <c r="BO30" s="14">
        <f>Tabla58[[#This Row],[Integración Dic/2025]]</f>
        <v>1</v>
      </c>
      <c r="BP30" s="16">
        <f>AVERAGE(Tabla4[[#This Row],[Creación y captura Dic/2025]:[Compartición e Interoperabilidad Dic/2025]])</f>
        <v>1</v>
      </c>
    </row>
    <row r="31" spans="2:68" x14ac:dyDescent="0.4">
      <c r="B31" s="1" t="s">
        <v>81</v>
      </c>
      <c r="C31" s="14">
        <v>1</v>
      </c>
      <c r="D31" s="14">
        <v>1</v>
      </c>
      <c r="E31" s="14">
        <f>AVERAGE('Calidad de Datos'!C35:F35)</f>
        <v>1</v>
      </c>
      <c r="F31" s="14">
        <f>Tabla13[[#This Row],[Uso y acceso Ago/2024]]</f>
        <v>1</v>
      </c>
      <c r="G31" s="15">
        <f>Tabla58[[#This Row],[Integración Ago/2024]]</f>
        <v>1</v>
      </c>
      <c r="H31" s="16">
        <f>AVERAGE(Tabla4[[#This Row],[Creación y captura Ago/2024]:[Compartición e Interoperabilidad Ago/2024]])</f>
        <v>1</v>
      </c>
      <c r="I31" s="14">
        <v>1</v>
      </c>
      <c r="J31" s="14">
        <v>1</v>
      </c>
      <c r="K31" s="15">
        <f>AVERAGE('Calidad de Datos'!G35:J35)</f>
        <v>1</v>
      </c>
      <c r="L31" s="15">
        <f>Tabla13[[#This Row],[Uso y acceso Sep/2024]]</f>
        <v>1</v>
      </c>
      <c r="M31" s="15">
        <f>Tabla58[[#This Row],[Integración Sep/2024]]</f>
        <v>1</v>
      </c>
      <c r="N31" s="16">
        <f>AVERAGE(Tabla4[[#This Row],[Creación y captura Sep/2024]:[Compartición e Interoperabilidad Sep/2024]])</f>
        <v>1</v>
      </c>
      <c r="O31" s="14">
        <v>1</v>
      </c>
      <c r="P31" s="14">
        <v>1</v>
      </c>
      <c r="Q31" s="15">
        <f>AVERAGE('Calidad de Datos'!K35:N35)</f>
        <v>1</v>
      </c>
      <c r="R31" s="15">
        <f>Tabla13[[#This Row],[Uso y acceso Oct/2024]]</f>
        <v>1</v>
      </c>
      <c r="S31" s="15">
        <f>Tabla58[[#This Row],[Integración Oct/2024]]</f>
        <v>1</v>
      </c>
      <c r="T31" s="16">
        <f>AVERAGE(Tabla4[[#This Row],[Creación y captura Oct/2024]:[Compartición e Interoperabilidad Oct/2024]])</f>
        <v>1</v>
      </c>
      <c r="U31" s="14">
        <v>1</v>
      </c>
      <c r="V31" s="14">
        <v>1</v>
      </c>
      <c r="W31" s="15">
        <f>AVERAGE('Calidad de Datos'!O35:R35)</f>
        <v>1</v>
      </c>
      <c r="X31" s="15">
        <f>Tabla13[[#This Row],[Uso y acceso Nov/2024]]</f>
        <v>1</v>
      </c>
      <c r="Y31" s="15">
        <f>Tabla58[[#This Row],[Integración Nov/2024]]</f>
        <v>1</v>
      </c>
      <c r="Z31" s="16">
        <f>AVERAGE(Tabla4[[#This Row],[Creación y captura Nov/2024]:[Compartición e Interoperabilidad Nov/2024]])</f>
        <v>1</v>
      </c>
      <c r="AA31" s="14">
        <v>1</v>
      </c>
      <c r="AB31" s="14">
        <v>1</v>
      </c>
      <c r="AC31" s="15">
        <f>AVERAGE('Calidad de Datos'!S35:V35)</f>
        <v>1</v>
      </c>
      <c r="AD31" s="15">
        <f>Tabla13[[#This Row],[Uso y acceso Dic/2024]]</f>
        <v>1</v>
      </c>
      <c r="AE31" s="15">
        <f>Tabla58[[#This Row],[Integración Dic/2024]]</f>
        <v>1</v>
      </c>
      <c r="AF31" s="16">
        <f>AVERAGE(Tabla4[[#This Row],[Creación y captura Dic/2024]:[Compartición e Interoperabilidad Dic/2024]])</f>
        <v>1</v>
      </c>
      <c r="AG31" s="14">
        <v>1</v>
      </c>
      <c r="AH31" s="14">
        <v>1</v>
      </c>
      <c r="AI31" s="17">
        <f>AVERAGE('Calidad de Datos'!W35:Z35)</f>
        <v>1</v>
      </c>
      <c r="AJ31" s="15">
        <f>Tabla13[[#This Row],[Uso y acceso Ene/2025]]</f>
        <v>1</v>
      </c>
      <c r="AK31" s="15">
        <f>Tabla58[[#This Row],[Integración Ene/2025]]</f>
        <v>1</v>
      </c>
      <c r="AL31" s="16">
        <f>AVERAGE(Tabla4[[#This Row],[Creación y captura Ene/2025]:[Compartición e Interoperabilidad Ene/2025]])</f>
        <v>1</v>
      </c>
      <c r="AM31" s="14">
        <v>1</v>
      </c>
      <c r="AN31" s="14">
        <v>1</v>
      </c>
      <c r="AO31" s="17">
        <f>AVERAGE('Calidad de Datos'!AA35:AD35)</f>
        <v>1</v>
      </c>
      <c r="AP31" s="15">
        <f>Tabla13[[#This Row],[Uso y acceso Feb/2025]]</f>
        <v>1</v>
      </c>
      <c r="AQ31" s="15">
        <f>Tabla58[[#This Row],[Integración Feb/2025]]</f>
        <v>1</v>
      </c>
      <c r="AR31" s="16">
        <f>AVERAGE(Tabla4[[#This Row],[Creación y captura Feb/2025]:[Compartición e Interoperabilidad Feb/2025]])</f>
        <v>1</v>
      </c>
      <c r="AS31" s="14">
        <v>1</v>
      </c>
      <c r="AT31" s="14">
        <v>1</v>
      </c>
      <c r="AU31" s="17">
        <f>AVERAGE('Calidad de Datos'!AE35:AH35)</f>
        <v>1</v>
      </c>
      <c r="AV31" s="15">
        <f>Tabla13[[#This Row],[Uso y acceso Mar/2025]]</f>
        <v>1</v>
      </c>
      <c r="AW31" s="15">
        <f>Tabla58[[#This Row],[Integración Mar/2025]]</f>
        <v>1</v>
      </c>
      <c r="AX31" s="16">
        <f>AVERAGE(Tabla4[[#This Row],[Creación y captura Mar/2025]:[Compartición e Interoperabilidad Mar/2025]])</f>
        <v>1</v>
      </c>
      <c r="AY31" s="14">
        <v>1</v>
      </c>
      <c r="AZ31" s="14">
        <v>1</v>
      </c>
      <c r="BA31" s="17">
        <f>AVERAGE('Calidad de Datos'!AI35:AL35)</f>
        <v>1</v>
      </c>
      <c r="BB31" s="15">
        <f>Tabla13[[#This Row],[Uso y acceso Abr/2025]]</f>
        <v>1</v>
      </c>
      <c r="BC31" s="15">
        <f>Tabla58[[#This Row],[Integración Abr/2025]]</f>
        <v>1</v>
      </c>
      <c r="BD31" s="16">
        <f>AVERAGE(Tabla4[[#This Row],[Creación y captura Abr/2025]:[Compartición e Interoperabilidad Abr/2025]])</f>
        <v>1</v>
      </c>
      <c r="BE31" s="14">
        <v>1</v>
      </c>
      <c r="BF31" s="14">
        <v>1</v>
      </c>
      <c r="BG31" s="17">
        <f>AVERAGE('Calidad de Datos'!AM35:AP35)</f>
        <v>1</v>
      </c>
      <c r="BH31" s="15">
        <f>Tabla13[[#This Row],[Uso y acceso May/2025]]</f>
        <v>1</v>
      </c>
      <c r="BI31" s="15">
        <f>Tabla58[[#This Row],[Integración May/2025]]</f>
        <v>1</v>
      </c>
      <c r="BJ31" s="16">
        <f>AVERAGE(Tabla4[[#This Row],[Creación y captura May/2025]:[Compartición e Interoperabilidad May/2025]])</f>
        <v>1</v>
      </c>
      <c r="BK31" s="14">
        <v>1</v>
      </c>
      <c r="BL31" s="14">
        <v>1</v>
      </c>
      <c r="BM31" s="14">
        <f>AVERAGE('Calidad de Datos'!AQ35:AT35)</f>
        <v>1</v>
      </c>
      <c r="BN31" s="14">
        <f>Tabla13[[#This Row],[Uso y acceso Dic/2025]]</f>
        <v>1</v>
      </c>
      <c r="BO31" s="14">
        <f>Tabla58[[#This Row],[Integración Dic/2025]]</f>
        <v>1</v>
      </c>
      <c r="BP31" s="16">
        <f>AVERAGE(Tabla4[[#This Row],[Creación y captura Dic/2025]:[Compartición e Interoperabilidad Dic/2025]])</f>
        <v>1</v>
      </c>
    </row>
    <row r="32" spans="2:68" x14ac:dyDescent="0.4">
      <c r="B32" s="1" t="s">
        <v>82</v>
      </c>
      <c r="C32" s="14">
        <v>1</v>
      </c>
      <c r="D32" s="14">
        <v>1</v>
      </c>
      <c r="E32" s="14">
        <f>AVERAGE('Calidad de Datos'!C36:F36)</f>
        <v>1</v>
      </c>
      <c r="F32" s="14">
        <f>Tabla13[[#This Row],[Uso y acceso Ago/2024]]</f>
        <v>1</v>
      </c>
      <c r="G32" s="15">
        <f>Tabla58[[#This Row],[Integración Ago/2024]]</f>
        <v>1</v>
      </c>
      <c r="H32" s="16">
        <f>AVERAGE(Tabla4[[#This Row],[Creación y captura Ago/2024]:[Compartición e Interoperabilidad Ago/2024]])</f>
        <v>1</v>
      </c>
      <c r="I32" s="14">
        <v>1</v>
      </c>
      <c r="J32" s="14">
        <v>1</v>
      </c>
      <c r="K32" s="15">
        <f>AVERAGE('Calidad de Datos'!G36:J36)</f>
        <v>1</v>
      </c>
      <c r="L32" s="15">
        <f>Tabla13[[#This Row],[Uso y acceso Sep/2024]]</f>
        <v>1</v>
      </c>
      <c r="M32" s="15">
        <f>Tabla58[[#This Row],[Integración Sep/2024]]</f>
        <v>1</v>
      </c>
      <c r="N32" s="16">
        <f>AVERAGE(Tabla4[[#This Row],[Creación y captura Sep/2024]:[Compartición e Interoperabilidad Sep/2024]])</f>
        <v>1</v>
      </c>
      <c r="O32" s="14">
        <v>1</v>
      </c>
      <c r="P32" s="14">
        <v>1</v>
      </c>
      <c r="Q32" s="15">
        <f>AVERAGE('Calidad de Datos'!K36:N36)</f>
        <v>1</v>
      </c>
      <c r="R32" s="15">
        <f>Tabla13[[#This Row],[Uso y acceso Oct/2024]]</f>
        <v>1</v>
      </c>
      <c r="S32" s="15">
        <f>Tabla58[[#This Row],[Integración Oct/2024]]</f>
        <v>1</v>
      </c>
      <c r="T32" s="16">
        <f>AVERAGE(Tabla4[[#This Row],[Creación y captura Oct/2024]:[Compartición e Interoperabilidad Oct/2024]])</f>
        <v>1</v>
      </c>
      <c r="U32" s="14">
        <v>1</v>
      </c>
      <c r="V32" s="14">
        <v>1</v>
      </c>
      <c r="W32" s="15">
        <f>AVERAGE('Calidad de Datos'!O36:R36)</f>
        <v>1</v>
      </c>
      <c r="X32" s="15">
        <f>Tabla13[[#This Row],[Uso y acceso Nov/2024]]</f>
        <v>1</v>
      </c>
      <c r="Y32" s="15">
        <f>Tabla58[[#This Row],[Integración Nov/2024]]</f>
        <v>1</v>
      </c>
      <c r="Z32" s="16">
        <f>AVERAGE(Tabla4[[#This Row],[Creación y captura Nov/2024]:[Compartición e Interoperabilidad Nov/2024]])</f>
        <v>1</v>
      </c>
      <c r="AA32" s="14">
        <v>1</v>
      </c>
      <c r="AB32" s="14">
        <v>1</v>
      </c>
      <c r="AC32" s="15">
        <f>AVERAGE('Calidad de Datos'!S36:V36)</f>
        <v>1</v>
      </c>
      <c r="AD32" s="15">
        <f>Tabla13[[#This Row],[Uso y acceso Dic/2024]]</f>
        <v>1</v>
      </c>
      <c r="AE32" s="15">
        <f>Tabla58[[#This Row],[Integración Dic/2024]]</f>
        <v>1</v>
      </c>
      <c r="AF32" s="16">
        <f>AVERAGE(Tabla4[[#This Row],[Creación y captura Dic/2024]:[Compartición e Interoperabilidad Dic/2024]])</f>
        <v>1</v>
      </c>
      <c r="AG32" s="14">
        <v>1</v>
      </c>
      <c r="AH32" s="14">
        <v>1</v>
      </c>
      <c r="AI32" s="17">
        <f>AVERAGE('Calidad de Datos'!W36:Z36)</f>
        <v>1</v>
      </c>
      <c r="AJ32" s="15">
        <f>Tabla13[[#This Row],[Uso y acceso Ene/2025]]</f>
        <v>1</v>
      </c>
      <c r="AK32" s="15">
        <f>Tabla58[[#This Row],[Integración Ene/2025]]</f>
        <v>1</v>
      </c>
      <c r="AL32" s="16">
        <f>AVERAGE(Tabla4[[#This Row],[Creación y captura Ene/2025]:[Compartición e Interoperabilidad Ene/2025]])</f>
        <v>1</v>
      </c>
      <c r="AM32" s="14">
        <v>1</v>
      </c>
      <c r="AN32" s="14">
        <v>1</v>
      </c>
      <c r="AO32" s="17">
        <f>AVERAGE('Calidad de Datos'!AA36:AD36)</f>
        <v>1</v>
      </c>
      <c r="AP32" s="15">
        <f>Tabla13[[#This Row],[Uso y acceso Feb/2025]]</f>
        <v>1</v>
      </c>
      <c r="AQ32" s="15">
        <f>Tabla58[[#This Row],[Integración Feb/2025]]</f>
        <v>1</v>
      </c>
      <c r="AR32" s="16">
        <f>AVERAGE(Tabla4[[#This Row],[Creación y captura Feb/2025]:[Compartición e Interoperabilidad Feb/2025]])</f>
        <v>1</v>
      </c>
      <c r="AS32" s="14">
        <v>1</v>
      </c>
      <c r="AT32" s="14">
        <v>1</v>
      </c>
      <c r="AU32" s="17">
        <f>AVERAGE('Calidad de Datos'!AE36:AH36)</f>
        <v>1</v>
      </c>
      <c r="AV32" s="15">
        <f>Tabla13[[#This Row],[Uso y acceso Mar/2025]]</f>
        <v>1</v>
      </c>
      <c r="AW32" s="15">
        <f>Tabla58[[#This Row],[Integración Mar/2025]]</f>
        <v>1</v>
      </c>
      <c r="AX32" s="16">
        <f>AVERAGE(Tabla4[[#This Row],[Creación y captura Mar/2025]:[Compartición e Interoperabilidad Mar/2025]])</f>
        <v>1</v>
      </c>
      <c r="AY32" s="14">
        <v>1</v>
      </c>
      <c r="AZ32" s="14">
        <v>1</v>
      </c>
      <c r="BA32" s="17">
        <f>AVERAGE('Calidad de Datos'!AI36:AL36)</f>
        <v>1</v>
      </c>
      <c r="BB32" s="15">
        <f>Tabla13[[#This Row],[Uso y acceso Abr/2025]]</f>
        <v>1</v>
      </c>
      <c r="BC32" s="15">
        <f>Tabla58[[#This Row],[Integración Abr/2025]]</f>
        <v>1</v>
      </c>
      <c r="BD32" s="16">
        <f>AVERAGE(Tabla4[[#This Row],[Creación y captura Abr/2025]:[Compartición e Interoperabilidad Abr/2025]])</f>
        <v>1</v>
      </c>
      <c r="BE32" s="14">
        <v>1</v>
      </c>
      <c r="BF32" s="14">
        <v>1</v>
      </c>
      <c r="BG32" s="17">
        <f>AVERAGE('Calidad de Datos'!AM36:AP36)</f>
        <v>1</v>
      </c>
      <c r="BH32" s="15">
        <f>Tabla13[[#This Row],[Uso y acceso May/2025]]</f>
        <v>1</v>
      </c>
      <c r="BI32" s="15">
        <f>Tabla58[[#This Row],[Integración May/2025]]</f>
        <v>1</v>
      </c>
      <c r="BJ32" s="16">
        <f>AVERAGE(Tabla4[[#This Row],[Creación y captura May/2025]:[Compartición e Interoperabilidad May/2025]])</f>
        <v>1</v>
      </c>
      <c r="BK32" s="14">
        <v>1</v>
      </c>
      <c r="BL32" s="14">
        <v>1</v>
      </c>
      <c r="BM32" s="14">
        <f>AVERAGE('Calidad de Datos'!AQ36:AT36)</f>
        <v>1</v>
      </c>
      <c r="BN32" s="14">
        <f>Tabla13[[#This Row],[Uso y acceso Dic/2025]]</f>
        <v>1</v>
      </c>
      <c r="BO32" s="14">
        <f>Tabla58[[#This Row],[Integración Dic/2025]]</f>
        <v>1</v>
      </c>
      <c r="BP32" s="16">
        <f>AVERAGE(Tabla4[[#This Row],[Creación y captura Dic/2025]:[Compartición e Interoperabilidad Dic/2025]])</f>
        <v>1</v>
      </c>
    </row>
    <row r="33" spans="2:68" x14ac:dyDescent="0.4">
      <c r="B33" s="1" t="s">
        <v>83</v>
      </c>
      <c r="C33" s="14">
        <v>1</v>
      </c>
      <c r="D33" s="14">
        <v>1</v>
      </c>
      <c r="E33" s="14">
        <f>AVERAGE('Calidad de Datos'!C37:F37)</f>
        <v>1</v>
      </c>
      <c r="F33" s="14">
        <f>Tabla13[[#This Row],[Uso y acceso Ago/2024]]</f>
        <v>1</v>
      </c>
      <c r="G33" s="15">
        <f>Tabla58[[#This Row],[Integración Ago/2024]]</f>
        <v>1</v>
      </c>
      <c r="H33" s="16">
        <f>AVERAGE(Tabla4[[#This Row],[Creación y captura Ago/2024]:[Compartición e Interoperabilidad Ago/2024]])</f>
        <v>1</v>
      </c>
      <c r="I33" s="14">
        <v>1</v>
      </c>
      <c r="J33" s="14">
        <v>1</v>
      </c>
      <c r="K33" s="15">
        <f>AVERAGE('Calidad de Datos'!G37:J37)</f>
        <v>1</v>
      </c>
      <c r="L33" s="15">
        <f>Tabla13[[#This Row],[Uso y acceso Sep/2024]]</f>
        <v>1</v>
      </c>
      <c r="M33" s="15">
        <f>Tabla58[[#This Row],[Integración Sep/2024]]</f>
        <v>1</v>
      </c>
      <c r="N33" s="16">
        <f>AVERAGE(Tabla4[[#This Row],[Creación y captura Sep/2024]:[Compartición e Interoperabilidad Sep/2024]])</f>
        <v>1</v>
      </c>
      <c r="O33" s="14">
        <v>1</v>
      </c>
      <c r="P33" s="14">
        <v>1</v>
      </c>
      <c r="Q33" s="15">
        <f>AVERAGE('Calidad de Datos'!K37:N37)</f>
        <v>1</v>
      </c>
      <c r="R33" s="15">
        <f>Tabla13[[#This Row],[Uso y acceso Oct/2024]]</f>
        <v>1</v>
      </c>
      <c r="S33" s="15">
        <f>Tabla58[[#This Row],[Integración Oct/2024]]</f>
        <v>1</v>
      </c>
      <c r="T33" s="16">
        <f>AVERAGE(Tabla4[[#This Row],[Creación y captura Oct/2024]:[Compartición e Interoperabilidad Oct/2024]])</f>
        <v>1</v>
      </c>
      <c r="U33" s="14">
        <v>1</v>
      </c>
      <c r="V33" s="14">
        <v>1</v>
      </c>
      <c r="W33" s="15">
        <f>AVERAGE('Calidad de Datos'!O37:R37)</f>
        <v>1</v>
      </c>
      <c r="X33" s="15">
        <f>Tabla13[[#This Row],[Uso y acceso Nov/2024]]</f>
        <v>1</v>
      </c>
      <c r="Y33" s="15">
        <f>Tabla58[[#This Row],[Integración Nov/2024]]</f>
        <v>1</v>
      </c>
      <c r="Z33" s="16">
        <f>AVERAGE(Tabla4[[#This Row],[Creación y captura Nov/2024]:[Compartición e Interoperabilidad Nov/2024]])</f>
        <v>1</v>
      </c>
      <c r="AA33" s="14">
        <v>1</v>
      </c>
      <c r="AB33" s="14">
        <v>1</v>
      </c>
      <c r="AC33" s="15">
        <f>AVERAGE('Calidad de Datos'!S37:V37)</f>
        <v>1</v>
      </c>
      <c r="AD33" s="15">
        <f>Tabla13[[#This Row],[Uso y acceso Dic/2024]]</f>
        <v>1</v>
      </c>
      <c r="AE33" s="15">
        <f>Tabla58[[#This Row],[Integración Dic/2024]]</f>
        <v>1</v>
      </c>
      <c r="AF33" s="16">
        <f>AVERAGE(Tabla4[[#This Row],[Creación y captura Dic/2024]:[Compartición e Interoperabilidad Dic/2024]])</f>
        <v>1</v>
      </c>
      <c r="AG33" s="14">
        <v>1</v>
      </c>
      <c r="AH33" s="14">
        <v>1</v>
      </c>
      <c r="AI33" s="17">
        <f>AVERAGE('Calidad de Datos'!W37:Z37)</f>
        <v>1</v>
      </c>
      <c r="AJ33" s="15">
        <f>Tabla13[[#This Row],[Uso y acceso Ene/2025]]</f>
        <v>1</v>
      </c>
      <c r="AK33" s="15">
        <f>Tabla58[[#This Row],[Integración Ene/2025]]</f>
        <v>1</v>
      </c>
      <c r="AL33" s="16">
        <f>AVERAGE(Tabla4[[#This Row],[Creación y captura Ene/2025]:[Compartición e Interoperabilidad Ene/2025]])</f>
        <v>1</v>
      </c>
      <c r="AM33" s="14">
        <v>1</v>
      </c>
      <c r="AN33" s="14">
        <v>1</v>
      </c>
      <c r="AO33" s="17">
        <f>AVERAGE('Calidad de Datos'!AA37:AD37)</f>
        <v>1</v>
      </c>
      <c r="AP33" s="15">
        <f>Tabla13[[#This Row],[Uso y acceso Feb/2025]]</f>
        <v>1</v>
      </c>
      <c r="AQ33" s="15">
        <f>Tabla58[[#This Row],[Integración Feb/2025]]</f>
        <v>1</v>
      </c>
      <c r="AR33" s="16">
        <f>AVERAGE(Tabla4[[#This Row],[Creación y captura Feb/2025]:[Compartición e Interoperabilidad Feb/2025]])</f>
        <v>1</v>
      </c>
      <c r="AS33" s="14">
        <v>1</v>
      </c>
      <c r="AT33" s="14">
        <v>1</v>
      </c>
      <c r="AU33" s="17">
        <f>AVERAGE('Calidad de Datos'!AE37:AH37)</f>
        <v>1</v>
      </c>
      <c r="AV33" s="15">
        <f>Tabla13[[#This Row],[Uso y acceso Mar/2025]]</f>
        <v>1</v>
      </c>
      <c r="AW33" s="15">
        <f>Tabla58[[#This Row],[Integración Mar/2025]]</f>
        <v>1</v>
      </c>
      <c r="AX33" s="16">
        <f>AVERAGE(Tabla4[[#This Row],[Creación y captura Mar/2025]:[Compartición e Interoperabilidad Mar/2025]])</f>
        <v>1</v>
      </c>
      <c r="AY33" s="14">
        <v>1</v>
      </c>
      <c r="AZ33" s="14">
        <v>1</v>
      </c>
      <c r="BA33" s="17">
        <f>AVERAGE('Calidad de Datos'!AI37:AL37)</f>
        <v>1</v>
      </c>
      <c r="BB33" s="15">
        <f>Tabla13[[#This Row],[Uso y acceso Abr/2025]]</f>
        <v>1</v>
      </c>
      <c r="BC33" s="15">
        <f>Tabla58[[#This Row],[Integración Abr/2025]]</f>
        <v>1</v>
      </c>
      <c r="BD33" s="16">
        <f>AVERAGE(Tabla4[[#This Row],[Creación y captura Abr/2025]:[Compartición e Interoperabilidad Abr/2025]])</f>
        <v>1</v>
      </c>
      <c r="BE33" s="14">
        <v>1</v>
      </c>
      <c r="BF33" s="14">
        <v>1</v>
      </c>
      <c r="BG33" s="17">
        <f>AVERAGE('Calidad de Datos'!AM37:AP37)</f>
        <v>1</v>
      </c>
      <c r="BH33" s="15">
        <f>Tabla13[[#This Row],[Uso y acceso May/2025]]</f>
        <v>1</v>
      </c>
      <c r="BI33" s="15">
        <f>Tabla58[[#This Row],[Integración May/2025]]</f>
        <v>1</v>
      </c>
      <c r="BJ33" s="16">
        <f>AVERAGE(Tabla4[[#This Row],[Creación y captura May/2025]:[Compartición e Interoperabilidad May/2025]])</f>
        <v>1</v>
      </c>
      <c r="BK33" s="14">
        <v>1</v>
      </c>
      <c r="BL33" s="14">
        <v>1</v>
      </c>
      <c r="BM33" s="14">
        <f>AVERAGE('Calidad de Datos'!AQ37:AT37)</f>
        <v>1</v>
      </c>
      <c r="BN33" s="14">
        <f>Tabla13[[#This Row],[Uso y acceso Dic/2025]]</f>
        <v>1</v>
      </c>
      <c r="BO33" s="14">
        <f>Tabla58[[#This Row],[Integración Dic/2025]]</f>
        <v>1</v>
      </c>
      <c r="BP33" s="16">
        <f>AVERAGE(Tabla4[[#This Row],[Creación y captura Dic/2025]:[Compartición e Interoperabilidad Dic/2025]])</f>
        <v>1</v>
      </c>
    </row>
    <row r="34" spans="2:68" x14ac:dyDescent="0.4">
      <c r="B34" s="1" t="s">
        <v>84</v>
      </c>
      <c r="C34" s="14">
        <v>1</v>
      </c>
      <c r="D34" s="14">
        <v>1</v>
      </c>
      <c r="E34" s="14">
        <f>AVERAGE('Calidad de Datos'!C38:F38)</f>
        <v>1</v>
      </c>
      <c r="F34" s="14">
        <f>Tabla13[[#This Row],[Uso y acceso Ago/2024]]</f>
        <v>1</v>
      </c>
      <c r="G34" s="15">
        <f>Tabla58[[#This Row],[Integración Ago/2024]]</f>
        <v>1</v>
      </c>
      <c r="H34" s="16">
        <f>AVERAGE(Tabla4[[#This Row],[Creación y captura Ago/2024]:[Compartición e Interoperabilidad Ago/2024]])</f>
        <v>1</v>
      </c>
      <c r="I34" s="14">
        <v>1</v>
      </c>
      <c r="J34" s="14">
        <v>1</v>
      </c>
      <c r="K34" s="15">
        <f>AVERAGE('Calidad de Datos'!G38:J38)</f>
        <v>1</v>
      </c>
      <c r="L34" s="15">
        <f>Tabla13[[#This Row],[Uso y acceso Sep/2024]]</f>
        <v>1</v>
      </c>
      <c r="M34" s="15">
        <f>Tabla58[[#This Row],[Integración Sep/2024]]</f>
        <v>1</v>
      </c>
      <c r="N34" s="16">
        <f>AVERAGE(Tabla4[[#This Row],[Creación y captura Sep/2024]:[Compartición e Interoperabilidad Sep/2024]])</f>
        <v>1</v>
      </c>
      <c r="O34" s="14">
        <v>1</v>
      </c>
      <c r="P34" s="14">
        <v>1</v>
      </c>
      <c r="Q34" s="15">
        <f>AVERAGE('Calidad de Datos'!K38:N38)</f>
        <v>1</v>
      </c>
      <c r="R34" s="15">
        <f>Tabla13[[#This Row],[Uso y acceso Oct/2024]]</f>
        <v>1</v>
      </c>
      <c r="S34" s="15">
        <f>Tabla58[[#This Row],[Integración Oct/2024]]</f>
        <v>1</v>
      </c>
      <c r="T34" s="16">
        <f>AVERAGE(Tabla4[[#This Row],[Creación y captura Oct/2024]:[Compartición e Interoperabilidad Oct/2024]])</f>
        <v>1</v>
      </c>
      <c r="U34" s="14">
        <v>1</v>
      </c>
      <c r="V34" s="14">
        <v>1</v>
      </c>
      <c r="W34" s="15">
        <f>AVERAGE('Calidad de Datos'!O38:R38)</f>
        <v>1</v>
      </c>
      <c r="X34" s="15">
        <f>Tabla13[[#This Row],[Uso y acceso Nov/2024]]</f>
        <v>1</v>
      </c>
      <c r="Y34" s="15">
        <f>Tabla58[[#This Row],[Integración Nov/2024]]</f>
        <v>1</v>
      </c>
      <c r="Z34" s="16">
        <f>AVERAGE(Tabla4[[#This Row],[Creación y captura Nov/2024]:[Compartición e Interoperabilidad Nov/2024]])</f>
        <v>1</v>
      </c>
      <c r="AA34" s="14">
        <v>1</v>
      </c>
      <c r="AB34" s="14">
        <v>1</v>
      </c>
      <c r="AC34" s="15">
        <f>AVERAGE('Calidad de Datos'!S38:V38)</f>
        <v>1</v>
      </c>
      <c r="AD34" s="15">
        <f>Tabla13[[#This Row],[Uso y acceso Dic/2024]]</f>
        <v>1</v>
      </c>
      <c r="AE34" s="15">
        <f>Tabla58[[#This Row],[Integración Dic/2024]]</f>
        <v>1</v>
      </c>
      <c r="AF34" s="16">
        <f>AVERAGE(Tabla4[[#This Row],[Creación y captura Dic/2024]:[Compartición e Interoperabilidad Dic/2024]])</f>
        <v>1</v>
      </c>
      <c r="AG34" s="14">
        <v>1</v>
      </c>
      <c r="AH34" s="14">
        <v>1</v>
      </c>
      <c r="AI34" s="17">
        <f>AVERAGE('Calidad de Datos'!W38:Z38)</f>
        <v>1</v>
      </c>
      <c r="AJ34" s="15">
        <f>Tabla13[[#This Row],[Uso y acceso Ene/2025]]</f>
        <v>1</v>
      </c>
      <c r="AK34" s="15">
        <f>Tabla58[[#This Row],[Integración Ene/2025]]</f>
        <v>1</v>
      </c>
      <c r="AL34" s="16">
        <f>AVERAGE(Tabla4[[#This Row],[Creación y captura Ene/2025]:[Compartición e Interoperabilidad Ene/2025]])</f>
        <v>1</v>
      </c>
      <c r="AM34" s="14">
        <v>1</v>
      </c>
      <c r="AN34" s="14">
        <v>1</v>
      </c>
      <c r="AO34" s="17">
        <f>AVERAGE('Calidad de Datos'!AA38:AD38)</f>
        <v>1</v>
      </c>
      <c r="AP34" s="15">
        <f>Tabla13[[#This Row],[Uso y acceso Feb/2025]]</f>
        <v>1</v>
      </c>
      <c r="AQ34" s="15">
        <f>Tabla58[[#This Row],[Integración Feb/2025]]</f>
        <v>1</v>
      </c>
      <c r="AR34" s="16">
        <f>AVERAGE(Tabla4[[#This Row],[Creación y captura Feb/2025]:[Compartición e Interoperabilidad Feb/2025]])</f>
        <v>1</v>
      </c>
      <c r="AS34" s="14">
        <v>1</v>
      </c>
      <c r="AT34" s="14">
        <v>1</v>
      </c>
      <c r="AU34" s="17">
        <f>AVERAGE('Calidad de Datos'!AE38:AH38)</f>
        <v>1</v>
      </c>
      <c r="AV34" s="15">
        <f>Tabla13[[#This Row],[Uso y acceso Mar/2025]]</f>
        <v>1</v>
      </c>
      <c r="AW34" s="15">
        <f>Tabla58[[#This Row],[Integración Mar/2025]]</f>
        <v>1</v>
      </c>
      <c r="AX34" s="16">
        <f>AVERAGE(Tabla4[[#This Row],[Creación y captura Mar/2025]:[Compartición e Interoperabilidad Mar/2025]])</f>
        <v>1</v>
      </c>
      <c r="AY34" s="14">
        <v>1</v>
      </c>
      <c r="AZ34" s="14">
        <v>1</v>
      </c>
      <c r="BA34" s="17">
        <f>AVERAGE('Calidad de Datos'!AI38:AL38)</f>
        <v>1</v>
      </c>
      <c r="BB34" s="15">
        <f>Tabla13[[#This Row],[Uso y acceso Abr/2025]]</f>
        <v>1</v>
      </c>
      <c r="BC34" s="15">
        <f>Tabla58[[#This Row],[Integración Abr/2025]]</f>
        <v>1</v>
      </c>
      <c r="BD34" s="16">
        <f>AVERAGE(Tabla4[[#This Row],[Creación y captura Abr/2025]:[Compartición e Interoperabilidad Abr/2025]])</f>
        <v>1</v>
      </c>
      <c r="BE34" s="14">
        <v>1</v>
      </c>
      <c r="BF34" s="14">
        <v>1</v>
      </c>
      <c r="BG34" s="17">
        <f>AVERAGE('Calidad de Datos'!AM38:AP38)</f>
        <v>1</v>
      </c>
      <c r="BH34" s="15">
        <f>Tabla13[[#This Row],[Uso y acceso May/2025]]</f>
        <v>1</v>
      </c>
      <c r="BI34" s="15">
        <f>Tabla58[[#This Row],[Integración May/2025]]</f>
        <v>1</v>
      </c>
      <c r="BJ34" s="16">
        <f>AVERAGE(Tabla4[[#This Row],[Creación y captura May/2025]:[Compartición e Interoperabilidad May/2025]])</f>
        <v>1</v>
      </c>
      <c r="BK34" s="14">
        <v>1</v>
      </c>
      <c r="BL34" s="14">
        <v>1</v>
      </c>
      <c r="BM34" s="14">
        <f>AVERAGE('Calidad de Datos'!AQ38:AT38)</f>
        <v>1</v>
      </c>
      <c r="BN34" s="14">
        <f>Tabla13[[#This Row],[Uso y acceso Dic/2025]]</f>
        <v>1</v>
      </c>
      <c r="BO34" s="14">
        <f>Tabla58[[#This Row],[Integración Dic/2025]]</f>
        <v>1</v>
      </c>
      <c r="BP34" s="16">
        <f>AVERAGE(Tabla4[[#This Row],[Creación y captura Dic/2025]:[Compartición e Interoperabilidad Dic/2025]])</f>
        <v>1</v>
      </c>
    </row>
    <row r="35" spans="2:68" x14ac:dyDescent="0.4">
      <c r="B35" s="1" t="s">
        <v>85</v>
      </c>
      <c r="C35" s="14">
        <v>1</v>
      </c>
      <c r="D35" s="14">
        <v>1</v>
      </c>
      <c r="E35" s="14">
        <f>AVERAGE('Calidad de Datos'!C39:F39)</f>
        <v>1</v>
      </c>
      <c r="F35" s="14">
        <f>Tabla13[[#This Row],[Uso y acceso Ago/2024]]</f>
        <v>1</v>
      </c>
      <c r="G35" s="15">
        <f>Tabla58[[#This Row],[Integración Ago/2024]]</f>
        <v>1</v>
      </c>
      <c r="H35" s="16">
        <f>AVERAGE(Tabla4[[#This Row],[Creación y captura Ago/2024]:[Compartición e Interoperabilidad Ago/2024]])</f>
        <v>1</v>
      </c>
      <c r="I35" s="14">
        <v>1</v>
      </c>
      <c r="J35" s="14">
        <v>1</v>
      </c>
      <c r="K35" s="15">
        <f>AVERAGE('Calidad de Datos'!G39:J39)</f>
        <v>1</v>
      </c>
      <c r="L35" s="15">
        <f>Tabla13[[#This Row],[Uso y acceso Sep/2024]]</f>
        <v>1</v>
      </c>
      <c r="M35" s="15">
        <f>Tabla58[[#This Row],[Integración Sep/2024]]</f>
        <v>1</v>
      </c>
      <c r="N35" s="16">
        <f>AVERAGE(Tabla4[[#This Row],[Creación y captura Sep/2024]:[Compartición e Interoperabilidad Sep/2024]])</f>
        <v>1</v>
      </c>
      <c r="O35" s="14">
        <v>1</v>
      </c>
      <c r="P35" s="14">
        <v>1</v>
      </c>
      <c r="Q35" s="15">
        <f>AVERAGE('Calidad de Datos'!K39:N39)</f>
        <v>1</v>
      </c>
      <c r="R35" s="15">
        <f>Tabla13[[#This Row],[Uso y acceso Oct/2024]]</f>
        <v>1</v>
      </c>
      <c r="S35" s="15">
        <f>Tabla58[[#This Row],[Integración Oct/2024]]</f>
        <v>1</v>
      </c>
      <c r="T35" s="16">
        <f>AVERAGE(Tabla4[[#This Row],[Creación y captura Oct/2024]:[Compartición e Interoperabilidad Oct/2024]])</f>
        <v>1</v>
      </c>
      <c r="U35" s="14">
        <v>1</v>
      </c>
      <c r="V35" s="14">
        <v>1</v>
      </c>
      <c r="W35" s="15">
        <f>AVERAGE('Calidad de Datos'!O39:R39)</f>
        <v>1</v>
      </c>
      <c r="X35" s="15">
        <f>Tabla13[[#This Row],[Uso y acceso Nov/2024]]</f>
        <v>1</v>
      </c>
      <c r="Y35" s="15">
        <f>Tabla58[[#This Row],[Integración Nov/2024]]</f>
        <v>1</v>
      </c>
      <c r="Z35" s="16">
        <f>AVERAGE(Tabla4[[#This Row],[Creación y captura Nov/2024]:[Compartición e Interoperabilidad Nov/2024]])</f>
        <v>1</v>
      </c>
      <c r="AA35" s="14">
        <v>1</v>
      </c>
      <c r="AB35" s="14">
        <v>1</v>
      </c>
      <c r="AC35" s="15">
        <f>AVERAGE('Calidad de Datos'!S39:V39)</f>
        <v>1</v>
      </c>
      <c r="AD35" s="15">
        <f>Tabla13[[#This Row],[Uso y acceso Dic/2024]]</f>
        <v>1</v>
      </c>
      <c r="AE35" s="15">
        <f>Tabla58[[#This Row],[Integración Dic/2024]]</f>
        <v>1</v>
      </c>
      <c r="AF35" s="16">
        <f>AVERAGE(Tabla4[[#This Row],[Creación y captura Dic/2024]:[Compartición e Interoperabilidad Dic/2024]])</f>
        <v>1</v>
      </c>
      <c r="AG35" s="14">
        <v>1</v>
      </c>
      <c r="AH35" s="14">
        <v>1</v>
      </c>
      <c r="AI35" s="17">
        <f>AVERAGE('Calidad de Datos'!W39:Z39)</f>
        <v>1</v>
      </c>
      <c r="AJ35" s="15">
        <f>Tabla13[[#This Row],[Uso y acceso Ene/2025]]</f>
        <v>1</v>
      </c>
      <c r="AK35" s="15">
        <f>Tabla58[[#This Row],[Integración Ene/2025]]</f>
        <v>1</v>
      </c>
      <c r="AL35" s="16">
        <f>AVERAGE(Tabla4[[#This Row],[Creación y captura Ene/2025]:[Compartición e Interoperabilidad Ene/2025]])</f>
        <v>1</v>
      </c>
      <c r="AM35" s="14">
        <v>1</v>
      </c>
      <c r="AN35" s="14">
        <v>1</v>
      </c>
      <c r="AO35" s="17">
        <f>AVERAGE('Calidad de Datos'!AA39:AD39)</f>
        <v>1</v>
      </c>
      <c r="AP35" s="15">
        <f>Tabla13[[#This Row],[Uso y acceso Feb/2025]]</f>
        <v>1</v>
      </c>
      <c r="AQ35" s="15">
        <f>Tabla58[[#This Row],[Integración Feb/2025]]</f>
        <v>1</v>
      </c>
      <c r="AR35" s="16">
        <f>AVERAGE(Tabla4[[#This Row],[Creación y captura Feb/2025]:[Compartición e Interoperabilidad Feb/2025]])</f>
        <v>1</v>
      </c>
      <c r="AS35" s="14">
        <v>1</v>
      </c>
      <c r="AT35" s="14">
        <v>1</v>
      </c>
      <c r="AU35" s="17">
        <f>AVERAGE('Calidad de Datos'!AE39:AH39)</f>
        <v>1</v>
      </c>
      <c r="AV35" s="15">
        <f>Tabla13[[#This Row],[Uso y acceso Mar/2025]]</f>
        <v>1</v>
      </c>
      <c r="AW35" s="15">
        <f>Tabla58[[#This Row],[Integración Mar/2025]]</f>
        <v>1</v>
      </c>
      <c r="AX35" s="16">
        <f>AVERAGE(Tabla4[[#This Row],[Creación y captura Mar/2025]:[Compartición e Interoperabilidad Mar/2025]])</f>
        <v>1</v>
      </c>
      <c r="AY35" s="14">
        <v>1</v>
      </c>
      <c r="AZ35" s="14">
        <v>1</v>
      </c>
      <c r="BA35" s="17">
        <f>AVERAGE('Calidad de Datos'!AI39:AL39)</f>
        <v>1</v>
      </c>
      <c r="BB35" s="15">
        <f>Tabla13[[#This Row],[Uso y acceso Abr/2025]]</f>
        <v>1</v>
      </c>
      <c r="BC35" s="15">
        <f>Tabla58[[#This Row],[Integración Abr/2025]]</f>
        <v>1</v>
      </c>
      <c r="BD35" s="16">
        <f>AVERAGE(Tabla4[[#This Row],[Creación y captura Abr/2025]:[Compartición e Interoperabilidad Abr/2025]])</f>
        <v>1</v>
      </c>
      <c r="BE35" s="14">
        <v>1</v>
      </c>
      <c r="BF35" s="14">
        <v>1</v>
      </c>
      <c r="BG35" s="17">
        <f>AVERAGE('Calidad de Datos'!AM39:AP39)</f>
        <v>1</v>
      </c>
      <c r="BH35" s="15">
        <f>Tabla13[[#This Row],[Uso y acceso May/2025]]</f>
        <v>1</v>
      </c>
      <c r="BI35" s="15">
        <f>Tabla58[[#This Row],[Integración May/2025]]</f>
        <v>1</v>
      </c>
      <c r="BJ35" s="16">
        <f>AVERAGE(Tabla4[[#This Row],[Creación y captura May/2025]:[Compartición e Interoperabilidad May/2025]])</f>
        <v>1</v>
      </c>
      <c r="BK35" s="14">
        <v>1</v>
      </c>
      <c r="BL35" s="14">
        <v>1</v>
      </c>
      <c r="BM35" s="14">
        <f>AVERAGE('Calidad de Datos'!AQ39:AT39)</f>
        <v>1</v>
      </c>
      <c r="BN35" s="14">
        <f>Tabla13[[#This Row],[Uso y acceso Dic/2025]]</f>
        <v>1</v>
      </c>
      <c r="BO35" s="14">
        <f>Tabla58[[#This Row],[Integración Dic/2025]]</f>
        <v>1</v>
      </c>
      <c r="BP35" s="16">
        <f>AVERAGE(Tabla4[[#This Row],[Creación y captura Dic/2025]:[Compartición e Interoperabilidad Dic/2025]])</f>
        <v>1</v>
      </c>
    </row>
    <row r="36" spans="2:68" x14ac:dyDescent="0.4">
      <c r="B36" s="1" t="s">
        <v>86</v>
      </c>
      <c r="C36" s="14">
        <v>1</v>
      </c>
      <c r="D36" s="14">
        <v>1</v>
      </c>
      <c r="E36" s="14">
        <f>AVERAGE('Calidad de Datos'!C40:F40)</f>
        <v>1</v>
      </c>
      <c r="F36" s="14">
        <f>Tabla13[[#This Row],[Uso y acceso Ago/2024]]</f>
        <v>1</v>
      </c>
      <c r="G36" s="15">
        <f>Tabla58[[#This Row],[Integración Ago/2024]]</f>
        <v>1</v>
      </c>
      <c r="H36" s="16">
        <f>AVERAGE(Tabla4[[#This Row],[Creación y captura Ago/2024]:[Compartición e Interoperabilidad Ago/2024]])</f>
        <v>1</v>
      </c>
      <c r="I36" s="14">
        <v>1</v>
      </c>
      <c r="J36" s="14">
        <v>1</v>
      </c>
      <c r="K36" s="15">
        <f>AVERAGE('Calidad de Datos'!G40:J40)</f>
        <v>1</v>
      </c>
      <c r="L36" s="15">
        <f>Tabla13[[#This Row],[Uso y acceso Sep/2024]]</f>
        <v>1</v>
      </c>
      <c r="M36" s="15">
        <f>Tabla58[[#This Row],[Integración Sep/2024]]</f>
        <v>1</v>
      </c>
      <c r="N36" s="16">
        <f>AVERAGE(Tabla4[[#This Row],[Creación y captura Sep/2024]:[Compartición e Interoperabilidad Sep/2024]])</f>
        <v>1</v>
      </c>
      <c r="O36" s="14">
        <v>1</v>
      </c>
      <c r="P36" s="14">
        <v>1</v>
      </c>
      <c r="Q36" s="15">
        <f>AVERAGE('Calidad de Datos'!K40:N40)</f>
        <v>1</v>
      </c>
      <c r="R36" s="15">
        <f>Tabla13[[#This Row],[Uso y acceso Oct/2024]]</f>
        <v>1</v>
      </c>
      <c r="S36" s="15">
        <f>Tabla58[[#This Row],[Integración Oct/2024]]</f>
        <v>1</v>
      </c>
      <c r="T36" s="16">
        <f>AVERAGE(Tabla4[[#This Row],[Creación y captura Oct/2024]:[Compartición e Interoperabilidad Oct/2024]])</f>
        <v>1</v>
      </c>
      <c r="U36" s="14">
        <v>1</v>
      </c>
      <c r="V36" s="14">
        <v>1</v>
      </c>
      <c r="W36" s="15">
        <f>AVERAGE('Calidad de Datos'!O40:R40)</f>
        <v>1</v>
      </c>
      <c r="X36" s="15">
        <f>Tabla13[[#This Row],[Uso y acceso Nov/2024]]</f>
        <v>1</v>
      </c>
      <c r="Y36" s="15">
        <f>Tabla58[[#This Row],[Integración Nov/2024]]</f>
        <v>1</v>
      </c>
      <c r="Z36" s="16">
        <f>AVERAGE(Tabla4[[#This Row],[Creación y captura Nov/2024]:[Compartición e Interoperabilidad Nov/2024]])</f>
        <v>1</v>
      </c>
      <c r="AA36" s="14">
        <v>1</v>
      </c>
      <c r="AB36" s="14">
        <v>1</v>
      </c>
      <c r="AC36" s="15">
        <f>AVERAGE('Calidad de Datos'!S40:V40)</f>
        <v>1</v>
      </c>
      <c r="AD36" s="15">
        <f>Tabla13[[#This Row],[Uso y acceso Dic/2024]]</f>
        <v>1</v>
      </c>
      <c r="AE36" s="15">
        <f>Tabla58[[#This Row],[Integración Dic/2024]]</f>
        <v>1</v>
      </c>
      <c r="AF36" s="16">
        <f>AVERAGE(Tabla4[[#This Row],[Creación y captura Dic/2024]:[Compartición e Interoperabilidad Dic/2024]])</f>
        <v>1</v>
      </c>
      <c r="AG36" s="14">
        <v>1</v>
      </c>
      <c r="AH36" s="14">
        <v>1</v>
      </c>
      <c r="AI36" s="17">
        <f>AVERAGE('Calidad de Datos'!W40:Z40)</f>
        <v>1</v>
      </c>
      <c r="AJ36" s="15">
        <f>Tabla13[[#This Row],[Uso y acceso Ene/2025]]</f>
        <v>1</v>
      </c>
      <c r="AK36" s="15">
        <f>Tabla58[[#This Row],[Integración Ene/2025]]</f>
        <v>1</v>
      </c>
      <c r="AL36" s="16">
        <f>AVERAGE(Tabla4[[#This Row],[Creación y captura Ene/2025]:[Compartición e Interoperabilidad Ene/2025]])</f>
        <v>1</v>
      </c>
      <c r="AM36" s="14">
        <v>1</v>
      </c>
      <c r="AN36" s="14">
        <v>1</v>
      </c>
      <c r="AO36" s="17">
        <f>AVERAGE('Calidad de Datos'!AA40:AD40)</f>
        <v>1</v>
      </c>
      <c r="AP36" s="15">
        <f>Tabla13[[#This Row],[Uso y acceso Feb/2025]]</f>
        <v>1</v>
      </c>
      <c r="AQ36" s="15">
        <f>Tabla58[[#This Row],[Integración Feb/2025]]</f>
        <v>1</v>
      </c>
      <c r="AR36" s="16">
        <f>AVERAGE(Tabla4[[#This Row],[Creación y captura Feb/2025]:[Compartición e Interoperabilidad Feb/2025]])</f>
        <v>1</v>
      </c>
      <c r="AS36" s="14">
        <v>1</v>
      </c>
      <c r="AT36" s="14">
        <v>1</v>
      </c>
      <c r="AU36" s="17">
        <f>AVERAGE('Calidad de Datos'!AE40:AH40)</f>
        <v>1</v>
      </c>
      <c r="AV36" s="15">
        <f>Tabla13[[#This Row],[Uso y acceso Mar/2025]]</f>
        <v>1</v>
      </c>
      <c r="AW36" s="15">
        <f>Tabla58[[#This Row],[Integración Mar/2025]]</f>
        <v>1</v>
      </c>
      <c r="AX36" s="16">
        <f>AVERAGE(Tabla4[[#This Row],[Creación y captura Mar/2025]:[Compartición e Interoperabilidad Mar/2025]])</f>
        <v>1</v>
      </c>
      <c r="AY36" s="14">
        <v>1</v>
      </c>
      <c r="AZ36" s="14">
        <v>1</v>
      </c>
      <c r="BA36" s="17">
        <f>AVERAGE('Calidad de Datos'!AI40:AL40)</f>
        <v>1</v>
      </c>
      <c r="BB36" s="15">
        <f>Tabla13[[#This Row],[Uso y acceso Abr/2025]]</f>
        <v>1</v>
      </c>
      <c r="BC36" s="15">
        <f>Tabla58[[#This Row],[Integración Abr/2025]]</f>
        <v>1</v>
      </c>
      <c r="BD36" s="16">
        <f>AVERAGE(Tabla4[[#This Row],[Creación y captura Abr/2025]:[Compartición e Interoperabilidad Abr/2025]])</f>
        <v>1</v>
      </c>
      <c r="BE36" s="14">
        <v>1</v>
      </c>
      <c r="BF36" s="14">
        <v>1</v>
      </c>
      <c r="BG36" s="17">
        <f>AVERAGE('Calidad de Datos'!AM40:AP40)</f>
        <v>1</v>
      </c>
      <c r="BH36" s="15">
        <f>Tabla13[[#This Row],[Uso y acceso May/2025]]</f>
        <v>1</v>
      </c>
      <c r="BI36" s="15">
        <f>Tabla58[[#This Row],[Integración May/2025]]</f>
        <v>1</v>
      </c>
      <c r="BJ36" s="16">
        <f>AVERAGE(Tabla4[[#This Row],[Creación y captura May/2025]:[Compartición e Interoperabilidad May/2025]])</f>
        <v>1</v>
      </c>
      <c r="BK36" s="14">
        <v>1</v>
      </c>
      <c r="BL36" s="14">
        <v>1</v>
      </c>
      <c r="BM36" s="14">
        <f>AVERAGE('Calidad de Datos'!AQ40:AT40)</f>
        <v>1</v>
      </c>
      <c r="BN36" s="14">
        <f>Tabla13[[#This Row],[Uso y acceso Dic/2025]]</f>
        <v>1</v>
      </c>
      <c r="BO36" s="14">
        <f>Tabla58[[#This Row],[Integración Dic/2025]]</f>
        <v>1</v>
      </c>
      <c r="BP36" s="16">
        <f>AVERAGE(Tabla4[[#This Row],[Creación y captura Dic/2025]:[Compartición e Interoperabilidad Dic/2025]])</f>
        <v>1</v>
      </c>
    </row>
    <row r="37" spans="2:68" x14ac:dyDescent="0.4">
      <c r="B37" s="1" t="s">
        <v>87</v>
      </c>
      <c r="C37" s="14">
        <v>1</v>
      </c>
      <c r="D37" s="14">
        <v>1</v>
      </c>
      <c r="E37" s="14">
        <f>AVERAGE('Calidad de Datos'!C41:F41)</f>
        <v>1</v>
      </c>
      <c r="F37" s="14">
        <f>Tabla13[[#This Row],[Uso y acceso Ago/2024]]</f>
        <v>1</v>
      </c>
      <c r="G37" s="15">
        <f>Tabla58[[#This Row],[Integración Ago/2024]]</f>
        <v>1</v>
      </c>
      <c r="H37" s="16">
        <f>AVERAGE(Tabla4[[#This Row],[Creación y captura Ago/2024]:[Compartición e Interoperabilidad Ago/2024]])</f>
        <v>1</v>
      </c>
      <c r="I37" s="14">
        <v>1</v>
      </c>
      <c r="J37" s="14">
        <v>1</v>
      </c>
      <c r="K37" s="15">
        <f>AVERAGE('Calidad de Datos'!G41:J41)</f>
        <v>1</v>
      </c>
      <c r="L37" s="15">
        <f>Tabla13[[#This Row],[Uso y acceso Sep/2024]]</f>
        <v>1</v>
      </c>
      <c r="M37" s="15">
        <f>Tabla58[[#This Row],[Integración Sep/2024]]</f>
        <v>1</v>
      </c>
      <c r="N37" s="16">
        <f>AVERAGE(Tabla4[[#This Row],[Creación y captura Sep/2024]:[Compartición e Interoperabilidad Sep/2024]])</f>
        <v>1</v>
      </c>
      <c r="O37" s="14">
        <v>1</v>
      </c>
      <c r="P37" s="14">
        <v>1</v>
      </c>
      <c r="Q37" s="15">
        <f>AVERAGE('Calidad de Datos'!K41:N41)</f>
        <v>1</v>
      </c>
      <c r="R37" s="15">
        <f>Tabla13[[#This Row],[Uso y acceso Oct/2024]]</f>
        <v>1</v>
      </c>
      <c r="S37" s="15">
        <f>Tabla58[[#This Row],[Integración Oct/2024]]</f>
        <v>1</v>
      </c>
      <c r="T37" s="16">
        <f>AVERAGE(Tabla4[[#This Row],[Creación y captura Oct/2024]:[Compartición e Interoperabilidad Oct/2024]])</f>
        <v>1</v>
      </c>
      <c r="U37" s="14">
        <v>1</v>
      </c>
      <c r="V37" s="14">
        <v>1</v>
      </c>
      <c r="W37" s="15">
        <f>AVERAGE('Calidad de Datos'!O41:R41)</f>
        <v>1</v>
      </c>
      <c r="X37" s="15">
        <f>Tabla13[[#This Row],[Uso y acceso Nov/2024]]</f>
        <v>1</v>
      </c>
      <c r="Y37" s="15">
        <f>Tabla58[[#This Row],[Integración Nov/2024]]</f>
        <v>1</v>
      </c>
      <c r="Z37" s="16">
        <f>AVERAGE(Tabla4[[#This Row],[Creación y captura Nov/2024]:[Compartición e Interoperabilidad Nov/2024]])</f>
        <v>1</v>
      </c>
      <c r="AA37" s="14">
        <v>1</v>
      </c>
      <c r="AB37" s="14">
        <v>1</v>
      </c>
      <c r="AC37" s="15">
        <f>AVERAGE('Calidad de Datos'!S41:V41)</f>
        <v>1</v>
      </c>
      <c r="AD37" s="15">
        <f>Tabla13[[#This Row],[Uso y acceso Dic/2024]]</f>
        <v>1</v>
      </c>
      <c r="AE37" s="15">
        <f>Tabla58[[#This Row],[Integración Dic/2024]]</f>
        <v>1</v>
      </c>
      <c r="AF37" s="16">
        <f>AVERAGE(Tabla4[[#This Row],[Creación y captura Dic/2024]:[Compartición e Interoperabilidad Dic/2024]])</f>
        <v>1</v>
      </c>
      <c r="AG37" s="14">
        <v>1</v>
      </c>
      <c r="AH37" s="14">
        <v>1</v>
      </c>
      <c r="AI37" s="17">
        <f>AVERAGE('Calidad de Datos'!W41:Z41)</f>
        <v>1</v>
      </c>
      <c r="AJ37" s="15">
        <f>Tabla13[[#This Row],[Uso y acceso Ene/2025]]</f>
        <v>1</v>
      </c>
      <c r="AK37" s="15">
        <f>Tabla58[[#This Row],[Integración Ene/2025]]</f>
        <v>1</v>
      </c>
      <c r="AL37" s="16">
        <f>AVERAGE(Tabla4[[#This Row],[Creación y captura Ene/2025]:[Compartición e Interoperabilidad Ene/2025]])</f>
        <v>1</v>
      </c>
      <c r="AM37" s="14">
        <v>1</v>
      </c>
      <c r="AN37" s="14">
        <v>1</v>
      </c>
      <c r="AO37" s="17">
        <f>AVERAGE('Calidad de Datos'!AA41:AD41)</f>
        <v>1</v>
      </c>
      <c r="AP37" s="15">
        <f>Tabla13[[#This Row],[Uso y acceso Feb/2025]]</f>
        <v>1</v>
      </c>
      <c r="AQ37" s="15">
        <f>Tabla58[[#This Row],[Integración Feb/2025]]</f>
        <v>1</v>
      </c>
      <c r="AR37" s="16">
        <f>AVERAGE(Tabla4[[#This Row],[Creación y captura Feb/2025]:[Compartición e Interoperabilidad Feb/2025]])</f>
        <v>1</v>
      </c>
      <c r="AS37" s="14">
        <v>1</v>
      </c>
      <c r="AT37" s="14">
        <v>1</v>
      </c>
      <c r="AU37" s="17">
        <f>AVERAGE('Calidad de Datos'!AE41:AH41)</f>
        <v>1</v>
      </c>
      <c r="AV37" s="15">
        <f>Tabla13[[#This Row],[Uso y acceso Mar/2025]]</f>
        <v>1</v>
      </c>
      <c r="AW37" s="15">
        <f>Tabla58[[#This Row],[Integración Mar/2025]]</f>
        <v>1</v>
      </c>
      <c r="AX37" s="16">
        <f>AVERAGE(Tabla4[[#This Row],[Creación y captura Mar/2025]:[Compartición e Interoperabilidad Mar/2025]])</f>
        <v>1</v>
      </c>
      <c r="AY37" s="14">
        <v>1</v>
      </c>
      <c r="AZ37" s="14">
        <v>1</v>
      </c>
      <c r="BA37" s="17">
        <f>AVERAGE('Calidad de Datos'!AI41:AL41)</f>
        <v>1</v>
      </c>
      <c r="BB37" s="15">
        <f>Tabla13[[#This Row],[Uso y acceso Abr/2025]]</f>
        <v>1</v>
      </c>
      <c r="BC37" s="15">
        <f>Tabla58[[#This Row],[Integración Abr/2025]]</f>
        <v>1</v>
      </c>
      <c r="BD37" s="16">
        <f>AVERAGE(Tabla4[[#This Row],[Creación y captura Abr/2025]:[Compartición e Interoperabilidad Abr/2025]])</f>
        <v>1</v>
      </c>
      <c r="BE37" s="14">
        <v>1</v>
      </c>
      <c r="BF37" s="14">
        <v>1</v>
      </c>
      <c r="BG37" s="17">
        <f>AVERAGE('Calidad de Datos'!AM41:AP41)</f>
        <v>1</v>
      </c>
      <c r="BH37" s="15">
        <f>Tabla13[[#This Row],[Uso y acceso May/2025]]</f>
        <v>1</v>
      </c>
      <c r="BI37" s="15">
        <f>Tabla58[[#This Row],[Integración May/2025]]</f>
        <v>1</v>
      </c>
      <c r="BJ37" s="16">
        <f>AVERAGE(Tabla4[[#This Row],[Creación y captura May/2025]:[Compartición e Interoperabilidad May/2025]])</f>
        <v>1</v>
      </c>
      <c r="BK37" s="14">
        <v>1</v>
      </c>
      <c r="BL37" s="14">
        <v>1</v>
      </c>
      <c r="BM37" s="14">
        <f>AVERAGE('Calidad de Datos'!AQ41:AT41)</f>
        <v>1</v>
      </c>
      <c r="BN37" s="14">
        <f>Tabla13[[#This Row],[Uso y acceso Dic/2025]]</f>
        <v>1</v>
      </c>
      <c r="BO37" s="14">
        <f>Tabla58[[#This Row],[Integración Dic/2025]]</f>
        <v>1</v>
      </c>
      <c r="BP37" s="16">
        <f>AVERAGE(Tabla4[[#This Row],[Creación y captura Dic/2025]:[Compartición e Interoperabilidad Dic/2025]])</f>
        <v>1</v>
      </c>
    </row>
    <row r="38" spans="2:68" x14ac:dyDescent="0.4">
      <c r="B38" s="1" t="s">
        <v>88</v>
      </c>
      <c r="C38" s="14">
        <v>1</v>
      </c>
      <c r="D38" s="14">
        <v>1</v>
      </c>
      <c r="E38" s="14">
        <f>AVERAGE('Calidad de Datos'!C42:F42)</f>
        <v>1</v>
      </c>
      <c r="F38" s="14">
        <f>Tabla13[[#This Row],[Uso y acceso Ago/2024]]</f>
        <v>1</v>
      </c>
      <c r="G38" s="15">
        <f>Tabla58[[#This Row],[Integración Ago/2024]]</f>
        <v>1</v>
      </c>
      <c r="H38" s="16">
        <f>AVERAGE(Tabla4[[#This Row],[Creación y captura Ago/2024]:[Compartición e Interoperabilidad Ago/2024]])</f>
        <v>1</v>
      </c>
      <c r="I38" s="14">
        <v>1</v>
      </c>
      <c r="J38" s="14">
        <v>1</v>
      </c>
      <c r="K38" s="15">
        <f>AVERAGE('Calidad de Datos'!G42:J42)</f>
        <v>1</v>
      </c>
      <c r="L38" s="15">
        <f>Tabla13[[#This Row],[Uso y acceso Sep/2024]]</f>
        <v>1</v>
      </c>
      <c r="M38" s="15">
        <f>Tabla58[[#This Row],[Integración Sep/2024]]</f>
        <v>1</v>
      </c>
      <c r="N38" s="16">
        <f>AVERAGE(Tabla4[[#This Row],[Creación y captura Sep/2024]:[Compartición e Interoperabilidad Sep/2024]])</f>
        <v>1</v>
      </c>
      <c r="O38" s="14">
        <v>1</v>
      </c>
      <c r="P38" s="14">
        <v>1</v>
      </c>
      <c r="Q38" s="15">
        <f>AVERAGE('Calidad de Datos'!K42:N42)</f>
        <v>1</v>
      </c>
      <c r="R38" s="15">
        <f>Tabla13[[#This Row],[Uso y acceso Oct/2024]]</f>
        <v>1</v>
      </c>
      <c r="S38" s="15">
        <f>Tabla58[[#This Row],[Integración Oct/2024]]</f>
        <v>1</v>
      </c>
      <c r="T38" s="16">
        <f>AVERAGE(Tabla4[[#This Row],[Creación y captura Oct/2024]:[Compartición e Interoperabilidad Oct/2024]])</f>
        <v>1</v>
      </c>
      <c r="U38" s="14">
        <v>1</v>
      </c>
      <c r="V38" s="14">
        <v>1</v>
      </c>
      <c r="W38" s="15">
        <f>AVERAGE('Calidad de Datos'!O42:R42)</f>
        <v>1</v>
      </c>
      <c r="X38" s="15">
        <f>Tabla13[[#This Row],[Uso y acceso Nov/2024]]</f>
        <v>1</v>
      </c>
      <c r="Y38" s="15">
        <f>Tabla58[[#This Row],[Integración Nov/2024]]</f>
        <v>1</v>
      </c>
      <c r="Z38" s="16">
        <f>AVERAGE(Tabla4[[#This Row],[Creación y captura Nov/2024]:[Compartición e Interoperabilidad Nov/2024]])</f>
        <v>1</v>
      </c>
      <c r="AA38" s="14">
        <v>1</v>
      </c>
      <c r="AB38" s="14">
        <v>1</v>
      </c>
      <c r="AC38" s="15">
        <f>AVERAGE('Calidad de Datos'!S42:V42)</f>
        <v>1</v>
      </c>
      <c r="AD38" s="15">
        <f>Tabla13[[#This Row],[Uso y acceso Dic/2024]]</f>
        <v>1</v>
      </c>
      <c r="AE38" s="15">
        <f>Tabla58[[#This Row],[Integración Dic/2024]]</f>
        <v>1</v>
      </c>
      <c r="AF38" s="16">
        <f>AVERAGE(Tabla4[[#This Row],[Creación y captura Dic/2024]:[Compartición e Interoperabilidad Dic/2024]])</f>
        <v>1</v>
      </c>
      <c r="AG38" s="14">
        <v>1</v>
      </c>
      <c r="AH38" s="14">
        <v>1</v>
      </c>
      <c r="AI38" s="17">
        <f>AVERAGE('Calidad de Datos'!W42:Z42)</f>
        <v>1</v>
      </c>
      <c r="AJ38" s="15">
        <f>Tabla13[[#This Row],[Uso y acceso Ene/2025]]</f>
        <v>1</v>
      </c>
      <c r="AK38" s="15">
        <f>Tabla58[[#This Row],[Integración Ene/2025]]</f>
        <v>1</v>
      </c>
      <c r="AL38" s="16">
        <f>AVERAGE(Tabla4[[#This Row],[Creación y captura Ene/2025]:[Compartición e Interoperabilidad Ene/2025]])</f>
        <v>1</v>
      </c>
      <c r="AM38" s="14">
        <v>1</v>
      </c>
      <c r="AN38" s="14">
        <v>1</v>
      </c>
      <c r="AO38" s="17">
        <f>AVERAGE('Calidad de Datos'!AA42:AD42)</f>
        <v>1</v>
      </c>
      <c r="AP38" s="15">
        <f>Tabla13[[#This Row],[Uso y acceso Feb/2025]]</f>
        <v>1</v>
      </c>
      <c r="AQ38" s="15">
        <f>Tabla58[[#This Row],[Integración Feb/2025]]</f>
        <v>1</v>
      </c>
      <c r="AR38" s="16">
        <f>AVERAGE(Tabla4[[#This Row],[Creación y captura Feb/2025]:[Compartición e Interoperabilidad Feb/2025]])</f>
        <v>1</v>
      </c>
      <c r="AS38" s="14">
        <v>1</v>
      </c>
      <c r="AT38" s="14">
        <v>1</v>
      </c>
      <c r="AU38" s="17">
        <f>AVERAGE('Calidad de Datos'!AE42:AH42)</f>
        <v>1</v>
      </c>
      <c r="AV38" s="15">
        <f>Tabla13[[#This Row],[Uso y acceso Mar/2025]]</f>
        <v>1</v>
      </c>
      <c r="AW38" s="15">
        <f>Tabla58[[#This Row],[Integración Mar/2025]]</f>
        <v>1</v>
      </c>
      <c r="AX38" s="16">
        <f>AVERAGE(Tabla4[[#This Row],[Creación y captura Mar/2025]:[Compartición e Interoperabilidad Mar/2025]])</f>
        <v>1</v>
      </c>
      <c r="AY38" s="14">
        <v>1</v>
      </c>
      <c r="AZ38" s="14">
        <v>1</v>
      </c>
      <c r="BA38" s="17">
        <f>AVERAGE('Calidad de Datos'!AI42:AL42)</f>
        <v>1</v>
      </c>
      <c r="BB38" s="15">
        <f>Tabla13[[#This Row],[Uso y acceso Abr/2025]]</f>
        <v>1</v>
      </c>
      <c r="BC38" s="15">
        <f>Tabla58[[#This Row],[Integración Abr/2025]]</f>
        <v>1</v>
      </c>
      <c r="BD38" s="16">
        <f>AVERAGE(Tabla4[[#This Row],[Creación y captura Abr/2025]:[Compartición e Interoperabilidad Abr/2025]])</f>
        <v>1</v>
      </c>
      <c r="BE38" s="14">
        <v>1</v>
      </c>
      <c r="BF38" s="14">
        <v>1</v>
      </c>
      <c r="BG38" s="17">
        <f>AVERAGE('Calidad de Datos'!AM42:AP42)</f>
        <v>1</v>
      </c>
      <c r="BH38" s="15">
        <f>Tabla13[[#This Row],[Uso y acceso May/2025]]</f>
        <v>1</v>
      </c>
      <c r="BI38" s="15">
        <f>Tabla58[[#This Row],[Integración May/2025]]</f>
        <v>1</v>
      </c>
      <c r="BJ38" s="16">
        <f>AVERAGE(Tabla4[[#This Row],[Creación y captura May/2025]:[Compartición e Interoperabilidad May/2025]])</f>
        <v>1</v>
      </c>
      <c r="BK38" s="14">
        <v>1</v>
      </c>
      <c r="BL38" s="14">
        <v>1</v>
      </c>
      <c r="BM38" s="14">
        <f>AVERAGE('Calidad de Datos'!AQ42:AT42)</f>
        <v>1</v>
      </c>
      <c r="BN38" s="14">
        <f>Tabla13[[#This Row],[Uso y acceso Dic/2025]]</f>
        <v>1</v>
      </c>
      <c r="BO38" s="14">
        <f>Tabla58[[#This Row],[Integración Dic/2025]]</f>
        <v>1</v>
      </c>
      <c r="BP38" s="16">
        <f>AVERAGE(Tabla4[[#This Row],[Creación y captura Dic/2025]:[Compartición e Interoperabilidad Dic/2025]])</f>
        <v>1</v>
      </c>
    </row>
    <row r="39" spans="2:68" x14ac:dyDescent="0.4">
      <c r="B39" s="1" t="s">
        <v>89</v>
      </c>
      <c r="C39" s="14">
        <v>1</v>
      </c>
      <c r="D39" s="14">
        <v>1</v>
      </c>
      <c r="E39" s="14">
        <f>AVERAGE('Calidad de Datos'!C43:F43)</f>
        <v>0.88749999999999996</v>
      </c>
      <c r="F39" s="14">
        <f>Tabla13[[#This Row],[Uso y acceso Ago/2024]]</f>
        <v>1</v>
      </c>
      <c r="G39" s="15">
        <f>Tabla58[[#This Row],[Integración Ago/2024]]</f>
        <v>1</v>
      </c>
      <c r="H39" s="16">
        <f>AVERAGE(Tabla4[[#This Row],[Creación y captura Ago/2024]:[Compartición e Interoperabilidad Ago/2024]])</f>
        <v>0.97750000000000004</v>
      </c>
      <c r="I39" s="14">
        <v>1</v>
      </c>
      <c r="J39" s="14">
        <v>1</v>
      </c>
      <c r="K39" s="15">
        <f>AVERAGE('Calidad de Datos'!G43:J43)</f>
        <v>0.91249999999999998</v>
      </c>
      <c r="L39" s="15">
        <f>Tabla13[[#This Row],[Uso y acceso Sep/2024]]</f>
        <v>1</v>
      </c>
      <c r="M39" s="15">
        <f>Tabla58[[#This Row],[Integración Sep/2024]]</f>
        <v>1</v>
      </c>
      <c r="N39" s="16">
        <f>AVERAGE(Tabla4[[#This Row],[Creación y captura Sep/2024]:[Compartición e Interoperabilidad Sep/2024]])</f>
        <v>0.98249999999999993</v>
      </c>
      <c r="O39" s="14">
        <v>1</v>
      </c>
      <c r="P39" s="14">
        <v>1</v>
      </c>
      <c r="Q39" s="15">
        <f>AVERAGE('Calidad de Datos'!K43:N43)</f>
        <v>0.91249999999999998</v>
      </c>
      <c r="R39" s="15">
        <f>Tabla13[[#This Row],[Uso y acceso Oct/2024]]</f>
        <v>1</v>
      </c>
      <c r="S39" s="15">
        <f>Tabla58[[#This Row],[Integración Oct/2024]]</f>
        <v>1</v>
      </c>
      <c r="T39" s="16">
        <f>AVERAGE(Tabla4[[#This Row],[Creación y captura Oct/2024]:[Compartición e Interoperabilidad Oct/2024]])</f>
        <v>0.98249999999999993</v>
      </c>
      <c r="U39" s="14">
        <v>1</v>
      </c>
      <c r="V39" s="14">
        <v>1</v>
      </c>
      <c r="W39" s="15">
        <f>AVERAGE('Calidad de Datos'!O43:R43)</f>
        <v>1</v>
      </c>
      <c r="X39" s="15">
        <f>Tabla13[[#This Row],[Uso y acceso Nov/2024]]</f>
        <v>1</v>
      </c>
      <c r="Y39" s="15">
        <f>Tabla58[[#This Row],[Integración Nov/2024]]</f>
        <v>1</v>
      </c>
      <c r="Z39" s="16">
        <f>AVERAGE(Tabla4[[#This Row],[Creación y captura Nov/2024]:[Compartición e Interoperabilidad Nov/2024]])</f>
        <v>1</v>
      </c>
      <c r="AA39" s="14">
        <v>1</v>
      </c>
      <c r="AB39" s="14">
        <v>1</v>
      </c>
      <c r="AC39" s="15">
        <f>AVERAGE('Calidad de Datos'!S43:V43)</f>
        <v>1</v>
      </c>
      <c r="AD39" s="15">
        <f>Tabla13[[#This Row],[Uso y acceso Dic/2024]]</f>
        <v>1</v>
      </c>
      <c r="AE39" s="15">
        <f>Tabla58[[#This Row],[Integración Dic/2024]]</f>
        <v>1</v>
      </c>
      <c r="AF39" s="16">
        <f>AVERAGE(Tabla4[[#This Row],[Creación y captura Dic/2024]:[Compartición e Interoperabilidad Dic/2024]])</f>
        <v>1</v>
      </c>
      <c r="AG39" s="14">
        <v>1</v>
      </c>
      <c r="AH39" s="14">
        <v>1</v>
      </c>
      <c r="AI39" s="17">
        <f>AVERAGE('Calidad de Datos'!W43:Z43)</f>
        <v>1</v>
      </c>
      <c r="AJ39" s="15">
        <f>Tabla13[[#This Row],[Uso y acceso Ene/2025]]</f>
        <v>1</v>
      </c>
      <c r="AK39" s="15">
        <f>Tabla58[[#This Row],[Integración Ene/2025]]</f>
        <v>1</v>
      </c>
      <c r="AL39" s="16">
        <f>AVERAGE(Tabla4[[#This Row],[Creación y captura Ene/2025]:[Compartición e Interoperabilidad Ene/2025]])</f>
        <v>1</v>
      </c>
      <c r="AM39" s="14">
        <v>1</v>
      </c>
      <c r="AN39" s="14">
        <v>1</v>
      </c>
      <c r="AO39" s="17">
        <f>AVERAGE('Calidad de Datos'!AA43:AD43)</f>
        <v>1</v>
      </c>
      <c r="AP39" s="15">
        <f>Tabla13[[#This Row],[Uso y acceso Feb/2025]]</f>
        <v>1</v>
      </c>
      <c r="AQ39" s="15">
        <f>Tabla58[[#This Row],[Integración Feb/2025]]</f>
        <v>1</v>
      </c>
      <c r="AR39" s="16">
        <f>AVERAGE(Tabla4[[#This Row],[Creación y captura Feb/2025]:[Compartición e Interoperabilidad Feb/2025]])</f>
        <v>1</v>
      </c>
      <c r="AS39" s="14">
        <v>1</v>
      </c>
      <c r="AT39" s="14">
        <v>1</v>
      </c>
      <c r="AU39" s="17">
        <f>AVERAGE('Calidad de Datos'!AE43:AH43)</f>
        <v>1</v>
      </c>
      <c r="AV39" s="15">
        <f>Tabla13[[#This Row],[Uso y acceso Mar/2025]]</f>
        <v>1</v>
      </c>
      <c r="AW39" s="15">
        <f>Tabla58[[#This Row],[Integración Mar/2025]]</f>
        <v>1</v>
      </c>
      <c r="AX39" s="16">
        <f>AVERAGE(Tabla4[[#This Row],[Creación y captura Mar/2025]:[Compartición e Interoperabilidad Mar/2025]])</f>
        <v>1</v>
      </c>
      <c r="AY39" s="14">
        <v>1</v>
      </c>
      <c r="AZ39" s="14">
        <v>1</v>
      </c>
      <c r="BA39" s="17">
        <f>AVERAGE('Calidad de Datos'!AI43:AL43)</f>
        <v>1</v>
      </c>
      <c r="BB39" s="15">
        <f>Tabla13[[#This Row],[Uso y acceso Abr/2025]]</f>
        <v>1</v>
      </c>
      <c r="BC39" s="15">
        <f>Tabla58[[#This Row],[Integración Abr/2025]]</f>
        <v>1</v>
      </c>
      <c r="BD39" s="16">
        <f>AVERAGE(Tabla4[[#This Row],[Creación y captura Abr/2025]:[Compartición e Interoperabilidad Abr/2025]])</f>
        <v>1</v>
      </c>
      <c r="BE39" s="14">
        <v>1</v>
      </c>
      <c r="BF39" s="14">
        <v>1</v>
      </c>
      <c r="BG39" s="17">
        <f>AVERAGE('Calidad de Datos'!AM43:AP43)</f>
        <v>1</v>
      </c>
      <c r="BH39" s="15">
        <f>Tabla13[[#This Row],[Uso y acceso May/2025]]</f>
        <v>1</v>
      </c>
      <c r="BI39" s="15">
        <f>Tabla58[[#This Row],[Integración May/2025]]</f>
        <v>1</v>
      </c>
      <c r="BJ39" s="16">
        <f>AVERAGE(Tabla4[[#This Row],[Creación y captura May/2025]:[Compartición e Interoperabilidad May/2025]])</f>
        <v>1</v>
      </c>
      <c r="BK39" s="14">
        <v>1</v>
      </c>
      <c r="BL39" s="14">
        <v>1</v>
      </c>
      <c r="BM39" s="14">
        <f>AVERAGE('Calidad de Datos'!AQ43:AT43)</f>
        <v>1</v>
      </c>
      <c r="BN39" s="14">
        <f>Tabla13[[#This Row],[Uso y acceso Dic/2025]]</f>
        <v>1</v>
      </c>
      <c r="BO39" s="14">
        <f>Tabla58[[#This Row],[Integración Dic/2025]]</f>
        <v>1</v>
      </c>
      <c r="BP39" s="16">
        <f>AVERAGE(Tabla4[[#This Row],[Creación y captura Dic/2025]:[Compartición e Interoperabilidad Dic/2025]])</f>
        <v>1</v>
      </c>
    </row>
    <row r="40" spans="2:68" x14ac:dyDescent="0.4">
      <c r="B40" s="1" t="s">
        <v>90</v>
      </c>
      <c r="C40" s="14"/>
      <c r="D40" s="14"/>
      <c r="E40" s="14">
        <f>AVERAGE('Calidad de Datos'!C44:F44)</f>
        <v>0</v>
      </c>
      <c r="F40" s="14">
        <f>Tabla13[[#This Row],[Uso y acceso Ago/2024]]</f>
        <v>0.3</v>
      </c>
      <c r="G40" s="15">
        <f>Tabla58[[#This Row],[Integración Ago/2024]]</f>
        <v>0</v>
      </c>
      <c r="H40" s="16">
        <f>AVERAGE(Tabla4[[#This Row],[Creación y captura Ago/2024]:[Compartición e Interoperabilidad Ago/2024]])</f>
        <v>9.9999999999999992E-2</v>
      </c>
      <c r="I40" s="14"/>
      <c r="J40" s="14"/>
      <c r="K40" s="15">
        <f>AVERAGE('Calidad de Datos'!G44:J44)</f>
        <v>0</v>
      </c>
      <c r="L40" s="15">
        <f>Tabla13[[#This Row],[Uso y acceso Sep/2024]]</f>
        <v>0.3</v>
      </c>
      <c r="M40" s="15">
        <f>Tabla58[[#This Row],[Integración Sep/2024]]</f>
        <v>0</v>
      </c>
      <c r="N40" s="16">
        <f>AVERAGE(Tabla4[[#This Row],[Creación y captura Sep/2024]:[Compartición e Interoperabilidad Sep/2024]])</f>
        <v>9.9999999999999992E-2</v>
      </c>
      <c r="O40" s="14">
        <v>0.5</v>
      </c>
      <c r="P40" s="14">
        <v>0.2</v>
      </c>
      <c r="Q40" s="15">
        <f>AVERAGE('Calidad de Datos'!K44:N44)</f>
        <v>0</v>
      </c>
      <c r="R40" s="15">
        <f>Tabla13[[#This Row],[Uso y acceso Oct/2024]]</f>
        <v>0.5</v>
      </c>
      <c r="S40" s="15">
        <f>Tabla58[[#This Row],[Integración Oct/2024]]</f>
        <v>0.2</v>
      </c>
      <c r="T40" s="16">
        <f>AVERAGE(Tabla4[[#This Row],[Creación y captura Oct/2024]:[Compartición e Interoperabilidad Oct/2024]])</f>
        <v>0.27999999999999997</v>
      </c>
      <c r="U40" s="14">
        <v>1</v>
      </c>
      <c r="V40" s="14">
        <v>1</v>
      </c>
      <c r="W40" s="15">
        <f>AVERAGE('Calidad de Datos'!O44:R44)</f>
        <v>1</v>
      </c>
      <c r="X40" s="15">
        <f>Tabla13[[#This Row],[Uso y acceso Nov/2024]]</f>
        <v>1</v>
      </c>
      <c r="Y40" s="15">
        <f>Tabla58[[#This Row],[Integración Nov/2024]]</f>
        <v>0.5</v>
      </c>
      <c r="Z40" s="16">
        <f>AVERAGE(Tabla4[[#This Row],[Creación y captura Nov/2024]:[Compartición e Interoperabilidad Nov/2024]])</f>
        <v>0.9</v>
      </c>
      <c r="AA40" s="14">
        <v>1</v>
      </c>
      <c r="AB40" s="14">
        <v>1</v>
      </c>
      <c r="AC40" s="15">
        <f>AVERAGE('Calidad de Datos'!S44:V44)</f>
        <v>1</v>
      </c>
      <c r="AD40" s="15">
        <f>Tabla13[[#This Row],[Uso y acceso Dic/2024]]</f>
        <v>1</v>
      </c>
      <c r="AE40" s="15">
        <f>Tabla58[[#This Row],[Integración Dic/2024]]</f>
        <v>1</v>
      </c>
      <c r="AF40" s="16">
        <f>AVERAGE(Tabla4[[#This Row],[Creación y captura Dic/2024]:[Compartición e Interoperabilidad Dic/2024]])</f>
        <v>1</v>
      </c>
      <c r="AG40" s="14">
        <v>1</v>
      </c>
      <c r="AH40" s="14">
        <v>1</v>
      </c>
      <c r="AI40" s="17">
        <f>AVERAGE('Calidad de Datos'!W44:Z44)</f>
        <v>1</v>
      </c>
      <c r="AJ40" s="15">
        <f>Tabla13[[#This Row],[Uso y acceso Ene/2025]]</f>
        <v>1</v>
      </c>
      <c r="AK40" s="15">
        <f>Tabla58[[#This Row],[Integración Ene/2025]]</f>
        <v>1</v>
      </c>
      <c r="AL40" s="16">
        <f>AVERAGE(Tabla4[[#This Row],[Creación y captura Ene/2025]:[Compartición e Interoperabilidad Ene/2025]])</f>
        <v>1</v>
      </c>
      <c r="AM40" s="14">
        <v>1</v>
      </c>
      <c r="AN40" s="14">
        <v>1</v>
      </c>
      <c r="AO40" s="17">
        <f>AVERAGE('Calidad de Datos'!AA44:AD44)</f>
        <v>1</v>
      </c>
      <c r="AP40" s="15">
        <f>Tabla13[[#This Row],[Uso y acceso Feb/2025]]</f>
        <v>1</v>
      </c>
      <c r="AQ40" s="15">
        <f>Tabla58[[#This Row],[Integración Feb/2025]]</f>
        <v>1</v>
      </c>
      <c r="AR40" s="16">
        <f>AVERAGE(Tabla4[[#This Row],[Creación y captura Feb/2025]:[Compartición e Interoperabilidad Feb/2025]])</f>
        <v>1</v>
      </c>
      <c r="AS40" s="14">
        <v>1</v>
      </c>
      <c r="AT40" s="14">
        <v>1</v>
      </c>
      <c r="AU40" s="17">
        <f>AVERAGE('Calidad de Datos'!AE44:AH44)</f>
        <v>1</v>
      </c>
      <c r="AV40" s="15">
        <f>Tabla13[[#This Row],[Uso y acceso Mar/2025]]</f>
        <v>1</v>
      </c>
      <c r="AW40" s="15">
        <f>Tabla58[[#This Row],[Integración Mar/2025]]</f>
        <v>1</v>
      </c>
      <c r="AX40" s="16">
        <f>AVERAGE(Tabla4[[#This Row],[Creación y captura Mar/2025]:[Compartición e Interoperabilidad Mar/2025]])</f>
        <v>1</v>
      </c>
      <c r="AY40" s="14">
        <v>1</v>
      </c>
      <c r="AZ40" s="14">
        <v>1</v>
      </c>
      <c r="BA40" s="17">
        <f>AVERAGE('Calidad de Datos'!AI44:AL44)</f>
        <v>1</v>
      </c>
      <c r="BB40" s="15">
        <f>Tabla13[[#This Row],[Uso y acceso Abr/2025]]</f>
        <v>1</v>
      </c>
      <c r="BC40" s="15">
        <f>Tabla58[[#This Row],[Integración Abr/2025]]</f>
        <v>1</v>
      </c>
      <c r="BD40" s="16">
        <f>AVERAGE(Tabla4[[#This Row],[Creación y captura Abr/2025]:[Compartición e Interoperabilidad Abr/2025]])</f>
        <v>1</v>
      </c>
      <c r="BE40" s="14">
        <v>1</v>
      </c>
      <c r="BF40" s="14">
        <v>1</v>
      </c>
      <c r="BG40" s="17">
        <f>AVERAGE('Calidad de Datos'!AM44:AP44)</f>
        <v>1</v>
      </c>
      <c r="BH40" s="15">
        <f>Tabla13[[#This Row],[Uso y acceso May/2025]]</f>
        <v>1</v>
      </c>
      <c r="BI40" s="15">
        <f>Tabla58[[#This Row],[Integración May/2025]]</f>
        <v>1</v>
      </c>
      <c r="BJ40" s="16">
        <f>AVERAGE(Tabla4[[#This Row],[Creación y captura May/2025]:[Compartición e Interoperabilidad May/2025]])</f>
        <v>1</v>
      </c>
      <c r="BK40" s="14">
        <v>1</v>
      </c>
      <c r="BL40" s="14">
        <v>1</v>
      </c>
      <c r="BM40" s="14">
        <f>AVERAGE('Calidad de Datos'!AQ44:AT44)</f>
        <v>1</v>
      </c>
      <c r="BN40" s="14">
        <f>Tabla13[[#This Row],[Uso y acceso Dic/2025]]</f>
        <v>1</v>
      </c>
      <c r="BO40" s="14">
        <f>Tabla58[[#This Row],[Integración Dic/2025]]</f>
        <v>1</v>
      </c>
      <c r="BP40" s="16">
        <f>AVERAGE(Tabla4[[#This Row],[Creación y captura Dic/2025]:[Compartición e Interoperabilidad Dic/2025]])</f>
        <v>1</v>
      </c>
    </row>
    <row r="41" spans="2:68" x14ac:dyDescent="0.4">
      <c r="B41" s="1" t="s">
        <v>91</v>
      </c>
      <c r="C41" s="14"/>
      <c r="D41" s="14"/>
      <c r="E41" s="14">
        <f>AVERAGE('Calidad de Datos'!C45:F45)</f>
        <v>0</v>
      </c>
      <c r="F41" s="14">
        <f>Tabla13[[#This Row],[Uso y acceso Ago/2024]]</f>
        <v>0.3</v>
      </c>
      <c r="G41" s="15">
        <f>Tabla58[[#This Row],[Integración Ago/2024]]</f>
        <v>0</v>
      </c>
      <c r="H41" s="16">
        <f>AVERAGE(Tabla4[[#This Row],[Creación y captura Ago/2024]:[Compartición e Interoperabilidad Ago/2024]])</f>
        <v>9.9999999999999992E-2</v>
      </c>
      <c r="I41" s="14"/>
      <c r="J41" s="14"/>
      <c r="K41" s="15">
        <f>AVERAGE('Calidad de Datos'!G45:J45)</f>
        <v>0</v>
      </c>
      <c r="L41" s="15">
        <f>Tabla13[[#This Row],[Uso y acceso Sep/2024]]</f>
        <v>0.3</v>
      </c>
      <c r="M41" s="15">
        <f>Tabla58[[#This Row],[Integración Sep/2024]]</f>
        <v>0</v>
      </c>
      <c r="N41" s="16">
        <f>AVERAGE(Tabla4[[#This Row],[Creación y captura Sep/2024]:[Compartición e Interoperabilidad Sep/2024]])</f>
        <v>9.9999999999999992E-2</v>
      </c>
      <c r="O41" s="14">
        <v>0.5</v>
      </c>
      <c r="P41" s="14">
        <v>0.2</v>
      </c>
      <c r="Q41" s="15">
        <f>AVERAGE('Calidad de Datos'!K45:N45)</f>
        <v>0</v>
      </c>
      <c r="R41" s="15">
        <f>Tabla13[[#This Row],[Uso y acceso Oct/2024]]</f>
        <v>0.5</v>
      </c>
      <c r="S41" s="15">
        <f>Tabla58[[#This Row],[Integración Oct/2024]]</f>
        <v>0.2</v>
      </c>
      <c r="T41" s="16">
        <f>AVERAGE(Tabla4[[#This Row],[Creación y captura Oct/2024]:[Compartición e Interoperabilidad Oct/2024]])</f>
        <v>0.27999999999999997</v>
      </c>
      <c r="U41" s="14">
        <v>1</v>
      </c>
      <c r="V41" s="14">
        <v>1</v>
      </c>
      <c r="W41" s="15">
        <f>AVERAGE('Calidad de Datos'!O45:R45)</f>
        <v>1</v>
      </c>
      <c r="X41" s="15">
        <f>Tabla13[[#This Row],[Uso y acceso Nov/2024]]</f>
        <v>1</v>
      </c>
      <c r="Y41" s="15">
        <f>Tabla58[[#This Row],[Integración Nov/2024]]</f>
        <v>0.5</v>
      </c>
      <c r="Z41" s="16">
        <f>AVERAGE(Tabla4[[#This Row],[Creación y captura Nov/2024]:[Compartición e Interoperabilidad Nov/2024]])</f>
        <v>0.9</v>
      </c>
      <c r="AA41" s="14">
        <v>1</v>
      </c>
      <c r="AB41" s="14">
        <v>1</v>
      </c>
      <c r="AC41" s="15">
        <f>AVERAGE('Calidad de Datos'!S45:V45)</f>
        <v>1</v>
      </c>
      <c r="AD41" s="15">
        <f>Tabla13[[#This Row],[Uso y acceso Dic/2024]]</f>
        <v>1</v>
      </c>
      <c r="AE41" s="15">
        <f>Tabla58[[#This Row],[Integración Dic/2024]]</f>
        <v>1</v>
      </c>
      <c r="AF41" s="16">
        <f>AVERAGE(Tabla4[[#This Row],[Creación y captura Dic/2024]:[Compartición e Interoperabilidad Dic/2024]])</f>
        <v>1</v>
      </c>
      <c r="AG41" s="14">
        <v>1</v>
      </c>
      <c r="AH41" s="14">
        <v>1</v>
      </c>
      <c r="AI41" s="17">
        <f>AVERAGE('Calidad de Datos'!W45:Z45)</f>
        <v>1</v>
      </c>
      <c r="AJ41" s="15">
        <f>Tabla13[[#This Row],[Uso y acceso Ene/2025]]</f>
        <v>1</v>
      </c>
      <c r="AK41" s="15">
        <f>Tabla58[[#This Row],[Integración Ene/2025]]</f>
        <v>1</v>
      </c>
      <c r="AL41" s="16">
        <f>AVERAGE(Tabla4[[#This Row],[Creación y captura Ene/2025]:[Compartición e Interoperabilidad Ene/2025]])</f>
        <v>1</v>
      </c>
      <c r="AM41" s="14">
        <v>1</v>
      </c>
      <c r="AN41" s="14">
        <v>1</v>
      </c>
      <c r="AO41" s="17">
        <f>AVERAGE('Calidad de Datos'!AA45:AD45)</f>
        <v>1</v>
      </c>
      <c r="AP41" s="15">
        <f>Tabla13[[#This Row],[Uso y acceso Feb/2025]]</f>
        <v>1</v>
      </c>
      <c r="AQ41" s="15">
        <f>Tabla58[[#This Row],[Integración Feb/2025]]</f>
        <v>1</v>
      </c>
      <c r="AR41" s="16">
        <f>AVERAGE(Tabla4[[#This Row],[Creación y captura Feb/2025]:[Compartición e Interoperabilidad Feb/2025]])</f>
        <v>1</v>
      </c>
      <c r="AS41" s="14">
        <v>1</v>
      </c>
      <c r="AT41" s="14">
        <v>1</v>
      </c>
      <c r="AU41" s="17">
        <f>AVERAGE('Calidad de Datos'!AE45:AH45)</f>
        <v>1</v>
      </c>
      <c r="AV41" s="15">
        <f>Tabla13[[#This Row],[Uso y acceso Mar/2025]]</f>
        <v>1</v>
      </c>
      <c r="AW41" s="15">
        <f>Tabla58[[#This Row],[Integración Mar/2025]]</f>
        <v>1</v>
      </c>
      <c r="AX41" s="16">
        <f>AVERAGE(Tabla4[[#This Row],[Creación y captura Mar/2025]:[Compartición e Interoperabilidad Mar/2025]])</f>
        <v>1</v>
      </c>
      <c r="AY41" s="14">
        <v>1</v>
      </c>
      <c r="AZ41" s="14">
        <v>1</v>
      </c>
      <c r="BA41" s="17">
        <f>AVERAGE('Calidad de Datos'!AI45:AL45)</f>
        <v>1</v>
      </c>
      <c r="BB41" s="15">
        <f>Tabla13[[#This Row],[Uso y acceso Abr/2025]]</f>
        <v>1</v>
      </c>
      <c r="BC41" s="15">
        <f>Tabla58[[#This Row],[Integración Abr/2025]]</f>
        <v>1</v>
      </c>
      <c r="BD41" s="16">
        <f>AVERAGE(Tabla4[[#This Row],[Creación y captura Abr/2025]:[Compartición e Interoperabilidad Abr/2025]])</f>
        <v>1</v>
      </c>
      <c r="BE41" s="14">
        <v>1</v>
      </c>
      <c r="BF41" s="14">
        <v>1</v>
      </c>
      <c r="BG41" s="17">
        <f>AVERAGE('Calidad de Datos'!AM45:AP45)</f>
        <v>1</v>
      </c>
      <c r="BH41" s="15">
        <f>Tabla13[[#This Row],[Uso y acceso May/2025]]</f>
        <v>1</v>
      </c>
      <c r="BI41" s="15">
        <f>Tabla58[[#This Row],[Integración May/2025]]</f>
        <v>1</v>
      </c>
      <c r="BJ41" s="16">
        <f>AVERAGE(Tabla4[[#This Row],[Creación y captura May/2025]:[Compartición e Interoperabilidad May/2025]])</f>
        <v>1</v>
      </c>
      <c r="BK41" s="14">
        <v>1</v>
      </c>
      <c r="BL41" s="14">
        <v>1</v>
      </c>
      <c r="BM41" s="14">
        <f>AVERAGE('Calidad de Datos'!AQ45:AT45)</f>
        <v>1</v>
      </c>
      <c r="BN41" s="14">
        <f>Tabla13[[#This Row],[Uso y acceso Dic/2025]]</f>
        <v>1</v>
      </c>
      <c r="BO41" s="14">
        <f>Tabla58[[#This Row],[Integración Dic/2025]]</f>
        <v>1</v>
      </c>
      <c r="BP41" s="16">
        <f>AVERAGE(Tabla4[[#This Row],[Creación y captura Dic/2025]:[Compartición e Interoperabilidad Dic/2025]])</f>
        <v>1</v>
      </c>
    </row>
    <row r="42" spans="2:68" x14ac:dyDescent="0.4">
      <c r="B42" s="1" t="s">
        <v>92</v>
      </c>
      <c r="C42" s="14"/>
      <c r="D42" s="14"/>
      <c r="E42" s="14">
        <f>AVERAGE('Calidad de Datos'!C46:F46)</f>
        <v>0</v>
      </c>
      <c r="F42" s="14">
        <f>Tabla13[[#This Row],[Uso y acceso Ago/2024]]</f>
        <v>0</v>
      </c>
      <c r="G42" s="15">
        <f>Tabla58[[#This Row],[Integración Ago/2024]]</f>
        <v>0</v>
      </c>
      <c r="H42" s="16">
        <f>AVERAGE(Tabla4[[#This Row],[Creación y captura Ago/2024]:[Compartición e Interoperabilidad Ago/2024]])</f>
        <v>0</v>
      </c>
      <c r="I42" s="14">
        <v>0.2</v>
      </c>
      <c r="J42" s="14">
        <v>0.2</v>
      </c>
      <c r="K42" s="15">
        <f>AVERAGE('Calidad de Datos'!G46:J46)</f>
        <v>0</v>
      </c>
      <c r="L42" s="15">
        <f>Tabla13[[#This Row],[Uso y acceso Sep/2024]]</f>
        <v>0</v>
      </c>
      <c r="M42" s="15">
        <f>Tabla58[[#This Row],[Integración Sep/2024]]</f>
        <v>0.2</v>
      </c>
      <c r="N42" s="16">
        <f>AVERAGE(Tabla4[[#This Row],[Creación y captura Sep/2024]:[Compartición e Interoperabilidad Sep/2024]])</f>
        <v>0.12000000000000002</v>
      </c>
      <c r="O42" s="14">
        <v>0.55000000000000004</v>
      </c>
      <c r="P42" s="14">
        <v>0.25</v>
      </c>
      <c r="Q42" s="15">
        <f>AVERAGE('Calidad de Datos'!K46:N46)</f>
        <v>0</v>
      </c>
      <c r="R42" s="15">
        <f>Tabla13[[#This Row],[Uso y acceso Oct/2024]]</f>
        <v>1</v>
      </c>
      <c r="S42" s="15">
        <f>Tabla58[[#This Row],[Integración Oct/2024]]</f>
        <v>0.25</v>
      </c>
      <c r="T42" s="16">
        <f>AVERAGE(Tabla4[[#This Row],[Creación y captura Oct/2024]:[Compartición e Interoperabilidad Oct/2024]])</f>
        <v>0.41</v>
      </c>
      <c r="U42" s="14">
        <v>1</v>
      </c>
      <c r="V42" s="14">
        <v>1</v>
      </c>
      <c r="W42" s="15">
        <f>AVERAGE('Calidad de Datos'!O46:R46)</f>
        <v>1</v>
      </c>
      <c r="X42" s="15">
        <f>Tabla13[[#This Row],[Uso y acceso Nov/2024]]</f>
        <v>1</v>
      </c>
      <c r="Y42" s="15">
        <f>Tabla58[[#This Row],[Integración Nov/2024]]</f>
        <v>0.5</v>
      </c>
      <c r="Z42" s="16">
        <f>AVERAGE(Tabla4[[#This Row],[Creación y captura Nov/2024]:[Compartición e Interoperabilidad Nov/2024]])</f>
        <v>0.9</v>
      </c>
      <c r="AA42" s="14">
        <v>1</v>
      </c>
      <c r="AB42" s="14">
        <v>1</v>
      </c>
      <c r="AC42" s="15">
        <f>AVERAGE('Calidad de Datos'!S46:V46)</f>
        <v>1</v>
      </c>
      <c r="AD42" s="15">
        <f>Tabla13[[#This Row],[Uso y acceso Dic/2024]]</f>
        <v>1</v>
      </c>
      <c r="AE42" s="15">
        <f>Tabla58[[#This Row],[Integración Dic/2024]]</f>
        <v>1</v>
      </c>
      <c r="AF42" s="16">
        <f>AVERAGE(Tabla4[[#This Row],[Creación y captura Dic/2024]:[Compartición e Interoperabilidad Dic/2024]])</f>
        <v>1</v>
      </c>
      <c r="AG42" s="14">
        <v>1</v>
      </c>
      <c r="AH42" s="14">
        <v>1</v>
      </c>
      <c r="AI42" s="17">
        <f>AVERAGE('Calidad de Datos'!W46:Z46)</f>
        <v>1</v>
      </c>
      <c r="AJ42" s="15">
        <f>Tabla13[[#This Row],[Uso y acceso Ene/2025]]</f>
        <v>1</v>
      </c>
      <c r="AK42" s="15">
        <f>Tabla58[[#This Row],[Integración Ene/2025]]</f>
        <v>1</v>
      </c>
      <c r="AL42" s="16">
        <f>AVERAGE(Tabla4[[#This Row],[Creación y captura Ene/2025]:[Compartición e Interoperabilidad Ene/2025]])</f>
        <v>1</v>
      </c>
      <c r="AM42" s="14">
        <v>1</v>
      </c>
      <c r="AN42" s="14">
        <v>1</v>
      </c>
      <c r="AO42" s="17">
        <f>AVERAGE('Calidad de Datos'!AA46:AD46)</f>
        <v>1</v>
      </c>
      <c r="AP42" s="15">
        <f>Tabla13[[#This Row],[Uso y acceso Feb/2025]]</f>
        <v>1</v>
      </c>
      <c r="AQ42" s="15">
        <f>Tabla58[[#This Row],[Integración Feb/2025]]</f>
        <v>1</v>
      </c>
      <c r="AR42" s="16">
        <f>AVERAGE(Tabla4[[#This Row],[Creación y captura Feb/2025]:[Compartición e Interoperabilidad Feb/2025]])</f>
        <v>1</v>
      </c>
      <c r="AS42" s="14">
        <v>1</v>
      </c>
      <c r="AT42" s="14">
        <v>1</v>
      </c>
      <c r="AU42" s="17">
        <f>AVERAGE('Calidad de Datos'!AE46:AH46)</f>
        <v>1</v>
      </c>
      <c r="AV42" s="15">
        <f>Tabla13[[#This Row],[Uso y acceso Mar/2025]]</f>
        <v>1</v>
      </c>
      <c r="AW42" s="15">
        <f>Tabla58[[#This Row],[Integración Mar/2025]]</f>
        <v>1</v>
      </c>
      <c r="AX42" s="16">
        <f>AVERAGE(Tabla4[[#This Row],[Creación y captura Mar/2025]:[Compartición e Interoperabilidad Mar/2025]])</f>
        <v>1</v>
      </c>
      <c r="AY42" s="14">
        <v>1</v>
      </c>
      <c r="AZ42" s="14">
        <v>1</v>
      </c>
      <c r="BA42" s="17">
        <f>AVERAGE('Calidad de Datos'!AI46:AL46)</f>
        <v>1</v>
      </c>
      <c r="BB42" s="15">
        <f>Tabla13[[#This Row],[Uso y acceso Abr/2025]]</f>
        <v>1</v>
      </c>
      <c r="BC42" s="15">
        <f>Tabla58[[#This Row],[Integración Abr/2025]]</f>
        <v>1</v>
      </c>
      <c r="BD42" s="16">
        <f>AVERAGE(Tabla4[[#This Row],[Creación y captura Abr/2025]:[Compartición e Interoperabilidad Abr/2025]])</f>
        <v>1</v>
      </c>
      <c r="BE42" s="14">
        <v>1</v>
      </c>
      <c r="BF42" s="14">
        <v>1</v>
      </c>
      <c r="BG42" s="17">
        <f>AVERAGE('Calidad de Datos'!AM46:AP46)</f>
        <v>1</v>
      </c>
      <c r="BH42" s="15">
        <f>Tabla13[[#This Row],[Uso y acceso May/2025]]</f>
        <v>1</v>
      </c>
      <c r="BI42" s="15">
        <f>Tabla58[[#This Row],[Integración May/2025]]</f>
        <v>1</v>
      </c>
      <c r="BJ42" s="16">
        <f>AVERAGE(Tabla4[[#This Row],[Creación y captura May/2025]:[Compartición e Interoperabilidad May/2025]])</f>
        <v>1</v>
      </c>
      <c r="BK42" s="14">
        <v>1</v>
      </c>
      <c r="BL42" s="14">
        <v>1</v>
      </c>
      <c r="BM42" s="14">
        <f>AVERAGE('Calidad de Datos'!AQ46:AT46)</f>
        <v>1</v>
      </c>
      <c r="BN42" s="14">
        <f>Tabla13[[#This Row],[Uso y acceso Dic/2025]]</f>
        <v>1</v>
      </c>
      <c r="BO42" s="14">
        <f>Tabla58[[#This Row],[Integración Dic/2025]]</f>
        <v>1</v>
      </c>
      <c r="BP42" s="16">
        <f>AVERAGE(Tabla4[[#This Row],[Creación y captura Dic/2025]:[Compartición e Interoperabilidad Dic/2025]])</f>
        <v>1</v>
      </c>
    </row>
    <row r="43" spans="2:68" x14ac:dyDescent="0.4">
      <c r="B43" s="1" t="s">
        <v>93</v>
      </c>
      <c r="C43" s="14"/>
      <c r="D43" s="14"/>
      <c r="E43" s="14">
        <f>AVERAGE('Calidad de Datos'!C47:F47)</f>
        <v>0</v>
      </c>
      <c r="F43" s="14">
        <f>Tabla13[[#This Row],[Uso y acceso Ago/2024]]</f>
        <v>0.5</v>
      </c>
      <c r="G43" s="15">
        <f>Tabla58[[#This Row],[Integración Ago/2024]]</f>
        <v>0</v>
      </c>
      <c r="H43" s="16">
        <f>AVERAGE(Tabla4[[#This Row],[Creación y captura Ago/2024]:[Compartición e Interoperabilidad Ago/2024]])</f>
        <v>0.16666666666666666</v>
      </c>
      <c r="I43" s="14"/>
      <c r="J43" s="14"/>
      <c r="K43" s="15">
        <f>AVERAGE('Calidad de Datos'!G47:J47)</f>
        <v>0</v>
      </c>
      <c r="L43" s="15">
        <f>Tabla13[[#This Row],[Uso y acceso Sep/2024]]</f>
        <v>0.9</v>
      </c>
      <c r="M43" s="15">
        <f>Tabla58[[#This Row],[Integración Sep/2024]]</f>
        <v>0</v>
      </c>
      <c r="N43" s="16">
        <f>AVERAGE(Tabla4[[#This Row],[Creación y captura Sep/2024]:[Compartición e Interoperabilidad Sep/2024]])</f>
        <v>0.3</v>
      </c>
      <c r="O43" s="14">
        <v>0.3</v>
      </c>
      <c r="P43" s="14">
        <v>0.15</v>
      </c>
      <c r="Q43" s="15">
        <f>AVERAGE('Calidad de Datos'!K47:N47)</f>
        <v>0</v>
      </c>
      <c r="R43" s="15">
        <f>Tabla13[[#This Row],[Uso y acceso Oct/2024]]</f>
        <v>0.9</v>
      </c>
      <c r="S43" s="15">
        <f>Tabla58[[#This Row],[Integración Oct/2024]]</f>
        <v>0.15</v>
      </c>
      <c r="T43" s="16">
        <f>AVERAGE(Tabla4[[#This Row],[Creación y captura Oct/2024]:[Compartición e Interoperabilidad Oct/2024]])</f>
        <v>0.3</v>
      </c>
      <c r="U43" s="14">
        <v>0.8</v>
      </c>
      <c r="V43" s="14">
        <v>0.8</v>
      </c>
      <c r="W43" s="15">
        <f>AVERAGE('Calidad de Datos'!O47:R47)</f>
        <v>0.80500000000000005</v>
      </c>
      <c r="X43" s="15">
        <f>Tabla13[[#This Row],[Uso y acceso Nov/2024]]</f>
        <v>0.995</v>
      </c>
      <c r="Y43" s="15">
        <f>Tabla58[[#This Row],[Integración Nov/2024]]</f>
        <v>0.6</v>
      </c>
      <c r="Z43" s="16">
        <f>AVERAGE(Tabla4[[#This Row],[Creación y captura Nov/2024]:[Compartición e Interoperabilidad Nov/2024]])</f>
        <v>0.8</v>
      </c>
      <c r="AA43" s="14">
        <v>0.9</v>
      </c>
      <c r="AB43" s="14">
        <v>0.9</v>
      </c>
      <c r="AC43" s="15">
        <f>AVERAGE('Calidad de Datos'!S47:V47)</f>
        <v>0.90500000000000003</v>
      </c>
      <c r="AD43" s="15">
        <f>Tabla13[[#This Row],[Uso y acceso Dic/2024]]</f>
        <v>0.995</v>
      </c>
      <c r="AE43" s="15">
        <f>Tabla58[[#This Row],[Integración Dic/2024]]</f>
        <v>0.9</v>
      </c>
      <c r="AF43" s="16">
        <f>AVERAGE(Tabla4[[#This Row],[Creación y captura Dic/2024]:[Compartición e Interoperabilidad Dic/2024]])</f>
        <v>0.92000000000000015</v>
      </c>
      <c r="AG43" s="14">
        <v>0.95</v>
      </c>
      <c r="AH43" s="14">
        <v>1</v>
      </c>
      <c r="AI43" s="17">
        <f>AVERAGE('Calidad de Datos'!W47:Z47)</f>
        <v>0.9375</v>
      </c>
      <c r="AJ43" s="15">
        <f>Tabla13[[#This Row],[Uso y acceso Ene/2025]]</f>
        <v>0.995</v>
      </c>
      <c r="AK43" s="15">
        <f>Tabla58[[#This Row],[Integración Ene/2025]]</f>
        <v>0.95</v>
      </c>
      <c r="AL43" s="16">
        <f>AVERAGE(Tabla4[[#This Row],[Creación y captura Ene/2025]:[Compartición e Interoperabilidad Ene/2025]])</f>
        <v>0.96650000000000014</v>
      </c>
      <c r="AM43" s="14">
        <v>0.95</v>
      </c>
      <c r="AN43" s="14">
        <v>1</v>
      </c>
      <c r="AO43" s="17">
        <f>AVERAGE('Calidad de Datos'!AA47:AD47)</f>
        <v>0.98249999999999993</v>
      </c>
      <c r="AP43" s="15">
        <f>Tabla13[[#This Row],[Uso y acceso Feb/2025]]</f>
        <v>0.995</v>
      </c>
      <c r="AQ43" s="15">
        <f>Tabla58[[#This Row],[Integración Feb/2025]]</f>
        <v>1</v>
      </c>
      <c r="AR43" s="16">
        <f>AVERAGE(Tabla4[[#This Row],[Creación y captura Feb/2025]:[Compartición e Interoperabilidad Feb/2025]])</f>
        <v>0.98550000000000004</v>
      </c>
      <c r="AS43" s="14">
        <v>0.95</v>
      </c>
      <c r="AT43" s="14">
        <v>1</v>
      </c>
      <c r="AU43" s="17">
        <f>AVERAGE('Calidad de Datos'!AE47:AH47)</f>
        <v>0.98750000000000004</v>
      </c>
      <c r="AV43" s="15">
        <f>Tabla13[[#This Row],[Uso y acceso Mar/2025]]</f>
        <v>0.995</v>
      </c>
      <c r="AW43" s="15">
        <f>Tabla58[[#This Row],[Integración Mar/2025]]</f>
        <v>1</v>
      </c>
      <c r="AX43" s="16">
        <f>AVERAGE(Tabla4[[#This Row],[Creación y captura Mar/2025]:[Compartición e Interoperabilidad Mar/2025]])</f>
        <v>0.98650000000000004</v>
      </c>
      <c r="AY43" s="14">
        <v>1</v>
      </c>
      <c r="AZ43" s="14">
        <v>1</v>
      </c>
      <c r="BA43" s="17">
        <f>AVERAGE('Calidad de Datos'!AI47:AL47)</f>
        <v>1</v>
      </c>
      <c r="BB43" s="15">
        <f>Tabla13[[#This Row],[Uso y acceso Abr/2025]]</f>
        <v>0.995</v>
      </c>
      <c r="BC43" s="15">
        <f>Tabla58[[#This Row],[Integración Abr/2025]]</f>
        <v>1</v>
      </c>
      <c r="BD43" s="16">
        <f>AVERAGE(Tabla4[[#This Row],[Creación y captura Abr/2025]:[Compartición e Interoperabilidad Abr/2025]])</f>
        <v>0.999</v>
      </c>
      <c r="BE43" s="14">
        <v>1</v>
      </c>
      <c r="BF43" s="14">
        <v>1</v>
      </c>
      <c r="BG43" s="17">
        <f>AVERAGE('Calidad de Datos'!AM47:AP47)</f>
        <v>1</v>
      </c>
      <c r="BH43" s="15">
        <f>Tabla13[[#This Row],[Uso y acceso May/2025]]</f>
        <v>0.995</v>
      </c>
      <c r="BI43" s="15">
        <f>Tabla58[[#This Row],[Integración May/2025]]</f>
        <v>1</v>
      </c>
      <c r="BJ43" s="16">
        <f>AVERAGE(Tabla4[[#This Row],[Creación y captura May/2025]:[Compartición e Interoperabilidad May/2025]])</f>
        <v>0.999</v>
      </c>
      <c r="BK43" s="14">
        <v>1</v>
      </c>
      <c r="BL43" s="14">
        <v>1</v>
      </c>
      <c r="BM43" s="14">
        <f>AVERAGE('Calidad de Datos'!AQ47:AT47)</f>
        <v>1</v>
      </c>
      <c r="BN43" s="14">
        <f>Tabla13[[#This Row],[Uso y acceso Dic/2025]]</f>
        <v>0.995</v>
      </c>
      <c r="BO43" s="14">
        <f>Tabla58[[#This Row],[Integración Dic/2025]]</f>
        <v>1</v>
      </c>
      <c r="BP43" s="16">
        <f>AVERAGE(Tabla4[[#This Row],[Creación y captura Dic/2025]:[Compartición e Interoperabilidad Dic/2025]])</f>
        <v>0.999</v>
      </c>
    </row>
    <row r="44" spans="2:68" x14ac:dyDescent="0.4">
      <c r="B44" s="1" t="s">
        <v>94</v>
      </c>
      <c r="C44" s="14"/>
      <c r="D44" s="14"/>
      <c r="E44" s="14">
        <f>AVERAGE('Calidad de Datos'!C48:F48)</f>
        <v>0</v>
      </c>
      <c r="F44" s="14">
        <f>Tabla13[[#This Row],[Uso y acceso Ago/2024]]</f>
        <v>0.3</v>
      </c>
      <c r="G44" s="15">
        <f>Tabla58[[#This Row],[Integración Ago/2024]]</f>
        <v>0</v>
      </c>
      <c r="H44" s="16">
        <f>AVERAGE(Tabla4[[#This Row],[Creación y captura Ago/2024]:[Compartición e Interoperabilidad Ago/2024]])</f>
        <v>9.9999999999999992E-2</v>
      </c>
      <c r="I44" s="14"/>
      <c r="J44" s="14"/>
      <c r="K44" s="15">
        <f>AVERAGE('Calidad de Datos'!G48:J48)</f>
        <v>0</v>
      </c>
      <c r="L44" s="15">
        <f>Tabla13[[#This Row],[Uso y acceso Sep/2024]]</f>
        <v>0.3</v>
      </c>
      <c r="M44" s="15">
        <f>Tabla58[[#This Row],[Integración Sep/2024]]</f>
        <v>0</v>
      </c>
      <c r="N44" s="16">
        <f>AVERAGE(Tabla4[[#This Row],[Creación y captura Sep/2024]:[Compartición e Interoperabilidad Sep/2024]])</f>
        <v>9.9999999999999992E-2</v>
      </c>
      <c r="O44" s="14">
        <v>0.3</v>
      </c>
      <c r="P44" s="14">
        <v>0.15</v>
      </c>
      <c r="Q44" s="15">
        <f>AVERAGE('Calidad de Datos'!K48:N48)</f>
        <v>0</v>
      </c>
      <c r="R44" s="15">
        <f>Tabla13[[#This Row],[Uso y acceso Oct/2024]]</f>
        <v>1</v>
      </c>
      <c r="S44" s="15">
        <f>Tabla58[[#This Row],[Integración Oct/2024]]</f>
        <v>0.15</v>
      </c>
      <c r="T44" s="16">
        <f>AVERAGE(Tabla4[[#This Row],[Creación y captura Oct/2024]:[Compartición e Interoperabilidad Oct/2024]])</f>
        <v>0.31999999999999995</v>
      </c>
      <c r="U44" s="14">
        <v>1</v>
      </c>
      <c r="V44" s="14">
        <v>1</v>
      </c>
      <c r="W44" s="15">
        <f>AVERAGE('Calidad de Datos'!O48:R48)</f>
        <v>1</v>
      </c>
      <c r="X44" s="15">
        <f>Tabla13[[#This Row],[Uso y acceso Nov/2024]]</f>
        <v>1</v>
      </c>
      <c r="Y44" s="15">
        <f>Tabla58[[#This Row],[Integración Nov/2024]]</f>
        <v>0.6</v>
      </c>
      <c r="Z44" s="16">
        <f>AVERAGE(Tabla4[[#This Row],[Creación y captura Nov/2024]:[Compartición e Interoperabilidad Nov/2024]])</f>
        <v>0.91999999999999993</v>
      </c>
      <c r="AA44" s="14">
        <v>1</v>
      </c>
      <c r="AB44" s="14">
        <v>1</v>
      </c>
      <c r="AC44" s="15">
        <f>AVERAGE('Calidad de Datos'!S48:V48)</f>
        <v>1</v>
      </c>
      <c r="AD44" s="15">
        <f>Tabla13[[#This Row],[Uso y acceso Dic/2024]]</f>
        <v>1</v>
      </c>
      <c r="AE44" s="15">
        <f>Tabla58[[#This Row],[Integración Dic/2024]]</f>
        <v>1</v>
      </c>
      <c r="AF44" s="16">
        <f>AVERAGE(Tabla4[[#This Row],[Creación y captura Dic/2024]:[Compartición e Interoperabilidad Dic/2024]])</f>
        <v>1</v>
      </c>
      <c r="AG44" s="14">
        <v>1</v>
      </c>
      <c r="AH44" s="14">
        <v>1</v>
      </c>
      <c r="AI44" s="17">
        <f>AVERAGE('Calidad de Datos'!W48:Z48)</f>
        <v>1</v>
      </c>
      <c r="AJ44" s="15">
        <f>Tabla13[[#This Row],[Uso y acceso Ene/2025]]</f>
        <v>1</v>
      </c>
      <c r="AK44" s="15">
        <f>Tabla58[[#This Row],[Integración Ene/2025]]</f>
        <v>1</v>
      </c>
      <c r="AL44" s="16">
        <f>AVERAGE(Tabla4[[#This Row],[Creación y captura Ene/2025]:[Compartición e Interoperabilidad Ene/2025]])</f>
        <v>1</v>
      </c>
      <c r="AM44" s="14">
        <v>1</v>
      </c>
      <c r="AN44" s="14">
        <v>1</v>
      </c>
      <c r="AO44" s="17">
        <f>AVERAGE('Calidad de Datos'!AA48:AD48)</f>
        <v>1</v>
      </c>
      <c r="AP44" s="15">
        <f>Tabla13[[#This Row],[Uso y acceso Feb/2025]]</f>
        <v>1</v>
      </c>
      <c r="AQ44" s="15">
        <f>Tabla58[[#This Row],[Integración Feb/2025]]</f>
        <v>1</v>
      </c>
      <c r="AR44" s="16">
        <f>AVERAGE(Tabla4[[#This Row],[Creación y captura Feb/2025]:[Compartición e Interoperabilidad Feb/2025]])</f>
        <v>1</v>
      </c>
      <c r="AS44" s="14">
        <v>1</v>
      </c>
      <c r="AT44" s="14">
        <v>1</v>
      </c>
      <c r="AU44" s="17">
        <f>AVERAGE('Calidad de Datos'!AE48:AH48)</f>
        <v>1</v>
      </c>
      <c r="AV44" s="15">
        <f>Tabla13[[#This Row],[Uso y acceso Mar/2025]]</f>
        <v>1</v>
      </c>
      <c r="AW44" s="15">
        <f>Tabla58[[#This Row],[Integración Mar/2025]]</f>
        <v>1</v>
      </c>
      <c r="AX44" s="16">
        <f>AVERAGE(Tabla4[[#This Row],[Creación y captura Mar/2025]:[Compartición e Interoperabilidad Mar/2025]])</f>
        <v>1</v>
      </c>
      <c r="AY44" s="14">
        <v>1</v>
      </c>
      <c r="AZ44" s="14">
        <v>1</v>
      </c>
      <c r="BA44" s="17">
        <f>AVERAGE('Calidad de Datos'!AI48:AL48)</f>
        <v>1</v>
      </c>
      <c r="BB44" s="15">
        <f>Tabla13[[#This Row],[Uso y acceso Abr/2025]]</f>
        <v>1</v>
      </c>
      <c r="BC44" s="15">
        <f>Tabla58[[#This Row],[Integración Abr/2025]]</f>
        <v>1</v>
      </c>
      <c r="BD44" s="16">
        <f>AVERAGE(Tabla4[[#This Row],[Creación y captura Abr/2025]:[Compartición e Interoperabilidad Abr/2025]])</f>
        <v>1</v>
      </c>
      <c r="BE44" s="14">
        <v>1</v>
      </c>
      <c r="BF44" s="14">
        <v>1</v>
      </c>
      <c r="BG44" s="17">
        <f>AVERAGE('Calidad de Datos'!AM48:AP48)</f>
        <v>1</v>
      </c>
      <c r="BH44" s="15">
        <f>Tabla13[[#This Row],[Uso y acceso May/2025]]</f>
        <v>1</v>
      </c>
      <c r="BI44" s="15">
        <f>Tabla58[[#This Row],[Integración May/2025]]</f>
        <v>1</v>
      </c>
      <c r="BJ44" s="16">
        <f>AVERAGE(Tabla4[[#This Row],[Creación y captura May/2025]:[Compartición e Interoperabilidad May/2025]])</f>
        <v>1</v>
      </c>
      <c r="BK44" s="14">
        <v>1</v>
      </c>
      <c r="BL44" s="14">
        <v>1</v>
      </c>
      <c r="BM44" s="14">
        <f>AVERAGE('Calidad de Datos'!AQ48:AT48)</f>
        <v>1</v>
      </c>
      <c r="BN44" s="14">
        <f>Tabla13[[#This Row],[Uso y acceso Dic/2025]]</f>
        <v>1</v>
      </c>
      <c r="BO44" s="14">
        <f>Tabla58[[#This Row],[Integración Dic/2025]]</f>
        <v>1</v>
      </c>
      <c r="BP44" s="16">
        <f>AVERAGE(Tabla4[[#This Row],[Creación y captura Dic/2025]:[Compartición e Interoperabilidad Dic/2025]])</f>
        <v>1</v>
      </c>
    </row>
    <row r="45" spans="2:68" x14ac:dyDescent="0.4">
      <c r="B45" s="1" t="s">
        <v>95</v>
      </c>
      <c r="C45" s="14"/>
      <c r="D45" s="14"/>
      <c r="E45" s="14">
        <f>AVERAGE('Calidad de Datos'!C49:F49)</f>
        <v>0</v>
      </c>
      <c r="F45" s="14">
        <f>Tabla13[[#This Row],[Uso y acceso Ago/2024]]</f>
        <v>0.3</v>
      </c>
      <c r="G45" s="15">
        <f>Tabla58[[#This Row],[Integración Ago/2024]]</f>
        <v>0</v>
      </c>
      <c r="H45" s="16">
        <f>AVERAGE(Tabla4[[#This Row],[Creación y captura Ago/2024]:[Compartición e Interoperabilidad Ago/2024]])</f>
        <v>9.9999999999999992E-2</v>
      </c>
      <c r="I45" s="14"/>
      <c r="J45" s="14"/>
      <c r="K45" s="15">
        <f>AVERAGE('Calidad de Datos'!G49:J49)</f>
        <v>0</v>
      </c>
      <c r="L45" s="15">
        <f>Tabla13[[#This Row],[Uso y acceso Sep/2024]]</f>
        <v>0.3</v>
      </c>
      <c r="M45" s="15">
        <f>Tabla58[[#This Row],[Integración Sep/2024]]</f>
        <v>0</v>
      </c>
      <c r="N45" s="16">
        <f>AVERAGE(Tabla4[[#This Row],[Creación y captura Sep/2024]:[Compartición e Interoperabilidad Sep/2024]])</f>
        <v>9.9999999999999992E-2</v>
      </c>
      <c r="O45" s="14">
        <v>0.5</v>
      </c>
      <c r="P45" s="14">
        <v>0.2</v>
      </c>
      <c r="Q45" s="15">
        <f>AVERAGE('Calidad de Datos'!K49:N49)</f>
        <v>0</v>
      </c>
      <c r="R45" s="15">
        <f>Tabla13[[#This Row],[Uso y acceso Oct/2024]]</f>
        <v>1</v>
      </c>
      <c r="S45" s="15">
        <f>Tabla58[[#This Row],[Integración Oct/2024]]</f>
        <v>0.2</v>
      </c>
      <c r="T45" s="16">
        <f>AVERAGE(Tabla4[[#This Row],[Creación y captura Oct/2024]:[Compartición e Interoperabilidad Oct/2024]])</f>
        <v>0.38</v>
      </c>
      <c r="U45" s="14">
        <v>1</v>
      </c>
      <c r="V45" s="14">
        <v>1</v>
      </c>
      <c r="W45" s="15">
        <f>AVERAGE('Calidad de Datos'!O49:R49)</f>
        <v>1</v>
      </c>
      <c r="X45" s="15">
        <f>Tabla13[[#This Row],[Uso y acceso Nov/2024]]</f>
        <v>1</v>
      </c>
      <c r="Y45" s="15">
        <f>Tabla58[[#This Row],[Integración Nov/2024]]</f>
        <v>0.5</v>
      </c>
      <c r="Z45" s="16">
        <f>AVERAGE(Tabla4[[#This Row],[Creación y captura Nov/2024]:[Compartición e Interoperabilidad Nov/2024]])</f>
        <v>0.9</v>
      </c>
      <c r="AA45" s="14">
        <v>1</v>
      </c>
      <c r="AB45" s="14">
        <v>1</v>
      </c>
      <c r="AC45" s="15">
        <f>AVERAGE('Calidad de Datos'!S49:V49)</f>
        <v>1</v>
      </c>
      <c r="AD45" s="15">
        <f>Tabla13[[#This Row],[Uso y acceso Dic/2024]]</f>
        <v>1</v>
      </c>
      <c r="AE45" s="15">
        <f>Tabla58[[#This Row],[Integración Dic/2024]]</f>
        <v>1</v>
      </c>
      <c r="AF45" s="16">
        <f>AVERAGE(Tabla4[[#This Row],[Creación y captura Dic/2024]:[Compartición e Interoperabilidad Dic/2024]])</f>
        <v>1</v>
      </c>
      <c r="AG45" s="14">
        <v>1</v>
      </c>
      <c r="AH45" s="14">
        <v>1</v>
      </c>
      <c r="AI45" s="17">
        <f>AVERAGE('Calidad de Datos'!W49:Z49)</f>
        <v>1</v>
      </c>
      <c r="AJ45" s="15">
        <f>Tabla13[[#This Row],[Uso y acceso Ene/2025]]</f>
        <v>1</v>
      </c>
      <c r="AK45" s="15">
        <f>Tabla58[[#This Row],[Integración Ene/2025]]</f>
        <v>1</v>
      </c>
      <c r="AL45" s="16">
        <f>AVERAGE(Tabla4[[#This Row],[Creación y captura Ene/2025]:[Compartición e Interoperabilidad Ene/2025]])</f>
        <v>1</v>
      </c>
      <c r="AM45" s="14">
        <v>1</v>
      </c>
      <c r="AN45" s="14">
        <v>1</v>
      </c>
      <c r="AO45" s="17">
        <f>AVERAGE('Calidad de Datos'!AA49:AD49)</f>
        <v>1</v>
      </c>
      <c r="AP45" s="15">
        <f>Tabla13[[#This Row],[Uso y acceso Feb/2025]]</f>
        <v>1</v>
      </c>
      <c r="AQ45" s="15">
        <f>Tabla58[[#This Row],[Integración Feb/2025]]</f>
        <v>1</v>
      </c>
      <c r="AR45" s="16">
        <f>AVERAGE(Tabla4[[#This Row],[Creación y captura Feb/2025]:[Compartición e Interoperabilidad Feb/2025]])</f>
        <v>1</v>
      </c>
      <c r="AS45" s="14">
        <v>1</v>
      </c>
      <c r="AT45" s="14">
        <v>1</v>
      </c>
      <c r="AU45" s="17">
        <f>AVERAGE('Calidad de Datos'!AE49:AH49)</f>
        <v>1</v>
      </c>
      <c r="AV45" s="15">
        <f>Tabla13[[#This Row],[Uso y acceso Mar/2025]]</f>
        <v>1</v>
      </c>
      <c r="AW45" s="15">
        <f>Tabla58[[#This Row],[Integración Mar/2025]]</f>
        <v>1</v>
      </c>
      <c r="AX45" s="16">
        <f>AVERAGE(Tabla4[[#This Row],[Creación y captura Mar/2025]:[Compartición e Interoperabilidad Mar/2025]])</f>
        <v>1</v>
      </c>
      <c r="AY45" s="14">
        <v>1</v>
      </c>
      <c r="AZ45" s="14">
        <v>1</v>
      </c>
      <c r="BA45" s="17">
        <f>AVERAGE('Calidad de Datos'!AI49:AL49)</f>
        <v>1</v>
      </c>
      <c r="BB45" s="15">
        <f>Tabla13[[#This Row],[Uso y acceso Abr/2025]]</f>
        <v>1</v>
      </c>
      <c r="BC45" s="15">
        <f>Tabla58[[#This Row],[Integración Abr/2025]]</f>
        <v>1</v>
      </c>
      <c r="BD45" s="16">
        <f>AVERAGE(Tabla4[[#This Row],[Creación y captura Abr/2025]:[Compartición e Interoperabilidad Abr/2025]])</f>
        <v>1</v>
      </c>
      <c r="BE45" s="14">
        <v>1</v>
      </c>
      <c r="BF45" s="14">
        <v>1</v>
      </c>
      <c r="BG45" s="17">
        <f>AVERAGE('Calidad de Datos'!AM49:AP49)</f>
        <v>1</v>
      </c>
      <c r="BH45" s="15">
        <f>Tabla13[[#This Row],[Uso y acceso May/2025]]</f>
        <v>1</v>
      </c>
      <c r="BI45" s="15">
        <f>Tabla58[[#This Row],[Integración May/2025]]</f>
        <v>1</v>
      </c>
      <c r="BJ45" s="16">
        <f>AVERAGE(Tabla4[[#This Row],[Creación y captura May/2025]:[Compartición e Interoperabilidad May/2025]])</f>
        <v>1</v>
      </c>
      <c r="BK45" s="14">
        <v>1</v>
      </c>
      <c r="BL45" s="14">
        <v>1</v>
      </c>
      <c r="BM45" s="14">
        <f>AVERAGE('Calidad de Datos'!AQ49:AT49)</f>
        <v>1</v>
      </c>
      <c r="BN45" s="14">
        <f>Tabla13[[#This Row],[Uso y acceso Dic/2025]]</f>
        <v>1</v>
      </c>
      <c r="BO45" s="14">
        <f>Tabla58[[#This Row],[Integración Dic/2025]]</f>
        <v>1</v>
      </c>
      <c r="BP45" s="16">
        <f>AVERAGE(Tabla4[[#This Row],[Creación y captura Dic/2025]:[Compartición e Interoperabilidad Dic/2025]])</f>
        <v>1</v>
      </c>
    </row>
    <row r="46" spans="2:68" x14ac:dyDescent="0.4">
      <c r="B46" s="1" t="s">
        <v>96</v>
      </c>
      <c r="C46" s="14">
        <v>1</v>
      </c>
      <c r="D46" s="14">
        <v>1</v>
      </c>
      <c r="E46" s="14">
        <f>AVERAGE('Calidad de Datos'!C50:F50)</f>
        <v>1</v>
      </c>
      <c r="F46" s="14">
        <f>Tabla13[[#This Row],[Uso y acceso Ago/2024]]</f>
        <v>1</v>
      </c>
      <c r="G46" s="15">
        <f>Tabla58[[#This Row],[Integración Ago/2024]]</f>
        <v>1</v>
      </c>
      <c r="H46" s="16">
        <f>AVERAGE(Tabla4[[#This Row],[Creación y captura Ago/2024]:[Compartición e Interoperabilidad Ago/2024]])</f>
        <v>1</v>
      </c>
      <c r="I46" s="14">
        <v>1</v>
      </c>
      <c r="J46" s="14">
        <v>1</v>
      </c>
      <c r="K46" s="15">
        <f>AVERAGE('Calidad de Datos'!G50:J50)</f>
        <v>1</v>
      </c>
      <c r="L46" s="15">
        <f>Tabla13[[#This Row],[Uso y acceso Sep/2024]]</f>
        <v>1</v>
      </c>
      <c r="M46" s="15">
        <f>Tabla58[[#This Row],[Integración Sep/2024]]</f>
        <v>1</v>
      </c>
      <c r="N46" s="16">
        <f>AVERAGE(Tabla4[[#This Row],[Creación y captura Sep/2024]:[Compartición e Interoperabilidad Sep/2024]])</f>
        <v>1</v>
      </c>
      <c r="O46" s="14">
        <v>1</v>
      </c>
      <c r="P46" s="14">
        <v>1</v>
      </c>
      <c r="Q46" s="15">
        <f>AVERAGE('Calidad de Datos'!K50:N50)</f>
        <v>1</v>
      </c>
      <c r="R46" s="15">
        <f>Tabla13[[#This Row],[Uso y acceso Oct/2024]]</f>
        <v>1</v>
      </c>
      <c r="S46" s="15">
        <f>Tabla58[[#This Row],[Integración Oct/2024]]</f>
        <v>1</v>
      </c>
      <c r="T46" s="16">
        <f>AVERAGE(Tabla4[[#This Row],[Creación y captura Oct/2024]:[Compartición e Interoperabilidad Oct/2024]])</f>
        <v>1</v>
      </c>
      <c r="U46" s="14">
        <v>1</v>
      </c>
      <c r="V46" s="14">
        <v>1</v>
      </c>
      <c r="W46" s="15">
        <f>AVERAGE('Calidad de Datos'!O50:R50)</f>
        <v>1</v>
      </c>
      <c r="X46" s="15">
        <f>Tabla13[[#This Row],[Uso y acceso Nov/2024]]</f>
        <v>1</v>
      </c>
      <c r="Y46" s="15">
        <f>Tabla58[[#This Row],[Integración Nov/2024]]</f>
        <v>1</v>
      </c>
      <c r="Z46" s="16">
        <f>AVERAGE(Tabla4[[#This Row],[Creación y captura Nov/2024]:[Compartición e Interoperabilidad Nov/2024]])</f>
        <v>1</v>
      </c>
      <c r="AA46" s="14">
        <v>1</v>
      </c>
      <c r="AB46" s="14">
        <v>1</v>
      </c>
      <c r="AC46" s="15">
        <f>AVERAGE('Calidad de Datos'!S50:V50)</f>
        <v>1</v>
      </c>
      <c r="AD46" s="15">
        <f>Tabla13[[#This Row],[Uso y acceso Dic/2024]]</f>
        <v>1</v>
      </c>
      <c r="AE46" s="15">
        <f>Tabla58[[#This Row],[Integración Dic/2024]]</f>
        <v>1</v>
      </c>
      <c r="AF46" s="16">
        <f>AVERAGE(Tabla4[[#This Row],[Creación y captura Dic/2024]:[Compartición e Interoperabilidad Dic/2024]])</f>
        <v>1</v>
      </c>
      <c r="AG46" s="14">
        <v>1</v>
      </c>
      <c r="AH46" s="14">
        <v>1</v>
      </c>
      <c r="AI46" s="17">
        <f>AVERAGE('Calidad de Datos'!W50:Z50)</f>
        <v>1</v>
      </c>
      <c r="AJ46" s="15">
        <f>Tabla13[[#This Row],[Uso y acceso Ene/2025]]</f>
        <v>1</v>
      </c>
      <c r="AK46" s="15">
        <f>Tabla58[[#This Row],[Integración Ene/2025]]</f>
        <v>1</v>
      </c>
      <c r="AL46" s="16">
        <f>AVERAGE(Tabla4[[#This Row],[Creación y captura Ene/2025]:[Compartición e Interoperabilidad Ene/2025]])</f>
        <v>1</v>
      </c>
      <c r="AM46" s="14">
        <v>1</v>
      </c>
      <c r="AN46" s="14">
        <v>1</v>
      </c>
      <c r="AO46" s="17">
        <f>AVERAGE('Calidad de Datos'!AA50:AD50)</f>
        <v>1</v>
      </c>
      <c r="AP46" s="15">
        <f>Tabla13[[#This Row],[Uso y acceso Feb/2025]]</f>
        <v>1</v>
      </c>
      <c r="AQ46" s="15">
        <f>Tabla58[[#This Row],[Integración Feb/2025]]</f>
        <v>1</v>
      </c>
      <c r="AR46" s="16">
        <f>AVERAGE(Tabla4[[#This Row],[Creación y captura Feb/2025]:[Compartición e Interoperabilidad Feb/2025]])</f>
        <v>1</v>
      </c>
      <c r="AS46" s="14">
        <v>1</v>
      </c>
      <c r="AT46" s="14">
        <v>1</v>
      </c>
      <c r="AU46" s="17">
        <f>AVERAGE('Calidad de Datos'!AE50:AH50)</f>
        <v>1</v>
      </c>
      <c r="AV46" s="15">
        <f>Tabla13[[#This Row],[Uso y acceso Mar/2025]]</f>
        <v>1</v>
      </c>
      <c r="AW46" s="15">
        <f>Tabla58[[#This Row],[Integración Mar/2025]]</f>
        <v>1</v>
      </c>
      <c r="AX46" s="16">
        <f>AVERAGE(Tabla4[[#This Row],[Creación y captura Mar/2025]:[Compartición e Interoperabilidad Mar/2025]])</f>
        <v>1</v>
      </c>
      <c r="AY46" s="14">
        <v>1</v>
      </c>
      <c r="AZ46" s="14">
        <v>1</v>
      </c>
      <c r="BA46" s="17">
        <f>AVERAGE('Calidad de Datos'!AI50:AL50)</f>
        <v>1</v>
      </c>
      <c r="BB46" s="15">
        <f>Tabla13[[#This Row],[Uso y acceso Abr/2025]]</f>
        <v>1</v>
      </c>
      <c r="BC46" s="15">
        <f>Tabla58[[#This Row],[Integración Abr/2025]]</f>
        <v>1</v>
      </c>
      <c r="BD46" s="16">
        <f>AVERAGE(Tabla4[[#This Row],[Creación y captura Abr/2025]:[Compartición e Interoperabilidad Abr/2025]])</f>
        <v>1</v>
      </c>
      <c r="BE46" s="14">
        <v>1</v>
      </c>
      <c r="BF46" s="14">
        <v>1</v>
      </c>
      <c r="BG46" s="17">
        <f>AVERAGE('Calidad de Datos'!AM50:AP50)</f>
        <v>1</v>
      </c>
      <c r="BH46" s="15">
        <f>Tabla13[[#This Row],[Uso y acceso May/2025]]</f>
        <v>1</v>
      </c>
      <c r="BI46" s="15">
        <f>Tabla58[[#This Row],[Integración May/2025]]</f>
        <v>1</v>
      </c>
      <c r="BJ46" s="16">
        <f>AVERAGE(Tabla4[[#This Row],[Creación y captura May/2025]:[Compartición e Interoperabilidad May/2025]])</f>
        <v>1</v>
      </c>
      <c r="BK46" s="14">
        <v>1</v>
      </c>
      <c r="BL46" s="14">
        <v>1</v>
      </c>
      <c r="BM46" s="14">
        <f>AVERAGE('Calidad de Datos'!AQ50:AT50)</f>
        <v>1</v>
      </c>
      <c r="BN46" s="14">
        <f>Tabla13[[#This Row],[Uso y acceso Dic/2025]]</f>
        <v>1</v>
      </c>
      <c r="BO46" s="14">
        <f>Tabla58[[#This Row],[Integración Dic/2025]]</f>
        <v>1</v>
      </c>
      <c r="BP46" s="16">
        <f>AVERAGE(Tabla4[[#This Row],[Creación y captura Dic/2025]:[Compartición e Interoperabilidad Dic/2025]])</f>
        <v>1</v>
      </c>
    </row>
    <row r="47" spans="2:68" x14ac:dyDescent="0.4">
      <c r="B47" s="1" t="s">
        <v>97</v>
      </c>
      <c r="C47" s="14">
        <v>0.85</v>
      </c>
      <c r="D47" s="14">
        <v>1</v>
      </c>
      <c r="E47" s="14">
        <f>AVERAGE('Calidad de Datos'!C51:F51)</f>
        <v>0.86250000000000004</v>
      </c>
      <c r="F47" s="14">
        <f>Tabla13[[#This Row],[Uso y acceso Ago/2024]]</f>
        <v>1</v>
      </c>
      <c r="G47" s="15">
        <f>Tabla58[[#This Row],[Integración Ago/2024]]</f>
        <v>1</v>
      </c>
      <c r="H47" s="16">
        <f>AVERAGE(Tabla4[[#This Row],[Creación y captura Ago/2024]:[Compartición e Interoperabilidad Ago/2024]])</f>
        <v>0.94250000000000012</v>
      </c>
      <c r="I47" s="14">
        <v>1</v>
      </c>
      <c r="J47" s="14">
        <v>1</v>
      </c>
      <c r="K47" s="15">
        <f>AVERAGE('Calidad de Datos'!G51:J51)</f>
        <v>0.88749999999999996</v>
      </c>
      <c r="L47" s="15">
        <f>Tabla13[[#This Row],[Uso y acceso Sep/2024]]</f>
        <v>1</v>
      </c>
      <c r="M47" s="15">
        <f>Tabla58[[#This Row],[Integración Sep/2024]]</f>
        <v>1</v>
      </c>
      <c r="N47" s="16">
        <f>AVERAGE(Tabla4[[#This Row],[Creación y captura Sep/2024]:[Compartición e Interoperabilidad Sep/2024]])</f>
        <v>0.97750000000000004</v>
      </c>
      <c r="O47" s="14">
        <v>0.85</v>
      </c>
      <c r="P47" s="14">
        <v>1</v>
      </c>
      <c r="Q47" s="15">
        <f>AVERAGE('Calidad de Datos'!K51:N51)</f>
        <v>0.88749999999999996</v>
      </c>
      <c r="R47" s="15">
        <f>Tabla13[[#This Row],[Uso y acceso Oct/2024]]</f>
        <v>1</v>
      </c>
      <c r="S47" s="15">
        <f>Tabla58[[#This Row],[Integración Oct/2024]]</f>
        <v>1</v>
      </c>
      <c r="T47" s="16">
        <f>AVERAGE(Tabla4[[#This Row],[Creación y captura Oct/2024]:[Compartición e Interoperabilidad Oct/2024]])</f>
        <v>0.94750000000000001</v>
      </c>
      <c r="U47" s="14">
        <v>0.9</v>
      </c>
      <c r="V47" s="14">
        <v>0.9</v>
      </c>
      <c r="W47" s="15">
        <f>AVERAGE('Calidad de Datos'!O51:R51)</f>
        <v>0.92500000000000004</v>
      </c>
      <c r="X47" s="15">
        <f>Tabla13[[#This Row],[Uso y acceso Nov/2024]]</f>
        <v>1</v>
      </c>
      <c r="Y47" s="15">
        <f>Tabla58[[#This Row],[Integración Nov/2024]]</f>
        <v>1</v>
      </c>
      <c r="Z47" s="16">
        <f>AVERAGE(Tabla4[[#This Row],[Creación y captura Nov/2024]:[Compartición e Interoperabilidad Nov/2024]])</f>
        <v>0.94499999999999995</v>
      </c>
      <c r="AA47" s="14">
        <v>0.95</v>
      </c>
      <c r="AB47" s="14">
        <v>1</v>
      </c>
      <c r="AC47" s="15">
        <f>AVERAGE('Calidad de Datos'!S51:V51)</f>
        <v>0.97499999999999998</v>
      </c>
      <c r="AD47" s="15">
        <f>Tabla13[[#This Row],[Uso y acceso Dic/2024]]</f>
        <v>1</v>
      </c>
      <c r="AE47" s="15">
        <f>Tabla58[[#This Row],[Integración Dic/2024]]</f>
        <v>1</v>
      </c>
      <c r="AF47" s="16">
        <f>AVERAGE(Tabla4[[#This Row],[Creación y captura Dic/2024]:[Compartición e Interoperabilidad Dic/2024]])</f>
        <v>0.98499999999999999</v>
      </c>
      <c r="AG47" s="14">
        <v>0.95</v>
      </c>
      <c r="AH47" s="14">
        <v>1</v>
      </c>
      <c r="AI47" s="17">
        <f>AVERAGE('Calidad de Datos'!W51:Z51)</f>
        <v>0.97499999999999998</v>
      </c>
      <c r="AJ47" s="15">
        <f>Tabla13[[#This Row],[Uso y acceso Ene/2025]]</f>
        <v>1</v>
      </c>
      <c r="AK47" s="15">
        <f>Tabla58[[#This Row],[Integración Ene/2025]]</f>
        <v>1</v>
      </c>
      <c r="AL47" s="16">
        <f>AVERAGE(Tabla4[[#This Row],[Creación y captura Ene/2025]:[Compartición e Interoperabilidad Ene/2025]])</f>
        <v>0.98499999999999999</v>
      </c>
      <c r="AM47" s="14">
        <v>1</v>
      </c>
      <c r="AN47" s="14">
        <v>1</v>
      </c>
      <c r="AO47" s="17">
        <f>AVERAGE('Calidad de Datos'!AA51:AD51)</f>
        <v>1</v>
      </c>
      <c r="AP47" s="15">
        <f>Tabla13[[#This Row],[Uso y acceso Feb/2025]]</f>
        <v>1</v>
      </c>
      <c r="AQ47" s="15">
        <f>Tabla58[[#This Row],[Integración Feb/2025]]</f>
        <v>1</v>
      </c>
      <c r="AR47" s="16">
        <f>AVERAGE(Tabla4[[#This Row],[Creación y captura Feb/2025]:[Compartición e Interoperabilidad Feb/2025]])</f>
        <v>1</v>
      </c>
      <c r="AS47" s="14">
        <v>1</v>
      </c>
      <c r="AT47" s="14">
        <v>1</v>
      </c>
      <c r="AU47" s="17">
        <f>AVERAGE('Calidad de Datos'!AE51:AH51)</f>
        <v>1</v>
      </c>
      <c r="AV47" s="15">
        <f>Tabla13[[#This Row],[Uso y acceso Mar/2025]]</f>
        <v>1</v>
      </c>
      <c r="AW47" s="15">
        <f>Tabla58[[#This Row],[Integración Mar/2025]]</f>
        <v>1</v>
      </c>
      <c r="AX47" s="16">
        <f>AVERAGE(Tabla4[[#This Row],[Creación y captura Mar/2025]:[Compartición e Interoperabilidad Mar/2025]])</f>
        <v>1</v>
      </c>
      <c r="AY47" s="14">
        <v>1</v>
      </c>
      <c r="AZ47" s="14">
        <v>1</v>
      </c>
      <c r="BA47" s="17">
        <f>AVERAGE('Calidad de Datos'!AI51:AL51)</f>
        <v>1</v>
      </c>
      <c r="BB47" s="15">
        <f>Tabla13[[#This Row],[Uso y acceso Abr/2025]]</f>
        <v>1</v>
      </c>
      <c r="BC47" s="15">
        <f>Tabla58[[#This Row],[Integración Abr/2025]]</f>
        <v>1</v>
      </c>
      <c r="BD47" s="16">
        <f>AVERAGE(Tabla4[[#This Row],[Creación y captura Abr/2025]:[Compartición e Interoperabilidad Abr/2025]])</f>
        <v>1</v>
      </c>
      <c r="BE47" s="14">
        <v>1</v>
      </c>
      <c r="BF47" s="14">
        <v>1</v>
      </c>
      <c r="BG47" s="17">
        <f>AVERAGE('Calidad de Datos'!AM51:AP51)</f>
        <v>1</v>
      </c>
      <c r="BH47" s="15">
        <f>Tabla13[[#This Row],[Uso y acceso May/2025]]</f>
        <v>1</v>
      </c>
      <c r="BI47" s="15">
        <f>Tabla58[[#This Row],[Integración May/2025]]</f>
        <v>1</v>
      </c>
      <c r="BJ47" s="16">
        <f>AVERAGE(Tabla4[[#This Row],[Creación y captura May/2025]:[Compartición e Interoperabilidad May/2025]])</f>
        <v>1</v>
      </c>
      <c r="BK47" s="14">
        <v>1</v>
      </c>
      <c r="BL47" s="14">
        <v>1</v>
      </c>
      <c r="BM47" s="14">
        <f>AVERAGE('Calidad de Datos'!AQ51:AT51)</f>
        <v>1</v>
      </c>
      <c r="BN47" s="14">
        <f>Tabla13[[#This Row],[Uso y acceso Dic/2025]]</f>
        <v>1</v>
      </c>
      <c r="BO47" s="14">
        <f>Tabla58[[#This Row],[Integración Dic/2025]]</f>
        <v>1</v>
      </c>
      <c r="BP47" s="16">
        <f>AVERAGE(Tabla4[[#This Row],[Creación y captura Dic/2025]:[Compartición e Interoperabilidad Dic/2025]])</f>
        <v>1</v>
      </c>
    </row>
    <row r="48" spans="2:68" x14ac:dyDescent="0.4">
      <c r="B48" s="1" t="s">
        <v>98</v>
      </c>
      <c r="C48" s="14">
        <v>1</v>
      </c>
      <c r="D48" s="14">
        <v>1</v>
      </c>
      <c r="E48" s="14">
        <f>AVERAGE('Calidad de Datos'!C52:F52)</f>
        <v>1</v>
      </c>
      <c r="F48" s="14">
        <f>Tabla13[[#This Row],[Uso y acceso Ago/2024]]</f>
        <v>1</v>
      </c>
      <c r="G48" s="15">
        <f>Tabla58[[#This Row],[Integración Ago/2024]]</f>
        <v>1</v>
      </c>
      <c r="H48" s="16">
        <f>AVERAGE(Tabla4[[#This Row],[Creación y captura Ago/2024]:[Compartición e Interoperabilidad Ago/2024]])</f>
        <v>1</v>
      </c>
      <c r="I48" s="14">
        <v>1</v>
      </c>
      <c r="J48" s="14">
        <v>1</v>
      </c>
      <c r="K48" s="15">
        <f>AVERAGE('Calidad de Datos'!G52:J52)</f>
        <v>1</v>
      </c>
      <c r="L48" s="15">
        <f>Tabla13[[#This Row],[Uso y acceso Sep/2024]]</f>
        <v>1</v>
      </c>
      <c r="M48" s="15">
        <f>Tabla58[[#This Row],[Integración Sep/2024]]</f>
        <v>1</v>
      </c>
      <c r="N48" s="16">
        <f>AVERAGE(Tabla4[[#This Row],[Creación y captura Sep/2024]:[Compartición e Interoperabilidad Sep/2024]])</f>
        <v>1</v>
      </c>
      <c r="O48" s="14">
        <v>1</v>
      </c>
      <c r="P48" s="14">
        <v>1</v>
      </c>
      <c r="Q48" s="15">
        <f>AVERAGE('Calidad de Datos'!K52:N52)</f>
        <v>1</v>
      </c>
      <c r="R48" s="15">
        <f>Tabla13[[#This Row],[Uso y acceso Oct/2024]]</f>
        <v>1</v>
      </c>
      <c r="S48" s="15">
        <f>Tabla58[[#This Row],[Integración Oct/2024]]</f>
        <v>1</v>
      </c>
      <c r="T48" s="16">
        <f>AVERAGE(Tabla4[[#This Row],[Creación y captura Oct/2024]:[Compartición e Interoperabilidad Oct/2024]])</f>
        <v>1</v>
      </c>
      <c r="U48" s="14">
        <v>1</v>
      </c>
      <c r="V48" s="14">
        <v>1</v>
      </c>
      <c r="W48" s="15">
        <f>AVERAGE('Calidad de Datos'!O52:R52)</f>
        <v>1</v>
      </c>
      <c r="X48" s="15">
        <f>Tabla13[[#This Row],[Uso y acceso Nov/2024]]</f>
        <v>1</v>
      </c>
      <c r="Y48" s="15">
        <f>Tabla58[[#This Row],[Integración Nov/2024]]</f>
        <v>1</v>
      </c>
      <c r="Z48" s="16">
        <f>AVERAGE(Tabla4[[#This Row],[Creación y captura Nov/2024]:[Compartición e Interoperabilidad Nov/2024]])</f>
        <v>1</v>
      </c>
      <c r="AA48" s="14">
        <v>1</v>
      </c>
      <c r="AB48" s="14">
        <v>1</v>
      </c>
      <c r="AC48" s="15">
        <f>AVERAGE('Calidad de Datos'!S52:V52)</f>
        <v>1</v>
      </c>
      <c r="AD48" s="15">
        <f>Tabla13[[#This Row],[Uso y acceso Dic/2024]]</f>
        <v>1</v>
      </c>
      <c r="AE48" s="15">
        <f>Tabla58[[#This Row],[Integración Dic/2024]]</f>
        <v>1</v>
      </c>
      <c r="AF48" s="16">
        <f>AVERAGE(Tabla4[[#This Row],[Creación y captura Dic/2024]:[Compartición e Interoperabilidad Dic/2024]])</f>
        <v>1</v>
      </c>
      <c r="AG48" s="14">
        <v>1</v>
      </c>
      <c r="AH48" s="14">
        <v>1</v>
      </c>
      <c r="AI48" s="17">
        <f>AVERAGE('Calidad de Datos'!W52:Z52)</f>
        <v>1</v>
      </c>
      <c r="AJ48" s="15">
        <f>Tabla13[[#This Row],[Uso y acceso Ene/2025]]</f>
        <v>1</v>
      </c>
      <c r="AK48" s="15">
        <f>Tabla58[[#This Row],[Integración Ene/2025]]</f>
        <v>1</v>
      </c>
      <c r="AL48" s="16">
        <f>AVERAGE(Tabla4[[#This Row],[Creación y captura Ene/2025]:[Compartición e Interoperabilidad Ene/2025]])</f>
        <v>1</v>
      </c>
      <c r="AM48" s="14">
        <v>1</v>
      </c>
      <c r="AN48" s="14">
        <v>1</v>
      </c>
      <c r="AO48" s="17">
        <f>AVERAGE('Calidad de Datos'!AA52:AD52)</f>
        <v>1</v>
      </c>
      <c r="AP48" s="15">
        <f>Tabla13[[#This Row],[Uso y acceso Feb/2025]]</f>
        <v>1</v>
      </c>
      <c r="AQ48" s="15">
        <f>Tabla58[[#This Row],[Integración Feb/2025]]</f>
        <v>1</v>
      </c>
      <c r="AR48" s="16">
        <f>AVERAGE(Tabla4[[#This Row],[Creación y captura Feb/2025]:[Compartición e Interoperabilidad Feb/2025]])</f>
        <v>1</v>
      </c>
      <c r="AS48" s="14">
        <v>1</v>
      </c>
      <c r="AT48" s="14">
        <v>1</v>
      </c>
      <c r="AU48" s="17">
        <f>AVERAGE('Calidad de Datos'!AE52:AH52)</f>
        <v>1</v>
      </c>
      <c r="AV48" s="15">
        <f>Tabla13[[#This Row],[Uso y acceso Mar/2025]]</f>
        <v>1</v>
      </c>
      <c r="AW48" s="15">
        <f>Tabla58[[#This Row],[Integración Mar/2025]]</f>
        <v>1</v>
      </c>
      <c r="AX48" s="16">
        <f>AVERAGE(Tabla4[[#This Row],[Creación y captura Mar/2025]:[Compartición e Interoperabilidad Mar/2025]])</f>
        <v>1</v>
      </c>
      <c r="AY48" s="14">
        <v>1</v>
      </c>
      <c r="AZ48" s="14">
        <v>1</v>
      </c>
      <c r="BA48" s="17">
        <f>AVERAGE('Calidad de Datos'!AI52:AL52)</f>
        <v>1</v>
      </c>
      <c r="BB48" s="15">
        <f>Tabla13[[#This Row],[Uso y acceso Abr/2025]]</f>
        <v>1</v>
      </c>
      <c r="BC48" s="15">
        <f>Tabla58[[#This Row],[Integración Abr/2025]]</f>
        <v>1</v>
      </c>
      <c r="BD48" s="16">
        <f>AVERAGE(Tabla4[[#This Row],[Creación y captura Abr/2025]:[Compartición e Interoperabilidad Abr/2025]])</f>
        <v>1</v>
      </c>
      <c r="BE48" s="14">
        <v>1</v>
      </c>
      <c r="BF48" s="14">
        <v>1</v>
      </c>
      <c r="BG48" s="17">
        <f>AVERAGE('Calidad de Datos'!AM52:AP52)</f>
        <v>1</v>
      </c>
      <c r="BH48" s="15">
        <f>Tabla13[[#This Row],[Uso y acceso May/2025]]</f>
        <v>1</v>
      </c>
      <c r="BI48" s="15">
        <f>Tabla58[[#This Row],[Integración May/2025]]</f>
        <v>1</v>
      </c>
      <c r="BJ48" s="16">
        <f>AVERAGE(Tabla4[[#This Row],[Creación y captura May/2025]:[Compartición e Interoperabilidad May/2025]])</f>
        <v>1</v>
      </c>
      <c r="BK48" s="14">
        <v>1</v>
      </c>
      <c r="BL48" s="14">
        <v>1</v>
      </c>
      <c r="BM48" s="14">
        <f>AVERAGE('Calidad de Datos'!AQ52:AT52)</f>
        <v>1</v>
      </c>
      <c r="BN48" s="14">
        <f>Tabla13[[#This Row],[Uso y acceso Dic/2025]]</f>
        <v>1</v>
      </c>
      <c r="BO48" s="14">
        <f>Tabla58[[#This Row],[Integración Dic/2025]]</f>
        <v>1</v>
      </c>
      <c r="BP48" s="16">
        <f>AVERAGE(Tabla4[[#This Row],[Creación y captura Dic/2025]:[Compartición e Interoperabilidad Dic/2025]])</f>
        <v>1</v>
      </c>
    </row>
    <row r="49" spans="2:68" x14ac:dyDescent="0.4">
      <c r="B49" s="1" t="s">
        <v>99</v>
      </c>
      <c r="C49" s="14"/>
      <c r="D49" s="14"/>
      <c r="E49" s="14">
        <f>AVERAGE('Calidad de Datos'!C53:F53)</f>
        <v>0</v>
      </c>
      <c r="F49" s="14">
        <f>Tabla13[[#This Row],[Uso y acceso Ago/2024]]</f>
        <v>0.3</v>
      </c>
      <c r="G49" s="15">
        <v>0</v>
      </c>
      <c r="H49" s="16">
        <f>AVERAGE(Tabla4[[#This Row],[Creación y captura Ago/2024]:[Compartición e Interoperabilidad Ago/2024]])</f>
        <v>9.9999999999999992E-2</v>
      </c>
      <c r="I49" s="14"/>
      <c r="J49" s="14"/>
      <c r="K49" s="15">
        <f>AVERAGE('Calidad de Datos'!G53:J53)</f>
        <v>0</v>
      </c>
      <c r="L49" s="15">
        <f>Tabla13[[#This Row],[Uso y acceso Sep/2024]]</f>
        <v>0.3</v>
      </c>
      <c r="M49" s="15">
        <f>Tabla58[[#This Row],[Integración Sep/2024]]</f>
        <v>0</v>
      </c>
      <c r="N49" s="16">
        <f>AVERAGE(Tabla4[[#This Row],[Creación y captura Sep/2024]:[Compartición e Interoperabilidad Sep/2024]])</f>
        <v>9.9999999999999992E-2</v>
      </c>
      <c r="O49" s="14">
        <v>0.5</v>
      </c>
      <c r="P49" s="14">
        <v>0.2</v>
      </c>
      <c r="Q49" s="15">
        <f>AVERAGE('Calidad de Datos'!K53:N53)</f>
        <v>0</v>
      </c>
      <c r="R49" s="15">
        <f>Tabla13[[#This Row],[Uso y acceso Oct/2024]]</f>
        <v>1</v>
      </c>
      <c r="S49" s="15">
        <f>Tabla58[[#This Row],[Integración Oct/2024]]</f>
        <v>0.2</v>
      </c>
      <c r="T49" s="16">
        <f>AVERAGE(Tabla4[[#This Row],[Creación y captura Oct/2024]:[Compartición e Interoperabilidad Oct/2024]])</f>
        <v>0.38</v>
      </c>
      <c r="U49" s="14">
        <v>1</v>
      </c>
      <c r="V49" s="14">
        <v>0.5</v>
      </c>
      <c r="W49" s="15">
        <f>AVERAGE('Calidad de Datos'!O53:R53)</f>
        <v>1</v>
      </c>
      <c r="X49" s="15">
        <f>Tabla13[[#This Row],[Uso y acceso Nov/2024]]</f>
        <v>1</v>
      </c>
      <c r="Y49" s="15">
        <f>Tabla58[[#This Row],[Integración Nov/2024]]</f>
        <v>0.5</v>
      </c>
      <c r="Z49" s="16">
        <f>AVERAGE(Tabla4[[#This Row],[Creación y captura Nov/2024]:[Compartición e Interoperabilidad Nov/2024]])</f>
        <v>0.8</v>
      </c>
      <c r="AA49" s="14">
        <v>1</v>
      </c>
      <c r="AB49" s="14">
        <v>1</v>
      </c>
      <c r="AC49" s="15">
        <f>AVERAGE('Calidad de Datos'!S53:V53)</f>
        <v>1</v>
      </c>
      <c r="AD49" s="15">
        <f>Tabla13[[#This Row],[Uso y acceso Dic/2024]]</f>
        <v>1</v>
      </c>
      <c r="AE49" s="15">
        <f>Tabla58[[#This Row],[Integración Dic/2024]]</f>
        <v>1</v>
      </c>
      <c r="AF49" s="16">
        <f>AVERAGE(Tabla4[[#This Row],[Creación y captura Dic/2024]:[Compartición e Interoperabilidad Dic/2024]])</f>
        <v>1</v>
      </c>
      <c r="AG49" s="14">
        <v>1</v>
      </c>
      <c r="AH49" s="14">
        <v>1</v>
      </c>
      <c r="AI49" s="17">
        <f>AVERAGE('Calidad de Datos'!W53:Z53)</f>
        <v>1</v>
      </c>
      <c r="AJ49" s="15">
        <f>Tabla13[[#This Row],[Uso y acceso Ene/2025]]</f>
        <v>1</v>
      </c>
      <c r="AK49" s="15">
        <f>Tabla58[[#This Row],[Integración Ene/2025]]</f>
        <v>1</v>
      </c>
      <c r="AL49" s="16">
        <f>AVERAGE(Tabla4[[#This Row],[Creación y captura Ene/2025]:[Compartición e Interoperabilidad Ene/2025]])</f>
        <v>1</v>
      </c>
      <c r="AM49" s="14">
        <v>1</v>
      </c>
      <c r="AN49" s="14">
        <v>1</v>
      </c>
      <c r="AO49" s="17">
        <f>AVERAGE('Calidad de Datos'!AA53:AD53)</f>
        <v>1</v>
      </c>
      <c r="AP49" s="15">
        <f>Tabla13[[#This Row],[Uso y acceso Feb/2025]]</f>
        <v>1</v>
      </c>
      <c r="AQ49" s="15">
        <f>Tabla58[[#This Row],[Integración Feb/2025]]</f>
        <v>1</v>
      </c>
      <c r="AR49" s="16">
        <f>AVERAGE(Tabla4[[#This Row],[Creación y captura Feb/2025]:[Compartición e Interoperabilidad Feb/2025]])</f>
        <v>1</v>
      </c>
      <c r="AS49" s="14">
        <v>1</v>
      </c>
      <c r="AT49" s="14">
        <v>1</v>
      </c>
      <c r="AU49" s="17">
        <f>AVERAGE('Calidad de Datos'!AE53:AH53)</f>
        <v>1</v>
      </c>
      <c r="AV49" s="15">
        <f>Tabla13[[#This Row],[Uso y acceso Mar/2025]]</f>
        <v>1</v>
      </c>
      <c r="AW49" s="15">
        <f>Tabla58[[#This Row],[Integración Mar/2025]]</f>
        <v>1</v>
      </c>
      <c r="AX49" s="16">
        <f>AVERAGE(Tabla4[[#This Row],[Creación y captura Mar/2025]:[Compartición e Interoperabilidad Mar/2025]])</f>
        <v>1</v>
      </c>
      <c r="AY49" s="14">
        <v>1</v>
      </c>
      <c r="AZ49" s="14">
        <v>1</v>
      </c>
      <c r="BA49" s="17">
        <f>AVERAGE('Calidad de Datos'!AI53:AL53)</f>
        <v>1</v>
      </c>
      <c r="BB49" s="15">
        <f>Tabla13[[#This Row],[Uso y acceso Abr/2025]]</f>
        <v>1</v>
      </c>
      <c r="BC49" s="15">
        <f>Tabla58[[#This Row],[Integración Abr/2025]]</f>
        <v>1</v>
      </c>
      <c r="BD49" s="16">
        <f>AVERAGE(Tabla4[[#This Row],[Creación y captura Abr/2025]:[Compartición e Interoperabilidad Abr/2025]])</f>
        <v>1</v>
      </c>
      <c r="BE49" s="14">
        <v>1</v>
      </c>
      <c r="BF49" s="14">
        <v>1</v>
      </c>
      <c r="BG49" s="17">
        <f>AVERAGE('Calidad de Datos'!AM53:AP53)</f>
        <v>1</v>
      </c>
      <c r="BH49" s="15">
        <f>Tabla13[[#This Row],[Uso y acceso May/2025]]</f>
        <v>1</v>
      </c>
      <c r="BI49" s="15">
        <f>Tabla58[[#This Row],[Integración May/2025]]</f>
        <v>1</v>
      </c>
      <c r="BJ49" s="16">
        <f>AVERAGE(Tabla4[[#This Row],[Creación y captura May/2025]:[Compartición e Interoperabilidad May/2025]])</f>
        <v>1</v>
      </c>
      <c r="BK49" s="14">
        <v>1</v>
      </c>
      <c r="BL49" s="14">
        <v>1</v>
      </c>
      <c r="BM49" s="14">
        <f>AVERAGE('Calidad de Datos'!AQ53:AT53)</f>
        <v>1</v>
      </c>
      <c r="BN49" s="14">
        <f>Tabla13[[#This Row],[Uso y acceso Dic/2025]]</f>
        <v>1</v>
      </c>
      <c r="BO49" s="14">
        <f>Tabla58[[#This Row],[Integración Dic/2025]]</f>
        <v>1</v>
      </c>
      <c r="BP49" s="16">
        <f>AVERAGE(Tabla4[[#This Row],[Creación y captura Dic/2025]:[Compartición e Interoperabilidad Dic/2025]])</f>
        <v>1</v>
      </c>
    </row>
    <row r="50" spans="2:68" x14ac:dyDescent="0.4">
      <c r="B50" s="1" t="s">
        <v>100</v>
      </c>
      <c r="C50" s="14"/>
      <c r="D50" s="14"/>
      <c r="E50" s="14">
        <f>AVERAGE('Calidad de Datos'!C54:F54)</f>
        <v>0</v>
      </c>
      <c r="F50" s="14">
        <f>Tabla13[[#This Row],[Uso y acceso Ago/2024]]</f>
        <v>0</v>
      </c>
      <c r="G50" s="15">
        <v>0</v>
      </c>
      <c r="H50" s="16">
        <f>AVERAGE(Tabla4[[#This Row],[Creación y captura Ago/2024]:[Compartición e Interoperabilidad Ago/2024]])</f>
        <v>0</v>
      </c>
      <c r="I50" s="14"/>
      <c r="J50" s="14"/>
      <c r="K50" s="15">
        <f>AVERAGE('Calidad de Datos'!G54:J54)</f>
        <v>0</v>
      </c>
      <c r="L50" s="15">
        <f>Tabla13[[#This Row],[Uso y acceso Sep/2024]]</f>
        <v>0</v>
      </c>
      <c r="M50" s="15">
        <f>Tabla58[[#This Row],[Integración Sep/2024]]</f>
        <v>0</v>
      </c>
      <c r="N50" s="16">
        <f>AVERAGE(Tabla4[[#This Row],[Creación y captura Sep/2024]:[Compartición e Interoperabilidad Sep/2024]])</f>
        <v>0</v>
      </c>
      <c r="O50" s="14">
        <v>0.5</v>
      </c>
      <c r="P50" s="14">
        <v>0.2</v>
      </c>
      <c r="Q50" s="15">
        <f>AVERAGE('Calidad de Datos'!K54:N54)</f>
        <v>0</v>
      </c>
      <c r="R50" s="15">
        <f>Tabla13[[#This Row],[Uso y acceso Oct/2024]]</f>
        <v>1</v>
      </c>
      <c r="S50" s="15">
        <f>Tabla58[[#This Row],[Integración Oct/2024]]</f>
        <v>0.2</v>
      </c>
      <c r="T50" s="16">
        <f>AVERAGE(Tabla4[[#This Row],[Creación y captura Oct/2024]:[Compartición e Interoperabilidad Oct/2024]])</f>
        <v>0.38</v>
      </c>
      <c r="U50" s="14">
        <v>1</v>
      </c>
      <c r="V50" s="14">
        <v>0.5</v>
      </c>
      <c r="W50" s="15">
        <f>AVERAGE('Calidad de Datos'!O54:R54)</f>
        <v>1</v>
      </c>
      <c r="X50" s="15">
        <f>Tabla13[[#This Row],[Uso y acceso Nov/2024]]</f>
        <v>1</v>
      </c>
      <c r="Y50" s="15">
        <f>Tabla58[[#This Row],[Integración Nov/2024]]</f>
        <v>0.5</v>
      </c>
      <c r="Z50" s="16">
        <f>AVERAGE(Tabla4[[#This Row],[Creación y captura Nov/2024]:[Compartición e Interoperabilidad Nov/2024]])</f>
        <v>0.8</v>
      </c>
      <c r="AA50" s="14">
        <v>1</v>
      </c>
      <c r="AB50" s="14">
        <v>1</v>
      </c>
      <c r="AC50" s="15">
        <f>AVERAGE('Calidad de Datos'!S54:V54)</f>
        <v>1</v>
      </c>
      <c r="AD50" s="15">
        <f>Tabla13[[#This Row],[Uso y acceso Dic/2024]]</f>
        <v>1</v>
      </c>
      <c r="AE50" s="15">
        <f>Tabla58[[#This Row],[Integración Dic/2024]]</f>
        <v>1</v>
      </c>
      <c r="AF50" s="16">
        <f>AVERAGE(Tabla4[[#This Row],[Creación y captura Dic/2024]:[Compartición e Interoperabilidad Dic/2024]])</f>
        <v>1</v>
      </c>
      <c r="AG50" s="14">
        <v>1</v>
      </c>
      <c r="AH50" s="14">
        <v>1</v>
      </c>
      <c r="AI50" s="17">
        <f>AVERAGE('Calidad de Datos'!W54:Z54)</f>
        <v>1</v>
      </c>
      <c r="AJ50" s="15">
        <f>Tabla13[[#This Row],[Uso y acceso Ene/2025]]</f>
        <v>1</v>
      </c>
      <c r="AK50" s="15">
        <f>Tabla58[[#This Row],[Integración Ene/2025]]</f>
        <v>1</v>
      </c>
      <c r="AL50" s="16">
        <f>AVERAGE(Tabla4[[#This Row],[Creación y captura Ene/2025]:[Compartición e Interoperabilidad Ene/2025]])</f>
        <v>1</v>
      </c>
      <c r="AM50" s="14">
        <v>1</v>
      </c>
      <c r="AN50" s="14">
        <v>1</v>
      </c>
      <c r="AO50" s="17">
        <f>AVERAGE('Calidad de Datos'!AA54:AD54)</f>
        <v>1</v>
      </c>
      <c r="AP50" s="15">
        <f>Tabla13[[#This Row],[Uso y acceso Feb/2025]]</f>
        <v>1</v>
      </c>
      <c r="AQ50" s="15">
        <f>Tabla58[[#This Row],[Integración Feb/2025]]</f>
        <v>1</v>
      </c>
      <c r="AR50" s="16">
        <f>AVERAGE(Tabla4[[#This Row],[Creación y captura Feb/2025]:[Compartición e Interoperabilidad Feb/2025]])</f>
        <v>1</v>
      </c>
      <c r="AS50" s="14">
        <v>1</v>
      </c>
      <c r="AT50" s="14">
        <v>1</v>
      </c>
      <c r="AU50" s="17">
        <f>AVERAGE('Calidad de Datos'!AE54:AH54)</f>
        <v>1</v>
      </c>
      <c r="AV50" s="15">
        <f>Tabla13[[#This Row],[Uso y acceso Mar/2025]]</f>
        <v>1</v>
      </c>
      <c r="AW50" s="15">
        <f>Tabla58[[#This Row],[Integración Mar/2025]]</f>
        <v>1</v>
      </c>
      <c r="AX50" s="16">
        <f>AVERAGE(Tabla4[[#This Row],[Creación y captura Mar/2025]:[Compartición e Interoperabilidad Mar/2025]])</f>
        <v>1</v>
      </c>
      <c r="AY50" s="14">
        <v>1</v>
      </c>
      <c r="AZ50" s="14">
        <v>1</v>
      </c>
      <c r="BA50" s="17">
        <f>AVERAGE('Calidad de Datos'!AI54:AL54)</f>
        <v>1</v>
      </c>
      <c r="BB50" s="15">
        <f>Tabla13[[#This Row],[Uso y acceso Abr/2025]]</f>
        <v>1</v>
      </c>
      <c r="BC50" s="15">
        <f>Tabla58[[#This Row],[Integración Abr/2025]]</f>
        <v>1</v>
      </c>
      <c r="BD50" s="16">
        <f>AVERAGE(Tabla4[[#This Row],[Creación y captura Abr/2025]:[Compartición e Interoperabilidad Abr/2025]])</f>
        <v>1</v>
      </c>
      <c r="BE50" s="14">
        <v>1</v>
      </c>
      <c r="BF50" s="14">
        <v>1</v>
      </c>
      <c r="BG50" s="17">
        <f>AVERAGE('Calidad de Datos'!AM54:AP54)</f>
        <v>1</v>
      </c>
      <c r="BH50" s="15">
        <f>Tabla13[[#This Row],[Uso y acceso May/2025]]</f>
        <v>1</v>
      </c>
      <c r="BI50" s="15">
        <f>Tabla58[[#This Row],[Integración May/2025]]</f>
        <v>1</v>
      </c>
      <c r="BJ50" s="16">
        <f>AVERAGE(Tabla4[[#This Row],[Creación y captura May/2025]:[Compartición e Interoperabilidad May/2025]])</f>
        <v>1</v>
      </c>
      <c r="BK50" s="14">
        <v>1</v>
      </c>
      <c r="BL50" s="14">
        <v>1</v>
      </c>
      <c r="BM50" s="14">
        <f>AVERAGE('Calidad de Datos'!AQ54:AT54)</f>
        <v>1</v>
      </c>
      <c r="BN50" s="14">
        <f>Tabla13[[#This Row],[Uso y acceso Dic/2025]]</f>
        <v>1</v>
      </c>
      <c r="BO50" s="14">
        <f>Tabla58[[#This Row],[Integración Dic/2025]]</f>
        <v>1</v>
      </c>
      <c r="BP50" s="16">
        <f>AVERAGE(Tabla4[[#This Row],[Creación y captura Dic/2025]:[Compartición e Interoperabilidad Dic/2025]])</f>
        <v>1</v>
      </c>
    </row>
    <row r="51" spans="2:68" x14ac:dyDescent="0.4">
      <c r="B51" s="1" t="s">
        <v>101</v>
      </c>
      <c r="C51" s="14"/>
      <c r="D51" s="14"/>
      <c r="E51" s="14">
        <f>AVERAGE('Calidad de Datos'!C55:F55)</f>
        <v>0</v>
      </c>
      <c r="F51" s="14">
        <f>Tabla13[[#This Row],[Uso y acceso Ago/2024]]</f>
        <v>0.3</v>
      </c>
      <c r="G51" s="15">
        <f>Tabla58[[#This Row],[Integración Ago/2024]]</f>
        <v>0</v>
      </c>
      <c r="H51" s="16">
        <f>AVERAGE(Tabla4[[#This Row],[Creación y captura Ago/2024]:[Compartición e Interoperabilidad Ago/2024]])</f>
        <v>9.9999999999999992E-2</v>
      </c>
      <c r="I51" s="14"/>
      <c r="J51" s="14"/>
      <c r="K51" s="15">
        <f>AVERAGE('Calidad de Datos'!G55:J55)</f>
        <v>0</v>
      </c>
      <c r="L51" s="15">
        <f>Tabla13[[#This Row],[Uso y acceso Sep/2024]]</f>
        <v>0.3</v>
      </c>
      <c r="M51" s="15">
        <f>Tabla58[[#This Row],[Integración Sep/2024]]</f>
        <v>0</v>
      </c>
      <c r="N51" s="16">
        <f>AVERAGE(Tabla4[[#This Row],[Creación y captura Sep/2024]:[Compartición e Interoperabilidad Sep/2024]])</f>
        <v>9.9999999999999992E-2</v>
      </c>
      <c r="O51" s="14">
        <v>0.5</v>
      </c>
      <c r="P51" s="14">
        <v>0.2</v>
      </c>
      <c r="Q51" s="15">
        <f>AVERAGE('Calidad de Datos'!K55:N55)</f>
        <v>0</v>
      </c>
      <c r="R51" s="15">
        <f>Tabla13[[#This Row],[Uso y acceso Oct/2024]]</f>
        <v>1</v>
      </c>
      <c r="S51" s="15">
        <f>Tabla58[[#This Row],[Integración Oct/2024]]</f>
        <v>0.2</v>
      </c>
      <c r="T51" s="16">
        <f>AVERAGE(Tabla4[[#This Row],[Creación y captura Oct/2024]:[Compartición e Interoperabilidad Oct/2024]])</f>
        <v>0.38</v>
      </c>
      <c r="U51" s="14">
        <v>1</v>
      </c>
      <c r="V51" s="14">
        <v>0.5</v>
      </c>
      <c r="W51" s="15">
        <f>AVERAGE('Calidad de Datos'!O55:R55)</f>
        <v>1</v>
      </c>
      <c r="X51" s="15">
        <f>Tabla13[[#This Row],[Uso y acceso Nov/2024]]</f>
        <v>1</v>
      </c>
      <c r="Y51" s="15">
        <f>Tabla58[[#This Row],[Integración Nov/2024]]</f>
        <v>0.5</v>
      </c>
      <c r="Z51" s="16">
        <f>AVERAGE(Tabla4[[#This Row],[Creación y captura Nov/2024]:[Compartición e Interoperabilidad Nov/2024]])</f>
        <v>0.8</v>
      </c>
      <c r="AA51" s="14">
        <v>1</v>
      </c>
      <c r="AB51" s="14">
        <v>1</v>
      </c>
      <c r="AC51" s="15">
        <f>AVERAGE('Calidad de Datos'!S55:V55)</f>
        <v>1</v>
      </c>
      <c r="AD51" s="15">
        <f>Tabla13[[#This Row],[Uso y acceso Dic/2024]]</f>
        <v>1</v>
      </c>
      <c r="AE51" s="15">
        <f>Tabla58[[#This Row],[Integración Dic/2024]]</f>
        <v>1</v>
      </c>
      <c r="AF51" s="16">
        <f>AVERAGE(Tabla4[[#This Row],[Creación y captura Dic/2024]:[Compartición e Interoperabilidad Dic/2024]])</f>
        <v>1</v>
      </c>
      <c r="AG51" s="14">
        <v>1</v>
      </c>
      <c r="AH51" s="14">
        <v>1</v>
      </c>
      <c r="AI51" s="17">
        <f>AVERAGE('Calidad de Datos'!W55:Z55)</f>
        <v>1</v>
      </c>
      <c r="AJ51" s="15">
        <f>Tabla13[[#This Row],[Uso y acceso Ene/2025]]</f>
        <v>1</v>
      </c>
      <c r="AK51" s="15">
        <f>Tabla58[[#This Row],[Integración Ene/2025]]</f>
        <v>1</v>
      </c>
      <c r="AL51" s="16">
        <f>AVERAGE(Tabla4[[#This Row],[Creación y captura Ene/2025]:[Compartición e Interoperabilidad Ene/2025]])</f>
        <v>1</v>
      </c>
      <c r="AM51" s="14">
        <v>1</v>
      </c>
      <c r="AN51" s="14">
        <v>1</v>
      </c>
      <c r="AO51" s="17">
        <f>AVERAGE('Calidad de Datos'!AA55:AD55)</f>
        <v>1</v>
      </c>
      <c r="AP51" s="15">
        <f>Tabla13[[#This Row],[Uso y acceso Feb/2025]]</f>
        <v>1</v>
      </c>
      <c r="AQ51" s="15">
        <f>Tabla58[[#This Row],[Integración Feb/2025]]</f>
        <v>1</v>
      </c>
      <c r="AR51" s="16">
        <f>AVERAGE(Tabla4[[#This Row],[Creación y captura Feb/2025]:[Compartición e Interoperabilidad Feb/2025]])</f>
        <v>1</v>
      </c>
      <c r="AS51" s="14">
        <v>1</v>
      </c>
      <c r="AT51" s="14">
        <v>1</v>
      </c>
      <c r="AU51" s="17">
        <f>AVERAGE('Calidad de Datos'!AE55:AH55)</f>
        <v>1</v>
      </c>
      <c r="AV51" s="15">
        <f>Tabla13[[#This Row],[Uso y acceso Mar/2025]]</f>
        <v>1</v>
      </c>
      <c r="AW51" s="15">
        <f>Tabla58[[#This Row],[Integración Mar/2025]]</f>
        <v>1</v>
      </c>
      <c r="AX51" s="16">
        <f>AVERAGE(Tabla4[[#This Row],[Creación y captura Mar/2025]:[Compartición e Interoperabilidad Mar/2025]])</f>
        <v>1</v>
      </c>
      <c r="AY51" s="14">
        <v>1</v>
      </c>
      <c r="AZ51" s="14">
        <v>1</v>
      </c>
      <c r="BA51" s="17">
        <f>AVERAGE('Calidad de Datos'!AI55:AL55)</f>
        <v>1</v>
      </c>
      <c r="BB51" s="15">
        <f>Tabla13[[#This Row],[Uso y acceso Abr/2025]]</f>
        <v>1</v>
      </c>
      <c r="BC51" s="15">
        <f>Tabla58[[#This Row],[Integración Abr/2025]]</f>
        <v>1</v>
      </c>
      <c r="BD51" s="16">
        <f>AVERAGE(Tabla4[[#This Row],[Creación y captura Abr/2025]:[Compartición e Interoperabilidad Abr/2025]])</f>
        <v>1</v>
      </c>
      <c r="BE51" s="14">
        <v>1</v>
      </c>
      <c r="BF51" s="14">
        <v>1</v>
      </c>
      <c r="BG51" s="17">
        <f>AVERAGE('Calidad de Datos'!AM55:AP55)</f>
        <v>1</v>
      </c>
      <c r="BH51" s="15">
        <f>Tabla13[[#This Row],[Uso y acceso May/2025]]</f>
        <v>1</v>
      </c>
      <c r="BI51" s="15">
        <f>Tabla58[[#This Row],[Integración May/2025]]</f>
        <v>1</v>
      </c>
      <c r="BJ51" s="16">
        <f>AVERAGE(Tabla4[[#This Row],[Creación y captura May/2025]:[Compartición e Interoperabilidad May/2025]])</f>
        <v>1</v>
      </c>
      <c r="BK51" s="14">
        <v>1</v>
      </c>
      <c r="BL51" s="14">
        <v>1</v>
      </c>
      <c r="BM51" s="14">
        <f>AVERAGE('Calidad de Datos'!AQ55:AT55)</f>
        <v>1</v>
      </c>
      <c r="BN51" s="14">
        <f>Tabla13[[#This Row],[Uso y acceso Dic/2025]]</f>
        <v>1</v>
      </c>
      <c r="BO51" s="14">
        <f>Tabla58[[#This Row],[Integración Dic/2025]]</f>
        <v>1</v>
      </c>
      <c r="BP51" s="16">
        <f>AVERAGE(Tabla4[[#This Row],[Creación y captura Dic/2025]:[Compartición e Interoperabilidad Dic/2025]])</f>
        <v>1</v>
      </c>
    </row>
    <row r="52" spans="2:68" x14ac:dyDescent="0.4">
      <c r="B52" s="1" t="s">
        <v>102</v>
      </c>
      <c r="C52" s="14"/>
      <c r="D52" s="14"/>
      <c r="E52" s="14">
        <f>AVERAGE('Calidad de Datos'!C56:F56)</f>
        <v>0</v>
      </c>
      <c r="F52" s="14">
        <f>Tabla13[[#This Row],[Uso y acceso Ago/2024]]</f>
        <v>0.3</v>
      </c>
      <c r="G52" s="15">
        <f>Tabla58[[#This Row],[Integración Ago/2024]]</f>
        <v>0</v>
      </c>
      <c r="H52" s="16">
        <f>AVERAGE(Tabla4[[#This Row],[Creación y captura Ago/2024]:[Compartición e Interoperabilidad Ago/2024]])</f>
        <v>9.9999999999999992E-2</v>
      </c>
      <c r="I52" s="14"/>
      <c r="J52" s="14"/>
      <c r="K52" s="15">
        <f>AVERAGE('Calidad de Datos'!G56:J56)</f>
        <v>0</v>
      </c>
      <c r="L52" s="15">
        <f>Tabla13[[#This Row],[Uso y acceso Sep/2024]]</f>
        <v>0.3</v>
      </c>
      <c r="M52" s="15">
        <f>Tabla58[[#This Row],[Integración Sep/2024]]</f>
        <v>0</v>
      </c>
      <c r="N52" s="16">
        <f>AVERAGE(Tabla4[[#This Row],[Creación y captura Sep/2024]:[Compartición e Interoperabilidad Sep/2024]])</f>
        <v>9.9999999999999992E-2</v>
      </c>
      <c r="O52" s="14">
        <v>0.5</v>
      </c>
      <c r="P52" s="14">
        <v>0.2</v>
      </c>
      <c r="Q52" s="15">
        <f>AVERAGE('Calidad de Datos'!K56:N56)</f>
        <v>0</v>
      </c>
      <c r="R52" s="15">
        <f>Tabla13[[#This Row],[Uso y acceso Oct/2024]]</f>
        <v>1</v>
      </c>
      <c r="S52" s="15">
        <f>Tabla58[[#This Row],[Integración Oct/2024]]</f>
        <v>0.2</v>
      </c>
      <c r="T52" s="16">
        <f>AVERAGE(Tabla4[[#This Row],[Creación y captura Oct/2024]:[Compartición e Interoperabilidad Oct/2024]])</f>
        <v>0.38</v>
      </c>
      <c r="U52" s="14">
        <v>1</v>
      </c>
      <c r="V52" s="14">
        <v>0.5</v>
      </c>
      <c r="W52" s="15">
        <f>AVERAGE('Calidad de Datos'!O56:R56)</f>
        <v>1</v>
      </c>
      <c r="X52" s="15">
        <f>Tabla13[[#This Row],[Uso y acceso Nov/2024]]</f>
        <v>1</v>
      </c>
      <c r="Y52" s="15">
        <f>Tabla58[[#This Row],[Integración Nov/2024]]</f>
        <v>0.5</v>
      </c>
      <c r="Z52" s="16">
        <f>AVERAGE(Tabla4[[#This Row],[Creación y captura Nov/2024]:[Compartición e Interoperabilidad Nov/2024]])</f>
        <v>0.8</v>
      </c>
      <c r="AA52" s="14">
        <v>1</v>
      </c>
      <c r="AB52" s="14">
        <v>1</v>
      </c>
      <c r="AC52" s="15">
        <f>AVERAGE('Calidad de Datos'!S56:V56)</f>
        <v>1</v>
      </c>
      <c r="AD52" s="15">
        <f>Tabla13[[#This Row],[Uso y acceso Dic/2024]]</f>
        <v>1</v>
      </c>
      <c r="AE52" s="15">
        <f>Tabla58[[#This Row],[Integración Dic/2024]]</f>
        <v>1</v>
      </c>
      <c r="AF52" s="16">
        <f>AVERAGE(Tabla4[[#This Row],[Creación y captura Dic/2024]:[Compartición e Interoperabilidad Dic/2024]])</f>
        <v>1</v>
      </c>
      <c r="AG52" s="14">
        <v>1</v>
      </c>
      <c r="AH52" s="14">
        <v>1</v>
      </c>
      <c r="AI52" s="17">
        <f>AVERAGE('Calidad de Datos'!W56:Z56)</f>
        <v>1</v>
      </c>
      <c r="AJ52" s="15">
        <f>Tabla13[[#This Row],[Uso y acceso Ene/2025]]</f>
        <v>1</v>
      </c>
      <c r="AK52" s="15">
        <f>Tabla58[[#This Row],[Integración Ene/2025]]</f>
        <v>1</v>
      </c>
      <c r="AL52" s="16">
        <f>AVERAGE(Tabla4[[#This Row],[Creación y captura Ene/2025]:[Compartición e Interoperabilidad Ene/2025]])</f>
        <v>1</v>
      </c>
      <c r="AM52" s="14">
        <v>1</v>
      </c>
      <c r="AN52" s="14">
        <v>1</v>
      </c>
      <c r="AO52" s="17">
        <f>AVERAGE('Calidad de Datos'!AA56:AD56)</f>
        <v>1</v>
      </c>
      <c r="AP52" s="15">
        <f>Tabla13[[#This Row],[Uso y acceso Feb/2025]]</f>
        <v>1</v>
      </c>
      <c r="AQ52" s="15">
        <f>Tabla58[[#This Row],[Integración Feb/2025]]</f>
        <v>1</v>
      </c>
      <c r="AR52" s="16">
        <f>AVERAGE(Tabla4[[#This Row],[Creación y captura Feb/2025]:[Compartición e Interoperabilidad Feb/2025]])</f>
        <v>1</v>
      </c>
      <c r="AS52" s="14">
        <v>1</v>
      </c>
      <c r="AT52" s="14">
        <v>1</v>
      </c>
      <c r="AU52" s="17">
        <f>AVERAGE('Calidad de Datos'!AE56:AH56)</f>
        <v>1</v>
      </c>
      <c r="AV52" s="15">
        <f>Tabla13[[#This Row],[Uso y acceso Mar/2025]]</f>
        <v>1</v>
      </c>
      <c r="AW52" s="15">
        <f>Tabla58[[#This Row],[Integración Mar/2025]]</f>
        <v>1</v>
      </c>
      <c r="AX52" s="16">
        <f>AVERAGE(Tabla4[[#This Row],[Creación y captura Mar/2025]:[Compartición e Interoperabilidad Mar/2025]])</f>
        <v>1</v>
      </c>
      <c r="AY52" s="14">
        <v>1</v>
      </c>
      <c r="AZ52" s="14">
        <v>1</v>
      </c>
      <c r="BA52" s="17">
        <f>AVERAGE('Calidad de Datos'!AI56:AL56)</f>
        <v>1</v>
      </c>
      <c r="BB52" s="15">
        <f>Tabla13[[#This Row],[Uso y acceso Abr/2025]]</f>
        <v>1</v>
      </c>
      <c r="BC52" s="15">
        <f>Tabla58[[#This Row],[Integración Abr/2025]]</f>
        <v>1</v>
      </c>
      <c r="BD52" s="16">
        <f>AVERAGE(Tabla4[[#This Row],[Creación y captura Abr/2025]:[Compartición e Interoperabilidad Abr/2025]])</f>
        <v>1</v>
      </c>
      <c r="BE52" s="14">
        <v>1</v>
      </c>
      <c r="BF52" s="14">
        <v>1</v>
      </c>
      <c r="BG52" s="17">
        <f>AVERAGE('Calidad de Datos'!AM56:AP56)</f>
        <v>1</v>
      </c>
      <c r="BH52" s="15">
        <f>Tabla13[[#This Row],[Uso y acceso May/2025]]</f>
        <v>1</v>
      </c>
      <c r="BI52" s="15">
        <f>Tabla58[[#This Row],[Integración May/2025]]</f>
        <v>1</v>
      </c>
      <c r="BJ52" s="16">
        <f>AVERAGE(Tabla4[[#This Row],[Creación y captura May/2025]:[Compartición e Interoperabilidad May/2025]])</f>
        <v>1</v>
      </c>
      <c r="BK52" s="14">
        <v>1</v>
      </c>
      <c r="BL52" s="14">
        <v>1</v>
      </c>
      <c r="BM52" s="14">
        <f>AVERAGE('Calidad de Datos'!AQ56:AT56)</f>
        <v>1</v>
      </c>
      <c r="BN52" s="14">
        <f>Tabla13[[#This Row],[Uso y acceso Dic/2025]]</f>
        <v>1</v>
      </c>
      <c r="BO52" s="14">
        <f>Tabla58[[#This Row],[Integración Dic/2025]]</f>
        <v>1</v>
      </c>
      <c r="BP52" s="16">
        <f>AVERAGE(Tabla4[[#This Row],[Creación y captura Dic/2025]:[Compartición e Interoperabilidad Dic/2025]])</f>
        <v>1</v>
      </c>
    </row>
    <row r="53" spans="2:68" x14ac:dyDescent="0.4">
      <c r="B53" s="1" t="s">
        <v>103</v>
      </c>
      <c r="C53" s="14"/>
      <c r="D53" s="14"/>
      <c r="E53" s="14">
        <f>AVERAGE('Calidad de Datos'!C57:F57)</f>
        <v>0</v>
      </c>
      <c r="F53" s="14">
        <f>Tabla13[[#This Row],[Uso y acceso Ago/2024]]</f>
        <v>0.5</v>
      </c>
      <c r="G53" s="15">
        <f>Tabla58[[#This Row],[Integración Ago/2024]]</f>
        <v>0</v>
      </c>
      <c r="H53" s="16">
        <f>AVERAGE(Tabla4[[#This Row],[Creación y captura Ago/2024]:[Compartición e Interoperabilidad Ago/2024]])</f>
        <v>0.16666666666666666</v>
      </c>
      <c r="I53" s="14"/>
      <c r="J53" s="14"/>
      <c r="K53" s="15">
        <f>AVERAGE('Calidad de Datos'!G57:J57)</f>
        <v>0</v>
      </c>
      <c r="L53" s="15">
        <f>Tabla13[[#This Row],[Uso y acceso Sep/2024]]</f>
        <v>0.5</v>
      </c>
      <c r="M53" s="15">
        <f>Tabla58[[#This Row],[Integración Sep/2024]]</f>
        <v>0</v>
      </c>
      <c r="N53" s="16">
        <f>AVERAGE(Tabla4[[#This Row],[Creación y captura Sep/2024]:[Compartición e Interoperabilidad Sep/2024]])</f>
        <v>0.16666666666666666</v>
      </c>
      <c r="O53" s="14">
        <v>0.5</v>
      </c>
      <c r="P53" s="14">
        <v>0.2</v>
      </c>
      <c r="Q53" s="15">
        <f>AVERAGE('Calidad de Datos'!K57:N57)</f>
        <v>0</v>
      </c>
      <c r="R53" s="15">
        <f>Tabla13[[#This Row],[Uso y acceso Oct/2024]]</f>
        <v>0.8</v>
      </c>
      <c r="S53" s="15">
        <f>Tabla58[[#This Row],[Integración Oct/2024]]</f>
        <v>0.2</v>
      </c>
      <c r="T53" s="16">
        <f>AVERAGE(Tabla4[[#This Row],[Creación y captura Oct/2024]:[Compartición e Interoperabilidad Oct/2024]])</f>
        <v>0.33999999999999997</v>
      </c>
      <c r="U53" s="14">
        <v>0.75</v>
      </c>
      <c r="V53" s="14">
        <v>0.5</v>
      </c>
      <c r="W53" s="15">
        <f>AVERAGE('Calidad de Datos'!O57:R57)</f>
        <v>0.77750000000000008</v>
      </c>
      <c r="X53" s="15">
        <f>Tabla13[[#This Row],[Uso y acceso Nov/2024]]</f>
        <v>1</v>
      </c>
      <c r="Y53" s="15">
        <f>Tabla58[[#This Row],[Integración Nov/2024]]</f>
        <v>0.5</v>
      </c>
      <c r="Z53" s="16">
        <f>AVERAGE(Tabla4[[#This Row],[Creación y captura Nov/2024]:[Compartición e Interoperabilidad Nov/2024]])</f>
        <v>0.70550000000000002</v>
      </c>
      <c r="AA53" s="14">
        <v>0.75</v>
      </c>
      <c r="AB53" s="14">
        <v>0.9</v>
      </c>
      <c r="AC53" s="15">
        <f>AVERAGE('Calidad de Datos'!S57:V57)</f>
        <v>0.77750000000000008</v>
      </c>
      <c r="AD53" s="15">
        <f>Tabla13[[#This Row],[Uso y acceso Dic/2024]]</f>
        <v>1</v>
      </c>
      <c r="AE53" s="15">
        <f>Tabla58[[#This Row],[Integración Dic/2024]]</f>
        <v>0.9</v>
      </c>
      <c r="AF53" s="16">
        <f>AVERAGE(Tabla4[[#This Row],[Creación y captura Dic/2024]:[Compartición e Interoperabilidad Dic/2024]])</f>
        <v>0.86550000000000016</v>
      </c>
      <c r="AG53" s="14">
        <v>0.85</v>
      </c>
      <c r="AH53" s="14">
        <v>1</v>
      </c>
      <c r="AI53" s="17">
        <f>AVERAGE('Calidad de Datos'!W57:Z57)</f>
        <v>0.86250000000000004</v>
      </c>
      <c r="AJ53" s="15">
        <f>Tabla13[[#This Row],[Uso y acceso Ene/2025]]</f>
        <v>1</v>
      </c>
      <c r="AK53" s="15">
        <f>Tabla58[[#This Row],[Integración Ene/2025]]</f>
        <v>0.9</v>
      </c>
      <c r="AL53" s="16">
        <f>AVERAGE(Tabla4[[#This Row],[Creación y captura Ene/2025]:[Compartición e Interoperabilidad Ene/2025]])</f>
        <v>0.9225000000000001</v>
      </c>
      <c r="AM53" s="14">
        <v>0.9</v>
      </c>
      <c r="AN53" s="14">
        <v>0.9</v>
      </c>
      <c r="AO53" s="17">
        <f>AVERAGE('Calidad de Datos'!AA57:AD57)</f>
        <v>0.9375</v>
      </c>
      <c r="AP53" s="15">
        <f>Tabla13[[#This Row],[Uso y acceso Feb/2025]]</f>
        <v>1</v>
      </c>
      <c r="AQ53" s="15">
        <f>Tabla58[[#This Row],[Integración Feb/2025]]</f>
        <v>0.9</v>
      </c>
      <c r="AR53" s="16">
        <f>AVERAGE(Tabla4[[#This Row],[Creación y captura Feb/2025]:[Compartición e Interoperabilidad Feb/2025]])</f>
        <v>0.92749999999999999</v>
      </c>
      <c r="AS53" s="14">
        <v>0.9</v>
      </c>
      <c r="AT53" s="14">
        <v>1</v>
      </c>
      <c r="AU53" s="17">
        <f>AVERAGE('Calidad de Datos'!AE57:AH57)</f>
        <v>0.9375</v>
      </c>
      <c r="AV53" s="15">
        <f>Tabla13[[#This Row],[Uso y acceso Mar/2025]]</f>
        <v>1</v>
      </c>
      <c r="AW53" s="15">
        <f>Tabla58[[#This Row],[Integración Mar/2025]]</f>
        <v>0.9</v>
      </c>
      <c r="AX53" s="16">
        <f>AVERAGE(Tabla4[[#This Row],[Creación y captura Mar/2025]:[Compartición e Interoperabilidad Mar/2025]])</f>
        <v>0.94750000000000001</v>
      </c>
      <c r="AY53" s="14">
        <v>0.9</v>
      </c>
      <c r="AZ53" s="14">
        <v>1</v>
      </c>
      <c r="BA53" s="17">
        <f>AVERAGE('Calidad de Datos'!AI57:AL57)</f>
        <v>0.9375</v>
      </c>
      <c r="BB53" s="15">
        <f>Tabla13[[#This Row],[Uso y acceso Abr/2025]]</f>
        <v>1</v>
      </c>
      <c r="BC53" s="15">
        <f>Tabla58[[#This Row],[Integración Abr/2025]]</f>
        <v>0.9</v>
      </c>
      <c r="BD53" s="16">
        <f>AVERAGE(Tabla4[[#This Row],[Creación y captura Abr/2025]:[Compartición e Interoperabilidad Abr/2025]])</f>
        <v>0.94750000000000001</v>
      </c>
      <c r="BE53" s="14">
        <v>1</v>
      </c>
      <c r="BF53" s="14">
        <v>1</v>
      </c>
      <c r="BG53" s="17">
        <f>AVERAGE('Calidad de Datos'!AM57:AP57)</f>
        <v>1</v>
      </c>
      <c r="BH53" s="15">
        <f>Tabla13[[#This Row],[Uso y acceso May/2025]]</f>
        <v>1</v>
      </c>
      <c r="BI53" s="15">
        <f>Tabla58[[#This Row],[Integración May/2025]]</f>
        <v>0.9</v>
      </c>
      <c r="BJ53" s="16">
        <f>AVERAGE(Tabla4[[#This Row],[Creación y captura May/2025]:[Compartición e Interoperabilidad May/2025]])</f>
        <v>0.98000000000000009</v>
      </c>
      <c r="BK53" s="14">
        <v>1</v>
      </c>
      <c r="BL53" s="14">
        <v>1</v>
      </c>
      <c r="BM53" s="14">
        <f>AVERAGE('Calidad de Datos'!AQ57:AT57)</f>
        <v>1</v>
      </c>
      <c r="BN53" s="14">
        <f>Tabla13[[#This Row],[Uso y acceso Dic/2025]]</f>
        <v>1</v>
      </c>
      <c r="BO53" s="14">
        <f>Tabla58[[#This Row],[Integración Dic/2025]]</f>
        <v>1</v>
      </c>
      <c r="BP53" s="16">
        <f>AVERAGE(Tabla4[[#This Row],[Creación y captura Dic/2025]:[Compartición e Interoperabilidad Dic/2025]])</f>
        <v>1</v>
      </c>
    </row>
    <row r="54" spans="2:68" x14ac:dyDescent="0.4">
      <c r="B54" s="1" t="s">
        <v>104</v>
      </c>
      <c r="C54" s="14"/>
      <c r="D54" s="14"/>
      <c r="E54" s="14">
        <f>AVERAGE('Calidad de Datos'!C58:F58)</f>
        <v>0</v>
      </c>
      <c r="F54" s="14">
        <f>Tabla13[[#This Row],[Uso y acceso Ago/2024]]</f>
        <v>0.5</v>
      </c>
      <c r="G54" s="15">
        <f>Tabla58[[#This Row],[Integración Ago/2024]]</f>
        <v>0</v>
      </c>
      <c r="H54" s="16">
        <f>AVERAGE(Tabla4[[#This Row],[Creación y captura Ago/2024]:[Compartición e Interoperabilidad Ago/2024]])</f>
        <v>0.16666666666666666</v>
      </c>
      <c r="I54" s="14"/>
      <c r="J54" s="14"/>
      <c r="K54" s="15">
        <f>AVERAGE('Calidad de Datos'!G58:J58)</f>
        <v>0</v>
      </c>
      <c r="L54" s="15">
        <f>Tabla13[[#This Row],[Uso y acceso Sep/2024]]</f>
        <v>0.5</v>
      </c>
      <c r="M54" s="15">
        <f>Tabla58[[#This Row],[Integración Sep/2024]]</f>
        <v>0</v>
      </c>
      <c r="N54" s="16">
        <f>AVERAGE(Tabla4[[#This Row],[Creación y captura Sep/2024]:[Compartición e Interoperabilidad Sep/2024]])</f>
        <v>0.16666666666666666</v>
      </c>
      <c r="O54" s="14"/>
      <c r="P54" s="14"/>
      <c r="Q54" s="15">
        <f>AVERAGE('Calidad de Datos'!K58:N58)</f>
        <v>0</v>
      </c>
      <c r="R54" s="15">
        <f>Tabla13[[#This Row],[Uso y acceso Oct/2024]]</f>
        <v>0.5</v>
      </c>
      <c r="S54" s="15">
        <f>Tabla58[[#This Row],[Integración Oct/2024]]</f>
        <v>0</v>
      </c>
      <c r="T54" s="16">
        <f>AVERAGE(Tabla4[[#This Row],[Creación y captura Oct/2024]:[Compartición e Interoperabilidad Oct/2024]])</f>
        <v>0.16666666666666666</v>
      </c>
      <c r="U54" s="14">
        <v>0.75</v>
      </c>
      <c r="V54" s="14"/>
      <c r="W54" s="15">
        <f>AVERAGE('Calidad de Datos'!O58:R58)</f>
        <v>0.77500000000000002</v>
      </c>
      <c r="X54" s="15">
        <f>Tabla13[[#This Row],[Uso y acceso Nov/2024]]</f>
        <v>0.5</v>
      </c>
      <c r="Y54" s="15">
        <f>Tabla58[[#This Row],[Integración Nov/2024]]</f>
        <v>0</v>
      </c>
      <c r="Z54" s="16">
        <f>AVERAGE(Tabla4[[#This Row],[Creación y captura Nov/2024]:[Compartición e Interoperabilidad Nov/2024]])</f>
        <v>0.50624999999999998</v>
      </c>
      <c r="AA54" s="14">
        <v>0.75</v>
      </c>
      <c r="AB54" s="14">
        <v>0.9</v>
      </c>
      <c r="AC54" s="15">
        <f>AVERAGE('Calidad de Datos'!S58:V58)</f>
        <v>0.77500000000000002</v>
      </c>
      <c r="AD54" s="15">
        <f>Tabla13[[#This Row],[Uso y acceso Dic/2024]]</f>
        <v>1</v>
      </c>
      <c r="AE54" s="15">
        <f>Tabla58[[#This Row],[Integración Dic/2024]]</f>
        <v>0.9</v>
      </c>
      <c r="AF54" s="16">
        <f>AVERAGE(Tabla4[[#This Row],[Creación y captura Dic/2024]:[Compartición e Interoperabilidad Dic/2024]])</f>
        <v>0.86499999999999999</v>
      </c>
      <c r="AG54" s="14">
        <v>1</v>
      </c>
      <c r="AH54" s="14">
        <v>1</v>
      </c>
      <c r="AI54" s="17">
        <f>AVERAGE('Calidad de Datos'!W58:Z58)</f>
        <v>1</v>
      </c>
      <c r="AJ54" s="15">
        <f>Tabla13[[#This Row],[Uso y acceso Ene/2025]]</f>
        <v>1</v>
      </c>
      <c r="AK54" s="15">
        <f>Tabla58[[#This Row],[Integración Ene/2025]]</f>
        <v>1</v>
      </c>
      <c r="AL54" s="16">
        <f>AVERAGE(Tabla4[[#This Row],[Creación y captura Ene/2025]:[Compartición e Interoperabilidad Ene/2025]])</f>
        <v>1</v>
      </c>
      <c r="AM54" s="14">
        <v>1</v>
      </c>
      <c r="AN54" s="14">
        <v>1</v>
      </c>
      <c r="AO54" s="17">
        <f>AVERAGE('Calidad de Datos'!AA58:AD58)</f>
        <v>1</v>
      </c>
      <c r="AP54" s="15">
        <f>Tabla13[[#This Row],[Uso y acceso Feb/2025]]</f>
        <v>1</v>
      </c>
      <c r="AQ54" s="15">
        <f>Tabla58[[#This Row],[Integración Feb/2025]]</f>
        <v>1</v>
      </c>
      <c r="AR54" s="16">
        <f>AVERAGE(Tabla4[[#This Row],[Creación y captura Feb/2025]:[Compartición e Interoperabilidad Feb/2025]])</f>
        <v>1</v>
      </c>
      <c r="AS54" s="14">
        <v>1</v>
      </c>
      <c r="AT54" s="14">
        <v>1</v>
      </c>
      <c r="AU54" s="17">
        <f>AVERAGE('Calidad de Datos'!AE58:AH58)</f>
        <v>1</v>
      </c>
      <c r="AV54" s="15">
        <f>Tabla13[[#This Row],[Uso y acceso Mar/2025]]</f>
        <v>1</v>
      </c>
      <c r="AW54" s="15">
        <f>Tabla58[[#This Row],[Integración Mar/2025]]</f>
        <v>1</v>
      </c>
      <c r="AX54" s="16">
        <f>AVERAGE(Tabla4[[#This Row],[Creación y captura Mar/2025]:[Compartición e Interoperabilidad Mar/2025]])</f>
        <v>1</v>
      </c>
      <c r="AY54" s="14">
        <v>1</v>
      </c>
      <c r="AZ54" s="14">
        <v>1</v>
      </c>
      <c r="BA54" s="17">
        <f>AVERAGE('Calidad de Datos'!AI58:AL58)</f>
        <v>1</v>
      </c>
      <c r="BB54" s="15">
        <f>Tabla13[[#This Row],[Uso y acceso Abr/2025]]</f>
        <v>1</v>
      </c>
      <c r="BC54" s="15">
        <f>Tabla58[[#This Row],[Integración Abr/2025]]</f>
        <v>1</v>
      </c>
      <c r="BD54" s="16">
        <f>AVERAGE(Tabla4[[#This Row],[Creación y captura Abr/2025]:[Compartición e Interoperabilidad Abr/2025]])</f>
        <v>1</v>
      </c>
      <c r="BE54" s="14">
        <v>1</v>
      </c>
      <c r="BF54" s="14">
        <v>1</v>
      </c>
      <c r="BG54" s="17">
        <f>AVERAGE('Calidad de Datos'!AM58:AP58)</f>
        <v>1</v>
      </c>
      <c r="BH54" s="15">
        <f>Tabla13[[#This Row],[Uso y acceso May/2025]]</f>
        <v>1</v>
      </c>
      <c r="BI54" s="15">
        <f>Tabla58[[#This Row],[Integración May/2025]]</f>
        <v>1</v>
      </c>
      <c r="BJ54" s="16">
        <f>AVERAGE(Tabla4[[#This Row],[Creación y captura May/2025]:[Compartición e Interoperabilidad May/2025]])</f>
        <v>1</v>
      </c>
      <c r="BK54" s="14">
        <v>1</v>
      </c>
      <c r="BL54" s="14">
        <v>1</v>
      </c>
      <c r="BM54" s="14">
        <f>AVERAGE('Calidad de Datos'!AQ58:AT58)</f>
        <v>1</v>
      </c>
      <c r="BN54" s="14">
        <f>Tabla13[[#This Row],[Uso y acceso Dic/2025]]</f>
        <v>1</v>
      </c>
      <c r="BO54" s="14">
        <f>Tabla58[[#This Row],[Integración Dic/2025]]</f>
        <v>1</v>
      </c>
      <c r="BP54" s="16">
        <f>AVERAGE(Tabla4[[#This Row],[Creación y captura Dic/2025]:[Compartición e Interoperabilidad Dic/2025]])</f>
        <v>1</v>
      </c>
    </row>
    <row r="55" spans="2:68" x14ac:dyDescent="0.4">
      <c r="B55" s="1" t="s">
        <v>105</v>
      </c>
      <c r="C55" s="14"/>
      <c r="D55" s="14"/>
      <c r="E55" s="14">
        <f>AVERAGE('Calidad de Datos'!C59:F59)</f>
        <v>0</v>
      </c>
      <c r="F55" s="14">
        <f>Tabla13[[#This Row],[Uso y acceso Ago/2024]]</f>
        <v>0.3</v>
      </c>
      <c r="G55" s="15">
        <f>Tabla58[[#This Row],[Integración Ago/2024]]</f>
        <v>0</v>
      </c>
      <c r="H55" s="16">
        <f>AVERAGE(Tabla4[[#This Row],[Creación y captura Ago/2024]:[Compartición e Interoperabilidad Ago/2024]])</f>
        <v>9.9999999999999992E-2</v>
      </c>
      <c r="I55" s="14"/>
      <c r="J55" s="14"/>
      <c r="K55" s="15">
        <f>AVERAGE('Calidad de Datos'!G59:J59)</f>
        <v>0</v>
      </c>
      <c r="L55" s="15">
        <f>Tabla13[[#This Row],[Uso y acceso Sep/2024]]</f>
        <v>0.3</v>
      </c>
      <c r="M55" s="15">
        <f>Tabla58[[#This Row],[Integración Sep/2024]]</f>
        <v>0</v>
      </c>
      <c r="N55" s="16">
        <f>AVERAGE(Tabla4[[#This Row],[Creación y captura Sep/2024]:[Compartición e Interoperabilidad Sep/2024]])</f>
        <v>9.9999999999999992E-2</v>
      </c>
      <c r="O55" s="14">
        <v>0.6</v>
      </c>
      <c r="P55" s="14">
        <v>0.3</v>
      </c>
      <c r="Q55" s="15">
        <f>AVERAGE('Calidad de Datos'!K59:N59)</f>
        <v>0</v>
      </c>
      <c r="R55" s="15">
        <f>Tabla13[[#This Row],[Uso y acceso Oct/2024]]</f>
        <v>0.5</v>
      </c>
      <c r="S55" s="15">
        <f>Tabla58[[#This Row],[Integración Oct/2024]]</f>
        <v>0.3</v>
      </c>
      <c r="T55" s="16">
        <f>AVERAGE(Tabla4[[#This Row],[Creación y captura Oct/2024]:[Compartición e Interoperabilidad Oct/2024]])</f>
        <v>0.33999999999999997</v>
      </c>
      <c r="U55" s="14">
        <v>1</v>
      </c>
      <c r="V55" s="14">
        <v>0.5</v>
      </c>
      <c r="W55" s="15">
        <f>AVERAGE('Calidad de Datos'!O59:R59)</f>
        <v>1</v>
      </c>
      <c r="X55" s="15">
        <f>Tabla13[[#This Row],[Uso y acceso Nov/2024]]</f>
        <v>0.5</v>
      </c>
      <c r="Y55" s="15">
        <f>Tabla58[[#This Row],[Integración Nov/2024]]</f>
        <v>0.5</v>
      </c>
      <c r="Z55" s="16">
        <f>AVERAGE(Tabla4[[#This Row],[Creación y captura Nov/2024]:[Compartición e Interoperabilidad Nov/2024]])</f>
        <v>0.7</v>
      </c>
      <c r="AA55" s="14">
        <v>1</v>
      </c>
      <c r="AB55" s="14">
        <v>0.9</v>
      </c>
      <c r="AC55" s="15">
        <f>AVERAGE('Calidad de Datos'!S59:V59)</f>
        <v>1</v>
      </c>
      <c r="AD55" s="15">
        <f>Tabla13[[#This Row],[Uso y acceso Dic/2024]]</f>
        <v>1</v>
      </c>
      <c r="AE55" s="15">
        <f>Tabla58[[#This Row],[Integración Dic/2024]]</f>
        <v>0.9</v>
      </c>
      <c r="AF55" s="16">
        <f>AVERAGE(Tabla4[[#This Row],[Creación y captura Dic/2024]:[Compartición e Interoperabilidad Dic/2024]])</f>
        <v>0.96</v>
      </c>
      <c r="AG55" s="14">
        <v>1</v>
      </c>
      <c r="AH55" s="14">
        <v>1</v>
      </c>
      <c r="AI55" s="17">
        <f>AVERAGE('Calidad de Datos'!W59:Z59)</f>
        <v>1</v>
      </c>
      <c r="AJ55" s="15">
        <f>Tabla13[[#This Row],[Uso y acceso Ene/2025]]</f>
        <v>1</v>
      </c>
      <c r="AK55" s="15">
        <f>Tabla58[[#This Row],[Integración Ene/2025]]</f>
        <v>1</v>
      </c>
      <c r="AL55" s="16">
        <f>AVERAGE(Tabla4[[#This Row],[Creación y captura Ene/2025]:[Compartición e Interoperabilidad Ene/2025]])</f>
        <v>1</v>
      </c>
      <c r="AM55" s="14">
        <v>1</v>
      </c>
      <c r="AN55" s="14">
        <v>1</v>
      </c>
      <c r="AO55" s="17">
        <f>AVERAGE('Calidad de Datos'!AA59:AD59)</f>
        <v>1</v>
      </c>
      <c r="AP55" s="15">
        <f>Tabla13[[#This Row],[Uso y acceso Feb/2025]]</f>
        <v>1</v>
      </c>
      <c r="AQ55" s="15">
        <f>Tabla58[[#This Row],[Integración Feb/2025]]</f>
        <v>1</v>
      </c>
      <c r="AR55" s="16">
        <f>AVERAGE(Tabla4[[#This Row],[Creación y captura Feb/2025]:[Compartición e Interoperabilidad Feb/2025]])</f>
        <v>1</v>
      </c>
      <c r="AS55" s="14">
        <v>1</v>
      </c>
      <c r="AT55" s="14">
        <v>1</v>
      </c>
      <c r="AU55" s="17">
        <f>AVERAGE('Calidad de Datos'!AE59:AH59)</f>
        <v>1</v>
      </c>
      <c r="AV55" s="15">
        <f>Tabla13[[#This Row],[Uso y acceso Mar/2025]]</f>
        <v>1</v>
      </c>
      <c r="AW55" s="15">
        <f>Tabla58[[#This Row],[Integración Mar/2025]]</f>
        <v>1</v>
      </c>
      <c r="AX55" s="16">
        <f>AVERAGE(Tabla4[[#This Row],[Creación y captura Mar/2025]:[Compartición e Interoperabilidad Mar/2025]])</f>
        <v>1</v>
      </c>
      <c r="AY55" s="14">
        <v>1</v>
      </c>
      <c r="AZ55" s="14">
        <v>1</v>
      </c>
      <c r="BA55" s="17">
        <f>AVERAGE('Calidad de Datos'!AI59:AL59)</f>
        <v>1</v>
      </c>
      <c r="BB55" s="15">
        <f>Tabla13[[#This Row],[Uso y acceso Abr/2025]]</f>
        <v>1</v>
      </c>
      <c r="BC55" s="15">
        <f>Tabla58[[#This Row],[Integración Abr/2025]]</f>
        <v>1</v>
      </c>
      <c r="BD55" s="16">
        <f>AVERAGE(Tabla4[[#This Row],[Creación y captura Abr/2025]:[Compartición e Interoperabilidad Abr/2025]])</f>
        <v>1</v>
      </c>
      <c r="BE55" s="14">
        <v>1</v>
      </c>
      <c r="BF55" s="14">
        <v>1</v>
      </c>
      <c r="BG55" s="17">
        <f>AVERAGE('Calidad de Datos'!AM59:AP59)</f>
        <v>1</v>
      </c>
      <c r="BH55" s="15">
        <f>Tabla13[[#This Row],[Uso y acceso May/2025]]</f>
        <v>1</v>
      </c>
      <c r="BI55" s="15">
        <f>Tabla58[[#This Row],[Integración May/2025]]</f>
        <v>1</v>
      </c>
      <c r="BJ55" s="16">
        <f>AVERAGE(Tabla4[[#This Row],[Creación y captura May/2025]:[Compartición e Interoperabilidad May/2025]])</f>
        <v>1</v>
      </c>
      <c r="BK55" s="14">
        <v>1</v>
      </c>
      <c r="BL55" s="14">
        <v>1</v>
      </c>
      <c r="BM55" s="14">
        <f>AVERAGE('Calidad de Datos'!AQ59:AT59)</f>
        <v>1</v>
      </c>
      <c r="BN55" s="14">
        <f>Tabla13[[#This Row],[Uso y acceso Dic/2025]]</f>
        <v>1</v>
      </c>
      <c r="BO55" s="14">
        <f>Tabla58[[#This Row],[Integración Dic/2025]]</f>
        <v>1</v>
      </c>
      <c r="BP55" s="16">
        <f>AVERAGE(Tabla4[[#This Row],[Creación y captura Dic/2025]:[Compartición e Interoperabilidad Dic/2025]])</f>
        <v>1</v>
      </c>
    </row>
    <row r="56" spans="2:68" x14ac:dyDescent="0.4">
      <c r="B56" s="1" t="s">
        <v>106</v>
      </c>
      <c r="C56" s="14"/>
      <c r="D56" s="14"/>
      <c r="E56" s="14">
        <f>AVERAGE('Calidad de Datos'!C60:F60)</f>
        <v>0</v>
      </c>
      <c r="F56" s="14">
        <f>Tabla13[[#This Row],[Uso y acceso Ago/2024]]</f>
        <v>0.3</v>
      </c>
      <c r="G56" s="15">
        <f>Tabla58[[#This Row],[Integración Ago/2024]]</f>
        <v>0</v>
      </c>
      <c r="H56" s="16">
        <f>AVERAGE(Tabla4[[#This Row],[Creación y captura Ago/2024]:[Compartición e Interoperabilidad Ago/2024]])</f>
        <v>9.9999999999999992E-2</v>
      </c>
      <c r="I56" s="14"/>
      <c r="J56" s="14"/>
      <c r="K56" s="15">
        <f>AVERAGE('Calidad de Datos'!G60:J60)</f>
        <v>0</v>
      </c>
      <c r="L56" s="15">
        <f>Tabla13[[#This Row],[Uso y acceso Sep/2024]]</f>
        <v>0.3</v>
      </c>
      <c r="M56" s="15">
        <f>Tabla58[[#This Row],[Integración Sep/2024]]</f>
        <v>0</v>
      </c>
      <c r="N56" s="16">
        <f>AVERAGE(Tabla4[[#This Row],[Creación y captura Sep/2024]:[Compartición e Interoperabilidad Sep/2024]])</f>
        <v>9.9999999999999992E-2</v>
      </c>
      <c r="O56" s="14">
        <v>0.6</v>
      </c>
      <c r="P56" s="14">
        <v>0.3</v>
      </c>
      <c r="Q56" s="15">
        <f>AVERAGE('Calidad de Datos'!K60:N60)</f>
        <v>0</v>
      </c>
      <c r="R56" s="15">
        <f>Tabla13[[#This Row],[Uso y acceso Oct/2024]]</f>
        <v>0.5</v>
      </c>
      <c r="S56" s="15">
        <f>Tabla58[[#This Row],[Integración Oct/2024]]</f>
        <v>0.3</v>
      </c>
      <c r="T56" s="16">
        <f>AVERAGE(Tabla4[[#This Row],[Creación y captura Oct/2024]:[Compartición e Interoperabilidad Oct/2024]])</f>
        <v>0.33999999999999997</v>
      </c>
      <c r="U56" s="14">
        <v>1</v>
      </c>
      <c r="V56" s="14">
        <v>0.5</v>
      </c>
      <c r="W56" s="15">
        <f>AVERAGE('Calidad de Datos'!O60:R60)</f>
        <v>1</v>
      </c>
      <c r="X56" s="15">
        <f>Tabla13[[#This Row],[Uso y acceso Nov/2024]]</f>
        <v>0.5</v>
      </c>
      <c r="Y56" s="15">
        <f>Tabla58[[#This Row],[Integración Nov/2024]]</f>
        <v>0.5</v>
      </c>
      <c r="Z56" s="16">
        <f>AVERAGE(Tabla4[[#This Row],[Creación y captura Nov/2024]:[Compartición e Interoperabilidad Nov/2024]])</f>
        <v>0.7</v>
      </c>
      <c r="AA56" s="14">
        <v>1</v>
      </c>
      <c r="AB56" s="14">
        <v>0.9</v>
      </c>
      <c r="AC56" s="15">
        <f>AVERAGE('Calidad de Datos'!S60:V60)</f>
        <v>1</v>
      </c>
      <c r="AD56" s="15">
        <f>Tabla13[[#This Row],[Uso y acceso Dic/2024]]</f>
        <v>1</v>
      </c>
      <c r="AE56" s="15">
        <f>Tabla58[[#This Row],[Integración Dic/2024]]</f>
        <v>0.9</v>
      </c>
      <c r="AF56" s="16">
        <f>AVERAGE(Tabla4[[#This Row],[Creación y captura Dic/2024]:[Compartición e Interoperabilidad Dic/2024]])</f>
        <v>0.96</v>
      </c>
      <c r="AG56" s="14">
        <v>1</v>
      </c>
      <c r="AH56" s="14">
        <v>1</v>
      </c>
      <c r="AI56" s="17">
        <f>AVERAGE('Calidad de Datos'!W60:Z60)</f>
        <v>1</v>
      </c>
      <c r="AJ56" s="15">
        <f>Tabla13[[#This Row],[Uso y acceso Ene/2025]]</f>
        <v>1</v>
      </c>
      <c r="AK56" s="15">
        <f>Tabla58[[#This Row],[Integración Ene/2025]]</f>
        <v>1</v>
      </c>
      <c r="AL56" s="16">
        <f>AVERAGE(Tabla4[[#This Row],[Creación y captura Ene/2025]:[Compartición e Interoperabilidad Ene/2025]])</f>
        <v>1</v>
      </c>
      <c r="AM56" s="14">
        <v>1</v>
      </c>
      <c r="AN56" s="14">
        <v>1</v>
      </c>
      <c r="AO56" s="17">
        <f>AVERAGE('Calidad de Datos'!AA60:AD60)</f>
        <v>1</v>
      </c>
      <c r="AP56" s="15">
        <f>Tabla13[[#This Row],[Uso y acceso Feb/2025]]</f>
        <v>1</v>
      </c>
      <c r="AQ56" s="15">
        <f>Tabla58[[#This Row],[Integración Feb/2025]]</f>
        <v>1</v>
      </c>
      <c r="AR56" s="16">
        <f>AVERAGE(Tabla4[[#This Row],[Creación y captura Feb/2025]:[Compartición e Interoperabilidad Feb/2025]])</f>
        <v>1</v>
      </c>
      <c r="AS56" s="14">
        <v>1</v>
      </c>
      <c r="AT56" s="14">
        <v>1</v>
      </c>
      <c r="AU56" s="17">
        <f>AVERAGE('Calidad de Datos'!AE60:AH60)</f>
        <v>1</v>
      </c>
      <c r="AV56" s="15">
        <f>Tabla13[[#This Row],[Uso y acceso Mar/2025]]</f>
        <v>1</v>
      </c>
      <c r="AW56" s="15">
        <f>Tabla58[[#This Row],[Integración Mar/2025]]</f>
        <v>1</v>
      </c>
      <c r="AX56" s="16">
        <f>AVERAGE(Tabla4[[#This Row],[Creación y captura Mar/2025]:[Compartición e Interoperabilidad Mar/2025]])</f>
        <v>1</v>
      </c>
      <c r="AY56" s="14">
        <v>1</v>
      </c>
      <c r="AZ56" s="14">
        <v>1</v>
      </c>
      <c r="BA56" s="17">
        <f>AVERAGE('Calidad de Datos'!AI60:AL60)</f>
        <v>1</v>
      </c>
      <c r="BB56" s="15">
        <f>Tabla13[[#This Row],[Uso y acceso Abr/2025]]</f>
        <v>1</v>
      </c>
      <c r="BC56" s="15">
        <f>Tabla58[[#This Row],[Integración Abr/2025]]</f>
        <v>1</v>
      </c>
      <c r="BD56" s="16">
        <f>AVERAGE(Tabla4[[#This Row],[Creación y captura Abr/2025]:[Compartición e Interoperabilidad Abr/2025]])</f>
        <v>1</v>
      </c>
      <c r="BE56" s="14">
        <v>1</v>
      </c>
      <c r="BF56" s="14">
        <v>1</v>
      </c>
      <c r="BG56" s="17">
        <f>AVERAGE('Calidad de Datos'!AM60:AP60)</f>
        <v>1</v>
      </c>
      <c r="BH56" s="15">
        <f>Tabla13[[#This Row],[Uso y acceso May/2025]]</f>
        <v>1</v>
      </c>
      <c r="BI56" s="15">
        <f>Tabla58[[#This Row],[Integración May/2025]]</f>
        <v>1</v>
      </c>
      <c r="BJ56" s="16">
        <f>AVERAGE(Tabla4[[#This Row],[Creación y captura May/2025]:[Compartición e Interoperabilidad May/2025]])</f>
        <v>1</v>
      </c>
      <c r="BK56" s="14">
        <v>1</v>
      </c>
      <c r="BL56" s="14">
        <v>1</v>
      </c>
      <c r="BM56" s="14">
        <f>AVERAGE('Calidad de Datos'!AQ60:AT60)</f>
        <v>1</v>
      </c>
      <c r="BN56" s="14">
        <f>Tabla13[[#This Row],[Uso y acceso Dic/2025]]</f>
        <v>1</v>
      </c>
      <c r="BO56" s="14">
        <f>Tabla58[[#This Row],[Integración Dic/2025]]</f>
        <v>1</v>
      </c>
      <c r="BP56" s="16">
        <f>AVERAGE(Tabla4[[#This Row],[Creación y captura Dic/2025]:[Compartición e Interoperabilidad Dic/2025]])</f>
        <v>1</v>
      </c>
    </row>
    <row r="57" spans="2:68" x14ac:dyDescent="0.4">
      <c r="B57" s="1" t="s">
        <v>107</v>
      </c>
      <c r="C57" s="14"/>
      <c r="D57" s="14"/>
      <c r="E57" s="14">
        <f>AVERAGE('Calidad de Datos'!C61:F61)</f>
        <v>0</v>
      </c>
      <c r="F57" s="14">
        <f>Tabla13[[#This Row],[Uso y acceso Ago/2024]]</f>
        <v>0.5</v>
      </c>
      <c r="G57" s="15">
        <f>Tabla58[[#This Row],[Integración Ago/2024]]</f>
        <v>0</v>
      </c>
      <c r="H57" s="16">
        <f>AVERAGE(Tabla4[[#This Row],[Creación y captura Ago/2024]:[Compartición e Interoperabilidad Ago/2024]])</f>
        <v>0.16666666666666666</v>
      </c>
      <c r="I57" s="14"/>
      <c r="J57" s="14"/>
      <c r="K57" s="15">
        <f>AVERAGE('Calidad de Datos'!G61:J61)</f>
        <v>0</v>
      </c>
      <c r="L57" s="15">
        <f>Tabla13[[#This Row],[Uso y acceso Sep/2024]]</f>
        <v>0.5</v>
      </c>
      <c r="M57" s="15">
        <f>Tabla58[[#This Row],[Integración Sep/2024]]</f>
        <v>0</v>
      </c>
      <c r="N57" s="16">
        <f>AVERAGE(Tabla4[[#This Row],[Creación y captura Sep/2024]:[Compartición e Interoperabilidad Sep/2024]])</f>
        <v>0.16666666666666666</v>
      </c>
      <c r="O57" s="14"/>
      <c r="P57" s="14"/>
      <c r="Q57" s="15">
        <f>AVERAGE('Calidad de Datos'!K61:N61)</f>
        <v>0</v>
      </c>
      <c r="R57" s="15">
        <f>Tabla13[[#This Row],[Uso y acceso Oct/2024]]</f>
        <v>0.5</v>
      </c>
      <c r="S57" s="15">
        <f>Tabla58[[#This Row],[Integración Oct/2024]]</f>
        <v>0</v>
      </c>
      <c r="T57" s="16">
        <f>AVERAGE(Tabla4[[#This Row],[Creación y captura Oct/2024]:[Compartición e Interoperabilidad Oct/2024]])</f>
        <v>0.16666666666666666</v>
      </c>
      <c r="U57" s="14">
        <v>0.75</v>
      </c>
      <c r="V57" s="14">
        <v>0.5</v>
      </c>
      <c r="W57" s="15">
        <f>AVERAGE('Calidad de Datos'!O61:R61)</f>
        <v>0.755</v>
      </c>
      <c r="X57" s="15">
        <f>Tabla13[[#This Row],[Uso y acceso Nov/2024]]</f>
        <v>0.5</v>
      </c>
      <c r="Y57" s="15">
        <f>Tabla58[[#This Row],[Integración Nov/2024]]</f>
        <v>0.5</v>
      </c>
      <c r="Z57" s="16">
        <f>AVERAGE(Tabla4[[#This Row],[Creación y captura Nov/2024]:[Compartición e Interoperabilidad Nov/2024]])</f>
        <v>0.60099999999999998</v>
      </c>
      <c r="AA57" s="14">
        <v>0.8</v>
      </c>
      <c r="AB57" s="14">
        <v>0.9</v>
      </c>
      <c r="AC57" s="15">
        <f>AVERAGE('Calidad de Datos'!S61:V61)</f>
        <v>0.80499999999999994</v>
      </c>
      <c r="AD57" s="15">
        <f>Tabla13[[#This Row],[Uso y acceso Dic/2024]]</f>
        <v>1</v>
      </c>
      <c r="AE57" s="15">
        <f>Tabla58[[#This Row],[Integración Dic/2024]]</f>
        <v>0.9</v>
      </c>
      <c r="AF57" s="16">
        <f>AVERAGE(Tabla4[[#This Row],[Creación y captura Dic/2024]:[Compartición e Interoperabilidad Dic/2024]])</f>
        <v>0.88100000000000001</v>
      </c>
      <c r="AG57" s="14">
        <v>0.9</v>
      </c>
      <c r="AH57" s="14">
        <v>0.95</v>
      </c>
      <c r="AI57" s="17">
        <f>AVERAGE('Calidad de Datos'!W61:Z61)</f>
        <v>0.92499999999999993</v>
      </c>
      <c r="AJ57" s="15">
        <f>Tabla13[[#This Row],[Uso y acceso Ene/2025]]</f>
        <v>1</v>
      </c>
      <c r="AK57" s="15">
        <f>Tabla58[[#This Row],[Integración Ene/2025]]</f>
        <v>0.95</v>
      </c>
      <c r="AL57" s="16">
        <f>AVERAGE(Tabla4[[#This Row],[Creación y captura Ene/2025]:[Compartición e Interoperabilidad Ene/2025]])</f>
        <v>0.94499999999999995</v>
      </c>
      <c r="AM57" s="14">
        <v>0.95</v>
      </c>
      <c r="AN57" s="14">
        <v>1</v>
      </c>
      <c r="AO57" s="17">
        <f>AVERAGE('Calidad de Datos'!AA61:AD61)</f>
        <v>0.96250000000000002</v>
      </c>
      <c r="AP57" s="15">
        <f>Tabla13[[#This Row],[Uso y acceso Feb/2025]]</f>
        <v>1</v>
      </c>
      <c r="AQ57" s="15">
        <f>Tabla58[[#This Row],[Integración Feb/2025]]</f>
        <v>1</v>
      </c>
      <c r="AR57" s="16">
        <f>AVERAGE(Tabla4[[#This Row],[Creación y captura Feb/2025]:[Compartición e Interoperabilidad Feb/2025]])</f>
        <v>0.98249999999999993</v>
      </c>
      <c r="AS57" s="14">
        <v>0.95</v>
      </c>
      <c r="AT57" s="14">
        <v>1</v>
      </c>
      <c r="AU57" s="17">
        <f>AVERAGE('Calidad de Datos'!AE61:AH61)</f>
        <v>0.97499999999999998</v>
      </c>
      <c r="AV57" s="15">
        <f>Tabla13[[#This Row],[Uso y acceso Mar/2025]]</f>
        <v>1</v>
      </c>
      <c r="AW57" s="15">
        <f>Tabla58[[#This Row],[Integración Mar/2025]]</f>
        <v>1</v>
      </c>
      <c r="AX57" s="16">
        <f>AVERAGE(Tabla4[[#This Row],[Creación y captura Mar/2025]:[Compartición e Interoperabilidad Mar/2025]])</f>
        <v>0.98499999999999999</v>
      </c>
      <c r="AY57" s="14">
        <v>1</v>
      </c>
      <c r="AZ57" s="14">
        <v>1</v>
      </c>
      <c r="BA57" s="17">
        <f>AVERAGE('Calidad de Datos'!AI61:AL61)</f>
        <v>1</v>
      </c>
      <c r="BB57" s="15">
        <f>Tabla13[[#This Row],[Uso y acceso Abr/2025]]</f>
        <v>1</v>
      </c>
      <c r="BC57" s="15">
        <f>Tabla58[[#This Row],[Integración Abr/2025]]</f>
        <v>1</v>
      </c>
      <c r="BD57" s="16">
        <f>AVERAGE(Tabla4[[#This Row],[Creación y captura Abr/2025]:[Compartición e Interoperabilidad Abr/2025]])</f>
        <v>1</v>
      </c>
      <c r="BE57" s="14">
        <v>1</v>
      </c>
      <c r="BF57" s="14">
        <v>1</v>
      </c>
      <c r="BG57" s="17">
        <f>AVERAGE('Calidad de Datos'!AM61:AP61)</f>
        <v>1</v>
      </c>
      <c r="BH57" s="15">
        <f>Tabla13[[#This Row],[Uso y acceso May/2025]]</f>
        <v>1</v>
      </c>
      <c r="BI57" s="15">
        <f>Tabla58[[#This Row],[Integración May/2025]]</f>
        <v>1</v>
      </c>
      <c r="BJ57" s="16">
        <f>AVERAGE(Tabla4[[#This Row],[Creación y captura May/2025]:[Compartición e Interoperabilidad May/2025]])</f>
        <v>1</v>
      </c>
      <c r="BK57" s="14">
        <v>1</v>
      </c>
      <c r="BL57" s="14">
        <v>1</v>
      </c>
      <c r="BM57" s="14">
        <f>AVERAGE('Calidad de Datos'!AQ61:AT61)</f>
        <v>1</v>
      </c>
      <c r="BN57" s="14">
        <f>Tabla13[[#This Row],[Uso y acceso Dic/2025]]</f>
        <v>1</v>
      </c>
      <c r="BO57" s="14">
        <f>Tabla58[[#This Row],[Integración Dic/2025]]</f>
        <v>1</v>
      </c>
      <c r="BP57" s="16">
        <f>AVERAGE(Tabla4[[#This Row],[Creación y captura Dic/2025]:[Compartición e Interoperabilidad Dic/2025]])</f>
        <v>1</v>
      </c>
    </row>
    <row r="58" spans="2:68" x14ac:dyDescent="0.4">
      <c r="B58" s="1" t="s">
        <v>108</v>
      </c>
      <c r="C58" s="14"/>
      <c r="D58" s="14"/>
      <c r="E58" s="14"/>
      <c r="F58" s="14">
        <f>Tabla13[[#This Row],[Uso y acceso Ago/2024]]</f>
        <v>0.8</v>
      </c>
      <c r="G58" s="15">
        <f>Tabla58[[#This Row],[Integración Ago/2024]]</f>
        <v>0</v>
      </c>
      <c r="H58" s="16">
        <f>AVERAGE(Tabla4[[#This Row],[Creación y captura Ago/2024]:[Compartición e Interoperabilidad Ago/2024]])</f>
        <v>0.4</v>
      </c>
      <c r="I58" s="14"/>
      <c r="J58" s="14"/>
      <c r="K58" s="15"/>
      <c r="L58" s="15">
        <f>Tabla13[[#This Row],[Uso y acceso Sep/2024]]</f>
        <v>0.8</v>
      </c>
      <c r="M58" s="15">
        <f>Tabla58[[#This Row],[Integración Sep/2024]]</f>
        <v>0</v>
      </c>
      <c r="N58" s="16">
        <f>AVERAGE(Tabla4[[#This Row],[Creación y captura Sep/2024]:[Compartición e Interoperabilidad Sep/2024]])</f>
        <v>0.4</v>
      </c>
      <c r="O58" s="14"/>
      <c r="P58" s="14"/>
      <c r="Q58" s="15"/>
      <c r="R58" s="15">
        <f>Tabla13[[#This Row],[Uso y acceso Oct/2024]]</f>
        <v>0.8</v>
      </c>
      <c r="S58" s="15">
        <f>Tabla58[[#This Row],[Integración Oct/2024]]</f>
        <v>0</v>
      </c>
      <c r="T58" s="16">
        <f>AVERAGE(Tabla4[[#This Row],[Creación y captura Oct/2024]:[Compartición e Interoperabilidad Oct/2024]])</f>
        <v>0.4</v>
      </c>
      <c r="U58" s="14"/>
      <c r="V58" s="14"/>
      <c r="W58" s="15"/>
      <c r="X58" s="15">
        <f>Tabla13[[#This Row],[Uso y acceso Nov/2024]]</f>
        <v>0.08</v>
      </c>
      <c r="Y58" s="15">
        <f>Tabla58[[#This Row],[Integración Nov/2024]]</f>
        <v>0</v>
      </c>
      <c r="Z58" s="16">
        <f>AVERAGE(Tabla4[[#This Row],[Creación y captura Nov/2024]:[Compartición e Interoperabilidad Nov/2024]])</f>
        <v>0.04</v>
      </c>
      <c r="AA58" s="14"/>
      <c r="AB58" s="14"/>
      <c r="AC58" s="15"/>
      <c r="AD58" s="15">
        <f>Tabla13[[#This Row],[Uso y acceso Dic/2024]]</f>
        <v>0.8</v>
      </c>
      <c r="AE58" s="15">
        <f>Tabla58[[#This Row],[Integración Dic/2024]]</f>
        <v>0</v>
      </c>
      <c r="AF58" s="16">
        <f>AVERAGE(Tabla4[[#This Row],[Creación y captura Dic/2024]:[Compartición e Interoperabilidad Dic/2024]])</f>
        <v>0.4</v>
      </c>
      <c r="AG58" s="14"/>
      <c r="AH58" s="14"/>
      <c r="AI58" s="15"/>
      <c r="AJ58" s="15">
        <f>Tabla13[[#This Row],[Uso y acceso Ene/2025]]</f>
        <v>0.8</v>
      </c>
      <c r="AK58" s="15">
        <f>Tabla58[[#This Row],[Integración Ene/2025]]</f>
        <v>0</v>
      </c>
      <c r="AL58" s="16">
        <f>AVERAGE(Tabla4[[#This Row],[Creación y captura Ene/2025]:[Compartición e Interoperabilidad Ene/2025]])</f>
        <v>0.4</v>
      </c>
      <c r="AM58" s="14"/>
      <c r="AN58" s="14"/>
      <c r="AO58" s="15"/>
      <c r="AP58" s="15">
        <f>Tabla13[[#This Row],[Uso y acceso Feb/2025]]</f>
        <v>0.8</v>
      </c>
      <c r="AQ58" s="15">
        <f>Tabla58[[#This Row],[Integración Feb/2025]]</f>
        <v>0</v>
      </c>
      <c r="AR58" s="16">
        <f>AVERAGE(Tabla4[[#This Row],[Creación y captura Feb/2025]:[Compartición e Interoperabilidad Feb/2025]])</f>
        <v>0.4</v>
      </c>
      <c r="AS58" s="14"/>
      <c r="AT58" s="14"/>
      <c r="AU58" s="15"/>
      <c r="AV58" s="15">
        <f>Tabla13[[#This Row],[Uso y acceso Mar/2025]]</f>
        <v>0.8</v>
      </c>
      <c r="AW58" s="15">
        <f>Tabla58[[#This Row],[Integración Mar/2025]]</f>
        <v>0</v>
      </c>
      <c r="AX58" s="16">
        <f>AVERAGE(Tabla4[[#This Row],[Creación y captura Mar/2025]:[Compartición e Interoperabilidad Mar/2025]])</f>
        <v>0.4</v>
      </c>
      <c r="AY58" s="14">
        <v>0.8</v>
      </c>
      <c r="AZ58" s="14">
        <v>0.5</v>
      </c>
      <c r="BA58" s="17">
        <f>AVERAGE('Calidad de Datos'!AI62:AL62)</f>
        <v>0.54999999999999993</v>
      </c>
      <c r="BB58" s="15">
        <f>Tabla13[[#This Row],[Uso y acceso Abr/2025]]</f>
        <v>0.8</v>
      </c>
      <c r="BC58" s="15">
        <f>Tabla58[[#This Row],[Integración Abr/2025]]</f>
        <v>0.3</v>
      </c>
      <c r="BD58" s="16">
        <f>AVERAGE(Tabla4[[#This Row],[Creación y captura Abr/2025]:[Compartición e Interoperabilidad Abr/2025]])</f>
        <v>0.59000000000000008</v>
      </c>
      <c r="BE58" s="14">
        <v>0.8</v>
      </c>
      <c r="BF58" s="14">
        <v>0.5</v>
      </c>
      <c r="BG58" s="17">
        <f>AVERAGE('Calidad de Datos'!AM62:AP62)</f>
        <v>1</v>
      </c>
      <c r="BH58" s="15">
        <f>Tabla13[[#This Row],[Uso y acceso May/2025]]</f>
        <v>1</v>
      </c>
      <c r="BI58" s="15">
        <f>Tabla58[[#This Row],[Integración May/2025]]</f>
        <v>0.3</v>
      </c>
      <c r="BJ58" s="16">
        <f>AVERAGE(Tabla4[[#This Row],[Creación y captura May/2025]:[Compartición e Interoperabilidad May/2025]])</f>
        <v>0.72</v>
      </c>
      <c r="BK58" s="14">
        <v>0.8</v>
      </c>
      <c r="BL58" s="14">
        <v>0.5</v>
      </c>
      <c r="BM58" s="14">
        <f>AVERAGE('Calidad de Datos'!AQ62:AT62)</f>
        <v>1</v>
      </c>
      <c r="BN58" s="14">
        <f>Tabla13[[#This Row],[Uso y acceso Dic/2025]]</f>
        <v>1</v>
      </c>
      <c r="BO58" s="14">
        <f>Tabla58[[#This Row],[Integración Dic/2025]]</f>
        <v>0.8</v>
      </c>
      <c r="BP58" s="16">
        <f>AVERAGE(Tabla4[[#This Row],[Creación y captura Dic/2025]:[Compartición e Interoperabilidad Dic/2025]])</f>
        <v>0.82</v>
      </c>
    </row>
    <row r="59" spans="2:68" x14ac:dyDescent="0.4">
      <c r="B59" s="1" t="s">
        <v>109</v>
      </c>
      <c r="C59" s="14"/>
      <c r="D59" s="14"/>
      <c r="E59" s="14"/>
      <c r="F59" s="14">
        <f>Tabla13[[#This Row],[Uso y acceso Ago/2024]]</f>
        <v>1</v>
      </c>
      <c r="G59" s="15">
        <f>Tabla58[[#This Row],[Integración Ago/2024]]</f>
        <v>0</v>
      </c>
      <c r="H59" s="16">
        <f>AVERAGE(Tabla4[[#This Row],[Creación y captura Ago/2024]:[Compartición e Interoperabilidad Ago/2024]])</f>
        <v>0.5</v>
      </c>
      <c r="I59" s="14"/>
      <c r="J59" s="14"/>
      <c r="K59" s="15"/>
      <c r="L59" s="15">
        <f>Tabla13[[#This Row],[Uso y acceso Sep/2024]]</f>
        <v>1</v>
      </c>
      <c r="M59" s="15">
        <f>Tabla58[[#This Row],[Integración Sep/2024]]</f>
        <v>0</v>
      </c>
      <c r="N59" s="16">
        <f>AVERAGE(Tabla4[[#This Row],[Creación y captura Sep/2024]:[Compartición e Interoperabilidad Sep/2024]])</f>
        <v>0.5</v>
      </c>
      <c r="O59" s="14"/>
      <c r="P59" s="14"/>
      <c r="Q59" s="15"/>
      <c r="R59" s="15">
        <f>Tabla13[[#This Row],[Uso y acceso Oct/2024]]</f>
        <v>1</v>
      </c>
      <c r="S59" s="15">
        <f>Tabla58[[#This Row],[Integración Oct/2024]]</f>
        <v>0</v>
      </c>
      <c r="T59" s="16">
        <f>AVERAGE(Tabla4[[#This Row],[Creación y captura Oct/2024]:[Compartición e Interoperabilidad Oct/2024]])</f>
        <v>0.5</v>
      </c>
      <c r="U59" s="14"/>
      <c r="V59" s="14"/>
      <c r="W59" s="15"/>
      <c r="X59" s="15">
        <f>Tabla13[[#This Row],[Uso y acceso Nov/2024]]</f>
        <v>1</v>
      </c>
      <c r="Y59" s="15">
        <f>Tabla58[[#This Row],[Integración Nov/2024]]</f>
        <v>0</v>
      </c>
      <c r="Z59" s="16">
        <f>AVERAGE(Tabla4[[#This Row],[Creación y captura Nov/2024]:[Compartición e Interoperabilidad Nov/2024]])</f>
        <v>0.5</v>
      </c>
      <c r="AA59" s="14"/>
      <c r="AB59" s="14"/>
      <c r="AC59" s="15"/>
      <c r="AD59" s="15">
        <f>Tabla13[[#This Row],[Uso y acceso Dic/2024]]</f>
        <v>1</v>
      </c>
      <c r="AE59" s="15">
        <f>Tabla58[[#This Row],[Integración Dic/2024]]</f>
        <v>0</v>
      </c>
      <c r="AF59" s="16">
        <f>AVERAGE(Tabla4[[#This Row],[Creación y captura Dic/2024]:[Compartición e Interoperabilidad Dic/2024]])</f>
        <v>0.5</v>
      </c>
      <c r="AG59" s="14"/>
      <c r="AH59" s="14"/>
      <c r="AI59" s="15"/>
      <c r="AJ59" s="15">
        <f>Tabla13[[#This Row],[Uso y acceso Ene/2025]]</f>
        <v>1</v>
      </c>
      <c r="AK59" s="15">
        <f>Tabla58[[#This Row],[Integración Ene/2025]]</f>
        <v>0</v>
      </c>
      <c r="AL59" s="16">
        <f>AVERAGE(Tabla4[[#This Row],[Creación y captura Ene/2025]:[Compartición e Interoperabilidad Ene/2025]])</f>
        <v>0.5</v>
      </c>
      <c r="AM59" s="14"/>
      <c r="AN59" s="14"/>
      <c r="AO59" s="15"/>
      <c r="AP59" s="15">
        <f>Tabla13[[#This Row],[Uso y acceso Feb/2025]]</f>
        <v>1</v>
      </c>
      <c r="AQ59" s="15">
        <f>Tabla58[[#This Row],[Integración Feb/2025]]</f>
        <v>0</v>
      </c>
      <c r="AR59" s="16">
        <f>AVERAGE(Tabla4[[#This Row],[Creación y captura Feb/2025]:[Compartición e Interoperabilidad Feb/2025]])</f>
        <v>0.5</v>
      </c>
      <c r="AS59" s="14"/>
      <c r="AT59" s="14"/>
      <c r="AU59" s="15"/>
      <c r="AV59" s="15">
        <f>Tabla13[[#This Row],[Uso y acceso Mar/2025]]</f>
        <v>1</v>
      </c>
      <c r="AW59" s="15">
        <f>Tabla58[[#This Row],[Integración Mar/2025]]</f>
        <v>0</v>
      </c>
      <c r="AX59" s="16">
        <f>AVERAGE(Tabla4[[#This Row],[Creación y captura Mar/2025]:[Compartición e Interoperabilidad Mar/2025]])</f>
        <v>0.5</v>
      </c>
      <c r="AY59" s="14">
        <v>0.8</v>
      </c>
      <c r="AZ59" s="14">
        <v>0.5</v>
      </c>
      <c r="BA59" s="17">
        <f>AVERAGE('Calidad de Datos'!AI63:AL63)</f>
        <v>0.54999999999999993</v>
      </c>
      <c r="BB59" s="15">
        <f>Tabla13[[#This Row],[Uso y acceso Abr/2025]]</f>
        <v>1</v>
      </c>
      <c r="BC59" s="15">
        <f>Tabla58[[#This Row],[Integración Abr/2025]]</f>
        <v>0.3</v>
      </c>
      <c r="BD59" s="16">
        <f>AVERAGE(Tabla4[[#This Row],[Creación y captura Abr/2025]:[Compartición e Interoperabilidad Abr/2025]])</f>
        <v>0.63</v>
      </c>
      <c r="BE59" s="14">
        <v>0.8</v>
      </c>
      <c r="BF59" s="14">
        <v>0.5</v>
      </c>
      <c r="BG59" s="17">
        <f>AVERAGE('Calidad de Datos'!AM63:AP63)</f>
        <v>1</v>
      </c>
      <c r="BH59" s="15">
        <f>Tabla13[[#This Row],[Uso y acceso May/2025]]</f>
        <v>1</v>
      </c>
      <c r="BI59" s="15">
        <f>Tabla58[[#This Row],[Integración May/2025]]</f>
        <v>0.3</v>
      </c>
      <c r="BJ59" s="16">
        <f>AVERAGE(Tabla4[[#This Row],[Creación y captura May/2025]:[Compartición e Interoperabilidad May/2025]])</f>
        <v>0.72</v>
      </c>
      <c r="BK59" s="14">
        <v>1</v>
      </c>
      <c r="BL59" s="14">
        <v>1</v>
      </c>
      <c r="BM59" s="14">
        <f>AVERAGE('Calidad de Datos'!AQ63:AT63)</f>
        <v>1</v>
      </c>
      <c r="BN59" s="14">
        <f>Tabla13[[#This Row],[Uso y acceso Dic/2025]]</f>
        <v>1</v>
      </c>
      <c r="BO59" s="14">
        <f>Tabla58[[#This Row],[Integración Dic/2025]]</f>
        <v>1</v>
      </c>
      <c r="BP59" s="16">
        <f>AVERAGE(Tabla4[[#This Row],[Creación y captura Dic/2025]:[Compartición e Interoperabilidad Dic/2025]])</f>
        <v>1</v>
      </c>
    </row>
    <row r="60" spans="2:68" x14ac:dyDescent="0.4">
      <c r="B60" s="1" t="s">
        <v>110</v>
      </c>
      <c r="C60" s="14"/>
      <c r="D60" s="14"/>
      <c r="E60" s="14"/>
      <c r="F60" s="14">
        <f>Tabla13[[#This Row],[Uso y acceso Ago/2024]]</f>
        <v>0.8</v>
      </c>
      <c r="G60" s="15">
        <f>Tabla58[[#This Row],[Integración Ago/2024]]</f>
        <v>0</v>
      </c>
      <c r="H60" s="16">
        <f>AVERAGE(Tabla4[[#This Row],[Creación y captura Ago/2024]:[Compartición e Interoperabilidad Ago/2024]])</f>
        <v>0.4</v>
      </c>
      <c r="I60" s="14"/>
      <c r="J60" s="14"/>
      <c r="K60" s="15"/>
      <c r="L60" s="15">
        <f>Tabla13[[#This Row],[Uso y acceso Sep/2024]]</f>
        <v>0.8</v>
      </c>
      <c r="M60" s="15">
        <f>Tabla58[[#This Row],[Integración Sep/2024]]</f>
        <v>0</v>
      </c>
      <c r="N60" s="16">
        <f>AVERAGE(Tabla4[[#This Row],[Creación y captura Sep/2024]:[Compartición e Interoperabilidad Sep/2024]])</f>
        <v>0.4</v>
      </c>
      <c r="O60" s="14"/>
      <c r="P60" s="14"/>
      <c r="Q60" s="15"/>
      <c r="R60" s="15">
        <f>Tabla13[[#This Row],[Uso y acceso Oct/2024]]</f>
        <v>0.8</v>
      </c>
      <c r="S60" s="15">
        <f>Tabla58[[#This Row],[Integración Oct/2024]]</f>
        <v>0</v>
      </c>
      <c r="T60" s="16">
        <f>AVERAGE(Tabla4[[#This Row],[Creación y captura Oct/2024]:[Compartición e Interoperabilidad Oct/2024]])</f>
        <v>0.4</v>
      </c>
      <c r="U60" s="14"/>
      <c r="V60" s="14"/>
      <c r="W60" s="15"/>
      <c r="X60" s="15">
        <f>Tabla13[[#This Row],[Uso y acceso Nov/2024]]</f>
        <v>0.8</v>
      </c>
      <c r="Y60" s="15">
        <f>Tabla58[[#This Row],[Integración Nov/2024]]</f>
        <v>0</v>
      </c>
      <c r="Z60" s="16">
        <f>AVERAGE(Tabla4[[#This Row],[Creación y captura Nov/2024]:[Compartición e Interoperabilidad Nov/2024]])</f>
        <v>0.4</v>
      </c>
      <c r="AA60" s="14"/>
      <c r="AB60" s="14"/>
      <c r="AC60" s="15"/>
      <c r="AD60" s="15">
        <f>Tabla13[[#This Row],[Uso y acceso Dic/2024]]</f>
        <v>0.8</v>
      </c>
      <c r="AE60" s="15">
        <f>Tabla58[[#This Row],[Integración Dic/2024]]</f>
        <v>0</v>
      </c>
      <c r="AF60" s="16">
        <f>AVERAGE(Tabla4[[#This Row],[Creación y captura Dic/2024]:[Compartición e Interoperabilidad Dic/2024]])</f>
        <v>0.4</v>
      </c>
      <c r="AG60" s="14"/>
      <c r="AH60" s="14"/>
      <c r="AI60" s="15"/>
      <c r="AJ60" s="15">
        <f>Tabla13[[#This Row],[Uso y acceso Ene/2025]]</f>
        <v>0.8</v>
      </c>
      <c r="AK60" s="15">
        <f>Tabla58[[#This Row],[Integración Ene/2025]]</f>
        <v>0</v>
      </c>
      <c r="AL60" s="16">
        <f>AVERAGE(Tabla4[[#This Row],[Creación y captura Ene/2025]:[Compartición e Interoperabilidad Ene/2025]])</f>
        <v>0.4</v>
      </c>
      <c r="AM60" s="14"/>
      <c r="AN60" s="14"/>
      <c r="AO60" s="15"/>
      <c r="AP60" s="15">
        <f>Tabla13[[#This Row],[Uso y acceso Feb/2025]]</f>
        <v>0.8</v>
      </c>
      <c r="AQ60" s="15">
        <f>Tabla58[[#This Row],[Integración Feb/2025]]</f>
        <v>0</v>
      </c>
      <c r="AR60" s="16">
        <f>AVERAGE(Tabla4[[#This Row],[Creación y captura Feb/2025]:[Compartición e Interoperabilidad Feb/2025]])</f>
        <v>0.4</v>
      </c>
      <c r="AS60" s="14"/>
      <c r="AT60" s="14"/>
      <c r="AU60" s="15"/>
      <c r="AV60" s="15">
        <f>Tabla13[[#This Row],[Uso y acceso Mar/2025]]</f>
        <v>0.8</v>
      </c>
      <c r="AW60" s="15">
        <f>Tabla58[[#This Row],[Integración Mar/2025]]</f>
        <v>0</v>
      </c>
      <c r="AX60" s="16">
        <f>AVERAGE(Tabla4[[#This Row],[Creación y captura Mar/2025]:[Compartición e Interoperabilidad Mar/2025]])</f>
        <v>0.4</v>
      </c>
      <c r="AY60" s="14">
        <v>0.8</v>
      </c>
      <c r="AZ60" s="14">
        <v>0.5</v>
      </c>
      <c r="BA60" s="17">
        <f>AVERAGE('Calidad de Datos'!AI64:AL64)</f>
        <v>0.54999999999999993</v>
      </c>
      <c r="BB60" s="15">
        <f>Tabla13[[#This Row],[Uso y acceso Abr/2025]]</f>
        <v>0.8</v>
      </c>
      <c r="BC60" s="15">
        <f>Tabla58[[#This Row],[Integración Abr/2025]]</f>
        <v>0.3</v>
      </c>
      <c r="BD60" s="16">
        <f>AVERAGE(Tabla4[[#This Row],[Creación y captura Abr/2025]:[Compartición e Interoperabilidad Abr/2025]])</f>
        <v>0.59000000000000008</v>
      </c>
      <c r="BE60" s="14">
        <v>0.8</v>
      </c>
      <c r="BF60" s="14">
        <v>0.5</v>
      </c>
      <c r="BG60" s="17">
        <f>AVERAGE('Calidad de Datos'!AM64:AP64)</f>
        <v>1</v>
      </c>
      <c r="BH60" s="15">
        <f>Tabla13[[#This Row],[Uso y acceso May/2025]]</f>
        <v>1</v>
      </c>
      <c r="BI60" s="15">
        <f>Tabla58[[#This Row],[Integración May/2025]]</f>
        <v>0.3</v>
      </c>
      <c r="BJ60" s="16">
        <f>AVERAGE(Tabla4[[#This Row],[Creación y captura May/2025]:[Compartición e Interoperabilidad May/2025]])</f>
        <v>0.72</v>
      </c>
      <c r="BK60" s="14">
        <v>0.8</v>
      </c>
      <c r="BL60" s="14">
        <v>0.5</v>
      </c>
      <c r="BM60" s="14">
        <f>AVERAGE('Calidad de Datos'!AQ64:AT64)</f>
        <v>1</v>
      </c>
      <c r="BN60" s="14">
        <f>Tabla13[[#This Row],[Uso y acceso Dic/2025]]</f>
        <v>1</v>
      </c>
      <c r="BO60" s="14">
        <f>Tabla58[[#This Row],[Integración Dic/2025]]</f>
        <v>0.8</v>
      </c>
      <c r="BP60" s="16">
        <f>AVERAGE(Tabla4[[#This Row],[Creación y captura Dic/2025]:[Compartición e Interoperabilidad Dic/2025]])</f>
        <v>0.82</v>
      </c>
    </row>
    <row r="61" spans="2:68" x14ac:dyDescent="0.4">
      <c r="B61" s="1" t="s">
        <v>111</v>
      </c>
      <c r="C61" s="14"/>
      <c r="D61" s="14"/>
      <c r="E61" s="14"/>
      <c r="F61" s="14">
        <f>Tabla13[[#This Row],[Uso y acceso Ago/2024]]</f>
        <v>0.8</v>
      </c>
      <c r="G61" s="15">
        <f>Tabla58[[#This Row],[Integración Ago/2024]]</f>
        <v>0</v>
      </c>
      <c r="H61" s="16">
        <f>AVERAGE(Tabla4[[#This Row],[Creación y captura Ago/2024]:[Compartición e Interoperabilidad Ago/2024]])</f>
        <v>0.4</v>
      </c>
      <c r="I61" s="14"/>
      <c r="J61" s="14"/>
      <c r="K61" s="15"/>
      <c r="L61" s="15">
        <f>Tabla13[[#This Row],[Uso y acceso Sep/2024]]</f>
        <v>0.8</v>
      </c>
      <c r="M61" s="15">
        <f>Tabla58[[#This Row],[Integración Sep/2024]]</f>
        <v>0</v>
      </c>
      <c r="N61" s="16">
        <f>AVERAGE(Tabla4[[#This Row],[Creación y captura Sep/2024]:[Compartición e Interoperabilidad Sep/2024]])</f>
        <v>0.4</v>
      </c>
      <c r="O61" s="14"/>
      <c r="P61" s="14"/>
      <c r="Q61" s="15"/>
      <c r="R61" s="15">
        <f>Tabla13[[#This Row],[Uso y acceso Oct/2024]]</f>
        <v>0.8</v>
      </c>
      <c r="S61" s="15">
        <f>Tabla58[[#This Row],[Integración Oct/2024]]</f>
        <v>0</v>
      </c>
      <c r="T61" s="16">
        <f>AVERAGE(Tabla4[[#This Row],[Creación y captura Oct/2024]:[Compartición e Interoperabilidad Oct/2024]])</f>
        <v>0.4</v>
      </c>
      <c r="U61" s="14"/>
      <c r="V61" s="14"/>
      <c r="W61" s="15"/>
      <c r="X61" s="15">
        <f>Tabla13[[#This Row],[Uso y acceso Nov/2024]]</f>
        <v>0.8</v>
      </c>
      <c r="Y61" s="15">
        <f>Tabla58[[#This Row],[Integración Nov/2024]]</f>
        <v>0</v>
      </c>
      <c r="Z61" s="16">
        <f>AVERAGE(Tabla4[[#This Row],[Creación y captura Nov/2024]:[Compartición e Interoperabilidad Nov/2024]])</f>
        <v>0.4</v>
      </c>
      <c r="AA61" s="14"/>
      <c r="AB61" s="14"/>
      <c r="AC61" s="15"/>
      <c r="AD61" s="15">
        <f>Tabla13[[#This Row],[Uso y acceso Dic/2024]]</f>
        <v>0.8</v>
      </c>
      <c r="AE61" s="15">
        <f>Tabla58[[#This Row],[Integración Dic/2024]]</f>
        <v>0</v>
      </c>
      <c r="AF61" s="16">
        <f>AVERAGE(Tabla4[[#This Row],[Creación y captura Dic/2024]:[Compartición e Interoperabilidad Dic/2024]])</f>
        <v>0.4</v>
      </c>
      <c r="AG61" s="14"/>
      <c r="AH61" s="14"/>
      <c r="AI61" s="15"/>
      <c r="AJ61" s="15">
        <f>Tabla13[[#This Row],[Uso y acceso Ene/2025]]</f>
        <v>0.8</v>
      </c>
      <c r="AK61" s="15">
        <f>Tabla58[[#This Row],[Integración Ene/2025]]</f>
        <v>0</v>
      </c>
      <c r="AL61" s="16">
        <f>AVERAGE(Tabla4[[#This Row],[Creación y captura Ene/2025]:[Compartición e Interoperabilidad Ene/2025]])</f>
        <v>0.4</v>
      </c>
      <c r="AM61" s="14"/>
      <c r="AN61" s="14"/>
      <c r="AO61" s="15"/>
      <c r="AP61" s="15">
        <f>Tabla13[[#This Row],[Uso y acceso Feb/2025]]</f>
        <v>0.8</v>
      </c>
      <c r="AQ61" s="15">
        <f>Tabla58[[#This Row],[Integración Feb/2025]]</f>
        <v>0</v>
      </c>
      <c r="AR61" s="16">
        <f>AVERAGE(Tabla4[[#This Row],[Creación y captura Feb/2025]:[Compartición e Interoperabilidad Feb/2025]])</f>
        <v>0.4</v>
      </c>
      <c r="AS61" s="14"/>
      <c r="AT61" s="14"/>
      <c r="AU61" s="15"/>
      <c r="AV61" s="15">
        <f>Tabla13[[#This Row],[Uso y acceso Mar/2025]]</f>
        <v>0.8</v>
      </c>
      <c r="AW61" s="15">
        <f>Tabla58[[#This Row],[Integración Mar/2025]]</f>
        <v>0</v>
      </c>
      <c r="AX61" s="16">
        <f>AVERAGE(Tabla4[[#This Row],[Creación y captura Mar/2025]:[Compartición e Interoperabilidad Mar/2025]])</f>
        <v>0.4</v>
      </c>
      <c r="AY61" s="14">
        <v>0.8</v>
      </c>
      <c r="AZ61" s="14">
        <v>0.5</v>
      </c>
      <c r="BA61" s="17">
        <f>AVERAGE('Calidad de Datos'!AI65:AL65)</f>
        <v>0.7</v>
      </c>
      <c r="BB61" s="15">
        <f>Tabla13[[#This Row],[Uso y acceso Abr/2025]]</f>
        <v>0.8</v>
      </c>
      <c r="BC61" s="15">
        <f>Tabla58[[#This Row],[Integración Abr/2025]]</f>
        <v>0.3</v>
      </c>
      <c r="BD61" s="16">
        <f>AVERAGE(Tabla4[[#This Row],[Creación y captura Abr/2025]:[Compartición e Interoperabilidad Abr/2025]])</f>
        <v>0.61999999999999988</v>
      </c>
      <c r="BE61" s="14">
        <v>0.8</v>
      </c>
      <c r="BF61" s="14">
        <v>0.5</v>
      </c>
      <c r="BG61" s="17">
        <f>AVERAGE('Calidad de Datos'!AM65:AP65)</f>
        <v>1</v>
      </c>
      <c r="BH61" s="15">
        <f>Tabla13[[#This Row],[Uso y acceso May/2025]]</f>
        <v>1</v>
      </c>
      <c r="BI61" s="15">
        <f>Tabla58[[#This Row],[Integración May/2025]]</f>
        <v>0.3</v>
      </c>
      <c r="BJ61" s="16">
        <f>AVERAGE(Tabla4[[#This Row],[Creación y captura May/2025]:[Compartición e Interoperabilidad May/2025]])</f>
        <v>0.72</v>
      </c>
      <c r="BK61" s="14">
        <v>0.8</v>
      </c>
      <c r="BL61" s="14">
        <v>0.5</v>
      </c>
      <c r="BM61" s="14">
        <f>AVERAGE('Calidad de Datos'!AQ65:AT65)</f>
        <v>1</v>
      </c>
      <c r="BN61" s="14">
        <f>Tabla13[[#This Row],[Uso y acceso Dic/2025]]</f>
        <v>1</v>
      </c>
      <c r="BO61" s="14">
        <f>Tabla58[[#This Row],[Integración Dic/2025]]</f>
        <v>0.8</v>
      </c>
      <c r="BP61" s="16">
        <f>AVERAGE(Tabla4[[#This Row],[Creación y captura Dic/2025]:[Compartición e Interoperabilidad Dic/2025]])</f>
        <v>0.82</v>
      </c>
    </row>
    <row r="62" spans="2:68" x14ac:dyDescent="0.4">
      <c r="B62" s="1" t="s">
        <v>112</v>
      </c>
      <c r="C62" s="14"/>
      <c r="D62" s="14"/>
      <c r="E62" s="14"/>
      <c r="F62" s="14">
        <f>Tabla13[[#This Row],[Uso y acceso Ago/2024]]</f>
        <v>0.8</v>
      </c>
      <c r="G62" s="15">
        <f>Tabla58[[#This Row],[Integración Ago/2024]]</f>
        <v>0</v>
      </c>
      <c r="H62" s="16">
        <f>AVERAGE(Tabla4[[#This Row],[Creación y captura Ago/2024]:[Compartición e Interoperabilidad Ago/2024]])</f>
        <v>0.4</v>
      </c>
      <c r="I62" s="14"/>
      <c r="J62" s="14"/>
      <c r="K62" s="15"/>
      <c r="L62" s="15">
        <f>Tabla13[[#This Row],[Uso y acceso Sep/2024]]</f>
        <v>0.8</v>
      </c>
      <c r="M62" s="15">
        <f>Tabla58[[#This Row],[Integración Sep/2024]]</f>
        <v>0</v>
      </c>
      <c r="N62" s="16">
        <f>AVERAGE(Tabla4[[#This Row],[Creación y captura Sep/2024]:[Compartición e Interoperabilidad Sep/2024]])</f>
        <v>0.4</v>
      </c>
      <c r="O62" s="14"/>
      <c r="P62" s="14"/>
      <c r="Q62" s="15"/>
      <c r="R62" s="15">
        <f>Tabla13[[#This Row],[Uso y acceso Oct/2024]]</f>
        <v>0.8</v>
      </c>
      <c r="S62" s="15">
        <f>Tabla58[[#This Row],[Integración Oct/2024]]</f>
        <v>0</v>
      </c>
      <c r="T62" s="16">
        <f>AVERAGE(Tabla4[[#This Row],[Creación y captura Oct/2024]:[Compartición e Interoperabilidad Oct/2024]])</f>
        <v>0.4</v>
      </c>
      <c r="U62" s="14"/>
      <c r="V62" s="14"/>
      <c r="W62" s="15"/>
      <c r="X62" s="15">
        <f>Tabla13[[#This Row],[Uso y acceso Nov/2024]]</f>
        <v>0.8</v>
      </c>
      <c r="Y62" s="15">
        <f>Tabla58[[#This Row],[Integración Nov/2024]]</f>
        <v>0</v>
      </c>
      <c r="Z62" s="16">
        <f>AVERAGE(Tabla4[[#This Row],[Creación y captura Nov/2024]:[Compartición e Interoperabilidad Nov/2024]])</f>
        <v>0.4</v>
      </c>
      <c r="AA62" s="14"/>
      <c r="AB62" s="14"/>
      <c r="AC62" s="15"/>
      <c r="AD62" s="15">
        <f>Tabla13[[#This Row],[Uso y acceso Dic/2024]]</f>
        <v>0.8</v>
      </c>
      <c r="AE62" s="15">
        <f>Tabla58[[#This Row],[Integración Dic/2024]]</f>
        <v>0</v>
      </c>
      <c r="AF62" s="16">
        <f>AVERAGE(Tabla4[[#This Row],[Creación y captura Dic/2024]:[Compartición e Interoperabilidad Dic/2024]])</f>
        <v>0.4</v>
      </c>
      <c r="AG62" s="14"/>
      <c r="AH62" s="14"/>
      <c r="AI62" s="15"/>
      <c r="AJ62" s="15">
        <f>Tabla13[[#This Row],[Uso y acceso Ene/2025]]</f>
        <v>0.8</v>
      </c>
      <c r="AK62" s="15">
        <f>Tabla58[[#This Row],[Integración Ene/2025]]</f>
        <v>0</v>
      </c>
      <c r="AL62" s="16">
        <f>AVERAGE(Tabla4[[#This Row],[Creación y captura Ene/2025]:[Compartición e Interoperabilidad Ene/2025]])</f>
        <v>0.4</v>
      </c>
      <c r="AM62" s="14"/>
      <c r="AN62" s="14"/>
      <c r="AO62" s="15"/>
      <c r="AP62" s="15">
        <f>Tabla13[[#This Row],[Uso y acceso Feb/2025]]</f>
        <v>0.8</v>
      </c>
      <c r="AQ62" s="15">
        <f>Tabla58[[#This Row],[Integración Feb/2025]]</f>
        <v>0</v>
      </c>
      <c r="AR62" s="16">
        <f>AVERAGE(Tabla4[[#This Row],[Creación y captura Feb/2025]:[Compartición e Interoperabilidad Feb/2025]])</f>
        <v>0.4</v>
      </c>
      <c r="AS62" s="14"/>
      <c r="AT62" s="14"/>
      <c r="AU62" s="15"/>
      <c r="AV62" s="15">
        <f>Tabla13[[#This Row],[Uso y acceso Mar/2025]]</f>
        <v>0.8</v>
      </c>
      <c r="AW62" s="15">
        <f>Tabla58[[#This Row],[Integración Mar/2025]]</f>
        <v>0</v>
      </c>
      <c r="AX62" s="16">
        <f>AVERAGE(Tabla4[[#This Row],[Creación y captura Mar/2025]:[Compartición e Interoperabilidad Mar/2025]])</f>
        <v>0.4</v>
      </c>
      <c r="AY62" s="14">
        <v>0.8</v>
      </c>
      <c r="AZ62" s="14">
        <v>0.5</v>
      </c>
      <c r="BA62" s="17">
        <f>AVERAGE('Calidad de Datos'!AI66:AL66)</f>
        <v>0.7</v>
      </c>
      <c r="BB62" s="15">
        <f>Tabla13[[#This Row],[Uso y acceso Abr/2025]]</f>
        <v>0.8</v>
      </c>
      <c r="BC62" s="15">
        <f>Tabla58[[#This Row],[Integración Abr/2025]]</f>
        <v>0.3</v>
      </c>
      <c r="BD62" s="16">
        <f>AVERAGE(Tabla4[[#This Row],[Creación y captura Abr/2025]:[Compartición e Interoperabilidad Abr/2025]])</f>
        <v>0.61999999999999988</v>
      </c>
      <c r="BE62" s="14">
        <v>0.8</v>
      </c>
      <c r="BF62" s="14">
        <v>0.5</v>
      </c>
      <c r="BG62" s="17">
        <f>AVERAGE('Calidad de Datos'!AM66:AP66)</f>
        <v>1</v>
      </c>
      <c r="BH62" s="15">
        <f>Tabla13[[#This Row],[Uso y acceso May/2025]]</f>
        <v>1</v>
      </c>
      <c r="BI62" s="15">
        <f>Tabla58[[#This Row],[Integración May/2025]]</f>
        <v>0.3</v>
      </c>
      <c r="BJ62" s="16">
        <f>AVERAGE(Tabla4[[#This Row],[Creación y captura May/2025]:[Compartición e Interoperabilidad May/2025]])</f>
        <v>0.72</v>
      </c>
      <c r="BK62" s="14">
        <v>0.8</v>
      </c>
      <c r="BL62" s="14">
        <v>0.5</v>
      </c>
      <c r="BM62" s="14">
        <f>AVERAGE('Calidad de Datos'!AQ66:AT66)</f>
        <v>1</v>
      </c>
      <c r="BN62" s="14">
        <f>Tabla13[[#This Row],[Uso y acceso Dic/2025]]</f>
        <v>1</v>
      </c>
      <c r="BO62" s="14">
        <f>Tabla58[[#This Row],[Integración Dic/2025]]</f>
        <v>0.8</v>
      </c>
      <c r="BP62" s="16">
        <f>AVERAGE(Tabla4[[#This Row],[Creación y captura Dic/2025]:[Compartición e Interoperabilidad Dic/2025]])</f>
        <v>0.82</v>
      </c>
    </row>
    <row r="63" spans="2:68" x14ac:dyDescent="0.4">
      <c r="B63" s="1" t="s">
        <v>113</v>
      </c>
      <c r="C63" s="14"/>
      <c r="D63" s="14"/>
      <c r="E63" s="14"/>
      <c r="F63" s="14">
        <f>Tabla13[[#This Row],[Uso y acceso Ago/2024]]</f>
        <v>0.8</v>
      </c>
      <c r="G63" s="15">
        <f>Tabla58[[#This Row],[Integración Ago/2024]]</f>
        <v>0</v>
      </c>
      <c r="H63" s="16">
        <f>AVERAGE(Tabla4[[#This Row],[Creación y captura Ago/2024]:[Compartición e Interoperabilidad Ago/2024]])</f>
        <v>0.4</v>
      </c>
      <c r="I63" s="14"/>
      <c r="J63" s="14"/>
      <c r="K63" s="15"/>
      <c r="L63" s="15">
        <f>Tabla13[[#This Row],[Uso y acceso Sep/2024]]</f>
        <v>0.8</v>
      </c>
      <c r="M63" s="15">
        <f>Tabla58[[#This Row],[Integración Sep/2024]]</f>
        <v>0</v>
      </c>
      <c r="N63" s="16">
        <f>AVERAGE(Tabla4[[#This Row],[Creación y captura Sep/2024]:[Compartición e Interoperabilidad Sep/2024]])</f>
        <v>0.4</v>
      </c>
      <c r="O63" s="14"/>
      <c r="P63" s="14"/>
      <c r="Q63" s="15"/>
      <c r="R63" s="15">
        <f>Tabla13[[#This Row],[Uso y acceso Oct/2024]]</f>
        <v>0.8</v>
      </c>
      <c r="S63" s="15">
        <f>Tabla58[[#This Row],[Integración Oct/2024]]</f>
        <v>0</v>
      </c>
      <c r="T63" s="16">
        <f>AVERAGE(Tabla4[[#This Row],[Creación y captura Oct/2024]:[Compartición e Interoperabilidad Oct/2024]])</f>
        <v>0.4</v>
      </c>
      <c r="U63" s="14"/>
      <c r="V63" s="14"/>
      <c r="W63" s="15"/>
      <c r="X63" s="15">
        <f>Tabla13[[#This Row],[Uso y acceso Nov/2024]]</f>
        <v>0.8</v>
      </c>
      <c r="Y63" s="15">
        <f>Tabla58[[#This Row],[Integración Nov/2024]]</f>
        <v>0</v>
      </c>
      <c r="Z63" s="16">
        <f>AVERAGE(Tabla4[[#This Row],[Creación y captura Nov/2024]:[Compartición e Interoperabilidad Nov/2024]])</f>
        <v>0.4</v>
      </c>
      <c r="AA63" s="14"/>
      <c r="AB63" s="14"/>
      <c r="AC63" s="15"/>
      <c r="AD63" s="15">
        <f>Tabla13[[#This Row],[Uso y acceso Dic/2024]]</f>
        <v>0.8</v>
      </c>
      <c r="AE63" s="15">
        <f>Tabla58[[#This Row],[Integración Dic/2024]]</f>
        <v>0</v>
      </c>
      <c r="AF63" s="16">
        <f>AVERAGE(Tabla4[[#This Row],[Creación y captura Dic/2024]:[Compartición e Interoperabilidad Dic/2024]])</f>
        <v>0.4</v>
      </c>
      <c r="AG63" s="14"/>
      <c r="AH63" s="14"/>
      <c r="AI63" s="15"/>
      <c r="AJ63" s="15">
        <f>Tabla13[[#This Row],[Uso y acceso Ene/2025]]</f>
        <v>0.8</v>
      </c>
      <c r="AK63" s="15">
        <f>Tabla58[[#This Row],[Integración Ene/2025]]</f>
        <v>0</v>
      </c>
      <c r="AL63" s="16">
        <f>AVERAGE(Tabla4[[#This Row],[Creación y captura Ene/2025]:[Compartición e Interoperabilidad Ene/2025]])</f>
        <v>0.4</v>
      </c>
      <c r="AM63" s="14"/>
      <c r="AN63" s="14"/>
      <c r="AO63" s="15"/>
      <c r="AP63" s="15">
        <f>Tabla13[[#This Row],[Uso y acceso Feb/2025]]</f>
        <v>0.8</v>
      </c>
      <c r="AQ63" s="15">
        <f>Tabla58[[#This Row],[Integración Feb/2025]]</f>
        <v>0</v>
      </c>
      <c r="AR63" s="16">
        <f>AVERAGE(Tabla4[[#This Row],[Creación y captura Feb/2025]:[Compartición e Interoperabilidad Feb/2025]])</f>
        <v>0.4</v>
      </c>
      <c r="AS63" s="14"/>
      <c r="AT63" s="14"/>
      <c r="AU63" s="15"/>
      <c r="AV63" s="15">
        <f>Tabla13[[#This Row],[Uso y acceso Mar/2025]]</f>
        <v>0.8</v>
      </c>
      <c r="AW63" s="15">
        <f>Tabla58[[#This Row],[Integración Mar/2025]]</f>
        <v>0</v>
      </c>
      <c r="AX63" s="16">
        <f>AVERAGE(Tabla4[[#This Row],[Creación y captura Mar/2025]:[Compartición e Interoperabilidad Mar/2025]])</f>
        <v>0.4</v>
      </c>
      <c r="AY63" s="14">
        <v>0.8</v>
      </c>
      <c r="AZ63" s="14">
        <v>0.5</v>
      </c>
      <c r="BA63" s="17">
        <f>AVERAGE('Calidad de Datos'!AI67:AL67)</f>
        <v>0.7</v>
      </c>
      <c r="BB63" s="15">
        <f>Tabla13[[#This Row],[Uso y acceso Abr/2025]]</f>
        <v>0.8</v>
      </c>
      <c r="BC63" s="15">
        <f>Tabla58[[#This Row],[Integración Abr/2025]]</f>
        <v>0.3</v>
      </c>
      <c r="BD63" s="16">
        <f>AVERAGE(Tabla4[[#This Row],[Creación y captura Abr/2025]:[Compartición e Interoperabilidad Abr/2025]])</f>
        <v>0.61999999999999988</v>
      </c>
      <c r="BE63" s="14">
        <v>0.8</v>
      </c>
      <c r="BF63" s="14">
        <v>0.5</v>
      </c>
      <c r="BG63" s="17">
        <f>AVERAGE('Calidad de Datos'!AM67:AP67)</f>
        <v>1</v>
      </c>
      <c r="BH63" s="15">
        <f>Tabla13[[#This Row],[Uso y acceso May/2025]]</f>
        <v>1</v>
      </c>
      <c r="BI63" s="15">
        <f>Tabla58[[#This Row],[Integración May/2025]]</f>
        <v>0.3</v>
      </c>
      <c r="BJ63" s="16">
        <f>AVERAGE(Tabla4[[#This Row],[Creación y captura May/2025]:[Compartición e Interoperabilidad May/2025]])</f>
        <v>0.72</v>
      </c>
      <c r="BK63" s="14">
        <v>0.8</v>
      </c>
      <c r="BL63" s="14">
        <v>0.5</v>
      </c>
      <c r="BM63" s="14">
        <f>AVERAGE('Calidad de Datos'!AQ67:AT67)</f>
        <v>1</v>
      </c>
      <c r="BN63" s="14">
        <f>Tabla13[[#This Row],[Uso y acceso Dic/2025]]</f>
        <v>1</v>
      </c>
      <c r="BO63" s="14">
        <f>Tabla58[[#This Row],[Integración Dic/2025]]</f>
        <v>0.8</v>
      </c>
      <c r="BP63" s="16">
        <f>AVERAGE(Tabla4[[#This Row],[Creación y captura Dic/2025]:[Compartición e Interoperabilidad Dic/2025]])</f>
        <v>0.82</v>
      </c>
    </row>
    <row r="64" spans="2:68" x14ac:dyDescent="0.4">
      <c r="B64" s="1" t="s">
        <v>114</v>
      </c>
      <c r="C64" s="14"/>
      <c r="D64" s="14"/>
      <c r="E64" s="14"/>
      <c r="F64" s="14">
        <f>Tabla13[[#This Row],[Uso y acceso Ago/2024]]</f>
        <v>1</v>
      </c>
      <c r="G64" s="15">
        <f>Tabla58[[#This Row],[Integración Ago/2024]]</f>
        <v>0</v>
      </c>
      <c r="H64" s="16">
        <f>AVERAGE(Tabla4[[#This Row],[Creación y captura Ago/2024]:[Compartición e Interoperabilidad Ago/2024]])</f>
        <v>0.5</v>
      </c>
      <c r="I64" s="14"/>
      <c r="J64" s="14"/>
      <c r="K64" s="15"/>
      <c r="L64" s="15">
        <f>Tabla13[[#This Row],[Uso y acceso Sep/2024]]</f>
        <v>1</v>
      </c>
      <c r="M64" s="15">
        <f>Tabla58[[#This Row],[Integración Sep/2024]]</f>
        <v>0</v>
      </c>
      <c r="N64" s="16">
        <f>AVERAGE(Tabla4[[#This Row],[Creación y captura Sep/2024]:[Compartición e Interoperabilidad Sep/2024]])</f>
        <v>0.5</v>
      </c>
      <c r="O64" s="14"/>
      <c r="P64" s="14"/>
      <c r="Q64" s="15"/>
      <c r="R64" s="15">
        <f>Tabla13[[#This Row],[Uso y acceso Oct/2024]]</f>
        <v>1</v>
      </c>
      <c r="S64" s="15">
        <f>Tabla58[[#This Row],[Integración Oct/2024]]</f>
        <v>0</v>
      </c>
      <c r="T64" s="16">
        <f>AVERAGE(Tabla4[[#This Row],[Creación y captura Oct/2024]:[Compartición e Interoperabilidad Oct/2024]])</f>
        <v>0.5</v>
      </c>
      <c r="U64" s="14"/>
      <c r="V64" s="14"/>
      <c r="W64" s="15"/>
      <c r="X64" s="15">
        <f>Tabla13[[#This Row],[Uso y acceso Nov/2024]]</f>
        <v>1</v>
      </c>
      <c r="Y64" s="15">
        <f>Tabla58[[#This Row],[Integración Nov/2024]]</f>
        <v>0</v>
      </c>
      <c r="Z64" s="16">
        <f>AVERAGE(Tabla4[[#This Row],[Creación y captura Nov/2024]:[Compartición e Interoperabilidad Nov/2024]])</f>
        <v>0.5</v>
      </c>
      <c r="AA64" s="14"/>
      <c r="AB64" s="14"/>
      <c r="AC64" s="15"/>
      <c r="AD64" s="15">
        <f>Tabla13[[#This Row],[Uso y acceso Dic/2024]]</f>
        <v>1</v>
      </c>
      <c r="AE64" s="15">
        <f>Tabla58[[#This Row],[Integración Dic/2024]]</f>
        <v>0</v>
      </c>
      <c r="AF64" s="16">
        <f>AVERAGE(Tabla4[[#This Row],[Creación y captura Dic/2024]:[Compartición e Interoperabilidad Dic/2024]])</f>
        <v>0.5</v>
      </c>
      <c r="AG64" s="14"/>
      <c r="AH64" s="14"/>
      <c r="AI64" s="15"/>
      <c r="AJ64" s="15">
        <f>Tabla13[[#This Row],[Uso y acceso Ene/2025]]</f>
        <v>1</v>
      </c>
      <c r="AK64" s="15">
        <f>Tabla58[[#This Row],[Integración Ene/2025]]</f>
        <v>0</v>
      </c>
      <c r="AL64" s="16">
        <f>AVERAGE(Tabla4[[#This Row],[Creación y captura Ene/2025]:[Compartición e Interoperabilidad Ene/2025]])</f>
        <v>0.5</v>
      </c>
      <c r="AM64" s="14"/>
      <c r="AN64" s="14"/>
      <c r="AO64" s="15"/>
      <c r="AP64" s="15">
        <f>Tabla13[[#This Row],[Uso y acceso Feb/2025]]</f>
        <v>1</v>
      </c>
      <c r="AQ64" s="15">
        <f>Tabla58[[#This Row],[Integración Feb/2025]]</f>
        <v>0</v>
      </c>
      <c r="AR64" s="16">
        <f>AVERAGE(Tabla4[[#This Row],[Creación y captura Feb/2025]:[Compartición e Interoperabilidad Feb/2025]])</f>
        <v>0.5</v>
      </c>
      <c r="AS64" s="14"/>
      <c r="AT64" s="14"/>
      <c r="AU64" s="15"/>
      <c r="AV64" s="15">
        <f>Tabla13[[#This Row],[Uso y acceso Mar/2025]]</f>
        <v>1</v>
      </c>
      <c r="AW64" s="15">
        <f>Tabla58[[#This Row],[Integración Mar/2025]]</f>
        <v>0</v>
      </c>
      <c r="AX64" s="16">
        <f>AVERAGE(Tabla4[[#This Row],[Creación y captura Mar/2025]:[Compartición e Interoperabilidad Mar/2025]])</f>
        <v>0.5</v>
      </c>
      <c r="AY64" s="14"/>
      <c r="AZ64" s="14"/>
      <c r="BA64" s="15"/>
      <c r="BB64" s="15">
        <f>Tabla13[[#This Row],[Uso y acceso Abr/2025]]</f>
        <v>1</v>
      </c>
      <c r="BC64" s="15">
        <f>Tabla58[[#This Row],[Integración Abr/2025]]</f>
        <v>0</v>
      </c>
      <c r="BD64" s="16">
        <f>AVERAGE(Tabla4[[#This Row],[Creación y captura Abr/2025]:[Compartición e Interoperabilidad Abr/2025]])</f>
        <v>0.5</v>
      </c>
      <c r="BE64" s="14">
        <v>0.8</v>
      </c>
      <c r="BF64" s="14">
        <v>0.5</v>
      </c>
      <c r="BG64" s="17">
        <f>AVERAGE('Calidad de Datos'!AM68:AP68)</f>
        <v>1</v>
      </c>
      <c r="BH64" s="15">
        <f>Tabla13[[#This Row],[Uso y acceso May/2025]]</f>
        <v>1</v>
      </c>
      <c r="BI64" s="15">
        <f>Tabla58[[#This Row],[Integración May/2025]]</f>
        <v>0.3</v>
      </c>
      <c r="BJ64" s="16">
        <f>AVERAGE(Tabla4[[#This Row],[Creación y captura May/2025]:[Compartición e Interoperabilidad May/2025]])</f>
        <v>0.72</v>
      </c>
      <c r="BK64" s="14">
        <v>1</v>
      </c>
      <c r="BL64" s="14">
        <v>1</v>
      </c>
      <c r="BM64" s="14">
        <f>AVERAGE('Calidad de Datos'!AQ68:AT68)</f>
        <v>1</v>
      </c>
      <c r="BN64" s="14">
        <f>Tabla13[[#This Row],[Uso y acceso Dic/2025]]</f>
        <v>1</v>
      </c>
      <c r="BO64" s="14">
        <f>Tabla58[[#This Row],[Integración Dic/2025]]</f>
        <v>1</v>
      </c>
      <c r="BP64" s="16">
        <f>AVERAGE(Tabla4[[#This Row],[Creación y captura Dic/2025]:[Compartición e Interoperabilidad Dic/2025]])</f>
        <v>1</v>
      </c>
    </row>
    <row r="65" spans="2:68" x14ac:dyDescent="0.4">
      <c r="B65" s="1" t="s">
        <v>115</v>
      </c>
      <c r="C65" s="14"/>
      <c r="D65" s="14"/>
      <c r="E65" s="14"/>
      <c r="F65" s="14">
        <f>Tabla13[[#This Row],[Uso y acceso Ago/2024]]</f>
        <v>1</v>
      </c>
      <c r="G65" s="15">
        <f>Tabla58[[#This Row],[Integración Ago/2024]]</f>
        <v>0</v>
      </c>
      <c r="H65" s="16">
        <f>AVERAGE(Tabla4[[#This Row],[Creación y captura Ago/2024]:[Compartición e Interoperabilidad Ago/2024]])</f>
        <v>0.5</v>
      </c>
      <c r="I65" s="14"/>
      <c r="J65" s="14"/>
      <c r="K65" s="15"/>
      <c r="L65" s="15">
        <f>Tabla13[[#This Row],[Uso y acceso Sep/2024]]</f>
        <v>1</v>
      </c>
      <c r="M65" s="15">
        <f>Tabla58[[#This Row],[Integración Sep/2024]]</f>
        <v>0</v>
      </c>
      <c r="N65" s="16">
        <f>AVERAGE(Tabla4[[#This Row],[Creación y captura Sep/2024]:[Compartición e Interoperabilidad Sep/2024]])</f>
        <v>0.5</v>
      </c>
      <c r="O65" s="14"/>
      <c r="P65" s="14"/>
      <c r="Q65" s="15"/>
      <c r="R65" s="15">
        <f>Tabla13[[#This Row],[Uso y acceso Oct/2024]]</f>
        <v>1</v>
      </c>
      <c r="S65" s="15">
        <f>Tabla58[[#This Row],[Integración Oct/2024]]</f>
        <v>0</v>
      </c>
      <c r="T65" s="16">
        <f>AVERAGE(Tabla4[[#This Row],[Creación y captura Oct/2024]:[Compartición e Interoperabilidad Oct/2024]])</f>
        <v>0.5</v>
      </c>
      <c r="U65" s="14"/>
      <c r="V65" s="14"/>
      <c r="W65" s="15"/>
      <c r="X65" s="15">
        <f>Tabla13[[#This Row],[Uso y acceso Nov/2024]]</f>
        <v>1</v>
      </c>
      <c r="Y65" s="15">
        <f>Tabla58[[#This Row],[Integración Nov/2024]]</f>
        <v>0</v>
      </c>
      <c r="Z65" s="16">
        <f>AVERAGE(Tabla4[[#This Row],[Creación y captura Nov/2024]:[Compartición e Interoperabilidad Nov/2024]])</f>
        <v>0.5</v>
      </c>
      <c r="AA65" s="14"/>
      <c r="AB65" s="14"/>
      <c r="AC65" s="15"/>
      <c r="AD65" s="15">
        <f>Tabla13[[#This Row],[Uso y acceso Dic/2024]]</f>
        <v>1</v>
      </c>
      <c r="AE65" s="15">
        <f>Tabla58[[#This Row],[Integración Dic/2024]]</f>
        <v>0</v>
      </c>
      <c r="AF65" s="16">
        <f>AVERAGE(Tabla4[[#This Row],[Creación y captura Dic/2024]:[Compartición e Interoperabilidad Dic/2024]])</f>
        <v>0.5</v>
      </c>
      <c r="AG65" s="14"/>
      <c r="AH65" s="14"/>
      <c r="AI65" s="15"/>
      <c r="AJ65" s="15">
        <f>Tabla13[[#This Row],[Uso y acceso Ene/2025]]</f>
        <v>1</v>
      </c>
      <c r="AK65" s="15">
        <f>Tabla58[[#This Row],[Integración Ene/2025]]</f>
        <v>0</v>
      </c>
      <c r="AL65" s="16">
        <f>AVERAGE(Tabla4[[#This Row],[Creación y captura Ene/2025]:[Compartición e Interoperabilidad Ene/2025]])</f>
        <v>0.5</v>
      </c>
      <c r="AM65" s="14"/>
      <c r="AN65" s="14"/>
      <c r="AO65" s="15"/>
      <c r="AP65" s="15">
        <f>Tabla13[[#This Row],[Uso y acceso Feb/2025]]</f>
        <v>1</v>
      </c>
      <c r="AQ65" s="15">
        <f>Tabla58[[#This Row],[Integración Feb/2025]]</f>
        <v>0</v>
      </c>
      <c r="AR65" s="16">
        <f>AVERAGE(Tabla4[[#This Row],[Creación y captura Feb/2025]:[Compartición e Interoperabilidad Feb/2025]])</f>
        <v>0.5</v>
      </c>
      <c r="AS65" s="14"/>
      <c r="AT65" s="14"/>
      <c r="AU65" s="15"/>
      <c r="AV65" s="15">
        <f>Tabla13[[#This Row],[Uso y acceso Mar/2025]]</f>
        <v>1</v>
      </c>
      <c r="AW65" s="15">
        <f>Tabla58[[#This Row],[Integración Mar/2025]]</f>
        <v>0</v>
      </c>
      <c r="AX65" s="16">
        <f>AVERAGE(Tabla4[[#This Row],[Creación y captura Mar/2025]:[Compartición e Interoperabilidad Mar/2025]])</f>
        <v>0.5</v>
      </c>
      <c r="AY65" s="14"/>
      <c r="AZ65" s="14"/>
      <c r="BA65" s="15"/>
      <c r="BB65" s="15">
        <f>Tabla13[[#This Row],[Uso y acceso Abr/2025]]</f>
        <v>1</v>
      </c>
      <c r="BC65" s="15">
        <f>Tabla58[[#This Row],[Integración Abr/2025]]</f>
        <v>0</v>
      </c>
      <c r="BD65" s="16">
        <f>AVERAGE(Tabla4[[#This Row],[Creación y captura Abr/2025]:[Compartición e Interoperabilidad Abr/2025]])</f>
        <v>0.5</v>
      </c>
      <c r="BE65" s="14">
        <v>0</v>
      </c>
      <c r="BF65" s="14"/>
      <c r="BG65" s="15"/>
      <c r="BH65" s="15">
        <f>Tabla13[[#This Row],[Uso y acceso May/2025]]</f>
        <v>1</v>
      </c>
      <c r="BI65" s="15">
        <f>Tabla58[[#This Row],[Integración May/2025]]</f>
        <v>0</v>
      </c>
      <c r="BJ65" s="16">
        <f>AVERAGE(Tabla4[[#This Row],[Creación y captura May/2025]:[Compartición e Interoperabilidad May/2025]])</f>
        <v>0.33333333333333331</v>
      </c>
      <c r="BK65" s="14">
        <v>0</v>
      </c>
      <c r="BL65" s="14"/>
      <c r="BM65" s="14">
        <f>AVERAGE('Calidad de Datos'!AQ69:AT69)</f>
        <v>0.95</v>
      </c>
      <c r="BN65" s="14">
        <f>Tabla13[[#This Row],[Uso y acceso Dic/2025]]</f>
        <v>1</v>
      </c>
      <c r="BO65" s="14">
        <f>Tabla58[[#This Row],[Integración Dic/2025]]</f>
        <v>0.8</v>
      </c>
      <c r="BP65" s="16">
        <f>AVERAGE(Tabla4[[#This Row],[Creación y captura Dic/2025]:[Compartición e Interoperabilidad Dic/2025]])</f>
        <v>0.6875</v>
      </c>
    </row>
    <row r="66" spans="2:68" x14ac:dyDescent="0.4">
      <c r="B66" s="1" t="s">
        <v>116</v>
      </c>
      <c r="C66" s="14"/>
      <c r="D66" s="14"/>
      <c r="E66" s="14"/>
      <c r="F66" s="14">
        <f>Tabla13[[#This Row],[Uso y acceso Ago/2024]]</f>
        <v>1</v>
      </c>
      <c r="G66" s="15">
        <f>Tabla58[[#This Row],[Integración Ago/2024]]</f>
        <v>0</v>
      </c>
      <c r="H66" s="16">
        <f>AVERAGE(Tabla4[[#This Row],[Creación y captura Ago/2024]:[Compartición e Interoperabilidad Ago/2024]])</f>
        <v>0.5</v>
      </c>
      <c r="I66" s="14"/>
      <c r="J66" s="14"/>
      <c r="K66" s="15"/>
      <c r="L66" s="15">
        <f>Tabla13[[#This Row],[Uso y acceso Sep/2024]]</f>
        <v>1</v>
      </c>
      <c r="M66" s="15">
        <f>Tabla58[[#This Row],[Integración Sep/2024]]</f>
        <v>0</v>
      </c>
      <c r="N66" s="16">
        <f>AVERAGE(Tabla4[[#This Row],[Creación y captura Sep/2024]:[Compartición e Interoperabilidad Sep/2024]])</f>
        <v>0.5</v>
      </c>
      <c r="O66" s="14"/>
      <c r="P66" s="14"/>
      <c r="Q66" s="15"/>
      <c r="R66" s="15">
        <f>Tabla13[[#This Row],[Uso y acceso Oct/2024]]</f>
        <v>1</v>
      </c>
      <c r="S66" s="15">
        <f>Tabla58[[#This Row],[Integración Oct/2024]]</f>
        <v>0</v>
      </c>
      <c r="T66" s="16">
        <f>AVERAGE(Tabla4[[#This Row],[Creación y captura Oct/2024]:[Compartición e Interoperabilidad Oct/2024]])</f>
        <v>0.5</v>
      </c>
      <c r="U66" s="14"/>
      <c r="V66" s="14"/>
      <c r="W66" s="15"/>
      <c r="X66" s="15">
        <f>Tabla13[[#This Row],[Uso y acceso Nov/2024]]</f>
        <v>1</v>
      </c>
      <c r="Y66" s="15">
        <f>Tabla58[[#This Row],[Integración Nov/2024]]</f>
        <v>0</v>
      </c>
      <c r="Z66" s="16">
        <f>AVERAGE(Tabla4[[#This Row],[Creación y captura Nov/2024]:[Compartición e Interoperabilidad Nov/2024]])</f>
        <v>0.5</v>
      </c>
      <c r="AA66" s="14"/>
      <c r="AB66" s="14"/>
      <c r="AC66" s="15"/>
      <c r="AD66" s="15">
        <f>Tabla13[[#This Row],[Uso y acceso Dic/2024]]</f>
        <v>1</v>
      </c>
      <c r="AE66" s="15">
        <f>Tabla58[[#This Row],[Integración Dic/2024]]</f>
        <v>0</v>
      </c>
      <c r="AF66" s="16">
        <f>AVERAGE(Tabla4[[#This Row],[Creación y captura Dic/2024]:[Compartición e Interoperabilidad Dic/2024]])</f>
        <v>0.5</v>
      </c>
      <c r="AG66" s="14"/>
      <c r="AH66" s="14"/>
      <c r="AI66" s="15"/>
      <c r="AJ66" s="15">
        <f>Tabla13[[#This Row],[Uso y acceso Ene/2025]]</f>
        <v>1</v>
      </c>
      <c r="AK66" s="15">
        <f>Tabla58[[#This Row],[Integración Ene/2025]]</f>
        <v>0</v>
      </c>
      <c r="AL66" s="16">
        <f>AVERAGE(Tabla4[[#This Row],[Creación y captura Ene/2025]:[Compartición e Interoperabilidad Ene/2025]])</f>
        <v>0.5</v>
      </c>
      <c r="AM66" s="14"/>
      <c r="AN66" s="14"/>
      <c r="AO66" s="15"/>
      <c r="AP66" s="15">
        <f>Tabla13[[#This Row],[Uso y acceso Feb/2025]]</f>
        <v>1</v>
      </c>
      <c r="AQ66" s="15">
        <f>Tabla58[[#This Row],[Integración Feb/2025]]</f>
        <v>0</v>
      </c>
      <c r="AR66" s="16">
        <f>AVERAGE(Tabla4[[#This Row],[Creación y captura Feb/2025]:[Compartición e Interoperabilidad Feb/2025]])</f>
        <v>0.5</v>
      </c>
      <c r="AS66" s="14"/>
      <c r="AT66" s="14"/>
      <c r="AU66" s="15"/>
      <c r="AV66" s="15">
        <f>Tabla13[[#This Row],[Uso y acceso Mar/2025]]</f>
        <v>1</v>
      </c>
      <c r="AW66" s="15">
        <f>Tabla58[[#This Row],[Integración Mar/2025]]</f>
        <v>0</v>
      </c>
      <c r="AX66" s="16">
        <f>AVERAGE(Tabla4[[#This Row],[Creación y captura Mar/2025]:[Compartición e Interoperabilidad Mar/2025]])</f>
        <v>0.5</v>
      </c>
      <c r="AY66" s="14"/>
      <c r="AZ66" s="14"/>
      <c r="BA66" s="15"/>
      <c r="BB66" s="15">
        <f>Tabla13[[#This Row],[Uso y acceso Abr/2025]]</f>
        <v>1</v>
      </c>
      <c r="BC66" s="15">
        <f>Tabla58[[#This Row],[Integración Abr/2025]]</f>
        <v>0</v>
      </c>
      <c r="BD66" s="16">
        <f>AVERAGE(Tabla4[[#This Row],[Creación y captura Abr/2025]:[Compartición e Interoperabilidad Abr/2025]])</f>
        <v>0.5</v>
      </c>
      <c r="BE66" s="14">
        <v>0</v>
      </c>
      <c r="BF66" s="14"/>
      <c r="BG66" s="15"/>
      <c r="BH66" s="15">
        <f>Tabla13[[#This Row],[Uso y acceso May/2025]]</f>
        <v>1</v>
      </c>
      <c r="BI66" s="15">
        <f>Tabla58[[#This Row],[Integración May/2025]]</f>
        <v>0</v>
      </c>
      <c r="BJ66" s="16">
        <f>AVERAGE(Tabla4[[#This Row],[Creación y captura May/2025]:[Compartición e Interoperabilidad May/2025]])</f>
        <v>0.33333333333333331</v>
      </c>
      <c r="BK66" s="14">
        <v>1</v>
      </c>
      <c r="BL66" s="14">
        <v>1</v>
      </c>
      <c r="BM66" s="14">
        <f>AVERAGE('Calidad de Datos'!AQ70:AT70)</f>
        <v>1</v>
      </c>
      <c r="BN66" s="14">
        <f>Tabla13[[#This Row],[Uso y acceso Dic/2025]]</f>
        <v>1</v>
      </c>
      <c r="BO66" s="14">
        <f>Tabla58[[#This Row],[Integración Dic/2025]]</f>
        <v>1</v>
      </c>
      <c r="BP66" s="16">
        <f>AVERAGE(Tabla4[[#This Row],[Creación y captura Dic/2025]:[Compartición e Interoperabilidad Dic/2025]])</f>
        <v>1</v>
      </c>
    </row>
    <row r="67" spans="2:68" x14ac:dyDescent="0.4">
      <c r="B67" s="1" t="s">
        <v>117</v>
      </c>
      <c r="C67" s="14"/>
      <c r="D67" s="14"/>
      <c r="E67" s="14"/>
      <c r="F67" s="14">
        <f>Tabla13[[#This Row],[Uso y acceso Ago/2024]]</f>
        <v>1</v>
      </c>
      <c r="G67" s="15">
        <f>Tabla58[[#This Row],[Integración Ago/2024]]</f>
        <v>0</v>
      </c>
      <c r="H67" s="16">
        <f>AVERAGE(Tabla4[[#This Row],[Creación y captura Ago/2024]:[Compartición e Interoperabilidad Ago/2024]])</f>
        <v>0.5</v>
      </c>
      <c r="I67" s="14"/>
      <c r="J67" s="14"/>
      <c r="K67" s="15"/>
      <c r="L67" s="15">
        <f>Tabla13[[#This Row],[Uso y acceso Sep/2024]]</f>
        <v>1</v>
      </c>
      <c r="M67" s="15">
        <f>Tabla58[[#This Row],[Integración Sep/2024]]</f>
        <v>0</v>
      </c>
      <c r="N67" s="16">
        <f>AVERAGE(Tabla4[[#This Row],[Creación y captura Sep/2024]:[Compartición e Interoperabilidad Sep/2024]])</f>
        <v>0.5</v>
      </c>
      <c r="O67" s="14"/>
      <c r="P67" s="14"/>
      <c r="Q67" s="15"/>
      <c r="R67" s="15">
        <f>Tabla13[[#This Row],[Uso y acceso Oct/2024]]</f>
        <v>1</v>
      </c>
      <c r="S67" s="15">
        <f>Tabla58[[#This Row],[Integración Oct/2024]]</f>
        <v>0</v>
      </c>
      <c r="T67" s="16">
        <f>AVERAGE(Tabla4[[#This Row],[Creación y captura Oct/2024]:[Compartición e Interoperabilidad Oct/2024]])</f>
        <v>0.5</v>
      </c>
      <c r="U67" s="14"/>
      <c r="V67" s="14"/>
      <c r="W67" s="15"/>
      <c r="X67" s="15">
        <f>Tabla13[[#This Row],[Uso y acceso Nov/2024]]</f>
        <v>1</v>
      </c>
      <c r="Y67" s="15">
        <f>Tabla58[[#This Row],[Integración Nov/2024]]</f>
        <v>0</v>
      </c>
      <c r="Z67" s="16">
        <f>AVERAGE(Tabla4[[#This Row],[Creación y captura Nov/2024]:[Compartición e Interoperabilidad Nov/2024]])</f>
        <v>0.5</v>
      </c>
      <c r="AA67" s="14"/>
      <c r="AB67" s="14"/>
      <c r="AC67" s="15"/>
      <c r="AD67" s="15">
        <f>Tabla13[[#This Row],[Uso y acceso Dic/2024]]</f>
        <v>1</v>
      </c>
      <c r="AE67" s="15">
        <f>Tabla58[[#This Row],[Integración Dic/2024]]</f>
        <v>0</v>
      </c>
      <c r="AF67" s="16">
        <f>AVERAGE(Tabla4[[#This Row],[Creación y captura Dic/2024]:[Compartición e Interoperabilidad Dic/2024]])</f>
        <v>0.5</v>
      </c>
      <c r="AG67" s="14"/>
      <c r="AH67" s="14"/>
      <c r="AI67" s="15"/>
      <c r="AJ67" s="15">
        <f>Tabla13[[#This Row],[Uso y acceso Ene/2025]]</f>
        <v>1</v>
      </c>
      <c r="AK67" s="15">
        <f>Tabla58[[#This Row],[Integración Ene/2025]]</f>
        <v>0</v>
      </c>
      <c r="AL67" s="16">
        <f>AVERAGE(Tabla4[[#This Row],[Creación y captura Ene/2025]:[Compartición e Interoperabilidad Ene/2025]])</f>
        <v>0.5</v>
      </c>
      <c r="AM67" s="14"/>
      <c r="AN67" s="14"/>
      <c r="AO67" s="15"/>
      <c r="AP67" s="15">
        <f>Tabla13[[#This Row],[Uso y acceso Feb/2025]]</f>
        <v>1</v>
      </c>
      <c r="AQ67" s="15">
        <f>Tabla58[[#This Row],[Integración Feb/2025]]</f>
        <v>0</v>
      </c>
      <c r="AR67" s="16">
        <f>AVERAGE(Tabla4[[#This Row],[Creación y captura Feb/2025]:[Compartición e Interoperabilidad Feb/2025]])</f>
        <v>0.5</v>
      </c>
      <c r="AS67" s="14"/>
      <c r="AT67" s="14"/>
      <c r="AU67" s="15"/>
      <c r="AV67" s="15">
        <f>Tabla13[[#This Row],[Uso y acceso Mar/2025]]</f>
        <v>1</v>
      </c>
      <c r="AW67" s="15">
        <f>Tabla58[[#This Row],[Integración Mar/2025]]</f>
        <v>0</v>
      </c>
      <c r="AX67" s="16">
        <f>AVERAGE(Tabla4[[#This Row],[Creación y captura Mar/2025]:[Compartición e Interoperabilidad Mar/2025]])</f>
        <v>0.5</v>
      </c>
      <c r="AY67" s="14">
        <v>1</v>
      </c>
      <c r="AZ67" s="14">
        <v>1</v>
      </c>
      <c r="BA67" s="17">
        <f>AVERAGE('Calidad de Datos'!AI71:AL71)</f>
        <v>1</v>
      </c>
      <c r="BB67" s="15">
        <f>Tabla13[[#This Row],[Uso y acceso Abr/2025]]</f>
        <v>1</v>
      </c>
      <c r="BC67" s="15">
        <f>Tabla58[[#This Row],[Integración Abr/2025]]</f>
        <v>1</v>
      </c>
      <c r="BD67" s="16">
        <f>AVERAGE(Tabla4[[#This Row],[Creación y captura Abr/2025]:[Compartición e Interoperabilidad Abr/2025]])</f>
        <v>1</v>
      </c>
      <c r="BE67" s="14">
        <v>1</v>
      </c>
      <c r="BF67" s="14">
        <v>1</v>
      </c>
      <c r="BG67" s="17">
        <f>AVERAGE('Calidad de Datos'!AM71:AP71)</f>
        <v>1</v>
      </c>
      <c r="BH67" s="15">
        <f>Tabla13[[#This Row],[Uso y acceso May/2025]]</f>
        <v>1</v>
      </c>
      <c r="BI67" s="15">
        <f>Tabla58[[#This Row],[Integración May/2025]]</f>
        <v>1</v>
      </c>
      <c r="BJ67" s="16">
        <f>AVERAGE(Tabla4[[#This Row],[Creación y captura May/2025]:[Compartición e Interoperabilidad May/2025]])</f>
        <v>1</v>
      </c>
      <c r="BK67" s="14">
        <v>1</v>
      </c>
      <c r="BL67" s="14">
        <v>1</v>
      </c>
      <c r="BM67" s="14">
        <f>AVERAGE('Calidad de Datos'!AQ71:AT71)</f>
        <v>1</v>
      </c>
      <c r="BN67" s="14">
        <f>Tabla13[[#This Row],[Uso y acceso Dic/2025]]</f>
        <v>1</v>
      </c>
      <c r="BO67" s="14">
        <f>Tabla58[[#This Row],[Integración Dic/2025]]</f>
        <v>1</v>
      </c>
      <c r="BP67" s="16">
        <f>AVERAGE(Tabla4[[#This Row],[Creación y captura Dic/2025]:[Compartición e Interoperabilidad Dic/2025]])</f>
        <v>1</v>
      </c>
    </row>
    <row r="68" spans="2:68" x14ac:dyDescent="0.4">
      <c r="B68" s="1" t="s">
        <v>118</v>
      </c>
      <c r="C68" s="14"/>
      <c r="D68" s="14"/>
      <c r="E68" s="14"/>
      <c r="F68" s="14">
        <f>Tabla13[[#This Row],[Uso y acceso Ago/2024]]</f>
        <v>0.8</v>
      </c>
      <c r="G68" s="15">
        <f>Tabla58[[#This Row],[Integración Ago/2024]]</f>
        <v>0</v>
      </c>
      <c r="H68" s="16">
        <f>AVERAGE(Tabla4[[#This Row],[Creación y captura Ago/2024]:[Compartición e Interoperabilidad Ago/2024]])</f>
        <v>0.4</v>
      </c>
      <c r="I68" s="14"/>
      <c r="J68" s="14"/>
      <c r="K68" s="15"/>
      <c r="L68" s="15">
        <f>Tabla13[[#This Row],[Uso y acceso Sep/2024]]</f>
        <v>0.8</v>
      </c>
      <c r="M68" s="15">
        <f>Tabla58[[#This Row],[Integración Sep/2024]]</f>
        <v>0</v>
      </c>
      <c r="N68" s="16">
        <f>AVERAGE(Tabla4[[#This Row],[Creación y captura Sep/2024]:[Compartición e Interoperabilidad Sep/2024]])</f>
        <v>0.4</v>
      </c>
      <c r="O68" s="14"/>
      <c r="P68" s="14"/>
      <c r="Q68" s="15"/>
      <c r="R68" s="15">
        <f>Tabla13[[#This Row],[Uso y acceso Oct/2024]]</f>
        <v>1</v>
      </c>
      <c r="S68" s="15">
        <f>Tabla58[[#This Row],[Integración Oct/2024]]</f>
        <v>0</v>
      </c>
      <c r="T68" s="16">
        <f>AVERAGE(Tabla4[[#This Row],[Creación y captura Oct/2024]:[Compartición e Interoperabilidad Oct/2024]])</f>
        <v>0.5</v>
      </c>
      <c r="U68" s="14"/>
      <c r="V68" s="14"/>
      <c r="W68" s="15"/>
      <c r="X68" s="15">
        <f>Tabla13[[#This Row],[Uso y acceso Nov/2024]]</f>
        <v>1</v>
      </c>
      <c r="Y68" s="15">
        <f>Tabla58[[#This Row],[Integración Nov/2024]]</f>
        <v>0</v>
      </c>
      <c r="Z68" s="16">
        <f>AVERAGE(Tabla4[[#This Row],[Creación y captura Nov/2024]:[Compartición e Interoperabilidad Nov/2024]])</f>
        <v>0.5</v>
      </c>
      <c r="AA68" s="14"/>
      <c r="AB68" s="14"/>
      <c r="AC68" s="15"/>
      <c r="AD68" s="15">
        <f>Tabla13[[#This Row],[Uso y acceso Dic/2024]]</f>
        <v>1</v>
      </c>
      <c r="AE68" s="15">
        <f>Tabla58[[#This Row],[Integración Dic/2024]]</f>
        <v>0</v>
      </c>
      <c r="AF68" s="16">
        <f>AVERAGE(Tabla4[[#This Row],[Creación y captura Dic/2024]:[Compartición e Interoperabilidad Dic/2024]])</f>
        <v>0.5</v>
      </c>
      <c r="AG68" s="14"/>
      <c r="AH68" s="14"/>
      <c r="AI68" s="15"/>
      <c r="AJ68" s="15">
        <f>Tabla13[[#This Row],[Uso y acceso Ene/2025]]</f>
        <v>1</v>
      </c>
      <c r="AK68" s="15">
        <f>Tabla58[[#This Row],[Integración Ene/2025]]</f>
        <v>0</v>
      </c>
      <c r="AL68" s="16">
        <f>AVERAGE(Tabla4[[#This Row],[Creación y captura Ene/2025]:[Compartición e Interoperabilidad Ene/2025]])</f>
        <v>0.5</v>
      </c>
      <c r="AM68" s="14"/>
      <c r="AN68" s="14"/>
      <c r="AO68" s="15"/>
      <c r="AP68" s="15">
        <f>Tabla13[[#This Row],[Uso y acceso Feb/2025]]</f>
        <v>1</v>
      </c>
      <c r="AQ68" s="15">
        <f>Tabla58[[#This Row],[Integración Feb/2025]]</f>
        <v>0</v>
      </c>
      <c r="AR68" s="16">
        <f>AVERAGE(Tabla4[[#This Row],[Creación y captura Feb/2025]:[Compartición e Interoperabilidad Feb/2025]])</f>
        <v>0.5</v>
      </c>
      <c r="AS68" s="14"/>
      <c r="AT68" s="14"/>
      <c r="AU68" s="15"/>
      <c r="AV68" s="15">
        <f>Tabla13[[#This Row],[Uso y acceso Mar/2025]]</f>
        <v>1</v>
      </c>
      <c r="AW68" s="15">
        <f>Tabla58[[#This Row],[Integración Mar/2025]]</f>
        <v>0</v>
      </c>
      <c r="AX68" s="16">
        <f>AVERAGE(Tabla4[[#This Row],[Creación y captura Mar/2025]:[Compartición e Interoperabilidad Mar/2025]])</f>
        <v>0.5</v>
      </c>
      <c r="AY68" s="14"/>
      <c r="AZ68" s="14"/>
      <c r="BA68" s="15"/>
      <c r="BB68" s="15">
        <f>Tabla13[[#This Row],[Uso y acceso Abr/2025]]</f>
        <v>1</v>
      </c>
      <c r="BC68" s="15">
        <f>Tabla58[[#This Row],[Integración Abr/2025]]</f>
        <v>0</v>
      </c>
      <c r="BD68" s="16">
        <f>AVERAGE(Tabla4[[#This Row],[Creación y captura Abr/2025]:[Compartición e Interoperabilidad Abr/2025]])</f>
        <v>0.5</v>
      </c>
      <c r="BE68" s="14">
        <v>0</v>
      </c>
      <c r="BF68" s="14"/>
      <c r="BG68" s="15"/>
      <c r="BH68" s="15">
        <f>Tabla13[[#This Row],[Uso y acceso May/2025]]</f>
        <v>1</v>
      </c>
      <c r="BI68" s="15">
        <f>Tabla58[[#This Row],[Integración May/2025]]</f>
        <v>0</v>
      </c>
      <c r="BJ68" s="16">
        <f>AVERAGE(Tabla4[[#This Row],[Creación y captura May/2025]:[Compartición e Interoperabilidad May/2025]])</f>
        <v>0.33333333333333331</v>
      </c>
      <c r="BK68" s="14">
        <v>1</v>
      </c>
      <c r="BL68" s="14">
        <v>1</v>
      </c>
      <c r="BM68" s="14">
        <f>AVERAGE('Calidad de Datos'!AQ72:AT72)</f>
        <v>0.95</v>
      </c>
      <c r="BN68" s="14">
        <f>Tabla13[[#This Row],[Uso y acceso Dic/2025]]</f>
        <v>1</v>
      </c>
      <c r="BO68" s="14">
        <f>Tabla58[[#This Row],[Integración Dic/2025]]</f>
        <v>1</v>
      </c>
      <c r="BP68" s="16">
        <f>AVERAGE(Tabla4[[#This Row],[Creación y captura Dic/2025]:[Compartición e Interoperabilidad Dic/2025]])</f>
        <v>0.99</v>
      </c>
    </row>
    <row r="69" spans="2:68" x14ac:dyDescent="0.4">
      <c r="B69" s="1" t="s">
        <v>119</v>
      </c>
      <c r="C69" s="14"/>
      <c r="D69" s="14"/>
      <c r="E69" s="14"/>
      <c r="F69" s="14">
        <f>Tabla13[[#This Row],[Uso y acceso Ago/2024]]</f>
        <v>0.8</v>
      </c>
      <c r="G69" s="15">
        <f>Tabla58[[#This Row],[Integración Ago/2024]]</f>
        <v>0</v>
      </c>
      <c r="H69" s="16">
        <f>AVERAGE(Tabla4[[#This Row],[Creación y captura Ago/2024]:[Compartición e Interoperabilidad Ago/2024]])</f>
        <v>0.4</v>
      </c>
      <c r="I69" s="14"/>
      <c r="J69" s="14"/>
      <c r="K69" s="15"/>
      <c r="L69" s="15">
        <f>Tabla13[[#This Row],[Uso y acceso Sep/2024]]</f>
        <v>0.8</v>
      </c>
      <c r="M69" s="15">
        <f>Tabla58[[#This Row],[Integración Sep/2024]]</f>
        <v>0</v>
      </c>
      <c r="N69" s="16">
        <f>AVERAGE(Tabla4[[#This Row],[Creación y captura Sep/2024]:[Compartición e Interoperabilidad Sep/2024]])</f>
        <v>0.4</v>
      </c>
      <c r="O69" s="14"/>
      <c r="P69" s="14"/>
      <c r="Q69" s="15"/>
      <c r="R69" s="15">
        <f>Tabla13[[#This Row],[Uso y acceso Oct/2024]]</f>
        <v>1</v>
      </c>
      <c r="S69" s="15">
        <f>Tabla58[[#This Row],[Integración Oct/2024]]</f>
        <v>0</v>
      </c>
      <c r="T69" s="16">
        <f>AVERAGE(Tabla4[[#This Row],[Creación y captura Oct/2024]:[Compartición e Interoperabilidad Oct/2024]])</f>
        <v>0.5</v>
      </c>
      <c r="U69" s="14"/>
      <c r="V69" s="14"/>
      <c r="W69" s="15"/>
      <c r="X69" s="15">
        <f>Tabla13[[#This Row],[Uso y acceso Nov/2024]]</f>
        <v>1</v>
      </c>
      <c r="Y69" s="15">
        <f>Tabla58[[#This Row],[Integración Nov/2024]]</f>
        <v>0</v>
      </c>
      <c r="Z69" s="16">
        <f>AVERAGE(Tabla4[[#This Row],[Creación y captura Nov/2024]:[Compartición e Interoperabilidad Nov/2024]])</f>
        <v>0.5</v>
      </c>
      <c r="AA69" s="14"/>
      <c r="AB69" s="14"/>
      <c r="AC69" s="15"/>
      <c r="AD69" s="15">
        <f>Tabla13[[#This Row],[Uso y acceso Dic/2024]]</f>
        <v>1</v>
      </c>
      <c r="AE69" s="15">
        <f>Tabla58[[#This Row],[Integración Dic/2024]]</f>
        <v>0</v>
      </c>
      <c r="AF69" s="16">
        <f>AVERAGE(Tabla4[[#This Row],[Creación y captura Dic/2024]:[Compartición e Interoperabilidad Dic/2024]])</f>
        <v>0.5</v>
      </c>
      <c r="AG69" s="14"/>
      <c r="AH69" s="14"/>
      <c r="AI69" s="15"/>
      <c r="AJ69" s="15">
        <f>Tabla13[[#This Row],[Uso y acceso Ene/2025]]</f>
        <v>1</v>
      </c>
      <c r="AK69" s="15">
        <f>Tabla58[[#This Row],[Integración Ene/2025]]</f>
        <v>0</v>
      </c>
      <c r="AL69" s="16">
        <f>AVERAGE(Tabla4[[#This Row],[Creación y captura Ene/2025]:[Compartición e Interoperabilidad Ene/2025]])</f>
        <v>0.5</v>
      </c>
      <c r="AM69" s="14"/>
      <c r="AN69" s="14"/>
      <c r="AO69" s="15"/>
      <c r="AP69" s="15">
        <f>Tabla13[[#This Row],[Uso y acceso Feb/2025]]</f>
        <v>1</v>
      </c>
      <c r="AQ69" s="15">
        <f>Tabla58[[#This Row],[Integración Feb/2025]]</f>
        <v>0</v>
      </c>
      <c r="AR69" s="16">
        <f>AVERAGE(Tabla4[[#This Row],[Creación y captura Feb/2025]:[Compartición e Interoperabilidad Feb/2025]])</f>
        <v>0.5</v>
      </c>
      <c r="AS69" s="14"/>
      <c r="AT69" s="14"/>
      <c r="AU69" s="15"/>
      <c r="AV69" s="15">
        <f>Tabla13[[#This Row],[Uso y acceso Mar/2025]]</f>
        <v>1</v>
      </c>
      <c r="AW69" s="15">
        <f>Tabla58[[#This Row],[Integración Mar/2025]]</f>
        <v>0</v>
      </c>
      <c r="AX69" s="16">
        <f>AVERAGE(Tabla4[[#This Row],[Creación y captura Mar/2025]:[Compartición e Interoperabilidad Mar/2025]])</f>
        <v>0.5</v>
      </c>
      <c r="AY69" s="14"/>
      <c r="AZ69" s="14"/>
      <c r="BA69" s="15"/>
      <c r="BB69" s="15">
        <f>Tabla13[[#This Row],[Uso y acceso Abr/2025]]</f>
        <v>1</v>
      </c>
      <c r="BC69" s="15">
        <f>Tabla58[[#This Row],[Integración Abr/2025]]</f>
        <v>0</v>
      </c>
      <c r="BD69" s="16">
        <f>AVERAGE(Tabla4[[#This Row],[Creación y captura Abr/2025]:[Compartición e Interoperabilidad Abr/2025]])</f>
        <v>0.5</v>
      </c>
      <c r="BE69" s="14">
        <v>0</v>
      </c>
      <c r="BF69" s="14"/>
      <c r="BG69" s="15"/>
      <c r="BH69" s="15">
        <f>Tabla13[[#This Row],[Uso y acceso May/2025]]</f>
        <v>1</v>
      </c>
      <c r="BI69" s="15">
        <f>Tabla58[[#This Row],[Integración May/2025]]</f>
        <v>0</v>
      </c>
      <c r="BJ69" s="16">
        <f>AVERAGE(Tabla4[[#This Row],[Creación y captura May/2025]:[Compartición e Interoperabilidad May/2025]])</f>
        <v>0.33333333333333331</v>
      </c>
      <c r="BK69" s="14">
        <v>1</v>
      </c>
      <c r="BL69" s="14">
        <v>1</v>
      </c>
      <c r="BM69" s="14">
        <f>AVERAGE('Calidad de Datos'!AQ73:AT73)</f>
        <v>0.95</v>
      </c>
      <c r="BN69" s="14">
        <f>Tabla13[[#This Row],[Uso y acceso Dic/2025]]</f>
        <v>1</v>
      </c>
      <c r="BO69" s="14">
        <f>Tabla58[[#This Row],[Integración Dic/2025]]</f>
        <v>1</v>
      </c>
      <c r="BP69" s="16">
        <f>AVERAGE(Tabla4[[#This Row],[Creación y captura Dic/2025]:[Compartición e Interoperabilidad Dic/2025]])</f>
        <v>0.99</v>
      </c>
    </row>
    <row r="70" spans="2:68" x14ac:dyDescent="0.4">
      <c r="B70" s="1" t="s">
        <v>120</v>
      </c>
      <c r="C70" s="14"/>
      <c r="D70" s="14"/>
      <c r="E70" s="14"/>
      <c r="F70" s="14">
        <f>Tabla13[[#This Row],[Uso y acceso Ago/2024]]</f>
        <v>0.8</v>
      </c>
      <c r="G70" s="15">
        <f>Tabla58[[#This Row],[Integración Ago/2024]]</f>
        <v>0</v>
      </c>
      <c r="H70" s="16">
        <f>AVERAGE(Tabla4[[#This Row],[Creación y captura Ago/2024]:[Compartición e Interoperabilidad Ago/2024]])</f>
        <v>0.4</v>
      </c>
      <c r="I70" s="14"/>
      <c r="J70" s="14"/>
      <c r="K70" s="15"/>
      <c r="L70" s="15">
        <f>Tabla13[[#This Row],[Uso y acceso Sep/2024]]</f>
        <v>0.8</v>
      </c>
      <c r="M70" s="15">
        <f>Tabla58[[#This Row],[Integración Sep/2024]]</f>
        <v>0</v>
      </c>
      <c r="N70" s="16">
        <f>AVERAGE(Tabla4[[#This Row],[Creación y captura Sep/2024]:[Compartición e Interoperabilidad Sep/2024]])</f>
        <v>0.4</v>
      </c>
      <c r="O70" s="14"/>
      <c r="P70" s="14"/>
      <c r="Q70" s="15"/>
      <c r="R70" s="15">
        <f>Tabla13[[#This Row],[Uso y acceso Oct/2024]]</f>
        <v>1</v>
      </c>
      <c r="S70" s="15">
        <f>Tabla58[[#This Row],[Integración Oct/2024]]</f>
        <v>0</v>
      </c>
      <c r="T70" s="16">
        <f>AVERAGE(Tabla4[[#This Row],[Creación y captura Oct/2024]:[Compartición e Interoperabilidad Oct/2024]])</f>
        <v>0.5</v>
      </c>
      <c r="U70" s="14"/>
      <c r="V70" s="14"/>
      <c r="W70" s="15"/>
      <c r="X70" s="15">
        <f>Tabla13[[#This Row],[Uso y acceso Nov/2024]]</f>
        <v>1</v>
      </c>
      <c r="Y70" s="15">
        <f>Tabla58[[#This Row],[Integración Nov/2024]]</f>
        <v>0</v>
      </c>
      <c r="Z70" s="16">
        <f>AVERAGE(Tabla4[[#This Row],[Creación y captura Nov/2024]:[Compartición e Interoperabilidad Nov/2024]])</f>
        <v>0.5</v>
      </c>
      <c r="AA70" s="14"/>
      <c r="AB70" s="14"/>
      <c r="AC70" s="15"/>
      <c r="AD70" s="15">
        <f>Tabla13[[#This Row],[Uso y acceso Dic/2024]]</f>
        <v>1</v>
      </c>
      <c r="AE70" s="15">
        <f>Tabla58[[#This Row],[Integración Dic/2024]]</f>
        <v>0</v>
      </c>
      <c r="AF70" s="16">
        <f>AVERAGE(Tabla4[[#This Row],[Creación y captura Dic/2024]:[Compartición e Interoperabilidad Dic/2024]])</f>
        <v>0.5</v>
      </c>
      <c r="AG70" s="14"/>
      <c r="AH70" s="14"/>
      <c r="AI70" s="15"/>
      <c r="AJ70" s="15">
        <f>Tabla13[[#This Row],[Uso y acceso Ene/2025]]</f>
        <v>1</v>
      </c>
      <c r="AK70" s="15">
        <f>Tabla58[[#This Row],[Integración Ene/2025]]</f>
        <v>0</v>
      </c>
      <c r="AL70" s="16">
        <f>AVERAGE(Tabla4[[#This Row],[Creación y captura Ene/2025]:[Compartición e Interoperabilidad Ene/2025]])</f>
        <v>0.5</v>
      </c>
      <c r="AM70" s="14"/>
      <c r="AN70" s="14"/>
      <c r="AO70" s="15"/>
      <c r="AP70" s="15">
        <f>Tabla13[[#This Row],[Uso y acceso Feb/2025]]</f>
        <v>1</v>
      </c>
      <c r="AQ70" s="15">
        <f>Tabla58[[#This Row],[Integración Feb/2025]]</f>
        <v>0</v>
      </c>
      <c r="AR70" s="16">
        <f>AVERAGE(Tabla4[[#This Row],[Creación y captura Feb/2025]:[Compartición e Interoperabilidad Feb/2025]])</f>
        <v>0.5</v>
      </c>
      <c r="AS70" s="14"/>
      <c r="AT70" s="14"/>
      <c r="AU70" s="15"/>
      <c r="AV70" s="15">
        <f>Tabla13[[#This Row],[Uso y acceso Mar/2025]]</f>
        <v>1</v>
      </c>
      <c r="AW70" s="15">
        <f>Tabla58[[#This Row],[Integración Mar/2025]]</f>
        <v>0</v>
      </c>
      <c r="AX70" s="16">
        <f>AVERAGE(Tabla4[[#This Row],[Creación y captura Mar/2025]:[Compartición e Interoperabilidad Mar/2025]])</f>
        <v>0.5</v>
      </c>
      <c r="AY70" s="14">
        <v>0.8</v>
      </c>
      <c r="AZ70" s="14">
        <v>0.5</v>
      </c>
      <c r="BA70" s="17">
        <f>AVERAGE('Calidad de Datos'!AI74:AL74)</f>
        <v>1</v>
      </c>
      <c r="BB70" s="15">
        <f>Tabla13[[#This Row],[Uso y acceso Abr/2025]]</f>
        <v>1</v>
      </c>
      <c r="BC70" s="15">
        <f>Tabla58[[#This Row],[Integración Abr/2025]]</f>
        <v>0.3</v>
      </c>
      <c r="BD70" s="16">
        <f>AVERAGE(Tabla4[[#This Row],[Creación y captura Abr/2025]:[Compartición e Interoperabilidad Abr/2025]])</f>
        <v>0.72</v>
      </c>
      <c r="BE70" s="14">
        <v>0.8</v>
      </c>
      <c r="BF70" s="14">
        <v>0.5</v>
      </c>
      <c r="BG70" s="17">
        <f>AVERAGE('Calidad de Datos'!AM74:AP74)</f>
        <v>1</v>
      </c>
      <c r="BH70" s="15">
        <f>Tabla13[[#This Row],[Uso y acceso May/2025]]</f>
        <v>1</v>
      </c>
      <c r="BI70" s="15">
        <f>Tabla58[[#This Row],[Integración May/2025]]</f>
        <v>0.3</v>
      </c>
      <c r="BJ70" s="16">
        <f>AVERAGE(Tabla4[[#This Row],[Creación y captura May/2025]:[Compartición e Interoperabilidad May/2025]])</f>
        <v>0.72</v>
      </c>
      <c r="BK70" s="14">
        <v>0.8</v>
      </c>
      <c r="BL70" s="14">
        <v>0.5</v>
      </c>
      <c r="BM70" s="14">
        <f>AVERAGE('Calidad de Datos'!AQ74:AT74)</f>
        <v>1</v>
      </c>
      <c r="BN70" s="14">
        <f>Tabla13[[#This Row],[Uso y acceso Dic/2025]]</f>
        <v>1</v>
      </c>
      <c r="BO70" s="14">
        <f>Tabla58[[#This Row],[Integración Dic/2025]]</f>
        <v>0.8</v>
      </c>
      <c r="BP70" s="16">
        <f>AVERAGE(Tabla4[[#This Row],[Creación y captura Dic/2025]:[Compartición e Interoperabilidad Dic/2025]])</f>
        <v>0.82</v>
      </c>
    </row>
    <row r="71" spans="2:68" x14ac:dyDescent="0.4">
      <c r="B71" s="1" t="s">
        <v>121</v>
      </c>
      <c r="C71" s="14"/>
      <c r="D71" s="14"/>
      <c r="E71" s="14"/>
      <c r="F71" s="14">
        <f>Tabla13[[#This Row],[Uso y acceso Ago/2024]]</f>
        <v>0.8</v>
      </c>
      <c r="G71" s="15">
        <f>Tabla58[[#This Row],[Integración Ago/2024]]</f>
        <v>0</v>
      </c>
      <c r="H71" s="16">
        <f>AVERAGE(Tabla4[[#This Row],[Creación y captura Ago/2024]:[Compartición e Interoperabilidad Ago/2024]])</f>
        <v>0.4</v>
      </c>
      <c r="I71" s="14"/>
      <c r="J71" s="14"/>
      <c r="K71" s="15"/>
      <c r="L71" s="15">
        <f>Tabla13[[#This Row],[Uso y acceso Sep/2024]]</f>
        <v>0.8</v>
      </c>
      <c r="M71" s="15">
        <f>Tabla58[[#This Row],[Integración Sep/2024]]</f>
        <v>0</v>
      </c>
      <c r="N71" s="16">
        <f>AVERAGE(Tabla4[[#This Row],[Creación y captura Sep/2024]:[Compartición e Interoperabilidad Sep/2024]])</f>
        <v>0.4</v>
      </c>
      <c r="O71" s="14"/>
      <c r="P71" s="14"/>
      <c r="Q71" s="15"/>
      <c r="R71" s="15">
        <f>Tabla13[[#This Row],[Uso y acceso Oct/2024]]</f>
        <v>1</v>
      </c>
      <c r="S71" s="15">
        <f>Tabla58[[#This Row],[Integración Oct/2024]]</f>
        <v>0</v>
      </c>
      <c r="T71" s="16">
        <f>AVERAGE(Tabla4[[#This Row],[Creación y captura Oct/2024]:[Compartición e Interoperabilidad Oct/2024]])</f>
        <v>0.5</v>
      </c>
      <c r="U71" s="14"/>
      <c r="V71" s="14"/>
      <c r="W71" s="15"/>
      <c r="X71" s="15">
        <f>Tabla13[[#This Row],[Uso y acceso Nov/2024]]</f>
        <v>1</v>
      </c>
      <c r="Y71" s="15">
        <f>Tabla58[[#This Row],[Integración Nov/2024]]</f>
        <v>0</v>
      </c>
      <c r="Z71" s="16">
        <f>AVERAGE(Tabla4[[#This Row],[Creación y captura Nov/2024]:[Compartición e Interoperabilidad Nov/2024]])</f>
        <v>0.5</v>
      </c>
      <c r="AA71" s="14"/>
      <c r="AB71" s="14"/>
      <c r="AC71" s="15"/>
      <c r="AD71" s="15">
        <f>Tabla13[[#This Row],[Uso y acceso Dic/2024]]</f>
        <v>1</v>
      </c>
      <c r="AE71" s="15">
        <f>Tabla58[[#This Row],[Integración Dic/2024]]</f>
        <v>0</v>
      </c>
      <c r="AF71" s="16">
        <f>AVERAGE(Tabla4[[#This Row],[Creación y captura Dic/2024]:[Compartición e Interoperabilidad Dic/2024]])</f>
        <v>0.5</v>
      </c>
      <c r="AG71" s="14"/>
      <c r="AH71" s="14"/>
      <c r="AI71" s="15"/>
      <c r="AJ71" s="15">
        <f>Tabla13[[#This Row],[Uso y acceso Ene/2025]]</f>
        <v>1</v>
      </c>
      <c r="AK71" s="15">
        <f>Tabla58[[#This Row],[Integración Ene/2025]]</f>
        <v>0</v>
      </c>
      <c r="AL71" s="16">
        <f>AVERAGE(Tabla4[[#This Row],[Creación y captura Ene/2025]:[Compartición e Interoperabilidad Ene/2025]])</f>
        <v>0.5</v>
      </c>
      <c r="AM71" s="14"/>
      <c r="AN71" s="14"/>
      <c r="AO71" s="15"/>
      <c r="AP71" s="15">
        <f>Tabla13[[#This Row],[Uso y acceso Feb/2025]]</f>
        <v>1</v>
      </c>
      <c r="AQ71" s="15">
        <f>Tabla58[[#This Row],[Integración Feb/2025]]</f>
        <v>0</v>
      </c>
      <c r="AR71" s="16">
        <f>AVERAGE(Tabla4[[#This Row],[Creación y captura Feb/2025]:[Compartición e Interoperabilidad Feb/2025]])</f>
        <v>0.5</v>
      </c>
      <c r="AS71" s="14"/>
      <c r="AT71" s="14"/>
      <c r="AU71" s="15"/>
      <c r="AV71" s="15">
        <f>Tabla13[[#This Row],[Uso y acceso Mar/2025]]</f>
        <v>1</v>
      </c>
      <c r="AW71" s="15">
        <f>Tabla58[[#This Row],[Integración Mar/2025]]</f>
        <v>0</v>
      </c>
      <c r="AX71" s="16">
        <f>AVERAGE(Tabla4[[#This Row],[Creación y captura Mar/2025]:[Compartición e Interoperabilidad Mar/2025]])</f>
        <v>0.5</v>
      </c>
      <c r="AY71" s="14"/>
      <c r="AZ71" s="14"/>
      <c r="BA71" s="15"/>
      <c r="BB71" s="15">
        <f>Tabla13[[#This Row],[Uso y acceso Abr/2025]]</f>
        <v>1</v>
      </c>
      <c r="BC71" s="15">
        <f>Tabla58[[#This Row],[Integración Abr/2025]]</f>
        <v>0</v>
      </c>
      <c r="BD71" s="16">
        <f>AVERAGE(Tabla4[[#This Row],[Creación y captura Abr/2025]:[Compartición e Interoperabilidad Abr/2025]])</f>
        <v>0.5</v>
      </c>
      <c r="BE71" s="14"/>
      <c r="BF71" s="14"/>
      <c r="BG71" s="15"/>
      <c r="BH71" s="15">
        <f>Tabla13[[#This Row],[Uso y acceso May/2025]]</f>
        <v>1</v>
      </c>
      <c r="BI71" s="15">
        <f>Tabla58[[#This Row],[Integración May/2025]]</f>
        <v>0</v>
      </c>
      <c r="BJ71" s="16">
        <f>AVERAGE(Tabla4[[#This Row],[Creación y captura May/2025]:[Compartición e Interoperabilidad May/2025]])</f>
        <v>0.5</v>
      </c>
      <c r="BK71" s="14"/>
      <c r="BL71" s="14"/>
      <c r="BM71" s="14">
        <f>AVERAGE('Calidad de Datos'!AQ75:AT75)</f>
        <v>0.85</v>
      </c>
      <c r="BN71" s="14">
        <f>Tabla13[[#This Row],[Uso y acceso Dic/2025]]</f>
        <v>1</v>
      </c>
      <c r="BO71" s="14">
        <f>Tabla58[[#This Row],[Integración Dic/2025]]</f>
        <v>0.4</v>
      </c>
      <c r="BP71" s="16">
        <f>AVERAGE(Tabla4[[#This Row],[Creación y captura Dic/2025]:[Compartición e Interoperabilidad Dic/2025]])</f>
        <v>0.75</v>
      </c>
    </row>
    <row r="72" spans="2:68" x14ac:dyDescent="0.4">
      <c r="B72" s="1" t="s">
        <v>123</v>
      </c>
      <c r="C72" s="14"/>
      <c r="D72" s="14"/>
      <c r="E72" s="14"/>
      <c r="F72" s="14">
        <f>Tabla13[[#This Row],[Uso y acceso Ago/2024]]</f>
        <v>0.8</v>
      </c>
      <c r="G72" s="15">
        <f>Tabla58[[#This Row],[Integración Ago/2024]]</f>
        <v>0</v>
      </c>
      <c r="H72" s="16">
        <f>AVERAGE(Tabla4[[#This Row],[Creación y captura Ago/2024]:[Compartición e Interoperabilidad Ago/2024]])</f>
        <v>0.4</v>
      </c>
      <c r="I72" s="14"/>
      <c r="J72" s="14"/>
      <c r="K72" s="15"/>
      <c r="L72" s="15">
        <f>Tabla13[[#This Row],[Uso y acceso Sep/2024]]</f>
        <v>0.8</v>
      </c>
      <c r="M72" s="15">
        <f>Tabla58[[#This Row],[Integración Sep/2024]]</f>
        <v>0</v>
      </c>
      <c r="N72" s="16">
        <f>AVERAGE(Tabla4[[#This Row],[Creación y captura Sep/2024]:[Compartición e Interoperabilidad Sep/2024]])</f>
        <v>0.4</v>
      </c>
      <c r="O72" s="14"/>
      <c r="P72" s="14"/>
      <c r="Q72" s="15"/>
      <c r="R72" s="15">
        <f>Tabla13[[#This Row],[Uso y acceso Oct/2024]]</f>
        <v>1</v>
      </c>
      <c r="S72" s="15">
        <f>Tabla58[[#This Row],[Integración Oct/2024]]</f>
        <v>0</v>
      </c>
      <c r="T72" s="16">
        <f>AVERAGE(Tabla4[[#This Row],[Creación y captura Oct/2024]:[Compartición e Interoperabilidad Oct/2024]])</f>
        <v>0.5</v>
      </c>
      <c r="U72" s="14"/>
      <c r="V72" s="14"/>
      <c r="W72" s="15"/>
      <c r="X72" s="15">
        <f>Tabla13[[#This Row],[Uso y acceso Nov/2024]]</f>
        <v>1</v>
      </c>
      <c r="Y72" s="15">
        <f>Tabla58[[#This Row],[Integración Nov/2024]]</f>
        <v>0</v>
      </c>
      <c r="Z72" s="16">
        <f>AVERAGE(Tabla4[[#This Row],[Creación y captura Nov/2024]:[Compartición e Interoperabilidad Nov/2024]])</f>
        <v>0.5</v>
      </c>
      <c r="AA72" s="14"/>
      <c r="AB72" s="14"/>
      <c r="AC72" s="15"/>
      <c r="AD72" s="15">
        <f>Tabla13[[#This Row],[Uso y acceso Dic/2024]]</f>
        <v>1</v>
      </c>
      <c r="AE72" s="15">
        <f>Tabla58[[#This Row],[Integración Dic/2024]]</f>
        <v>0</v>
      </c>
      <c r="AF72" s="16">
        <f>AVERAGE(Tabla4[[#This Row],[Creación y captura Dic/2024]:[Compartición e Interoperabilidad Dic/2024]])</f>
        <v>0.5</v>
      </c>
      <c r="AG72" s="14"/>
      <c r="AH72" s="14"/>
      <c r="AI72" s="15"/>
      <c r="AJ72" s="15">
        <f>Tabla13[[#This Row],[Uso y acceso Ene/2025]]</f>
        <v>1</v>
      </c>
      <c r="AK72" s="15">
        <f>Tabla58[[#This Row],[Integración Ene/2025]]</f>
        <v>0</v>
      </c>
      <c r="AL72" s="16">
        <f>AVERAGE(Tabla4[[#This Row],[Creación y captura Ene/2025]:[Compartición e Interoperabilidad Ene/2025]])</f>
        <v>0.5</v>
      </c>
      <c r="AM72" s="14"/>
      <c r="AN72" s="14"/>
      <c r="AO72" s="15"/>
      <c r="AP72" s="15">
        <f>Tabla13[[#This Row],[Uso y acceso Feb/2025]]</f>
        <v>1</v>
      </c>
      <c r="AQ72" s="15">
        <f>Tabla58[[#This Row],[Integración Feb/2025]]</f>
        <v>0</v>
      </c>
      <c r="AR72" s="16">
        <f>AVERAGE(Tabla4[[#This Row],[Creación y captura Feb/2025]:[Compartición e Interoperabilidad Feb/2025]])</f>
        <v>0.5</v>
      </c>
      <c r="AS72" s="14"/>
      <c r="AT72" s="14"/>
      <c r="AU72" s="15"/>
      <c r="AV72" s="15">
        <f>Tabla13[[#This Row],[Uso y acceso Mar/2025]]</f>
        <v>1</v>
      </c>
      <c r="AW72" s="15">
        <f>Tabla58[[#This Row],[Integración Mar/2025]]</f>
        <v>0</v>
      </c>
      <c r="AX72" s="16">
        <f>AVERAGE(Tabla4[[#This Row],[Creación y captura Mar/2025]:[Compartición e Interoperabilidad Mar/2025]])</f>
        <v>0.5</v>
      </c>
      <c r="AY72" s="14"/>
      <c r="AZ72" s="14"/>
      <c r="BA72" s="15"/>
      <c r="BB72" s="15">
        <f>Tabla13[[#This Row],[Uso y acceso Abr/2025]]</f>
        <v>1</v>
      </c>
      <c r="BC72" s="15">
        <f>Tabla58[[#This Row],[Integración Abr/2025]]</f>
        <v>0</v>
      </c>
      <c r="BD72" s="16">
        <f>AVERAGE(Tabla4[[#This Row],[Creación y captura Abr/2025]:[Compartición e Interoperabilidad Abr/2025]])</f>
        <v>0.5</v>
      </c>
      <c r="BE72" s="14"/>
      <c r="BF72" s="14"/>
      <c r="BG72" s="15"/>
      <c r="BH72" s="15">
        <f>Tabla13[[#This Row],[Uso y acceso May/2025]]</f>
        <v>1</v>
      </c>
      <c r="BI72" s="15">
        <f>Tabla58[[#This Row],[Integración May/2025]]</f>
        <v>0</v>
      </c>
      <c r="BJ72" s="16">
        <f>AVERAGE(Tabla4[[#This Row],[Creación y captura May/2025]:[Compartición e Interoperabilidad May/2025]])</f>
        <v>0.5</v>
      </c>
      <c r="BK72" s="14"/>
      <c r="BL72" s="14"/>
      <c r="BM72" s="14">
        <f>AVERAGE('Calidad de Datos'!AQ76:AT76)</f>
        <v>0.85</v>
      </c>
      <c r="BN72" s="14">
        <f>Tabla13[[#This Row],[Uso y acceso Dic/2025]]</f>
        <v>1</v>
      </c>
      <c r="BO72" s="14">
        <f>Tabla58[[#This Row],[Integración Dic/2025]]</f>
        <v>0.4</v>
      </c>
      <c r="BP72" s="16">
        <f>AVERAGE(Tabla4[[#This Row],[Creación y captura Dic/2025]:[Compartición e Interoperabilidad Dic/2025]])</f>
        <v>0.75</v>
      </c>
    </row>
    <row r="73" spans="2:68" x14ac:dyDescent="0.4">
      <c r="B73" s="1" t="s">
        <v>124</v>
      </c>
      <c r="C73" s="14"/>
      <c r="D73" s="14"/>
      <c r="E73" s="14"/>
      <c r="F73" s="14">
        <f>Tabla13[[#This Row],[Uso y acceso Ago/2024]]</f>
        <v>0.8</v>
      </c>
      <c r="G73" s="15">
        <f>Tabla58[[#This Row],[Integración Ago/2024]]</f>
        <v>0</v>
      </c>
      <c r="H73" s="16">
        <f>AVERAGE(Tabla4[[#This Row],[Creación y captura Ago/2024]:[Compartición e Interoperabilidad Ago/2024]])</f>
        <v>0.4</v>
      </c>
      <c r="I73" s="14"/>
      <c r="J73" s="14"/>
      <c r="K73" s="15"/>
      <c r="L73" s="15">
        <f>Tabla13[[#This Row],[Uso y acceso Sep/2024]]</f>
        <v>0.8</v>
      </c>
      <c r="M73" s="15">
        <f>Tabla58[[#This Row],[Integración Sep/2024]]</f>
        <v>0</v>
      </c>
      <c r="N73" s="16">
        <f>AVERAGE(Tabla4[[#This Row],[Creación y captura Sep/2024]:[Compartición e Interoperabilidad Sep/2024]])</f>
        <v>0.4</v>
      </c>
      <c r="O73" s="14"/>
      <c r="P73" s="14"/>
      <c r="Q73" s="15"/>
      <c r="R73" s="15">
        <f>Tabla13[[#This Row],[Uso y acceso Oct/2024]]</f>
        <v>1</v>
      </c>
      <c r="S73" s="15">
        <f>Tabla58[[#This Row],[Integración Oct/2024]]</f>
        <v>0</v>
      </c>
      <c r="T73" s="16">
        <f>AVERAGE(Tabla4[[#This Row],[Creación y captura Oct/2024]:[Compartición e Interoperabilidad Oct/2024]])</f>
        <v>0.5</v>
      </c>
      <c r="U73" s="14"/>
      <c r="V73" s="14"/>
      <c r="W73" s="15"/>
      <c r="X73" s="15">
        <f>Tabla13[[#This Row],[Uso y acceso Nov/2024]]</f>
        <v>1</v>
      </c>
      <c r="Y73" s="15">
        <f>Tabla58[[#This Row],[Integración Nov/2024]]</f>
        <v>0</v>
      </c>
      <c r="Z73" s="16">
        <f>AVERAGE(Tabla4[[#This Row],[Creación y captura Nov/2024]:[Compartición e Interoperabilidad Nov/2024]])</f>
        <v>0.5</v>
      </c>
      <c r="AA73" s="14"/>
      <c r="AB73" s="14"/>
      <c r="AC73" s="15"/>
      <c r="AD73" s="15">
        <f>Tabla13[[#This Row],[Uso y acceso Dic/2024]]</f>
        <v>1</v>
      </c>
      <c r="AE73" s="15">
        <f>Tabla58[[#This Row],[Integración Dic/2024]]</f>
        <v>0</v>
      </c>
      <c r="AF73" s="16">
        <f>AVERAGE(Tabla4[[#This Row],[Creación y captura Dic/2024]:[Compartición e Interoperabilidad Dic/2024]])</f>
        <v>0.5</v>
      </c>
      <c r="AG73" s="14"/>
      <c r="AH73" s="14"/>
      <c r="AI73" s="15"/>
      <c r="AJ73" s="15">
        <f>Tabla13[[#This Row],[Uso y acceso Ene/2025]]</f>
        <v>1</v>
      </c>
      <c r="AK73" s="15">
        <f>Tabla58[[#This Row],[Integración Ene/2025]]</f>
        <v>0</v>
      </c>
      <c r="AL73" s="16">
        <f>AVERAGE(Tabla4[[#This Row],[Creación y captura Ene/2025]:[Compartición e Interoperabilidad Ene/2025]])</f>
        <v>0.5</v>
      </c>
      <c r="AM73" s="14"/>
      <c r="AN73" s="14"/>
      <c r="AO73" s="15"/>
      <c r="AP73" s="15">
        <f>Tabla13[[#This Row],[Uso y acceso Feb/2025]]</f>
        <v>1</v>
      </c>
      <c r="AQ73" s="15">
        <f>Tabla58[[#This Row],[Integración Feb/2025]]</f>
        <v>0</v>
      </c>
      <c r="AR73" s="16">
        <f>AVERAGE(Tabla4[[#This Row],[Creación y captura Feb/2025]:[Compartición e Interoperabilidad Feb/2025]])</f>
        <v>0.5</v>
      </c>
      <c r="AS73" s="14"/>
      <c r="AT73" s="14"/>
      <c r="AU73" s="15"/>
      <c r="AV73" s="15">
        <f>Tabla13[[#This Row],[Uso y acceso Mar/2025]]</f>
        <v>1</v>
      </c>
      <c r="AW73" s="15">
        <f>Tabla58[[#This Row],[Integración Mar/2025]]</f>
        <v>0</v>
      </c>
      <c r="AX73" s="16">
        <f>AVERAGE(Tabla4[[#This Row],[Creación y captura Mar/2025]:[Compartición e Interoperabilidad Mar/2025]])</f>
        <v>0.5</v>
      </c>
      <c r="AY73" s="14"/>
      <c r="AZ73" s="14"/>
      <c r="BA73" s="15"/>
      <c r="BB73" s="15">
        <f>Tabla13[[#This Row],[Uso y acceso Abr/2025]]</f>
        <v>1</v>
      </c>
      <c r="BC73" s="15">
        <f>Tabla58[[#This Row],[Integración Abr/2025]]</f>
        <v>0</v>
      </c>
      <c r="BD73" s="16">
        <f>AVERAGE(Tabla4[[#This Row],[Creación y captura Abr/2025]:[Compartición e Interoperabilidad Abr/2025]])</f>
        <v>0.5</v>
      </c>
      <c r="BE73" s="14"/>
      <c r="BF73" s="14"/>
      <c r="BG73" s="15"/>
      <c r="BH73" s="15">
        <f>Tabla13[[#This Row],[Uso y acceso May/2025]]</f>
        <v>1</v>
      </c>
      <c r="BI73" s="15">
        <f>Tabla58[[#This Row],[Integración May/2025]]</f>
        <v>0</v>
      </c>
      <c r="BJ73" s="16">
        <f>AVERAGE(Tabla4[[#This Row],[Creación y captura May/2025]:[Compartición e Interoperabilidad May/2025]])</f>
        <v>0.5</v>
      </c>
      <c r="BK73" s="14"/>
      <c r="BL73" s="14"/>
      <c r="BM73" s="14">
        <f>AVERAGE('Calidad de Datos'!AQ77:AT77)</f>
        <v>0.85</v>
      </c>
      <c r="BN73" s="14">
        <f>Tabla13[[#This Row],[Uso y acceso Dic/2025]]</f>
        <v>1</v>
      </c>
      <c r="BO73" s="14">
        <f>Tabla58[[#This Row],[Integración Dic/2025]]</f>
        <v>0.4</v>
      </c>
      <c r="BP73" s="16">
        <f>AVERAGE(Tabla4[[#This Row],[Creación y captura Dic/2025]:[Compartición e Interoperabilidad Dic/2025]])</f>
        <v>0.75</v>
      </c>
    </row>
    <row r="74" spans="2:68" x14ac:dyDescent="0.4">
      <c r="B74" s="1" t="s">
        <v>125</v>
      </c>
      <c r="C74" s="14"/>
      <c r="D74" s="14"/>
      <c r="E74" s="14"/>
      <c r="F74" s="14">
        <f>Tabla13[[#This Row],[Uso y acceso Ago/2024]]</f>
        <v>0.8</v>
      </c>
      <c r="G74" s="15">
        <f>Tabla58[[#This Row],[Integración Ago/2024]]</f>
        <v>0</v>
      </c>
      <c r="H74" s="16">
        <f>AVERAGE(Tabla4[[#This Row],[Creación y captura Ago/2024]:[Compartición e Interoperabilidad Ago/2024]])</f>
        <v>0.4</v>
      </c>
      <c r="I74" s="14"/>
      <c r="J74" s="14"/>
      <c r="K74" s="15"/>
      <c r="L74" s="15">
        <f>Tabla13[[#This Row],[Uso y acceso Sep/2024]]</f>
        <v>0.8</v>
      </c>
      <c r="M74" s="15">
        <f>Tabla58[[#This Row],[Integración Sep/2024]]</f>
        <v>0</v>
      </c>
      <c r="N74" s="16">
        <f>AVERAGE(Tabla4[[#This Row],[Creación y captura Sep/2024]:[Compartición e Interoperabilidad Sep/2024]])</f>
        <v>0.4</v>
      </c>
      <c r="O74" s="14"/>
      <c r="P74" s="14"/>
      <c r="Q74" s="15"/>
      <c r="R74" s="15">
        <f>Tabla13[[#This Row],[Uso y acceso Oct/2024]]</f>
        <v>1</v>
      </c>
      <c r="S74" s="15">
        <f>Tabla58[[#This Row],[Integración Oct/2024]]</f>
        <v>0</v>
      </c>
      <c r="T74" s="16">
        <f>AVERAGE(Tabla4[[#This Row],[Creación y captura Oct/2024]:[Compartición e Interoperabilidad Oct/2024]])</f>
        <v>0.5</v>
      </c>
      <c r="U74" s="14"/>
      <c r="V74" s="14"/>
      <c r="W74" s="15"/>
      <c r="X74" s="15">
        <f>Tabla13[[#This Row],[Uso y acceso Nov/2024]]</f>
        <v>1</v>
      </c>
      <c r="Y74" s="15">
        <f>Tabla58[[#This Row],[Integración Nov/2024]]</f>
        <v>0</v>
      </c>
      <c r="Z74" s="16">
        <f>AVERAGE(Tabla4[[#This Row],[Creación y captura Nov/2024]:[Compartición e Interoperabilidad Nov/2024]])</f>
        <v>0.5</v>
      </c>
      <c r="AA74" s="14"/>
      <c r="AB74" s="14"/>
      <c r="AC74" s="15"/>
      <c r="AD74" s="15">
        <f>Tabla13[[#This Row],[Uso y acceso Dic/2024]]</f>
        <v>1</v>
      </c>
      <c r="AE74" s="15">
        <f>Tabla58[[#This Row],[Integración Dic/2024]]</f>
        <v>0</v>
      </c>
      <c r="AF74" s="16">
        <f>AVERAGE(Tabla4[[#This Row],[Creación y captura Dic/2024]:[Compartición e Interoperabilidad Dic/2024]])</f>
        <v>0.5</v>
      </c>
      <c r="AG74" s="14"/>
      <c r="AH74" s="14"/>
      <c r="AI74" s="15"/>
      <c r="AJ74" s="15">
        <f>Tabla13[[#This Row],[Uso y acceso Ene/2025]]</f>
        <v>1</v>
      </c>
      <c r="AK74" s="15">
        <f>Tabla58[[#This Row],[Integración Ene/2025]]</f>
        <v>0</v>
      </c>
      <c r="AL74" s="16">
        <f>AVERAGE(Tabla4[[#This Row],[Creación y captura Ene/2025]:[Compartición e Interoperabilidad Ene/2025]])</f>
        <v>0.5</v>
      </c>
      <c r="AM74" s="14"/>
      <c r="AN74" s="14"/>
      <c r="AO74" s="15"/>
      <c r="AP74" s="15">
        <f>Tabla13[[#This Row],[Uso y acceso Feb/2025]]</f>
        <v>1</v>
      </c>
      <c r="AQ74" s="15">
        <f>Tabla58[[#This Row],[Integración Feb/2025]]</f>
        <v>0</v>
      </c>
      <c r="AR74" s="16">
        <f>AVERAGE(Tabla4[[#This Row],[Creación y captura Feb/2025]:[Compartición e Interoperabilidad Feb/2025]])</f>
        <v>0.5</v>
      </c>
      <c r="AS74" s="14"/>
      <c r="AT74" s="14"/>
      <c r="AU74" s="15"/>
      <c r="AV74" s="15">
        <f>Tabla13[[#This Row],[Uso y acceso Mar/2025]]</f>
        <v>1</v>
      </c>
      <c r="AW74" s="15">
        <f>Tabla58[[#This Row],[Integración Mar/2025]]</f>
        <v>0</v>
      </c>
      <c r="AX74" s="16">
        <f>AVERAGE(Tabla4[[#This Row],[Creación y captura Mar/2025]:[Compartición e Interoperabilidad Mar/2025]])</f>
        <v>0.5</v>
      </c>
      <c r="AY74" s="14"/>
      <c r="AZ74" s="14"/>
      <c r="BA74" s="15"/>
      <c r="BB74" s="15">
        <f>Tabla13[[#This Row],[Uso y acceso Abr/2025]]</f>
        <v>1</v>
      </c>
      <c r="BC74" s="15">
        <f>Tabla58[[#This Row],[Integración Abr/2025]]</f>
        <v>0</v>
      </c>
      <c r="BD74" s="16">
        <f>AVERAGE(Tabla4[[#This Row],[Creación y captura Abr/2025]:[Compartición e Interoperabilidad Abr/2025]])</f>
        <v>0.5</v>
      </c>
      <c r="BE74" s="14"/>
      <c r="BF74" s="14"/>
      <c r="BG74" s="15"/>
      <c r="BH74" s="15">
        <f>Tabla13[[#This Row],[Uso y acceso May/2025]]</f>
        <v>1</v>
      </c>
      <c r="BI74" s="15">
        <f>Tabla58[[#This Row],[Integración May/2025]]</f>
        <v>0</v>
      </c>
      <c r="BJ74" s="16">
        <f>AVERAGE(Tabla4[[#This Row],[Creación y captura May/2025]:[Compartición e Interoperabilidad May/2025]])</f>
        <v>0.5</v>
      </c>
      <c r="BK74" s="14">
        <v>1</v>
      </c>
      <c r="BL74" s="14">
        <v>1</v>
      </c>
      <c r="BM74" s="14">
        <f>AVERAGE('Calidad de Datos'!AQ78:AT78)</f>
        <v>0.95</v>
      </c>
      <c r="BN74" s="14">
        <f>Tabla13[[#This Row],[Uso y acceso Dic/2025]]</f>
        <v>1</v>
      </c>
      <c r="BO74" s="14">
        <f>Tabla58[[#This Row],[Integración Dic/2025]]</f>
        <v>1</v>
      </c>
      <c r="BP74" s="16">
        <f>AVERAGE(Tabla4[[#This Row],[Creación y captura Dic/2025]:[Compartición e Interoperabilidad Dic/2025]])</f>
        <v>0.99</v>
      </c>
    </row>
    <row r="75" spans="2:68" x14ac:dyDescent="0.4">
      <c r="B75" s="1" t="s">
        <v>126</v>
      </c>
      <c r="C75" s="14"/>
      <c r="D75" s="14"/>
      <c r="E75" s="14"/>
      <c r="F75" s="14">
        <f>Tabla13[[#This Row],[Uso y acceso Ago/2024]]</f>
        <v>0.8</v>
      </c>
      <c r="G75" s="15">
        <f>Tabla58[[#This Row],[Integración Ago/2024]]</f>
        <v>0</v>
      </c>
      <c r="H75" s="16">
        <f>AVERAGE(Tabla4[[#This Row],[Creación y captura Ago/2024]:[Compartición e Interoperabilidad Ago/2024]])</f>
        <v>0.4</v>
      </c>
      <c r="I75" s="14"/>
      <c r="J75" s="14"/>
      <c r="K75" s="15"/>
      <c r="L75" s="15">
        <f>Tabla13[[#This Row],[Uso y acceso Sep/2024]]</f>
        <v>0.8</v>
      </c>
      <c r="M75" s="15">
        <f>Tabla58[[#This Row],[Integración Sep/2024]]</f>
        <v>0</v>
      </c>
      <c r="N75" s="16">
        <f>AVERAGE(Tabla4[[#This Row],[Creación y captura Sep/2024]:[Compartición e Interoperabilidad Sep/2024]])</f>
        <v>0.4</v>
      </c>
      <c r="O75" s="14"/>
      <c r="P75" s="14"/>
      <c r="Q75" s="15"/>
      <c r="R75" s="15">
        <f>Tabla13[[#This Row],[Uso y acceso Oct/2024]]</f>
        <v>1</v>
      </c>
      <c r="S75" s="15">
        <f>Tabla58[[#This Row],[Integración Oct/2024]]</f>
        <v>0</v>
      </c>
      <c r="T75" s="16">
        <f>AVERAGE(Tabla4[[#This Row],[Creación y captura Oct/2024]:[Compartición e Interoperabilidad Oct/2024]])</f>
        <v>0.5</v>
      </c>
      <c r="U75" s="14"/>
      <c r="V75" s="14"/>
      <c r="W75" s="15"/>
      <c r="X75" s="15">
        <f>Tabla13[[#This Row],[Uso y acceso Nov/2024]]</f>
        <v>1</v>
      </c>
      <c r="Y75" s="15">
        <f>Tabla58[[#This Row],[Integración Nov/2024]]</f>
        <v>0</v>
      </c>
      <c r="Z75" s="16">
        <f>AVERAGE(Tabla4[[#This Row],[Creación y captura Nov/2024]:[Compartición e Interoperabilidad Nov/2024]])</f>
        <v>0.5</v>
      </c>
      <c r="AA75" s="14"/>
      <c r="AB75" s="14"/>
      <c r="AC75" s="15"/>
      <c r="AD75" s="15">
        <f>Tabla13[[#This Row],[Uso y acceso Dic/2024]]</f>
        <v>1</v>
      </c>
      <c r="AE75" s="15">
        <f>Tabla58[[#This Row],[Integración Dic/2024]]</f>
        <v>0</v>
      </c>
      <c r="AF75" s="16">
        <f>AVERAGE(Tabla4[[#This Row],[Creación y captura Dic/2024]:[Compartición e Interoperabilidad Dic/2024]])</f>
        <v>0.5</v>
      </c>
      <c r="AG75" s="14"/>
      <c r="AH75" s="14"/>
      <c r="AI75" s="15"/>
      <c r="AJ75" s="15">
        <f>Tabla13[[#This Row],[Uso y acceso Ene/2025]]</f>
        <v>1</v>
      </c>
      <c r="AK75" s="15">
        <f>Tabla58[[#This Row],[Integración Ene/2025]]</f>
        <v>0</v>
      </c>
      <c r="AL75" s="16">
        <f>AVERAGE(Tabla4[[#This Row],[Creación y captura Ene/2025]:[Compartición e Interoperabilidad Ene/2025]])</f>
        <v>0.5</v>
      </c>
      <c r="AM75" s="14"/>
      <c r="AN75" s="14"/>
      <c r="AO75" s="15"/>
      <c r="AP75" s="15">
        <f>Tabla13[[#This Row],[Uso y acceso Feb/2025]]</f>
        <v>1</v>
      </c>
      <c r="AQ75" s="15">
        <f>Tabla58[[#This Row],[Integración Feb/2025]]</f>
        <v>0</v>
      </c>
      <c r="AR75" s="16">
        <f>AVERAGE(Tabla4[[#This Row],[Creación y captura Feb/2025]:[Compartición e Interoperabilidad Feb/2025]])</f>
        <v>0.5</v>
      </c>
      <c r="AS75" s="14"/>
      <c r="AT75" s="14"/>
      <c r="AU75" s="15"/>
      <c r="AV75" s="15">
        <f>Tabla13[[#This Row],[Uso y acceso Mar/2025]]</f>
        <v>1</v>
      </c>
      <c r="AW75" s="15">
        <f>Tabla58[[#This Row],[Integración Mar/2025]]</f>
        <v>0</v>
      </c>
      <c r="AX75" s="16">
        <f>AVERAGE(Tabla4[[#This Row],[Creación y captura Mar/2025]:[Compartición e Interoperabilidad Mar/2025]])</f>
        <v>0.5</v>
      </c>
      <c r="AY75" s="14"/>
      <c r="AZ75" s="14"/>
      <c r="BA75" s="15"/>
      <c r="BB75" s="15">
        <f>Tabla13[[#This Row],[Uso y acceso Abr/2025]]</f>
        <v>1</v>
      </c>
      <c r="BC75" s="15">
        <f>Tabla58[[#This Row],[Integración Abr/2025]]</f>
        <v>0</v>
      </c>
      <c r="BD75" s="16">
        <f>AVERAGE(Tabla4[[#This Row],[Creación y captura Abr/2025]:[Compartición e Interoperabilidad Abr/2025]])</f>
        <v>0.5</v>
      </c>
      <c r="BE75" s="14"/>
      <c r="BF75" s="14"/>
      <c r="BG75" s="15"/>
      <c r="BH75" s="15">
        <f>Tabla13[[#This Row],[Uso y acceso May/2025]]</f>
        <v>1</v>
      </c>
      <c r="BI75" s="15">
        <f>Tabla58[[#This Row],[Integración May/2025]]</f>
        <v>0</v>
      </c>
      <c r="BJ75" s="16">
        <f>AVERAGE(Tabla4[[#This Row],[Creación y captura May/2025]:[Compartición e Interoperabilidad May/2025]])</f>
        <v>0.5</v>
      </c>
      <c r="BK75" s="14">
        <v>1</v>
      </c>
      <c r="BL75" s="14">
        <v>1</v>
      </c>
      <c r="BM75" s="14">
        <f>AVERAGE('Calidad de Datos'!AQ79:AT79)</f>
        <v>0.95</v>
      </c>
      <c r="BN75" s="14">
        <f>Tabla13[[#This Row],[Uso y acceso Dic/2025]]</f>
        <v>1</v>
      </c>
      <c r="BO75" s="14">
        <f>Tabla58[[#This Row],[Integración Dic/2025]]</f>
        <v>1</v>
      </c>
      <c r="BP75" s="16">
        <f>AVERAGE(Tabla4[[#This Row],[Creación y captura Dic/2025]:[Compartición e Interoperabilidad Dic/2025]])</f>
        <v>0.99</v>
      </c>
    </row>
    <row r="76" spans="2:68" x14ac:dyDescent="0.4">
      <c r="B76" s="1" t="s">
        <v>127</v>
      </c>
      <c r="C76" s="14"/>
      <c r="D76" s="14"/>
      <c r="E76" s="14"/>
      <c r="F76" s="14">
        <f>Tabla13[[#This Row],[Uso y acceso Ago/2024]]</f>
        <v>1</v>
      </c>
      <c r="G76" s="15">
        <f>Tabla58[[#This Row],[Integración Ago/2024]]</f>
        <v>0</v>
      </c>
      <c r="H76" s="16">
        <f>AVERAGE(Tabla4[[#This Row],[Creación y captura Ago/2024]:[Compartición e Interoperabilidad Ago/2024]])</f>
        <v>0.5</v>
      </c>
      <c r="I76" s="14"/>
      <c r="J76" s="14"/>
      <c r="K76" s="15"/>
      <c r="L76" s="15">
        <f>Tabla13[[#This Row],[Uso y acceso Sep/2024]]</f>
        <v>1</v>
      </c>
      <c r="M76" s="15">
        <f>Tabla58[[#This Row],[Integración Sep/2024]]</f>
        <v>0</v>
      </c>
      <c r="N76" s="16">
        <f>AVERAGE(Tabla4[[#This Row],[Creación y captura Sep/2024]:[Compartición e Interoperabilidad Sep/2024]])</f>
        <v>0.5</v>
      </c>
      <c r="O76" s="14"/>
      <c r="P76" s="14"/>
      <c r="Q76" s="15"/>
      <c r="R76" s="15">
        <f>Tabla13[[#This Row],[Uso y acceso Oct/2024]]</f>
        <v>1</v>
      </c>
      <c r="S76" s="15">
        <f>Tabla58[[#This Row],[Integración Oct/2024]]</f>
        <v>0</v>
      </c>
      <c r="T76" s="16">
        <f>AVERAGE(Tabla4[[#This Row],[Creación y captura Oct/2024]:[Compartición e Interoperabilidad Oct/2024]])</f>
        <v>0.5</v>
      </c>
      <c r="U76" s="14"/>
      <c r="V76" s="14"/>
      <c r="W76" s="15"/>
      <c r="X76" s="15">
        <f>Tabla13[[#This Row],[Uso y acceso Nov/2024]]</f>
        <v>1</v>
      </c>
      <c r="Y76" s="15">
        <f>Tabla58[[#This Row],[Integración Nov/2024]]</f>
        <v>0</v>
      </c>
      <c r="Z76" s="16">
        <f>AVERAGE(Tabla4[[#This Row],[Creación y captura Nov/2024]:[Compartición e Interoperabilidad Nov/2024]])</f>
        <v>0.5</v>
      </c>
      <c r="AA76" s="14"/>
      <c r="AB76" s="14"/>
      <c r="AC76" s="15"/>
      <c r="AD76" s="15">
        <f>Tabla13[[#This Row],[Uso y acceso Dic/2024]]</f>
        <v>1</v>
      </c>
      <c r="AE76" s="15">
        <f>Tabla58[[#This Row],[Integración Dic/2024]]</f>
        <v>0</v>
      </c>
      <c r="AF76" s="16">
        <f>AVERAGE(Tabla4[[#This Row],[Creación y captura Dic/2024]:[Compartición e Interoperabilidad Dic/2024]])</f>
        <v>0.5</v>
      </c>
      <c r="AG76" s="14"/>
      <c r="AH76" s="14"/>
      <c r="AI76" s="15"/>
      <c r="AJ76" s="15">
        <f>Tabla13[[#This Row],[Uso y acceso Ene/2025]]</f>
        <v>1</v>
      </c>
      <c r="AK76" s="15">
        <f>Tabla58[[#This Row],[Integración Ene/2025]]</f>
        <v>0</v>
      </c>
      <c r="AL76" s="16">
        <f>AVERAGE(Tabla4[[#This Row],[Creación y captura Ene/2025]:[Compartición e Interoperabilidad Ene/2025]])</f>
        <v>0.5</v>
      </c>
      <c r="AM76" s="14"/>
      <c r="AN76" s="14"/>
      <c r="AO76" s="15"/>
      <c r="AP76" s="15">
        <f>Tabla13[[#This Row],[Uso y acceso Feb/2025]]</f>
        <v>1</v>
      </c>
      <c r="AQ76" s="15">
        <f>Tabla58[[#This Row],[Integración Feb/2025]]</f>
        <v>0</v>
      </c>
      <c r="AR76" s="16">
        <f>AVERAGE(Tabla4[[#This Row],[Creación y captura Feb/2025]:[Compartición e Interoperabilidad Feb/2025]])</f>
        <v>0.5</v>
      </c>
      <c r="AS76" s="14"/>
      <c r="AT76" s="14"/>
      <c r="AU76" s="15"/>
      <c r="AV76" s="15">
        <f>Tabla13[[#This Row],[Uso y acceso Mar/2025]]</f>
        <v>1</v>
      </c>
      <c r="AW76" s="15">
        <f>Tabla58[[#This Row],[Integración Mar/2025]]</f>
        <v>0</v>
      </c>
      <c r="AX76" s="16">
        <f>AVERAGE(Tabla4[[#This Row],[Creación y captura Mar/2025]:[Compartición e Interoperabilidad Mar/2025]])</f>
        <v>0.5</v>
      </c>
      <c r="AY76" s="14"/>
      <c r="AZ76" s="14"/>
      <c r="BA76" s="15"/>
      <c r="BB76" s="15">
        <f>Tabla13[[#This Row],[Uso y acceso Abr/2025]]</f>
        <v>1</v>
      </c>
      <c r="BC76" s="15">
        <f>Tabla58[[#This Row],[Integración Abr/2025]]</f>
        <v>0</v>
      </c>
      <c r="BD76" s="16">
        <f>AVERAGE(Tabla4[[#This Row],[Creación y captura Abr/2025]:[Compartición e Interoperabilidad Abr/2025]])</f>
        <v>0.5</v>
      </c>
      <c r="BE76" s="14"/>
      <c r="BF76" s="14"/>
      <c r="BG76" s="15"/>
      <c r="BH76" s="15">
        <f>Tabla13[[#This Row],[Uso y acceso May/2025]]</f>
        <v>1</v>
      </c>
      <c r="BI76" s="15">
        <f>Tabla58[[#This Row],[Integración May/2025]]</f>
        <v>0</v>
      </c>
      <c r="BJ76" s="16">
        <f>AVERAGE(Tabla4[[#This Row],[Creación y captura May/2025]:[Compartición e Interoperabilidad May/2025]])</f>
        <v>0.5</v>
      </c>
      <c r="BK76" s="14"/>
      <c r="BL76" s="14"/>
      <c r="BM76" s="14">
        <f>AVERAGE('Calidad de Datos'!AQ80:AT80)</f>
        <v>0.85</v>
      </c>
      <c r="BN76" s="14">
        <f>Tabla13[[#This Row],[Uso y acceso Dic/2025]]</f>
        <v>1</v>
      </c>
      <c r="BO76" s="14">
        <f>Tabla58[[#This Row],[Integración Dic/2025]]</f>
        <v>0.4</v>
      </c>
      <c r="BP76" s="16">
        <f>AVERAGE(Tabla4[[#This Row],[Creación y captura Dic/2025]:[Compartición e Interoperabilidad Dic/2025]])</f>
        <v>0.75</v>
      </c>
    </row>
    <row r="77" spans="2:68" x14ac:dyDescent="0.4">
      <c r="B77" s="1" t="s">
        <v>128</v>
      </c>
      <c r="C77" s="14"/>
      <c r="D77" s="14"/>
      <c r="E77" s="14"/>
      <c r="F77" s="14">
        <f>Tabla13[[#This Row],[Uso y acceso Ago/2024]]</f>
        <v>0.8</v>
      </c>
      <c r="G77" s="15">
        <f>Tabla58[[#This Row],[Integración Ago/2024]]</f>
        <v>0</v>
      </c>
      <c r="H77" s="16">
        <f>AVERAGE(Tabla4[[#This Row],[Creación y captura Ago/2024]:[Compartición e Interoperabilidad Ago/2024]])</f>
        <v>0.4</v>
      </c>
      <c r="I77" s="14"/>
      <c r="J77" s="14"/>
      <c r="K77" s="15"/>
      <c r="L77" s="15">
        <f>Tabla13[[#This Row],[Uso y acceso Sep/2024]]</f>
        <v>0.8</v>
      </c>
      <c r="M77" s="15">
        <f>Tabla58[[#This Row],[Integración Sep/2024]]</f>
        <v>0</v>
      </c>
      <c r="N77" s="16">
        <f>AVERAGE(Tabla4[[#This Row],[Creación y captura Sep/2024]:[Compartición e Interoperabilidad Sep/2024]])</f>
        <v>0.4</v>
      </c>
      <c r="O77" s="14"/>
      <c r="P77" s="14"/>
      <c r="Q77" s="15"/>
      <c r="R77" s="15">
        <f>Tabla13[[#This Row],[Uso y acceso Oct/2024]]</f>
        <v>1</v>
      </c>
      <c r="S77" s="15">
        <f>Tabla58[[#This Row],[Integración Oct/2024]]</f>
        <v>0</v>
      </c>
      <c r="T77" s="16">
        <f>AVERAGE(Tabla4[[#This Row],[Creación y captura Oct/2024]:[Compartición e Interoperabilidad Oct/2024]])</f>
        <v>0.5</v>
      </c>
      <c r="U77" s="14"/>
      <c r="V77" s="14"/>
      <c r="W77" s="15"/>
      <c r="X77" s="15">
        <f>Tabla13[[#This Row],[Uso y acceso Nov/2024]]</f>
        <v>1</v>
      </c>
      <c r="Y77" s="15">
        <f>Tabla58[[#This Row],[Integración Nov/2024]]</f>
        <v>0</v>
      </c>
      <c r="Z77" s="16">
        <f>AVERAGE(Tabla4[[#This Row],[Creación y captura Nov/2024]:[Compartición e Interoperabilidad Nov/2024]])</f>
        <v>0.5</v>
      </c>
      <c r="AA77" s="14"/>
      <c r="AB77" s="14"/>
      <c r="AC77" s="15"/>
      <c r="AD77" s="15">
        <f>Tabla13[[#This Row],[Uso y acceso Dic/2024]]</f>
        <v>1</v>
      </c>
      <c r="AE77" s="15">
        <f>Tabla58[[#This Row],[Integración Dic/2024]]</f>
        <v>0</v>
      </c>
      <c r="AF77" s="16">
        <f>AVERAGE(Tabla4[[#This Row],[Creación y captura Dic/2024]:[Compartición e Interoperabilidad Dic/2024]])</f>
        <v>0.5</v>
      </c>
      <c r="AG77" s="14"/>
      <c r="AH77" s="14"/>
      <c r="AI77" s="15"/>
      <c r="AJ77" s="15">
        <f>Tabla13[[#This Row],[Uso y acceso Ene/2025]]</f>
        <v>1</v>
      </c>
      <c r="AK77" s="15">
        <f>Tabla58[[#This Row],[Integración Ene/2025]]</f>
        <v>0</v>
      </c>
      <c r="AL77" s="16">
        <f>AVERAGE(Tabla4[[#This Row],[Creación y captura Ene/2025]:[Compartición e Interoperabilidad Ene/2025]])</f>
        <v>0.5</v>
      </c>
      <c r="AM77" s="14"/>
      <c r="AN77" s="14"/>
      <c r="AO77" s="15"/>
      <c r="AP77" s="15">
        <f>Tabla13[[#This Row],[Uso y acceso Feb/2025]]</f>
        <v>1</v>
      </c>
      <c r="AQ77" s="15">
        <f>Tabla58[[#This Row],[Integración Feb/2025]]</f>
        <v>0</v>
      </c>
      <c r="AR77" s="16">
        <f>AVERAGE(Tabla4[[#This Row],[Creación y captura Feb/2025]:[Compartición e Interoperabilidad Feb/2025]])</f>
        <v>0.5</v>
      </c>
      <c r="AS77" s="14"/>
      <c r="AT77" s="14"/>
      <c r="AU77" s="15"/>
      <c r="AV77" s="15">
        <f>Tabla13[[#This Row],[Uso y acceso Mar/2025]]</f>
        <v>1</v>
      </c>
      <c r="AW77" s="15">
        <f>Tabla58[[#This Row],[Integración Mar/2025]]</f>
        <v>0</v>
      </c>
      <c r="AX77" s="16">
        <f>AVERAGE(Tabla4[[#This Row],[Creación y captura Mar/2025]:[Compartición e Interoperabilidad Mar/2025]])</f>
        <v>0.5</v>
      </c>
      <c r="AY77" s="14"/>
      <c r="AZ77" s="14"/>
      <c r="BA77" s="15"/>
      <c r="BB77" s="15">
        <f>Tabla13[[#This Row],[Uso y acceso Abr/2025]]</f>
        <v>1</v>
      </c>
      <c r="BC77" s="15">
        <f>Tabla58[[#This Row],[Integración Abr/2025]]</f>
        <v>0</v>
      </c>
      <c r="BD77" s="16">
        <f>AVERAGE(Tabla4[[#This Row],[Creación y captura Abr/2025]:[Compartición e Interoperabilidad Abr/2025]])</f>
        <v>0.5</v>
      </c>
      <c r="BE77" s="14"/>
      <c r="BF77" s="14"/>
      <c r="BG77" s="15"/>
      <c r="BH77" s="15">
        <f>Tabla13[[#This Row],[Uso y acceso May/2025]]</f>
        <v>1</v>
      </c>
      <c r="BI77" s="15">
        <f>Tabla58[[#This Row],[Integración May/2025]]</f>
        <v>0</v>
      </c>
      <c r="BJ77" s="16">
        <f>AVERAGE(Tabla4[[#This Row],[Creación y captura May/2025]:[Compartición e Interoperabilidad May/2025]])</f>
        <v>0.5</v>
      </c>
      <c r="BK77" s="14"/>
      <c r="BL77" s="14"/>
      <c r="BM77" s="14">
        <f>AVERAGE('Calidad de Datos'!AQ81:AT81)</f>
        <v>0.92500000000000004</v>
      </c>
      <c r="BN77" s="14">
        <f>Tabla13[[#This Row],[Uso y acceso Dic/2025]]</f>
        <v>1</v>
      </c>
      <c r="BO77" s="14">
        <f>Tabla58[[#This Row],[Integración Dic/2025]]</f>
        <v>0.7</v>
      </c>
      <c r="BP77" s="16">
        <f>AVERAGE(Tabla4[[#This Row],[Creación y captura Dic/2025]:[Compartición e Interoperabilidad Dic/2025]])</f>
        <v>0.875</v>
      </c>
    </row>
    <row r="78" spans="2:68" x14ac:dyDescent="0.4">
      <c r="B78" s="1" t="s">
        <v>129</v>
      </c>
      <c r="C78" s="14"/>
      <c r="D78" s="14"/>
      <c r="E78" s="14"/>
      <c r="F78" s="14">
        <f>Tabla13[[#This Row],[Uso y acceso Ago/2024]]</f>
        <v>1</v>
      </c>
      <c r="G78" s="15">
        <f>Tabla58[[#This Row],[Integración Ago/2024]]</f>
        <v>0</v>
      </c>
      <c r="H78" s="16">
        <f>AVERAGE(Tabla4[[#This Row],[Creación y captura Ago/2024]:[Compartición e Interoperabilidad Ago/2024]])</f>
        <v>0.5</v>
      </c>
      <c r="I78" s="14"/>
      <c r="J78" s="14"/>
      <c r="K78" s="15"/>
      <c r="L78" s="15">
        <f>Tabla13[[#This Row],[Uso y acceso Sep/2024]]</f>
        <v>1</v>
      </c>
      <c r="M78" s="15">
        <f>Tabla58[[#This Row],[Integración Sep/2024]]</f>
        <v>0</v>
      </c>
      <c r="N78" s="16">
        <f>AVERAGE(Tabla4[[#This Row],[Creación y captura Sep/2024]:[Compartición e Interoperabilidad Sep/2024]])</f>
        <v>0.5</v>
      </c>
      <c r="O78" s="14"/>
      <c r="P78" s="14"/>
      <c r="Q78" s="15"/>
      <c r="R78" s="15">
        <f>Tabla13[[#This Row],[Uso y acceso Oct/2024]]</f>
        <v>1</v>
      </c>
      <c r="S78" s="15">
        <f>Tabla58[[#This Row],[Integración Oct/2024]]</f>
        <v>0</v>
      </c>
      <c r="T78" s="16">
        <f>AVERAGE(Tabla4[[#This Row],[Creación y captura Oct/2024]:[Compartición e Interoperabilidad Oct/2024]])</f>
        <v>0.5</v>
      </c>
      <c r="U78" s="14"/>
      <c r="V78" s="14"/>
      <c r="W78" s="15"/>
      <c r="X78" s="15">
        <f>Tabla13[[#This Row],[Uso y acceso Nov/2024]]</f>
        <v>1</v>
      </c>
      <c r="Y78" s="15">
        <f>Tabla58[[#This Row],[Integración Nov/2024]]</f>
        <v>0</v>
      </c>
      <c r="Z78" s="16">
        <f>AVERAGE(Tabla4[[#This Row],[Creación y captura Nov/2024]:[Compartición e Interoperabilidad Nov/2024]])</f>
        <v>0.5</v>
      </c>
      <c r="AA78" s="14"/>
      <c r="AB78" s="14"/>
      <c r="AC78" s="15"/>
      <c r="AD78" s="15">
        <f>Tabla13[[#This Row],[Uso y acceso Dic/2024]]</f>
        <v>1</v>
      </c>
      <c r="AE78" s="15">
        <f>Tabla58[[#This Row],[Integración Dic/2024]]</f>
        <v>0</v>
      </c>
      <c r="AF78" s="16">
        <f>AVERAGE(Tabla4[[#This Row],[Creación y captura Dic/2024]:[Compartición e Interoperabilidad Dic/2024]])</f>
        <v>0.5</v>
      </c>
      <c r="AG78" s="14"/>
      <c r="AH78" s="14"/>
      <c r="AI78" s="15"/>
      <c r="AJ78" s="15">
        <f>Tabla13[[#This Row],[Uso y acceso Ene/2025]]</f>
        <v>1</v>
      </c>
      <c r="AK78" s="15">
        <f>Tabla58[[#This Row],[Integración Ene/2025]]</f>
        <v>0</v>
      </c>
      <c r="AL78" s="16">
        <f>AVERAGE(Tabla4[[#This Row],[Creación y captura Ene/2025]:[Compartición e Interoperabilidad Ene/2025]])</f>
        <v>0.5</v>
      </c>
      <c r="AM78" s="14"/>
      <c r="AN78" s="14"/>
      <c r="AO78" s="15"/>
      <c r="AP78" s="15">
        <f>Tabla13[[#This Row],[Uso y acceso Feb/2025]]</f>
        <v>1</v>
      </c>
      <c r="AQ78" s="15">
        <f>Tabla58[[#This Row],[Integración Feb/2025]]</f>
        <v>0</v>
      </c>
      <c r="AR78" s="16">
        <f>AVERAGE(Tabla4[[#This Row],[Creación y captura Feb/2025]:[Compartición e Interoperabilidad Feb/2025]])</f>
        <v>0.5</v>
      </c>
      <c r="AS78" s="14"/>
      <c r="AT78" s="14"/>
      <c r="AU78" s="15"/>
      <c r="AV78" s="15">
        <f>Tabla13[[#This Row],[Uso y acceso Mar/2025]]</f>
        <v>1</v>
      </c>
      <c r="AW78" s="15">
        <f>Tabla58[[#This Row],[Integración Mar/2025]]</f>
        <v>0</v>
      </c>
      <c r="AX78" s="16">
        <f>AVERAGE(Tabla4[[#This Row],[Creación y captura Mar/2025]:[Compartición e Interoperabilidad Mar/2025]])</f>
        <v>0.5</v>
      </c>
      <c r="AY78" s="14"/>
      <c r="AZ78" s="14"/>
      <c r="BA78" s="15"/>
      <c r="BB78" s="15">
        <f>Tabla13[[#This Row],[Uso y acceso Abr/2025]]</f>
        <v>1</v>
      </c>
      <c r="BC78" s="15">
        <f>Tabla58[[#This Row],[Integración Abr/2025]]</f>
        <v>0</v>
      </c>
      <c r="BD78" s="16">
        <f>AVERAGE(Tabla4[[#This Row],[Creación y captura Abr/2025]:[Compartición e Interoperabilidad Abr/2025]])</f>
        <v>0.5</v>
      </c>
      <c r="BE78" s="14">
        <v>0.8</v>
      </c>
      <c r="BF78" s="14">
        <v>1</v>
      </c>
      <c r="BG78" s="17">
        <f>AVERAGE('Calidad de Datos'!AM82:AP82)</f>
        <v>1</v>
      </c>
      <c r="BH78" s="15">
        <f>Tabla13[[#This Row],[Uso y acceso May/2025]]</f>
        <v>1</v>
      </c>
      <c r="BI78" s="15">
        <f>Tabla58[[#This Row],[Integración May/2025]]</f>
        <v>0</v>
      </c>
      <c r="BJ78" s="16">
        <f>AVERAGE(Tabla4[[#This Row],[Creación y captura May/2025]:[Compartición e Interoperabilidad May/2025]])</f>
        <v>0.76</v>
      </c>
      <c r="BK78" s="14">
        <v>0.8</v>
      </c>
      <c r="BL78" s="14">
        <v>1</v>
      </c>
      <c r="BM78" s="14">
        <f>AVERAGE('Calidad de Datos'!AQ82:AT82)</f>
        <v>1</v>
      </c>
      <c r="BN78" s="14">
        <f>Tabla13[[#This Row],[Uso y acceso Dic/2025]]</f>
        <v>1</v>
      </c>
      <c r="BO78" s="14">
        <f>Tabla58[[#This Row],[Integración Dic/2025]]</f>
        <v>0.7</v>
      </c>
      <c r="BP78" s="16">
        <f>AVERAGE(Tabla4[[#This Row],[Creación y captura Dic/2025]:[Compartición e Interoperabilidad Dic/2025]])</f>
        <v>0.9</v>
      </c>
    </row>
    <row r="79" spans="2:68" x14ac:dyDescent="0.4">
      <c r="B79" s="1" t="s">
        <v>130</v>
      </c>
      <c r="C79" s="14"/>
      <c r="D79" s="14"/>
      <c r="E79" s="14"/>
      <c r="F79" s="14">
        <f>Tabla13[[#This Row],[Uso y acceso Ago/2024]]</f>
        <v>0.8</v>
      </c>
      <c r="G79" s="15">
        <f>Tabla58[[#This Row],[Integración Ago/2024]]</f>
        <v>0</v>
      </c>
      <c r="H79" s="16">
        <f>AVERAGE(Tabla4[[#This Row],[Creación y captura Ago/2024]:[Compartición e Interoperabilidad Ago/2024]])</f>
        <v>0.4</v>
      </c>
      <c r="I79" s="14"/>
      <c r="J79" s="14"/>
      <c r="K79" s="15"/>
      <c r="L79" s="15">
        <f>Tabla13[[#This Row],[Uso y acceso Sep/2024]]</f>
        <v>0.8</v>
      </c>
      <c r="M79" s="15">
        <f>Tabla58[[#This Row],[Integración Sep/2024]]</f>
        <v>0</v>
      </c>
      <c r="N79" s="16">
        <f>AVERAGE(Tabla4[[#This Row],[Creación y captura Sep/2024]:[Compartición e Interoperabilidad Sep/2024]])</f>
        <v>0.4</v>
      </c>
      <c r="O79" s="14"/>
      <c r="P79" s="14"/>
      <c r="Q79" s="15"/>
      <c r="R79" s="15">
        <f>Tabla13[[#This Row],[Uso y acceso Oct/2024]]</f>
        <v>1</v>
      </c>
      <c r="S79" s="15">
        <f>Tabla58[[#This Row],[Integración Oct/2024]]</f>
        <v>0</v>
      </c>
      <c r="T79" s="16">
        <f>AVERAGE(Tabla4[[#This Row],[Creación y captura Oct/2024]:[Compartición e Interoperabilidad Oct/2024]])</f>
        <v>0.5</v>
      </c>
      <c r="U79" s="14"/>
      <c r="V79" s="14"/>
      <c r="W79" s="15"/>
      <c r="X79" s="15">
        <f>Tabla13[[#This Row],[Uso y acceso Nov/2024]]</f>
        <v>1</v>
      </c>
      <c r="Y79" s="15">
        <f>Tabla58[[#This Row],[Integración Nov/2024]]</f>
        <v>0</v>
      </c>
      <c r="Z79" s="16">
        <f>AVERAGE(Tabla4[[#This Row],[Creación y captura Nov/2024]:[Compartición e Interoperabilidad Nov/2024]])</f>
        <v>0.5</v>
      </c>
      <c r="AA79" s="14"/>
      <c r="AB79" s="14"/>
      <c r="AC79" s="15"/>
      <c r="AD79" s="15">
        <f>Tabla13[[#This Row],[Uso y acceso Dic/2024]]</f>
        <v>1</v>
      </c>
      <c r="AE79" s="15">
        <f>Tabla58[[#This Row],[Integración Dic/2024]]</f>
        <v>0</v>
      </c>
      <c r="AF79" s="16">
        <f>AVERAGE(Tabla4[[#This Row],[Creación y captura Dic/2024]:[Compartición e Interoperabilidad Dic/2024]])</f>
        <v>0.5</v>
      </c>
      <c r="AG79" s="14"/>
      <c r="AH79" s="14"/>
      <c r="AI79" s="15"/>
      <c r="AJ79" s="15">
        <f>Tabla13[[#This Row],[Uso y acceso Ene/2025]]</f>
        <v>1</v>
      </c>
      <c r="AK79" s="15">
        <f>Tabla58[[#This Row],[Integración Ene/2025]]</f>
        <v>0</v>
      </c>
      <c r="AL79" s="16">
        <f>AVERAGE(Tabla4[[#This Row],[Creación y captura Ene/2025]:[Compartición e Interoperabilidad Ene/2025]])</f>
        <v>0.5</v>
      </c>
      <c r="AM79" s="14"/>
      <c r="AN79" s="14"/>
      <c r="AO79" s="15"/>
      <c r="AP79" s="15">
        <f>Tabla13[[#This Row],[Uso y acceso Feb/2025]]</f>
        <v>1</v>
      </c>
      <c r="AQ79" s="15">
        <f>Tabla58[[#This Row],[Integración Feb/2025]]</f>
        <v>0</v>
      </c>
      <c r="AR79" s="16">
        <f>AVERAGE(Tabla4[[#This Row],[Creación y captura Feb/2025]:[Compartición e Interoperabilidad Feb/2025]])</f>
        <v>0.5</v>
      </c>
      <c r="AS79" s="14"/>
      <c r="AT79" s="14"/>
      <c r="AU79" s="15"/>
      <c r="AV79" s="15">
        <f>Tabla13[[#This Row],[Uso y acceso Mar/2025]]</f>
        <v>1</v>
      </c>
      <c r="AW79" s="15">
        <f>Tabla58[[#This Row],[Integración Mar/2025]]</f>
        <v>0</v>
      </c>
      <c r="AX79" s="16">
        <f>AVERAGE(Tabla4[[#This Row],[Creación y captura Mar/2025]:[Compartición e Interoperabilidad Mar/2025]])</f>
        <v>0.5</v>
      </c>
      <c r="AY79" s="14"/>
      <c r="AZ79" s="14"/>
      <c r="BA79" s="15"/>
      <c r="BB79" s="15">
        <f>Tabla13[[#This Row],[Uso y acceso Abr/2025]]</f>
        <v>1</v>
      </c>
      <c r="BC79" s="15">
        <f>Tabla58[[#This Row],[Integración Abr/2025]]</f>
        <v>0</v>
      </c>
      <c r="BD79" s="16">
        <f>AVERAGE(Tabla4[[#This Row],[Creación y captura Abr/2025]:[Compartición e Interoperabilidad Abr/2025]])</f>
        <v>0.5</v>
      </c>
      <c r="BE79" s="14">
        <v>0.8</v>
      </c>
      <c r="BF79" s="14">
        <v>1</v>
      </c>
      <c r="BG79" s="17">
        <f>AVERAGE('Calidad de Datos'!AM83:AP83)</f>
        <v>1</v>
      </c>
      <c r="BH79" s="15">
        <f>Tabla13[[#This Row],[Uso y acceso May/2025]]</f>
        <v>1</v>
      </c>
      <c r="BI79" s="15">
        <f>Tabla58[[#This Row],[Integración May/2025]]</f>
        <v>0.3</v>
      </c>
      <c r="BJ79" s="16">
        <f>AVERAGE(Tabla4[[#This Row],[Creación y captura May/2025]:[Compartición e Interoperabilidad May/2025]])</f>
        <v>0.82</v>
      </c>
      <c r="BK79" s="14">
        <v>0.8</v>
      </c>
      <c r="BL79" s="14">
        <v>1</v>
      </c>
      <c r="BM79" s="14">
        <f>AVERAGE('Calidad de Datos'!AQ83:AT83)</f>
        <v>1</v>
      </c>
      <c r="BN79" s="14">
        <f>Tabla13[[#This Row],[Uso y acceso Dic/2025]]</f>
        <v>1</v>
      </c>
      <c r="BO79" s="14">
        <f>Tabla58[[#This Row],[Integración Dic/2025]]</f>
        <v>0.6</v>
      </c>
      <c r="BP79" s="16">
        <f>AVERAGE(Tabla4[[#This Row],[Creación y captura Dic/2025]:[Compartición e Interoperabilidad Dic/2025]])</f>
        <v>0.87999999999999989</v>
      </c>
    </row>
    <row r="80" spans="2:68" x14ac:dyDescent="0.4">
      <c r="B80" s="1" t="s">
        <v>131</v>
      </c>
      <c r="C80" s="14"/>
      <c r="D80" s="14"/>
      <c r="E80" s="14"/>
      <c r="F80" s="14">
        <f>Tabla13[[#This Row],[Uso y acceso Ago/2024]]</f>
        <v>0.8</v>
      </c>
      <c r="G80" s="15">
        <f>Tabla58[[#This Row],[Integración Ago/2024]]</f>
        <v>0</v>
      </c>
      <c r="H80" s="16">
        <f>AVERAGE(Tabla4[[#This Row],[Creación y captura Ago/2024]:[Compartición e Interoperabilidad Ago/2024]])</f>
        <v>0.4</v>
      </c>
      <c r="I80" s="14"/>
      <c r="J80" s="14"/>
      <c r="K80" s="15"/>
      <c r="L80" s="15">
        <f>Tabla13[[#This Row],[Uso y acceso Sep/2024]]</f>
        <v>0.8</v>
      </c>
      <c r="M80" s="15">
        <f>Tabla58[[#This Row],[Integración Sep/2024]]</f>
        <v>0</v>
      </c>
      <c r="N80" s="16">
        <f>AVERAGE(Tabla4[[#This Row],[Creación y captura Sep/2024]:[Compartición e Interoperabilidad Sep/2024]])</f>
        <v>0.4</v>
      </c>
      <c r="O80" s="14"/>
      <c r="P80" s="14"/>
      <c r="Q80" s="15"/>
      <c r="R80" s="15">
        <f>Tabla13[[#This Row],[Uso y acceso Oct/2024]]</f>
        <v>1</v>
      </c>
      <c r="S80" s="15">
        <f>Tabla58[[#This Row],[Integración Oct/2024]]</f>
        <v>0</v>
      </c>
      <c r="T80" s="16">
        <f>AVERAGE(Tabla4[[#This Row],[Creación y captura Oct/2024]:[Compartición e Interoperabilidad Oct/2024]])</f>
        <v>0.5</v>
      </c>
      <c r="U80" s="14"/>
      <c r="V80" s="14"/>
      <c r="W80" s="15"/>
      <c r="X80" s="15">
        <f>Tabla13[[#This Row],[Uso y acceso Nov/2024]]</f>
        <v>1</v>
      </c>
      <c r="Y80" s="15">
        <f>Tabla58[[#This Row],[Integración Nov/2024]]</f>
        <v>0</v>
      </c>
      <c r="Z80" s="16">
        <f>AVERAGE(Tabla4[[#This Row],[Creación y captura Nov/2024]:[Compartición e Interoperabilidad Nov/2024]])</f>
        <v>0.5</v>
      </c>
      <c r="AA80" s="14"/>
      <c r="AB80" s="14"/>
      <c r="AC80" s="15"/>
      <c r="AD80" s="15">
        <f>Tabla13[[#This Row],[Uso y acceso Dic/2024]]</f>
        <v>1</v>
      </c>
      <c r="AE80" s="15">
        <f>Tabla58[[#This Row],[Integración Dic/2024]]</f>
        <v>0</v>
      </c>
      <c r="AF80" s="16">
        <f>AVERAGE(Tabla4[[#This Row],[Creación y captura Dic/2024]:[Compartición e Interoperabilidad Dic/2024]])</f>
        <v>0.5</v>
      </c>
      <c r="AG80" s="14"/>
      <c r="AH80" s="14"/>
      <c r="AI80" s="15"/>
      <c r="AJ80" s="15">
        <f>Tabla13[[#This Row],[Uso y acceso Ene/2025]]</f>
        <v>1</v>
      </c>
      <c r="AK80" s="15">
        <f>Tabla58[[#This Row],[Integración Ene/2025]]</f>
        <v>0</v>
      </c>
      <c r="AL80" s="16">
        <f>AVERAGE(Tabla4[[#This Row],[Creación y captura Ene/2025]:[Compartición e Interoperabilidad Ene/2025]])</f>
        <v>0.5</v>
      </c>
      <c r="AM80" s="14"/>
      <c r="AN80" s="14"/>
      <c r="AO80" s="15"/>
      <c r="AP80" s="15">
        <f>Tabla13[[#This Row],[Uso y acceso Feb/2025]]</f>
        <v>1</v>
      </c>
      <c r="AQ80" s="15">
        <f>Tabla58[[#This Row],[Integración Feb/2025]]</f>
        <v>0</v>
      </c>
      <c r="AR80" s="16">
        <f>AVERAGE(Tabla4[[#This Row],[Creación y captura Feb/2025]:[Compartición e Interoperabilidad Feb/2025]])</f>
        <v>0.5</v>
      </c>
      <c r="AS80" s="14"/>
      <c r="AT80" s="14"/>
      <c r="AU80" s="15"/>
      <c r="AV80" s="15">
        <f>Tabla13[[#This Row],[Uso y acceso Mar/2025]]</f>
        <v>1</v>
      </c>
      <c r="AW80" s="15">
        <f>Tabla58[[#This Row],[Integración Mar/2025]]</f>
        <v>0</v>
      </c>
      <c r="AX80" s="16">
        <f>AVERAGE(Tabla4[[#This Row],[Creación y captura Mar/2025]:[Compartición e Interoperabilidad Mar/2025]])</f>
        <v>0.5</v>
      </c>
      <c r="AY80" s="14"/>
      <c r="AZ80" s="14"/>
      <c r="BA80" s="15"/>
      <c r="BB80" s="15">
        <f>Tabla13[[#This Row],[Uso y acceso Abr/2025]]</f>
        <v>1</v>
      </c>
      <c r="BC80" s="15">
        <f>Tabla58[[#This Row],[Integración Abr/2025]]</f>
        <v>0</v>
      </c>
      <c r="BD80" s="16">
        <f>AVERAGE(Tabla4[[#This Row],[Creación y captura Abr/2025]:[Compartición e Interoperabilidad Abr/2025]])</f>
        <v>0.5</v>
      </c>
      <c r="BE80" s="14">
        <v>0.8</v>
      </c>
      <c r="BF80" s="14">
        <v>1</v>
      </c>
      <c r="BG80" s="17">
        <f>AVERAGE('Calidad de Datos'!AM84:AP84)</f>
        <v>1</v>
      </c>
      <c r="BH80" s="15">
        <f>Tabla13[[#This Row],[Uso y acceso May/2025]]</f>
        <v>1</v>
      </c>
      <c r="BI80" s="15">
        <f>Tabla58[[#This Row],[Integración May/2025]]</f>
        <v>0.3</v>
      </c>
      <c r="BJ80" s="16">
        <f>AVERAGE(Tabla4[[#This Row],[Creación y captura May/2025]:[Compartición e Interoperabilidad May/2025]])</f>
        <v>0.82</v>
      </c>
      <c r="BK80" s="14">
        <v>0.8</v>
      </c>
      <c r="BL80" s="14">
        <v>1</v>
      </c>
      <c r="BM80" s="14">
        <f>AVERAGE('Calidad de Datos'!AQ84:AT84)</f>
        <v>1</v>
      </c>
      <c r="BN80" s="14">
        <f>Tabla13[[#This Row],[Uso y acceso Dic/2025]]</f>
        <v>1</v>
      </c>
      <c r="BO80" s="14">
        <f>Tabla58[[#This Row],[Integración Dic/2025]]</f>
        <v>0.6</v>
      </c>
      <c r="BP80" s="16">
        <f>AVERAGE(Tabla4[[#This Row],[Creación y captura Dic/2025]:[Compartición e Interoperabilidad Dic/2025]])</f>
        <v>0.87999999999999989</v>
      </c>
    </row>
    <row r="81" spans="2:68" x14ac:dyDescent="0.4">
      <c r="B81" s="1" t="s">
        <v>132</v>
      </c>
      <c r="C81" s="14"/>
      <c r="D81" s="14"/>
      <c r="E81" s="14"/>
      <c r="F81" s="14">
        <f>Tabla13[[#This Row],[Uso y acceso Ago/2024]]</f>
        <v>1</v>
      </c>
      <c r="G81" s="15">
        <f>Tabla58[[#This Row],[Integración Ago/2024]]</f>
        <v>0</v>
      </c>
      <c r="H81" s="16">
        <f>AVERAGE(Tabla4[[#This Row],[Creación y captura Ago/2024]:[Compartición e Interoperabilidad Ago/2024]])</f>
        <v>0.5</v>
      </c>
      <c r="I81" s="14"/>
      <c r="J81" s="14"/>
      <c r="K81" s="15"/>
      <c r="L81" s="15">
        <f>Tabla13[[#This Row],[Uso y acceso Sep/2024]]</f>
        <v>1</v>
      </c>
      <c r="M81" s="15">
        <f>Tabla58[[#This Row],[Integración Sep/2024]]</f>
        <v>0</v>
      </c>
      <c r="N81" s="16">
        <f>AVERAGE(Tabla4[[#This Row],[Creación y captura Sep/2024]:[Compartición e Interoperabilidad Sep/2024]])</f>
        <v>0.5</v>
      </c>
      <c r="O81" s="14"/>
      <c r="P81" s="14"/>
      <c r="Q81" s="15"/>
      <c r="R81" s="15">
        <f>Tabla13[[#This Row],[Uso y acceso Oct/2024]]</f>
        <v>1</v>
      </c>
      <c r="S81" s="15">
        <f>Tabla58[[#This Row],[Integración Oct/2024]]</f>
        <v>0</v>
      </c>
      <c r="T81" s="16">
        <f>AVERAGE(Tabla4[[#This Row],[Creación y captura Oct/2024]:[Compartición e Interoperabilidad Oct/2024]])</f>
        <v>0.5</v>
      </c>
      <c r="U81" s="14"/>
      <c r="V81" s="14"/>
      <c r="W81" s="15"/>
      <c r="X81" s="15">
        <f>Tabla13[[#This Row],[Uso y acceso Nov/2024]]</f>
        <v>1</v>
      </c>
      <c r="Y81" s="15">
        <f>Tabla58[[#This Row],[Integración Nov/2024]]</f>
        <v>0</v>
      </c>
      <c r="Z81" s="16">
        <f>AVERAGE(Tabla4[[#This Row],[Creación y captura Nov/2024]:[Compartición e Interoperabilidad Nov/2024]])</f>
        <v>0.5</v>
      </c>
      <c r="AA81" s="14"/>
      <c r="AB81" s="14"/>
      <c r="AC81" s="15"/>
      <c r="AD81" s="15">
        <f>Tabla13[[#This Row],[Uso y acceso Dic/2024]]</f>
        <v>1</v>
      </c>
      <c r="AE81" s="15">
        <f>Tabla58[[#This Row],[Integración Dic/2024]]</f>
        <v>0</v>
      </c>
      <c r="AF81" s="16">
        <f>AVERAGE(Tabla4[[#This Row],[Creación y captura Dic/2024]:[Compartición e Interoperabilidad Dic/2024]])</f>
        <v>0.5</v>
      </c>
      <c r="AG81" s="14"/>
      <c r="AH81" s="14"/>
      <c r="AI81" s="15"/>
      <c r="AJ81" s="15">
        <f>Tabla13[[#This Row],[Uso y acceso Ene/2025]]</f>
        <v>1</v>
      </c>
      <c r="AK81" s="15">
        <f>Tabla58[[#This Row],[Integración Ene/2025]]</f>
        <v>0</v>
      </c>
      <c r="AL81" s="16">
        <f>AVERAGE(Tabla4[[#This Row],[Creación y captura Ene/2025]:[Compartición e Interoperabilidad Ene/2025]])</f>
        <v>0.5</v>
      </c>
      <c r="AM81" s="14"/>
      <c r="AN81" s="14"/>
      <c r="AO81" s="15"/>
      <c r="AP81" s="15">
        <f>Tabla13[[#This Row],[Uso y acceso Feb/2025]]</f>
        <v>1</v>
      </c>
      <c r="AQ81" s="15">
        <f>Tabla58[[#This Row],[Integración Feb/2025]]</f>
        <v>0</v>
      </c>
      <c r="AR81" s="16">
        <f>AVERAGE(Tabla4[[#This Row],[Creación y captura Feb/2025]:[Compartición e Interoperabilidad Feb/2025]])</f>
        <v>0.5</v>
      </c>
      <c r="AS81" s="14"/>
      <c r="AT81" s="14"/>
      <c r="AU81" s="15"/>
      <c r="AV81" s="15">
        <f>Tabla13[[#This Row],[Uso y acceso Mar/2025]]</f>
        <v>1</v>
      </c>
      <c r="AW81" s="15">
        <f>Tabla58[[#This Row],[Integración Mar/2025]]</f>
        <v>0</v>
      </c>
      <c r="AX81" s="16">
        <f>AVERAGE(Tabla4[[#This Row],[Creación y captura Mar/2025]:[Compartición e Interoperabilidad Mar/2025]])</f>
        <v>0.5</v>
      </c>
      <c r="AY81" s="14"/>
      <c r="AZ81" s="14"/>
      <c r="BA81" s="15"/>
      <c r="BB81" s="15">
        <f>Tabla13[[#This Row],[Uso y acceso Abr/2025]]</f>
        <v>1</v>
      </c>
      <c r="BC81" s="15">
        <f>Tabla58[[#This Row],[Integración Abr/2025]]</f>
        <v>0</v>
      </c>
      <c r="BD81" s="16">
        <f>AVERAGE(Tabla4[[#This Row],[Creación y captura Abr/2025]:[Compartición e Interoperabilidad Abr/2025]])</f>
        <v>0.5</v>
      </c>
      <c r="BE81" s="14"/>
      <c r="BF81" s="14"/>
      <c r="BG81" s="15"/>
      <c r="BH81" s="15">
        <f>Tabla13[[#This Row],[Uso y acceso May/2025]]</f>
        <v>1</v>
      </c>
      <c r="BI81" s="15">
        <f>Tabla58[[#This Row],[Integración May/2025]]</f>
        <v>0.3</v>
      </c>
      <c r="BJ81" s="16">
        <f>AVERAGE(Tabla4[[#This Row],[Creación y captura May/2025]:[Compartición e Interoperabilidad May/2025]])</f>
        <v>0.65</v>
      </c>
      <c r="BK81" s="14"/>
      <c r="BL81" s="14"/>
      <c r="BM81" s="14">
        <f>AVERAGE('Calidad de Datos'!AQ85:AT85)</f>
        <v>0.65</v>
      </c>
      <c r="BN81" s="14">
        <f>Tabla13[[#This Row],[Uso y acceso Dic/2025]]</f>
        <v>1</v>
      </c>
      <c r="BO81" s="14">
        <f>Tabla58[[#This Row],[Integración Dic/2025]]</f>
        <v>0.6</v>
      </c>
      <c r="BP81" s="16">
        <f>AVERAGE(Tabla4[[#This Row],[Creación y captura Dic/2025]:[Compartición e Interoperabilidad Dic/2025]])</f>
        <v>0.75</v>
      </c>
    </row>
    <row r="82" spans="2:68" x14ac:dyDescent="0.4">
      <c r="B82" s="1" t="s">
        <v>133</v>
      </c>
      <c r="C82" s="14"/>
      <c r="D82" s="14"/>
      <c r="E82" s="14"/>
      <c r="F82" s="14">
        <f>Tabla13[[#This Row],[Uso y acceso Ago/2024]]</f>
        <v>1</v>
      </c>
      <c r="G82" s="15">
        <f>Tabla58[[#This Row],[Integración Ago/2024]]</f>
        <v>0</v>
      </c>
      <c r="H82" s="16">
        <f>AVERAGE(Tabla4[[#This Row],[Creación y captura Ago/2024]:[Compartición e Interoperabilidad Ago/2024]])</f>
        <v>0.5</v>
      </c>
      <c r="I82" s="14"/>
      <c r="J82" s="14"/>
      <c r="K82" s="15"/>
      <c r="L82" s="15">
        <f>Tabla13[[#This Row],[Uso y acceso Sep/2024]]</f>
        <v>1</v>
      </c>
      <c r="M82" s="15">
        <f>Tabla58[[#This Row],[Integración Sep/2024]]</f>
        <v>0</v>
      </c>
      <c r="N82" s="16">
        <f>AVERAGE(Tabla4[[#This Row],[Creación y captura Sep/2024]:[Compartición e Interoperabilidad Sep/2024]])</f>
        <v>0.5</v>
      </c>
      <c r="O82" s="14"/>
      <c r="P82" s="14"/>
      <c r="Q82" s="15"/>
      <c r="R82" s="15">
        <f>Tabla13[[#This Row],[Uso y acceso Oct/2024]]</f>
        <v>1</v>
      </c>
      <c r="S82" s="15">
        <f>Tabla58[[#This Row],[Integración Oct/2024]]</f>
        <v>0</v>
      </c>
      <c r="T82" s="16">
        <f>AVERAGE(Tabla4[[#This Row],[Creación y captura Oct/2024]:[Compartición e Interoperabilidad Oct/2024]])</f>
        <v>0.5</v>
      </c>
      <c r="U82" s="14"/>
      <c r="V82" s="14"/>
      <c r="W82" s="15"/>
      <c r="X82" s="15">
        <f>Tabla13[[#This Row],[Uso y acceso Nov/2024]]</f>
        <v>1</v>
      </c>
      <c r="Y82" s="15">
        <f>Tabla58[[#This Row],[Integración Nov/2024]]</f>
        <v>0</v>
      </c>
      <c r="Z82" s="16">
        <f>AVERAGE(Tabla4[[#This Row],[Creación y captura Nov/2024]:[Compartición e Interoperabilidad Nov/2024]])</f>
        <v>0.5</v>
      </c>
      <c r="AA82" s="14"/>
      <c r="AB82" s="14"/>
      <c r="AC82" s="15"/>
      <c r="AD82" s="15">
        <f>Tabla13[[#This Row],[Uso y acceso Dic/2024]]</f>
        <v>1</v>
      </c>
      <c r="AE82" s="15">
        <f>Tabla58[[#This Row],[Integración Dic/2024]]</f>
        <v>0</v>
      </c>
      <c r="AF82" s="16">
        <f>AVERAGE(Tabla4[[#This Row],[Creación y captura Dic/2024]:[Compartición e Interoperabilidad Dic/2024]])</f>
        <v>0.5</v>
      </c>
      <c r="AG82" s="14"/>
      <c r="AH82" s="14"/>
      <c r="AI82" s="15"/>
      <c r="AJ82" s="15">
        <f>Tabla13[[#This Row],[Uso y acceso Ene/2025]]</f>
        <v>1</v>
      </c>
      <c r="AK82" s="15">
        <f>Tabla58[[#This Row],[Integración Ene/2025]]</f>
        <v>0</v>
      </c>
      <c r="AL82" s="16">
        <f>AVERAGE(Tabla4[[#This Row],[Creación y captura Ene/2025]:[Compartición e Interoperabilidad Ene/2025]])</f>
        <v>0.5</v>
      </c>
      <c r="AM82" s="14"/>
      <c r="AN82" s="14"/>
      <c r="AO82" s="15"/>
      <c r="AP82" s="15">
        <f>Tabla13[[#This Row],[Uso y acceso Feb/2025]]</f>
        <v>1</v>
      </c>
      <c r="AQ82" s="15">
        <f>Tabla58[[#This Row],[Integración Feb/2025]]</f>
        <v>0</v>
      </c>
      <c r="AR82" s="16">
        <f>AVERAGE(Tabla4[[#This Row],[Creación y captura Feb/2025]:[Compartición e Interoperabilidad Feb/2025]])</f>
        <v>0.5</v>
      </c>
      <c r="AS82" s="14"/>
      <c r="AT82" s="14"/>
      <c r="AU82" s="15"/>
      <c r="AV82" s="15">
        <f>Tabla13[[#This Row],[Uso y acceso Mar/2025]]</f>
        <v>1</v>
      </c>
      <c r="AW82" s="15">
        <f>Tabla58[[#This Row],[Integración Mar/2025]]</f>
        <v>0</v>
      </c>
      <c r="AX82" s="16">
        <f>AVERAGE(Tabla4[[#This Row],[Creación y captura Mar/2025]:[Compartición e Interoperabilidad Mar/2025]])</f>
        <v>0.5</v>
      </c>
      <c r="AY82" s="14"/>
      <c r="AZ82" s="14"/>
      <c r="BA82" s="15"/>
      <c r="BB82" s="15">
        <f>Tabla13[[#This Row],[Uso y acceso Abr/2025]]</f>
        <v>1</v>
      </c>
      <c r="BC82" s="15">
        <f>Tabla58[[#This Row],[Integración Abr/2025]]</f>
        <v>0</v>
      </c>
      <c r="BD82" s="16">
        <f>AVERAGE(Tabla4[[#This Row],[Creación y captura Abr/2025]:[Compartición e Interoperabilidad Abr/2025]])</f>
        <v>0.5</v>
      </c>
      <c r="BE82" s="14"/>
      <c r="BF82" s="14"/>
      <c r="BG82" s="15"/>
      <c r="BH82" s="15">
        <f>Tabla13[[#This Row],[Uso y acceso May/2025]]</f>
        <v>1</v>
      </c>
      <c r="BI82" s="15">
        <f>Tabla58[[#This Row],[Integración May/2025]]</f>
        <v>0</v>
      </c>
      <c r="BJ82" s="16">
        <f>AVERAGE(Tabla4[[#This Row],[Creación y captura May/2025]:[Compartición e Interoperabilidad May/2025]])</f>
        <v>0.5</v>
      </c>
      <c r="BK82" s="14"/>
      <c r="BL82" s="14"/>
      <c r="BM82" s="14">
        <f>AVERAGE('Calidad de Datos'!AQ86:AT86)</f>
        <v>0.7</v>
      </c>
      <c r="BN82" s="14">
        <f>Tabla13[[#This Row],[Uso y acceso Dic/2025]]</f>
        <v>1</v>
      </c>
      <c r="BO82" s="14">
        <f>Tabla58[[#This Row],[Integración Dic/2025]]</f>
        <v>0.4</v>
      </c>
      <c r="BP82" s="16">
        <f>AVERAGE(Tabla4[[#This Row],[Creación y captura Dic/2025]:[Compartición e Interoperabilidad Dic/2025]])</f>
        <v>0.70000000000000007</v>
      </c>
    </row>
    <row r="83" spans="2:68" x14ac:dyDescent="0.4">
      <c r="B83" s="1" t="s">
        <v>134</v>
      </c>
      <c r="C83" s="14"/>
      <c r="D83" s="14"/>
      <c r="E83" s="14"/>
      <c r="F83" s="14">
        <f>Tabla13[[#This Row],[Uso y acceso Ago/2024]]</f>
        <v>1</v>
      </c>
      <c r="G83" s="15">
        <f>Tabla58[[#This Row],[Integración Ago/2024]]</f>
        <v>0</v>
      </c>
      <c r="H83" s="16">
        <f>AVERAGE(Tabla4[[#This Row],[Creación y captura Ago/2024]:[Compartición e Interoperabilidad Ago/2024]])</f>
        <v>0.5</v>
      </c>
      <c r="I83" s="14"/>
      <c r="J83" s="14"/>
      <c r="K83" s="15"/>
      <c r="L83" s="15">
        <f>Tabla13[[#This Row],[Uso y acceso Sep/2024]]</f>
        <v>1</v>
      </c>
      <c r="M83" s="15">
        <f>Tabla58[[#This Row],[Integración Sep/2024]]</f>
        <v>0</v>
      </c>
      <c r="N83" s="16">
        <f>AVERAGE(Tabla4[[#This Row],[Creación y captura Sep/2024]:[Compartición e Interoperabilidad Sep/2024]])</f>
        <v>0.5</v>
      </c>
      <c r="O83" s="14"/>
      <c r="P83" s="14"/>
      <c r="Q83" s="15"/>
      <c r="R83" s="15">
        <f>Tabla13[[#This Row],[Uso y acceso Oct/2024]]</f>
        <v>1</v>
      </c>
      <c r="S83" s="15">
        <f>Tabla58[[#This Row],[Integración Oct/2024]]</f>
        <v>0</v>
      </c>
      <c r="T83" s="16">
        <f>AVERAGE(Tabla4[[#This Row],[Creación y captura Oct/2024]:[Compartición e Interoperabilidad Oct/2024]])</f>
        <v>0.5</v>
      </c>
      <c r="U83" s="14"/>
      <c r="V83" s="14"/>
      <c r="W83" s="15"/>
      <c r="X83" s="15">
        <f>Tabla13[[#This Row],[Uso y acceso Nov/2024]]</f>
        <v>1</v>
      </c>
      <c r="Y83" s="15">
        <f>Tabla58[[#This Row],[Integración Nov/2024]]</f>
        <v>0</v>
      </c>
      <c r="Z83" s="16">
        <f>AVERAGE(Tabla4[[#This Row],[Creación y captura Nov/2024]:[Compartición e Interoperabilidad Nov/2024]])</f>
        <v>0.5</v>
      </c>
      <c r="AA83" s="14"/>
      <c r="AB83" s="14"/>
      <c r="AC83" s="15"/>
      <c r="AD83" s="15">
        <f>Tabla13[[#This Row],[Uso y acceso Dic/2024]]</f>
        <v>1</v>
      </c>
      <c r="AE83" s="15">
        <f>Tabla58[[#This Row],[Integración Dic/2024]]</f>
        <v>0</v>
      </c>
      <c r="AF83" s="16">
        <f>AVERAGE(Tabla4[[#This Row],[Creación y captura Dic/2024]:[Compartición e Interoperabilidad Dic/2024]])</f>
        <v>0.5</v>
      </c>
      <c r="AG83" s="14"/>
      <c r="AH83" s="14"/>
      <c r="AI83" s="15"/>
      <c r="AJ83" s="15">
        <f>Tabla13[[#This Row],[Uso y acceso Ene/2025]]</f>
        <v>1</v>
      </c>
      <c r="AK83" s="15">
        <f>Tabla58[[#This Row],[Integración Ene/2025]]</f>
        <v>0</v>
      </c>
      <c r="AL83" s="16">
        <f>AVERAGE(Tabla4[[#This Row],[Creación y captura Ene/2025]:[Compartición e Interoperabilidad Ene/2025]])</f>
        <v>0.5</v>
      </c>
      <c r="AM83" s="14"/>
      <c r="AN83" s="14"/>
      <c r="AO83" s="15"/>
      <c r="AP83" s="15">
        <f>Tabla13[[#This Row],[Uso y acceso Feb/2025]]</f>
        <v>1</v>
      </c>
      <c r="AQ83" s="15">
        <f>Tabla58[[#This Row],[Integración Feb/2025]]</f>
        <v>0</v>
      </c>
      <c r="AR83" s="16">
        <f>AVERAGE(Tabla4[[#This Row],[Creación y captura Feb/2025]:[Compartición e Interoperabilidad Feb/2025]])</f>
        <v>0.5</v>
      </c>
      <c r="AS83" s="14"/>
      <c r="AT83" s="14"/>
      <c r="AU83" s="15"/>
      <c r="AV83" s="15">
        <f>Tabla13[[#This Row],[Uso y acceso Mar/2025]]</f>
        <v>1</v>
      </c>
      <c r="AW83" s="15">
        <f>Tabla58[[#This Row],[Integración Mar/2025]]</f>
        <v>0</v>
      </c>
      <c r="AX83" s="16">
        <f>AVERAGE(Tabla4[[#This Row],[Creación y captura Mar/2025]:[Compartición e Interoperabilidad Mar/2025]])</f>
        <v>0.5</v>
      </c>
      <c r="AY83" s="14"/>
      <c r="AZ83" s="14"/>
      <c r="BA83" s="15"/>
      <c r="BB83" s="15">
        <f>Tabla13[[#This Row],[Uso y acceso Abr/2025]]</f>
        <v>1</v>
      </c>
      <c r="BC83" s="15">
        <f>Tabla58[[#This Row],[Integración Abr/2025]]</f>
        <v>0</v>
      </c>
      <c r="BD83" s="16">
        <f>AVERAGE(Tabla4[[#This Row],[Creación y captura Abr/2025]:[Compartición e Interoperabilidad Abr/2025]])</f>
        <v>0.5</v>
      </c>
      <c r="BE83" s="14"/>
      <c r="BF83" s="14"/>
      <c r="BG83" s="15"/>
      <c r="BH83" s="15">
        <f>Tabla13[[#This Row],[Uso y acceso May/2025]]</f>
        <v>1</v>
      </c>
      <c r="BI83" s="15">
        <f>Tabla58[[#This Row],[Integración May/2025]]</f>
        <v>0</v>
      </c>
      <c r="BJ83" s="16">
        <f>AVERAGE(Tabla4[[#This Row],[Creación y captura May/2025]:[Compartición e Interoperabilidad May/2025]])</f>
        <v>0.5</v>
      </c>
      <c r="BK83" s="14"/>
      <c r="BL83" s="14"/>
      <c r="BM83" s="14">
        <f>AVERAGE('Calidad de Datos'!AQ87:AT87)</f>
        <v>1</v>
      </c>
      <c r="BN83" s="14">
        <f>Tabla13[[#This Row],[Uso y acceso Dic/2025]]</f>
        <v>1</v>
      </c>
      <c r="BO83" s="14">
        <f>Tabla58[[#This Row],[Integración Dic/2025]]</f>
        <v>0.8</v>
      </c>
      <c r="BP83" s="16">
        <f>AVERAGE(Tabla4[[#This Row],[Creación y captura Dic/2025]:[Compartición e Interoperabilidad Dic/2025]])</f>
        <v>0.93333333333333324</v>
      </c>
    </row>
    <row r="84" spans="2:68" x14ac:dyDescent="0.4">
      <c r="B84" s="1" t="s">
        <v>135</v>
      </c>
      <c r="C84" s="14"/>
      <c r="D84" s="14"/>
      <c r="E84" s="14"/>
      <c r="F84" s="14">
        <f>Tabla13[[#This Row],[Uso y acceso Ago/2024]]</f>
        <v>1</v>
      </c>
      <c r="G84" s="15">
        <f>Tabla58[[#This Row],[Integración Ago/2024]]</f>
        <v>0</v>
      </c>
      <c r="H84" s="16">
        <f>AVERAGE(Tabla4[[#This Row],[Creación y captura Ago/2024]:[Compartición e Interoperabilidad Ago/2024]])</f>
        <v>0.5</v>
      </c>
      <c r="I84" s="14"/>
      <c r="J84" s="14"/>
      <c r="K84" s="15"/>
      <c r="L84" s="15">
        <f>Tabla13[[#This Row],[Uso y acceso Sep/2024]]</f>
        <v>1</v>
      </c>
      <c r="M84" s="15">
        <f>Tabla58[[#This Row],[Integración Sep/2024]]</f>
        <v>0</v>
      </c>
      <c r="N84" s="16">
        <f>AVERAGE(Tabla4[[#This Row],[Creación y captura Sep/2024]:[Compartición e Interoperabilidad Sep/2024]])</f>
        <v>0.5</v>
      </c>
      <c r="O84" s="14"/>
      <c r="P84" s="14"/>
      <c r="Q84" s="15"/>
      <c r="R84" s="15">
        <f>Tabla13[[#This Row],[Uso y acceso Oct/2024]]</f>
        <v>1</v>
      </c>
      <c r="S84" s="15">
        <f>Tabla58[[#This Row],[Integración Oct/2024]]</f>
        <v>0</v>
      </c>
      <c r="T84" s="16">
        <f>AVERAGE(Tabla4[[#This Row],[Creación y captura Oct/2024]:[Compartición e Interoperabilidad Oct/2024]])</f>
        <v>0.5</v>
      </c>
      <c r="U84" s="14"/>
      <c r="V84" s="14"/>
      <c r="W84" s="15"/>
      <c r="X84" s="15">
        <f>Tabla13[[#This Row],[Uso y acceso Nov/2024]]</f>
        <v>1</v>
      </c>
      <c r="Y84" s="15">
        <f>Tabla58[[#This Row],[Integración Nov/2024]]</f>
        <v>0</v>
      </c>
      <c r="Z84" s="16">
        <f>AVERAGE(Tabla4[[#This Row],[Creación y captura Nov/2024]:[Compartición e Interoperabilidad Nov/2024]])</f>
        <v>0.5</v>
      </c>
      <c r="AA84" s="14"/>
      <c r="AB84" s="14"/>
      <c r="AC84" s="15"/>
      <c r="AD84" s="15">
        <f>Tabla13[[#This Row],[Uso y acceso Dic/2024]]</f>
        <v>1</v>
      </c>
      <c r="AE84" s="15">
        <f>Tabla58[[#This Row],[Integración Dic/2024]]</f>
        <v>0</v>
      </c>
      <c r="AF84" s="16">
        <f>AVERAGE(Tabla4[[#This Row],[Creación y captura Dic/2024]:[Compartición e Interoperabilidad Dic/2024]])</f>
        <v>0.5</v>
      </c>
      <c r="AG84" s="14"/>
      <c r="AH84" s="14"/>
      <c r="AI84" s="15"/>
      <c r="AJ84" s="15">
        <f>Tabla13[[#This Row],[Uso y acceso Ene/2025]]</f>
        <v>1</v>
      </c>
      <c r="AK84" s="15">
        <f>Tabla58[[#This Row],[Integración Ene/2025]]</f>
        <v>0</v>
      </c>
      <c r="AL84" s="16">
        <f>AVERAGE(Tabla4[[#This Row],[Creación y captura Ene/2025]:[Compartición e Interoperabilidad Ene/2025]])</f>
        <v>0.5</v>
      </c>
      <c r="AM84" s="14"/>
      <c r="AN84" s="14"/>
      <c r="AO84" s="15"/>
      <c r="AP84" s="15">
        <f>Tabla13[[#This Row],[Uso y acceso Feb/2025]]</f>
        <v>1</v>
      </c>
      <c r="AQ84" s="15">
        <f>Tabla58[[#This Row],[Integración Feb/2025]]</f>
        <v>0</v>
      </c>
      <c r="AR84" s="16">
        <f>AVERAGE(Tabla4[[#This Row],[Creación y captura Feb/2025]:[Compartición e Interoperabilidad Feb/2025]])</f>
        <v>0.5</v>
      </c>
      <c r="AS84" s="14"/>
      <c r="AT84" s="14"/>
      <c r="AU84" s="15"/>
      <c r="AV84" s="15">
        <f>Tabla13[[#This Row],[Uso y acceso Mar/2025]]</f>
        <v>1</v>
      </c>
      <c r="AW84" s="15">
        <f>Tabla58[[#This Row],[Integración Mar/2025]]</f>
        <v>0</v>
      </c>
      <c r="AX84" s="16">
        <f>AVERAGE(Tabla4[[#This Row],[Creación y captura Mar/2025]:[Compartición e Interoperabilidad Mar/2025]])</f>
        <v>0.5</v>
      </c>
      <c r="AY84" s="14"/>
      <c r="AZ84" s="14"/>
      <c r="BA84" s="15"/>
      <c r="BB84" s="15">
        <f>Tabla13[[#This Row],[Uso y acceso Abr/2025]]</f>
        <v>1</v>
      </c>
      <c r="BC84" s="15">
        <f>Tabla58[[#This Row],[Integración Abr/2025]]</f>
        <v>0</v>
      </c>
      <c r="BD84" s="16">
        <f>AVERAGE(Tabla4[[#This Row],[Creación y captura Abr/2025]:[Compartición e Interoperabilidad Abr/2025]])</f>
        <v>0.5</v>
      </c>
      <c r="BE84" s="14"/>
      <c r="BF84" s="14"/>
      <c r="BG84" s="15"/>
      <c r="BH84" s="15">
        <f>Tabla13[[#This Row],[Uso y acceso May/2025]]</f>
        <v>1</v>
      </c>
      <c r="BI84" s="15">
        <f>Tabla58[[#This Row],[Integración May/2025]]</f>
        <v>0</v>
      </c>
      <c r="BJ84" s="16">
        <f>AVERAGE(Tabla4[[#This Row],[Creación y captura May/2025]:[Compartición e Interoperabilidad May/2025]])</f>
        <v>0.5</v>
      </c>
      <c r="BK84" s="14"/>
      <c r="BL84" s="14"/>
      <c r="BM84" s="14">
        <f>AVERAGE('Calidad de Datos'!AQ88:AT88)</f>
        <v>0.7</v>
      </c>
      <c r="BN84" s="14">
        <f>Tabla13[[#This Row],[Uso y acceso Dic/2025]]</f>
        <v>1</v>
      </c>
      <c r="BO84" s="14">
        <f>Tabla58[[#This Row],[Integración Dic/2025]]</f>
        <v>0.4</v>
      </c>
      <c r="BP84" s="16">
        <f>AVERAGE(Tabla4[[#This Row],[Creación y captura Dic/2025]:[Compartición e Interoperabilidad Dic/2025]])</f>
        <v>0.70000000000000007</v>
      </c>
    </row>
    <row r="85" spans="2:68" x14ac:dyDescent="0.4">
      <c r="B85" s="1" t="s">
        <v>136</v>
      </c>
      <c r="C85" s="14"/>
      <c r="D85" s="14"/>
      <c r="E85" s="14"/>
      <c r="F85" s="14">
        <f>Tabla13[[#This Row],[Uso y acceso Ago/2024]]</f>
        <v>1</v>
      </c>
      <c r="G85" s="15">
        <f>Tabla58[[#This Row],[Integración Ago/2024]]</f>
        <v>0</v>
      </c>
      <c r="H85" s="16">
        <f>AVERAGE(Tabla4[[#This Row],[Creación y captura Ago/2024]:[Compartición e Interoperabilidad Ago/2024]])</f>
        <v>0.5</v>
      </c>
      <c r="I85" s="14"/>
      <c r="J85" s="14"/>
      <c r="K85" s="15"/>
      <c r="L85" s="15">
        <f>Tabla13[[#This Row],[Uso y acceso Sep/2024]]</f>
        <v>1</v>
      </c>
      <c r="M85" s="15">
        <f>Tabla58[[#This Row],[Integración Sep/2024]]</f>
        <v>0</v>
      </c>
      <c r="N85" s="16">
        <f>AVERAGE(Tabla4[[#This Row],[Creación y captura Sep/2024]:[Compartición e Interoperabilidad Sep/2024]])</f>
        <v>0.5</v>
      </c>
      <c r="O85" s="14"/>
      <c r="P85" s="14"/>
      <c r="Q85" s="15"/>
      <c r="R85" s="15">
        <f>Tabla13[[#This Row],[Uso y acceso Oct/2024]]</f>
        <v>1</v>
      </c>
      <c r="S85" s="15">
        <f>Tabla58[[#This Row],[Integración Oct/2024]]</f>
        <v>0</v>
      </c>
      <c r="T85" s="16">
        <f>AVERAGE(Tabla4[[#This Row],[Creación y captura Oct/2024]:[Compartición e Interoperabilidad Oct/2024]])</f>
        <v>0.5</v>
      </c>
      <c r="U85" s="14"/>
      <c r="V85" s="14"/>
      <c r="W85" s="15"/>
      <c r="X85" s="15">
        <f>Tabla13[[#This Row],[Uso y acceso Nov/2024]]</f>
        <v>1</v>
      </c>
      <c r="Y85" s="15">
        <f>Tabla58[[#This Row],[Integración Nov/2024]]</f>
        <v>0</v>
      </c>
      <c r="Z85" s="16">
        <f>AVERAGE(Tabla4[[#This Row],[Creación y captura Nov/2024]:[Compartición e Interoperabilidad Nov/2024]])</f>
        <v>0.5</v>
      </c>
      <c r="AA85" s="14"/>
      <c r="AB85" s="14"/>
      <c r="AC85" s="15"/>
      <c r="AD85" s="15">
        <f>Tabla13[[#This Row],[Uso y acceso Dic/2024]]</f>
        <v>1</v>
      </c>
      <c r="AE85" s="15">
        <f>Tabla58[[#This Row],[Integración Dic/2024]]</f>
        <v>0</v>
      </c>
      <c r="AF85" s="16">
        <f>AVERAGE(Tabla4[[#This Row],[Creación y captura Dic/2024]:[Compartición e Interoperabilidad Dic/2024]])</f>
        <v>0.5</v>
      </c>
      <c r="AG85" s="14"/>
      <c r="AH85" s="14"/>
      <c r="AI85" s="15"/>
      <c r="AJ85" s="15">
        <f>Tabla13[[#This Row],[Uso y acceso Ene/2025]]</f>
        <v>1</v>
      </c>
      <c r="AK85" s="15">
        <f>Tabla58[[#This Row],[Integración Ene/2025]]</f>
        <v>0</v>
      </c>
      <c r="AL85" s="16">
        <f>AVERAGE(Tabla4[[#This Row],[Creación y captura Ene/2025]:[Compartición e Interoperabilidad Ene/2025]])</f>
        <v>0.5</v>
      </c>
      <c r="AM85" s="14"/>
      <c r="AN85" s="14"/>
      <c r="AO85" s="15"/>
      <c r="AP85" s="15">
        <f>Tabla13[[#This Row],[Uso y acceso Feb/2025]]</f>
        <v>1</v>
      </c>
      <c r="AQ85" s="15">
        <f>Tabla58[[#This Row],[Integración Feb/2025]]</f>
        <v>0</v>
      </c>
      <c r="AR85" s="16">
        <f>AVERAGE(Tabla4[[#This Row],[Creación y captura Feb/2025]:[Compartición e Interoperabilidad Feb/2025]])</f>
        <v>0.5</v>
      </c>
      <c r="AS85" s="14"/>
      <c r="AT85" s="14"/>
      <c r="AU85" s="15"/>
      <c r="AV85" s="15">
        <f>Tabla13[[#This Row],[Uso y acceso Mar/2025]]</f>
        <v>1</v>
      </c>
      <c r="AW85" s="15">
        <f>Tabla58[[#This Row],[Integración Mar/2025]]</f>
        <v>0</v>
      </c>
      <c r="AX85" s="16">
        <f>AVERAGE(Tabla4[[#This Row],[Creación y captura Mar/2025]:[Compartición e Interoperabilidad Mar/2025]])</f>
        <v>0.5</v>
      </c>
      <c r="AY85" s="14"/>
      <c r="AZ85" s="14"/>
      <c r="BA85" s="15"/>
      <c r="BB85" s="15">
        <f>Tabla13[[#This Row],[Uso y acceso Abr/2025]]</f>
        <v>1</v>
      </c>
      <c r="BC85" s="15">
        <f>Tabla58[[#This Row],[Integración Abr/2025]]</f>
        <v>0</v>
      </c>
      <c r="BD85" s="16">
        <f>AVERAGE(Tabla4[[#This Row],[Creación y captura Abr/2025]:[Compartición e Interoperabilidad Abr/2025]])</f>
        <v>0.5</v>
      </c>
      <c r="BE85" s="14"/>
      <c r="BF85" s="14"/>
      <c r="BG85" s="15"/>
      <c r="BH85" s="15">
        <f>Tabla13[[#This Row],[Uso y acceso May/2025]]</f>
        <v>1</v>
      </c>
      <c r="BI85" s="15">
        <f>Tabla58[[#This Row],[Integración May/2025]]</f>
        <v>0</v>
      </c>
      <c r="BJ85" s="16">
        <f>AVERAGE(Tabla4[[#This Row],[Creación y captura May/2025]:[Compartición e Interoperabilidad May/2025]])</f>
        <v>0.5</v>
      </c>
      <c r="BK85" s="14"/>
      <c r="BL85" s="14"/>
      <c r="BM85" s="14">
        <f>AVERAGE('Calidad de Datos'!AQ89:AT89)</f>
        <v>0.7</v>
      </c>
      <c r="BN85" s="14">
        <f>Tabla13[[#This Row],[Uso y acceso Dic/2025]]</f>
        <v>1</v>
      </c>
      <c r="BO85" s="14">
        <f>Tabla58[[#This Row],[Integración Dic/2025]]</f>
        <v>0.4</v>
      </c>
      <c r="BP85" s="16">
        <f>AVERAGE(Tabla4[[#This Row],[Creación y captura Dic/2025]:[Compartición e Interoperabilidad Dic/2025]])</f>
        <v>0.70000000000000007</v>
      </c>
    </row>
    <row r="86" spans="2:68" x14ac:dyDescent="0.4">
      <c r="B86" s="1" t="s">
        <v>137</v>
      </c>
      <c r="C86" s="14"/>
      <c r="D86" s="14"/>
      <c r="E86" s="14"/>
      <c r="F86" s="14">
        <f>Tabla13[[#This Row],[Uso y acceso Ago/2024]]</f>
        <v>1</v>
      </c>
      <c r="G86" s="15">
        <f>Tabla58[[#This Row],[Integración Ago/2024]]</f>
        <v>0</v>
      </c>
      <c r="H86" s="16">
        <f>AVERAGE(Tabla4[[#This Row],[Creación y captura Ago/2024]:[Compartición e Interoperabilidad Ago/2024]])</f>
        <v>0.5</v>
      </c>
      <c r="I86" s="14"/>
      <c r="J86" s="14"/>
      <c r="K86" s="15"/>
      <c r="L86" s="15">
        <f>Tabla13[[#This Row],[Uso y acceso Sep/2024]]</f>
        <v>1</v>
      </c>
      <c r="M86" s="15">
        <f>Tabla58[[#This Row],[Integración Sep/2024]]</f>
        <v>0</v>
      </c>
      <c r="N86" s="16">
        <f>AVERAGE(Tabla4[[#This Row],[Creación y captura Sep/2024]:[Compartición e Interoperabilidad Sep/2024]])</f>
        <v>0.5</v>
      </c>
      <c r="O86" s="14"/>
      <c r="P86" s="14"/>
      <c r="Q86" s="15"/>
      <c r="R86" s="15">
        <f>Tabla13[[#This Row],[Uso y acceso Oct/2024]]</f>
        <v>1</v>
      </c>
      <c r="S86" s="15">
        <f>Tabla58[[#This Row],[Integración Oct/2024]]</f>
        <v>0</v>
      </c>
      <c r="T86" s="16">
        <f>AVERAGE(Tabla4[[#This Row],[Creación y captura Oct/2024]:[Compartición e Interoperabilidad Oct/2024]])</f>
        <v>0.5</v>
      </c>
      <c r="U86" s="14"/>
      <c r="V86" s="14"/>
      <c r="W86" s="15"/>
      <c r="X86" s="15">
        <f>Tabla13[[#This Row],[Uso y acceso Nov/2024]]</f>
        <v>1</v>
      </c>
      <c r="Y86" s="15">
        <f>Tabla58[[#This Row],[Integración Nov/2024]]</f>
        <v>0</v>
      </c>
      <c r="Z86" s="16">
        <f>AVERAGE(Tabla4[[#This Row],[Creación y captura Nov/2024]:[Compartición e Interoperabilidad Nov/2024]])</f>
        <v>0.5</v>
      </c>
      <c r="AA86" s="14"/>
      <c r="AB86" s="14"/>
      <c r="AC86" s="15"/>
      <c r="AD86" s="15">
        <f>Tabla13[[#This Row],[Uso y acceso Dic/2024]]</f>
        <v>1</v>
      </c>
      <c r="AE86" s="15">
        <f>Tabla58[[#This Row],[Integración Dic/2024]]</f>
        <v>0</v>
      </c>
      <c r="AF86" s="16">
        <f>AVERAGE(Tabla4[[#This Row],[Creación y captura Dic/2024]:[Compartición e Interoperabilidad Dic/2024]])</f>
        <v>0.5</v>
      </c>
      <c r="AG86" s="14"/>
      <c r="AH86" s="14"/>
      <c r="AI86" s="15"/>
      <c r="AJ86" s="15">
        <f>Tabla13[[#This Row],[Uso y acceso Ene/2025]]</f>
        <v>1</v>
      </c>
      <c r="AK86" s="15">
        <f>Tabla58[[#This Row],[Integración Ene/2025]]</f>
        <v>0</v>
      </c>
      <c r="AL86" s="16">
        <f>AVERAGE(Tabla4[[#This Row],[Creación y captura Ene/2025]:[Compartición e Interoperabilidad Ene/2025]])</f>
        <v>0.5</v>
      </c>
      <c r="AM86" s="14"/>
      <c r="AN86" s="14"/>
      <c r="AO86" s="15"/>
      <c r="AP86" s="15">
        <f>Tabla13[[#This Row],[Uso y acceso Feb/2025]]</f>
        <v>1</v>
      </c>
      <c r="AQ86" s="15">
        <f>Tabla58[[#This Row],[Integración Feb/2025]]</f>
        <v>0</v>
      </c>
      <c r="AR86" s="16">
        <f>AVERAGE(Tabla4[[#This Row],[Creación y captura Feb/2025]:[Compartición e Interoperabilidad Feb/2025]])</f>
        <v>0.5</v>
      </c>
      <c r="AS86" s="14"/>
      <c r="AT86" s="14"/>
      <c r="AU86" s="15"/>
      <c r="AV86" s="15">
        <f>Tabla13[[#This Row],[Uso y acceso Mar/2025]]</f>
        <v>1</v>
      </c>
      <c r="AW86" s="15">
        <f>Tabla58[[#This Row],[Integración Mar/2025]]</f>
        <v>0</v>
      </c>
      <c r="AX86" s="16">
        <f>AVERAGE(Tabla4[[#This Row],[Creación y captura Mar/2025]:[Compartición e Interoperabilidad Mar/2025]])</f>
        <v>0.5</v>
      </c>
      <c r="AY86" s="14"/>
      <c r="AZ86" s="14"/>
      <c r="BA86" s="15"/>
      <c r="BB86" s="15">
        <f>Tabla13[[#This Row],[Uso y acceso Abr/2025]]</f>
        <v>1</v>
      </c>
      <c r="BC86" s="15">
        <f>Tabla58[[#This Row],[Integración Abr/2025]]</f>
        <v>0</v>
      </c>
      <c r="BD86" s="16">
        <f>AVERAGE(Tabla4[[#This Row],[Creación y captura Abr/2025]:[Compartición e Interoperabilidad Abr/2025]])</f>
        <v>0.5</v>
      </c>
      <c r="BE86" s="14"/>
      <c r="BF86" s="14"/>
      <c r="BG86" s="15"/>
      <c r="BH86" s="15">
        <f>Tabla13[[#This Row],[Uso y acceso May/2025]]</f>
        <v>1</v>
      </c>
      <c r="BI86" s="15">
        <f>Tabla58[[#This Row],[Integración May/2025]]</f>
        <v>0</v>
      </c>
      <c r="BJ86" s="16">
        <f>AVERAGE(Tabla4[[#This Row],[Creación y captura May/2025]:[Compartición e Interoperabilidad May/2025]])</f>
        <v>0.5</v>
      </c>
      <c r="BK86" s="14">
        <v>1</v>
      </c>
      <c r="BL86" s="14">
        <v>1</v>
      </c>
      <c r="BM86" s="14">
        <f>AVERAGE('Calidad de Datos'!AQ90:AT90)</f>
        <v>0.95</v>
      </c>
      <c r="BN86" s="14">
        <f>Tabla13[[#This Row],[Uso y acceso Dic/2025]]</f>
        <v>1</v>
      </c>
      <c r="BO86" s="14">
        <f>Tabla58[[#This Row],[Integración Dic/2025]]</f>
        <v>1</v>
      </c>
      <c r="BP86" s="16">
        <f>AVERAGE(Tabla4[[#This Row],[Creación y captura Dic/2025]:[Compartición e Interoperabilidad Dic/2025]])</f>
        <v>0.99</v>
      </c>
    </row>
    <row r="87" spans="2:68" x14ac:dyDescent="0.4">
      <c r="B87" s="1" t="s">
        <v>138</v>
      </c>
      <c r="C87" s="14"/>
      <c r="D87" s="14"/>
      <c r="E87" s="14"/>
      <c r="F87" s="14">
        <f>Tabla13[[#This Row],[Uso y acceso Ago/2024]]</f>
        <v>0.8</v>
      </c>
      <c r="G87" s="15">
        <f>Tabla58[[#This Row],[Integración Ago/2024]]</f>
        <v>0</v>
      </c>
      <c r="H87" s="16">
        <f>AVERAGE(Tabla4[[#This Row],[Creación y captura Ago/2024]:[Compartición e Interoperabilidad Ago/2024]])</f>
        <v>0.4</v>
      </c>
      <c r="I87" s="14"/>
      <c r="J87" s="14"/>
      <c r="K87" s="15"/>
      <c r="L87" s="15">
        <f>Tabla13[[#This Row],[Uso y acceso Sep/2024]]</f>
        <v>0.8</v>
      </c>
      <c r="M87" s="15">
        <f>Tabla58[[#This Row],[Integración Sep/2024]]</f>
        <v>0</v>
      </c>
      <c r="N87" s="16">
        <f>AVERAGE(Tabla4[[#This Row],[Creación y captura Sep/2024]:[Compartición e Interoperabilidad Sep/2024]])</f>
        <v>0.4</v>
      </c>
      <c r="O87" s="14"/>
      <c r="P87" s="14"/>
      <c r="Q87" s="15"/>
      <c r="R87" s="15">
        <f>Tabla13[[#This Row],[Uso y acceso Oct/2024]]</f>
        <v>1</v>
      </c>
      <c r="S87" s="15">
        <f>Tabla58[[#This Row],[Integración Oct/2024]]</f>
        <v>0</v>
      </c>
      <c r="T87" s="16">
        <f>AVERAGE(Tabla4[[#This Row],[Creación y captura Oct/2024]:[Compartición e Interoperabilidad Oct/2024]])</f>
        <v>0.5</v>
      </c>
      <c r="U87" s="14"/>
      <c r="V87" s="14"/>
      <c r="W87" s="15"/>
      <c r="X87" s="15">
        <f>Tabla13[[#This Row],[Uso y acceso Nov/2024]]</f>
        <v>1</v>
      </c>
      <c r="Y87" s="15">
        <f>Tabla58[[#This Row],[Integración Nov/2024]]</f>
        <v>0</v>
      </c>
      <c r="Z87" s="16">
        <f>AVERAGE(Tabla4[[#This Row],[Creación y captura Nov/2024]:[Compartición e Interoperabilidad Nov/2024]])</f>
        <v>0.5</v>
      </c>
      <c r="AA87" s="14"/>
      <c r="AB87" s="14"/>
      <c r="AC87" s="15"/>
      <c r="AD87" s="15">
        <f>Tabla13[[#This Row],[Uso y acceso Dic/2024]]</f>
        <v>1</v>
      </c>
      <c r="AE87" s="15">
        <f>Tabla58[[#This Row],[Integración Dic/2024]]</f>
        <v>0</v>
      </c>
      <c r="AF87" s="16">
        <f>AVERAGE(Tabla4[[#This Row],[Creación y captura Dic/2024]:[Compartición e Interoperabilidad Dic/2024]])</f>
        <v>0.5</v>
      </c>
      <c r="AG87" s="14"/>
      <c r="AH87" s="14"/>
      <c r="AI87" s="15"/>
      <c r="AJ87" s="15">
        <f>Tabla13[[#This Row],[Uso y acceso Ene/2025]]</f>
        <v>1</v>
      </c>
      <c r="AK87" s="15">
        <f>Tabla58[[#This Row],[Integración Ene/2025]]</f>
        <v>0</v>
      </c>
      <c r="AL87" s="16">
        <f>AVERAGE(Tabla4[[#This Row],[Creación y captura Ene/2025]:[Compartición e Interoperabilidad Ene/2025]])</f>
        <v>0.5</v>
      </c>
      <c r="AM87" s="14"/>
      <c r="AN87" s="14"/>
      <c r="AO87" s="15"/>
      <c r="AP87" s="15">
        <f>Tabla13[[#This Row],[Uso y acceso Feb/2025]]</f>
        <v>1</v>
      </c>
      <c r="AQ87" s="15">
        <f>Tabla58[[#This Row],[Integración Feb/2025]]</f>
        <v>0</v>
      </c>
      <c r="AR87" s="16">
        <f>AVERAGE(Tabla4[[#This Row],[Creación y captura Feb/2025]:[Compartición e Interoperabilidad Feb/2025]])</f>
        <v>0.5</v>
      </c>
      <c r="AS87" s="14"/>
      <c r="AT87" s="14"/>
      <c r="AU87" s="15"/>
      <c r="AV87" s="15">
        <f>Tabla13[[#This Row],[Uso y acceso Mar/2025]]</f>
        <v>1</v>
      </c>
      <c r="AW87" s="15">
        <f>Tabla58[[#This Row],[Integración Mar/2025]]</f>
        <v>0</v>
      </c>
      <c r="AX87" s="16">
        <f>AVERAGE(Tabla4[[#This Row],[Creación y captura Mar/2025]:[Compartición e Interoperabilidad Mar/2025]])</f>
        <v>0.5</v>
      </c>
      <c r="AY87" s="14"/>
      <c r="AZ87" s="14"/>
      <c r="BA87" s="15"/>
      <c r="BB87" s="15">
        <f>Tabla13[[#This Row],[Uso y acceso Abr/2025]]</f>
        <v>1</v>
      </c>
      <c r="BC87" s="15">
        <f>Tabla58[[#This Row],[Integración Abr/2025]]</f>
        <v>0</v>
      </c>
      <c r="BD87" s="16">
        <f>AVERAGE(Tabla4[[#This Row],[Creación y captura Abr/2025]:[Compartición e Interoperabilidad Abr/2025]])</f>
        <v>0.5</v>
      </c>
      <c r="BE87" s="14"/>
      <c r="BF87" s="14"/>
      <c r="BG87" s="15"/>
      <c r="BH87" s="15">
        <f>Tabla13[[#This Row],[Uso y acceso May/2025]]</f>
        <v>1</v>
      </c>
      <c r="BI87" s="15">
        <f>Tabla58[[#This Row],[Integración May/2025]]</f>
        <v>0</v>
      </c>
      <c r="BJ87" s="16">
        <f>AVERAGE(Tabla4[[#This Row],[Creación y captura May/2025]:[Compartición e Interoperabilidad May/2025]])</f>
        <v>0.5</v>
      </c>
      <c r="BK87" s="14"/>
      <c r="BL87" s="14"/>
      <c r="BM87" s="14">
        <f>AVERAGE('Calidad de Datos'!AQ91:AT91)</f>
        <v>0.65</v>
      </c>
      <c r="BN87" s="14">
        <f>Tabla13[[#This Row],[Uso y acceso Dic/2025]]</f>
        <v>1</v>
      </c>
      <c r="BO87" s="14">
        <f>Tabla58[[#This Row],[Integración Dic/2025]]</f>
        <v>0.6</v>
      </c>
      <c r="BP87" s="16">
        <f>AVERAGE(Tabla4[[#This Row],[Creación y captura Dic/2025]:[Compartición e Interoperabilidad Dic/2025]])</f>
        <v>0.75</v>
      </c>
    </row>
    <row r="88" spans="2:68" x14ac:dyDescent="0.4">
      <c r="B88" s="1" t="s">
        <v>139</v>
      </c>
      <c r="C88" s="14"/>
      <c r="D88" s="14"/>
      <c r="E88" s="14"/>
      <c r="F88" s="14">
        <f>Tabla13[[#This Row],[Uso y acceso Ago/2024]]</f>
        <v>0.8</v>
      </c>
      <c r="G88" s="15">
        <f>Tabla58[[#This Row],[Integración Ago/2024]]</f>
        <v>0</v>
      </c>
      <c r="H88" s="16">
        <f>AVERAGE(Tabla4[[#This Row],[Creación y captura Ago/2024]:[Compartición e Interoperabilidad Ago/2024]])</f>
        <v>0.4</v>
      </c>
      <c r="I88" s="14"/>
      <c r="J88" s="14"/>
      <c r="K88" s="15"/>
      <c r="L88" s="15">
        <f>Tabla13[[#This Row],[Uso y acceso Sep/2024]]</f>
        <v>0.8</v>
      </c>
      <c r="M88" s="15">
        <f>Tabla58[[#This Row],[Integración Sep/2024]]</f>
        <v>0</v>
      </c>
      <c r="N88" s="16">
        <f>AVERAGE(Tabla4[[#This Row],[Creación y captura Sep/2024]:[Compartición e Interoperabilidad Sep/2024]])</f>
        <v>0.4</v>
      </c>
      <c r="O88" s="14"/>
      <c r="P88" s="14"/>
      <c r="Q88" s="15"/>
      <c r="R88" s="15">
        <f>Tabla13[[#This Row],[Uso y acceso Oct/2024]]</f>
        <v>1</v>
      </c>
      <c r="S88" s="15">
        <f>Tabla58[[#This Row],[Integración Oct/2024]]</f>
        <v>0</v>
      </c>
      <c r="T88" s="16">
        <f>AVERAGE(Tabla4[[#This Row],[Creación y captura Oct/2024]:[Compartición e Interoperabilidad Oct/2024]])</f>
        <v>0.5</v>
      </c>
      <c r="U88" s="14"/>
      <c r="V88" s="14"/>
      <c r="W88" s="15"/>
      <c r="X88" s="15">
        <f>Tabla13[[#This Row],[Uso y acceso Nov/2024]]</f>
        <v>1</v>
      </c>
      <c r="Y88" s="15">
        <f>Tabla58[[#This Row],[Integración Nov/2024]]</f>
        <v>0</v>
      </c>
      <c r="Z88" s="16">
        <f>AVERAGE(Tabla4[[#This Row],[Creación y captura Nov/2024]:[Compartición e Interoperabilidad Nov/2024]])</f>
        <v>0.5</v>
      </c>
      <c r="AA88" s="14"/>
      <c r="AB88" s="14"/>
      <c r="AC88" s="15"/>
      <c r="AD88" s="15">
        <f>Tabla13[[#This Row],[Uso y acceso Dic/2024]]</f>
        <v>1</v>
      </c>
      <c r="AE88" s="15">
        <f>Tabla58[[#This Row],[Integración Dic/2024]]</f>
        <v>0</v>
      </c>
      <c r="AF88" s="16">
        <f>AVERAGE(Tabla4[[#This Row],[Creación y captura Dic/2024]:[Compartición e Interoperabilidad Dic/2024]])</f>
        <v>0.5</v>
      </c>
      <c r="AG88" s="14"/>
      <c r="AH88" s="14"/>
      <c r="AI88" s="15"/>
      <c r="AJ88" s="15">
        <f>Tabla13[[#This Row],[Uso y acceso Ene/2025]]</f>
        <v>1</v>
      </c>
      <c r="AK88" s="15">
        <f>Tabla58[[#This Row],[Integración Ene/2025]]</f>
        <v>0</v>
      </c>
      <c r="AL88" s="16">
        <f>AVERAGE(Tabla4[[#This Row],[Creación y captura Ene/2025]:[Compartición e Interoperabilidad Ene/2025]])</f>
        <v>0.5</v>
      </c>
      <c r="AM88" s="14"/>
      <c r="AN88" s="14"/>
      <c r="AO88" s="15"/>
      <c r="AP88" s="15">
        <f>Tabla13[[#This Row],[Uso y acceso Feb/2025]]</f>
        <v>1</v>
      </c>
      <c r="AQ88" s="15">
        <f>Tabla58[[#This Row],[Integración Feb/2025]]</f>
        <v>0</v>
      </c>
      <c r="AR88" s="16">
        <f>AVERAGE(Tabla4[[#This Row],[Creación y captura Feb/2025]:[Compartición e Interoperabilidad Feb/2025]])</f>
        <v>0.5</v>
      </c>
      <c r="AS88" s="14"/>
      <c r="AT88" s="14"/>
      <c r="AU88" s="15"/>
      <c r="AV88" s="15">
        <f>Tabla13[[#This Row],[Uso y acceso Mar/2025]]</f>
        <v>1</v>
      </c>
      <c r="AW88" s="15">
        <f>Tabla58[[#This Row],[Integración Mar/2025]]</f>
        <v>0</v>
      </c>
      <c r="AX88" s="16">
        <f>AVERAGE(Tabla4[[#This Row],[Creación y captura Mar/2025]:[Compartición e Interoperabilidad Mar/2025]])</f>
        <v>0.5</v>
      </c>
      <c r="AY88" s="14"/>
      <c r="AZ88" s="14"/>
      <c r="BA88" s="15"/>
      <c r="BB88" s="15">
        <f>Tabla13[[#This Row],[Uso y acceso Abr/2025]]</f>
        <v>1</v>
      </c>
      <c r="BC88" s="15">
        <f>Tabla58[[#This Row],[Integración Abr/2025]]</f>
        <v>0</v>
      </c>
      <c r="BD88" s="16">
        <f>AVERAGE(Tabla4[[#This Row],[Creación y captura Abr/2025]:[Compartición e Interoperabilidad Abr/2025]])</f>
        <v>0.5</v>
      </c>
      <c r="BE88" s="14"/>
      <c r="BF88" s="14"/>
      <c r="BG88" s="15"/>
      <c r="BH88" s="15">
        <f>Tabla13[[#This Row],[Uso y acceso May/2025]]</f>
        <v>1</v>
      </c>
      <c r="BI88" s="15">
        <f>Tabla58[[#This Row],[Integración May/2025]]</f>
        <v>0</v>
      </c>
      <c r="BJ88" s="16">
        <f>AVERAGE(Tabla4[[#This Row],[Creación y captura May/2025]:[Compartición e Interoperabilidad May/2025]])</f>
        <v>0.5</v>
      </c>
      <c r="BK88" s="14"/>
      <c r="BL88" s="14"/>
      <c r="BM88" s="14">
        <f>AVERAGE('Calidad de Datos'!AQ92:AT92)</f>
        <v>0.65</v>
      </c>
      <c r="BN88" s="14">
        <f>Tabla13[[#This Row],[Uso y acceso Dic/2025]]</f>
        <v>1</v>
      </c>
      <c r="BO88" s="14">
        <f>Tabla58[[#This Row],[Integración Dic/2025]]</f>
        <v>0.6</v>
      </c>
      <c r="BP88" s="16">
        <f>AVERAGE(Tabla4[[#This Row],[Creación y captura Dic/2025]:[Compartición e Interoperabilidad Dic/2025]])</f>
        <v>0.75</v>
      </c>
    </row>
    <row r="89" spans="2:68" x14ac:dyDescent="0.4">
      <c r="B89" s="1" t="s">
        <v>140</v>
      </c>
      <c r="C89" s="14"/>
      <c r="D89" s="14"/>
      <c r="E89" s="14"/>
      <c r="F89" s="14">
        <f>Tabla13[[#This Row],[Uso y acceso Ago/2024]]</f>
        <v>0.8</v>
      </c>
      <c r="G89" s="15">
        <f>Tabla58[[#This Row],[Integración Ago/2024]]</f>
        <v>0</v>
      </c>
      <c r="H89" s="16">
        <f>AVERAGE(Tabla4[[#This Row],[Creación y captura Ago/2024]:[Compartición e Interoperabilidad Ago/2024]])</f>
        <v>0.4</v>
      </c>
      <c r="I89" s="14"/>
      <c r="J89" s="14"/>
      <c r="K89" s="15"/>
      <c r="L89" s="15">
        <f>Tabla13[[#This Row],[Uso y acceso Sep/2024]]</f>
        <v>0.8</v>
      </c>
      <c r="M89" s="15">
        <f>Tabla58[[#This Row],[Integración Sep/2024]]</f>
        <v>0</v>
      </c>
      <c r="N89" s="16">
        <f>AVERAGE(Tabla4[[#This Row],[Creación y captura Sep/2024]:[Compartición e Interoperabilidad Sep/2024]])</f>
        <v>0.4</v>
      </c>
      <c r="O89" s="14"/>
      <c r="P89" s="14"/>
      <c r="Q89" s="15"/>
      <c r="R89" s="15">
        <f>Tabla13[[#This Row],[Uso y acceso Oct/2024]]</f>
        <v>1</v>
      </c>
      <c r="S89" s="15">
        <f>Tabla58[[#This Row],[Integración Oct/2024]]</f>
        <v>0</v>
      </c>
      <c r="T89" s="16">
        <f>AVERAGE(Tabla4[[#This Row],[Creación y captura Oct/2024]:[Compartición e Interoperabilidad Oct/2024]])</f>
        <v>0.5</v>
      </c>
      <c r="U89" s="14"/>
      <c r="V89" s="14"/>
      <c r="W89" s="15"/>
      <c r="X89" s="15">
        <f>Tabla13[[#This Row],[Uso y acceso Nov/2024]]</f>
        <v>1</v>
      </c>
      <c r="Y89" s="15">
        <f>Tabla58[[#This Row],[Integración Nov/2024]]</f>
        <v>0</v>
      </c>
      <c r="Z89" s="16">
        <f>AVERAGE(Tabla4[[#This Row],[Creación y captura Nov/2024]:[Compartición e Interoperabilidad Nov/2024]])</f>
        <v>0.5</v>
      </c>
      <c r="AA89" s="14"/>
      <c r="AB89" s="14"/>
      <c r="AC89" s="15"/>
      <c r="AD89" s="15">
        <f>Tabla13[[#This Row],[Uso y acceso Dic/2024]]</f>
        <v>1</v>
      </c>
      <c r="AE89" s="15">
        <f>Tabla58[[#This Row],[Integración Dic/2024]]</f>
        <v>0</v>
      </c>
      <c r="AF89" s="16">
        <f>AVERAGE(Tabla4[[#This Row],[Creación y captura Dic/2024]:[Compartición e Interoperabilidad Dic/2024]])</f>
        <v>0.5</v>
      </c>
      <c r="AG89" s="14"/>
      <c r="AH89" s="14"/>
      <c r="AI89" s="15"/>
      <c r="AJ89" s="15">
        <f>Tabla13[[#This Row],[Uso y acceso Ene/2025]]</f>
        <v>1</v>
      </c>
      <c r="AK89" s="15">
        <f>Tabla58[[#This Row],[Integración Ene/2025]]</f>
        <v>0</v>
      </c>
      <c r="AL89" s="16">
        <f>AVERAGE(Tabla4[[#This Row],[Creación y captura Ene/2025]:[Compartición e Interoperabilidad Ene/2025]])</f>
        <v>0.5</v>
      </c>
      <c r="AM89" s="14"/>
      <c r="AN89" s="14"/>
      <c r="AO89" s="15"/>
      <c r="AP89" s="15">
        <f>Tabla13[[#This Row],[Uso y acceso Feb/2025]]</f>
        <v>1</v>
      </c>
      <c r="AQ89" s="15">
        <f>Tabla58[[#This Row],[Integración Feb/2025]]</f>
        <v>0</v>
      </c>
      <c r="AR89" s="16">
        <f>AVERAGE(Tabla4[[#This Row],[Creación y captura Feb/2025]:[Compartición e Interoperabilidad Feb/2025]])</f>
        <v>0.5</v>
      </c>
      <c r="AS89" s="14"/>
      <c r="AT89" s="14"/>
      <c r="AU89" s="15"/>
      <c r="AV89" s="15">
        <f>Tabla13[[#This Row],[Uso y acceso Mar/2025]]</f>
        <v>1</v>
      </c>
      <c r="AW89" s="15">
        <f>Tabla58[[#This Row],[Integración Mar/2025]]</f>
        <v>0</v>
      </c>
      <c r="AX89" s="16">
        <f>AVERAGE(Tabla4[[#This Row],[Creación y captura Mar/2025]:[Compartición e Interoperabilidad Mar/2025]])</f>
        <v>0.5</v>
      </c>
      <c r="AY89" s="14"/>
      <c r="AZ89" s="14"/>
      <c r="BA89" s="15"/>
      <c r="BB89" s="15">
        <f>Tabla13[[#This Row],[Uso y acceso Abr/2025]]</f>
        <v>1</v>
      </c>
      <c r="BC89" s="15">
        <f>Tabla58[[#This Row],[Integración Abr/2025]]</f>
        <v>0</v>
      </c>
      <c r="BD89" s="16">
        <f>AVERAGE(Tabla4[[#This Row],[Creación y captura Abr/2025]:[Compartición e Interoperabilidad Abr/2025]])</f>
        <v>0.5</v>
      </c>
      <c r="BE89" s="14"/>
      <c r="BF89" s="14"/>
      <c r="BG89" s="15"/>
      <c r="BH89" s="15">
        <f>Tabla13[[#This Row],[Uso y acceso May/2025]]</f>
        <v>1</v>
      </c>
      <c r="BI89" s="15">
        <f>Tabla58[[#This Row],[Integración May/2025]]</f>
        <v>0</v>
      </c>
      <c r="BJ89" s="16">
        <f>AVERAGE(Tabla4[[#This Row],[Creación y captura May/2025]:[Compartición e Interoperabilidad May/2025]])</f>
        <v>0.5</v>
      </c>
      <c r="BK89" s="14">
        <v>1</v>
      </c>
      <c r="BL89" s="14">
        <v>1</v>
      </c>
      <c r="BM89" s="14">
        <f>AVERAGE('Calidad de Datos'!AQ93:AT93)</f>
        <v>0.95</v>
      </c>
      <c r="BN89" s="14">
        <f>Tabla13[[#This Row],[Uso y acceso Dic/2025]]</f>
        <v>1</v>
      </c>
      <c r="BO89" s="14">
        <f>Tabla58[[#This Row],[Integración Dic/2025]]</f>
        <v>1</v>
      </c>
      <c r="BP89" s="16">
        <f>AVERAGE(Tabla4[[#This Row],[Creación y captura Dic/2025]:[Compartición e Interoperabilidad Dic/2025]])</f>
        <v>0.99</v>
      </c>
    </row>
    <row r="90" spans="2:68" x14ac:dyDescent="0.4">
      <c r="B90" s="1" t="s">
        <v>141</v>
      </c>
      <c r="C90" s="14"/>
      <c r="D90" s="14"/>
      <c r="E90" s="14"/>
      <c r="F90" s="14">
        <f>Tabla13[[#This Row],[Uso y acceso Ago/2024]]</f>
        <v>0.8</v>
      </c>
      <c r="G90" s="15">
        <f>Tabla58[[#This Row],[Integración Ago/2024]]</f>
        <v>0</v>
      </c>
      <c r="H90" s="16">
        <f>AVERAGE(Tabla4[[#This Row],[Creación y captura Ago/2024]:[Compartición e Interoperabilidad Ago/2024]])</f>
        <v>0.4</v>
      </c>
      <c r="I90" s="14"/>
      <c r="J90" s="14"/>
      <c r="K90" s="15"/>
      <c r="L90" s="15">
        <f>Tabla13[[#This Row],[Uso y acceso Sep/2024]]</f>
        <v>0.8</v>
      </c>
      <c r="M90" s="15">
        <f>Tabla58[[#This Row],[Integración Sep/2024]]</f>
        <v>0</v>
      </c>
      <c r="N90" s="16">
        <f>AVERAGE(Tabla4[[#This Row],[Creación y captura Sep/2024]:[Compartición e Interoperabilidad Sep/2024]])</f>
        <v>0.4</v>
      </c>
      <c r="O90" s="14"/>
      <c r="P90" s="14"/>
      <c r="Q90" s="15"/>
      <c r="R90" s="15">
        <f>Tabla13[[#This Row],[Uso y acceso Oct/2024]]</f>
        <v>1</v>
      </c>
      <c r="S90" s="15">
        <f>Tabla58[[#This Row],[Integración Oct/2024]]</f>
        <v>0</v>
      </c>
      <c r="T90" s="16">
        <f>AVERAGE(Tabla4[[#This Row],[Creación y captura Oct/2024]:[Compartición e Interoperabilidad Oct/2024]])</f>
        <v>0.5</v>
      </c>
      <c r="U90" s="14"/>
      <c r="V90" s="14"/>
      <c r="W90" s="15"/>
      <c r="X90" s="15">
        <f>Tabla13[[#This Row],[Uso y acceso Nov/2024]]</f>
        <v>1</v>
      </c>
      <c r="Y90" s="15">
        <f>Tabla58[[#This Row],[Integración Nov/2024]]</f>
        <v>0</v>
      </c>
      <c r="Z90" s="16">
        <f>AVERAGE(Tabla4[[#This Row],[Creación y captura Nov/2024]:[Compartición e Interoperabilidad Nov/2024]])</f>
        <v>0.5</v>
      </c>
      <c r="AA90" s="14"/>
      <c r="AB90" s="14"/>
      <c r="AC90" s="15"/>
      <c r="AD90" s="15">
        <f>Tabla13[[#This Row],[Uso y acceso Dic/2024]]</f>
        <v>1</v>
      </c>
      <c r="AE90" s="15">
        <f>Tabla58[[#This Row],[Integración Dic/2024]]</f>
        <v>0</v>
      </c>
      <c r="AF90" s="16">
        <f>AVERAGE(Tabla4[[#This Row],[Creación y captura Dic/2024]:[Compartición e Interoperabilidad Dic/2024]])</f>
        <v>0.5</v>
      </c>
      <c r="AG90" s="14"/>
      <c r="AH90" s="14"/>
      <c r="AI90" s="15"/>
      <c r="AJ90" s="15">
        <f>Tabla13[[#This Row],[Uso y acceso Ene/2025]]</f>
        <v>1</v>
      </c>
      <c r="AK90" s="15">
        <f>Tabla58[[#This Row],[Integración Ene/2025]]</f>
        <v>0</v>
      </c>
      <c r="AL90" s="16">
        <f>AVERAGE(Tabla4[[#This Row],[Creación y captura Ene/2025]:[Compartición e Interoperabilidad Ene/2025]])</f>
        <v>0.5</v>
      </c>
      <c r="AM90" s="14"/>
      <c r="AN90" s="14"/>
      <c r="AO90" s="15"/>
      <c r="AP90" s="15">
        <f>Tabla13[[#This Row],[Uso y acceso Feb/2025]]</f>
        <v>1</v>
      </c>
      <c r="AQ90" s="15">
        <f>Tabla58[[#This Row],[Integración Feb/2025]]</f>
        <v>0</v>
      </c>
      <c r="AR90" s="16">
        <f>AVERAGE(Tabla4[[#This Row],[Creación y captura Feb/2025]:[Compartición e Interoperabilidad Feb/2025]])</f>
        <v>0.5</v>
      </c>
      <c r="AS90" s="14"/>
      <c r="AT90" s="14"/>
      <c r="AU90" s="15"/>
      <c r="AV90" s="15">
        <f>Tabla13[[#This Row],[Uso y acceso Mar/2025]]</f>
        <v>1</v>
      </c>
      <c r="AW90" s="15">
        <f>Tabla58[[#This Row],[Integración Mar/2025]]</f>
        <v>0</v>
      </c>
      <c r="AX90" s="16">
        <f>AVERAGE(Tabla4[[#This Row],[Creación y captura Mar/2025]:[Compartición e Interoperabilidad Mar/2025]])</f>
        <v>0.5</v>
      </c>
      <c r="AY90" s="14"/>
      <c r="AZ90" s="14"/>
      <c r="BA90" s="15"/>
      <c r="BB90" s="15">
        <f>Tabla13[[#This Row],[Uso y acceso Abr/2025]]</f>
        <v>1</v>
      </c>
      <c r="BC90" s="15">
        <f>Tabla58[[#This Row],[Integración Abr/2025]]</f>
        <v>0</v>
      </c>
      <c r="BD90" s="16">
        <f>AVERAGE(Tabla4[[#This Row],[Creación y captura Abr/2025]:[Compartición e Interoperabilidad Abr/2025]])</f>
        <v>0.5</v>
      </c>
      <c r="BE90" s="14"/>
      <c r="BF90" s="14"/>
      <c r="BG90" s="15"/>
      <c r="BH90" s="15">
        <f>Tabla13[[#This Row],[Uso y acceso May/2025]]</f>
        <v>1</v>
      </c>
      <c r="BI90" s="15">
        <f>Tabla58[[#This Row],[Integración May/2025]]</f>
        <v>0</v>
      </c>
      <c r="BJ90" s="16">
        <f>AVERAGE(Tabla4[[#This Row],[Creación y captura May/2025]:[Compartición e Interoperabilidad May/2025]])</f>
        <v>0.5</v>
      </c>
      <c r="BK90" s="14">
        <v>1</v>
      </c>
      <c r="BL90" s="14">
        <v>1</v>
      </c>
      <c r="BM90" s="14">
        <f>AVERAGE('Calidad de Datos'!AQ94:AT94)</f>
        <v>0.95</v>
      </c>
      <c r="BN90" s="14">
        <f>Tabla13[[#This Row],[Uso y acceso Dic/2025]]</f>
        <v>1</v>
      </c>
      <c r="BO90" s="14">
        <f>Tabla58[[#This Row],[Integración Dic/2025]]</f>
        <v>1</v>
      </c>
      <c r="BP90" s="16">
        <f>AVERAGE(Tabla4[[#This Row],[Creación y captura Dic/2025]:[Compartición e Interoperabilidad Dic/2025]])</f>
        <v>0.99</v>
      </c>
    </row>
    <row r="91" spans="2:68" x14ac:dyDescent="0.4">
      <c r="B91" s="1" t="s">
        <v>142</v>
      </c>
      <c r="C91" s="14"/>
      <c r="D91" s="14"/>
      <c r="E91" s="14"/>
      <c r="F91" s="14">
        <f>Tabla13[[#This Row],[Uso y acceso Ago/2024]]</f>
        <v>0.8</v>
      </c>
      <c r="G91" s="15">
        <f>Tabla58[[#This Row],[Integración Ago/2024]]</f>
        <v>0</v>
      </c>
      <c r="H91" s="16">
        <f>AVERAGE(Tabla4[[#This Row],[Creación y captura Ago/2024]:[Compartición e Interoperabilidad Ago/2024]])</f>
        <v>0.4</v>
      </c>
      <c r="I91" s="14"/>
      <c r="J91" s="14"/>
      <c r="K91" s="15"/>
      <c r="L91" s="15">
        <f>Tabla13[[#This Row],[Uso y acceso Sep/2024]]</f>
        <v>0.8</v>
      </c>
      <c r="M91" s="15">
        <f>Tabla58[[#This Row],[Integración Sep/2024]]</f>
        <v>0</v>
      </c>
      <c r="N91" s="16">
        <f>AVERAGE(Tabla4[[#This Row],[Creación y captura Sep/2024]:[Compartición e Interoperabilidad Sep/2024]])</f>
        <v>0.4</v>
      </c>
      <c r="O91" s="14"/>
      <c r="P91" s="14"/>
      <c r="Q91" s="15"/>
      <c r="R91" s="15">
        <f>Tabla13[[#This Row],[Uso y acceso Oct/2024]]</f>
        <v>1</v>
      </c>
      <c r="S91" s="15">
        <f>Tabla58[[#This Row],[Integración Oct/2024]]</f>
        <v>0</v>
      </c>
      <c r="T91" s="16">
        <f>AVERAGE(Tabla4[[#This Row],[Creación y captura Oct/2024]:[Compartición e Interoperabilidad Oct/2024]])</f>
        <v>0.5</v>
      </c>
      <c r="U91" s="14"/>
      <c r="V91" s="14"/>
      <c r="W91" s="15"/>
      <c r="X91" s="15">
        <f>Tabla13[[#This Row],[Uso y acceso Nov/2024]]</f>
        <v>1</v>
      </c>
      <c r="Y91" s="15">
        <f>Tabla58[[#This Row],[Integración Nov/2024]]</f>
        <v>0</v>
      </c>
      <c r="Z91" s="16">
        <f>AVERAGE(Tabla4[[#This Row],[Creación y captura Nov/2024]:[Compartición e Interoperabilidad Nov/2024]])</f>
        <v>0.5</v>
      </c>
      <c r="AA91" s="14"/>
      <c r="AB91" s="14"/>
      <c r="AC91" s="15"/>
      <c r="AD91" s="15">
        <f>Tabla13[[#This Row],[Uso y acceso Dic/2024]]</f>
        <v>1</v>
      </c>
      <c r="AE91" s="15">
        <f>Tabla58[[#This Row],[Integración Dic/2024]]</f>
        <v>0</v>
      </c>
      <c r="AF91" s="16">
        <f>AVERAGE(Tabla4[[#This Row],[Creación y captura Dic/2024]:[Compartición e Interoperabilidad Dic/2024]])</f>
        <v>0.5</v>
      </c>
      <c r="AG91" s="14"/>
      <c r="AH91" s="14"/>
      <c r="AI91" s="15"/>
      <c r="AJ91" s="15">
        <f>Tabla13[[#This Row],[Uso y acceso Ene/2025]]</f>
        <v>1</v>
      </c>
      <c r="AK91" s="15">
        <f>Tabla58[[#This Row],[Integración Ene/2025]]</f>
        <v>0</v>
      </c>
      <c r="AL91" s="16">
        <f>AVERAGE(Tabla4[[#This Row],[Creación y captura Ene/2025]:[Compartición e Interoperabilidad Ene/2025]])</f>
        <v>0.5</v>
      </c>
      <c r="AM91" s="14"/>
      <c r="AN91" s="14"/>
      <c r="AO91" s="15"/>
      <c r="AP91" s="15">
        <f>Tabla13[[#This Row],[Uso y acceso Feb/2025]]</f>
        <v>1</v>
      </c>
      <c r="AQ91" s="15">
        <f>Tabla58[[#This Row],[Integración Feb/2025]]</f>
        <v>0</v>
      </c>
      <c r="AR91" s="16">
        <f>AVERAGE(Tabla4[[#This Row],[Creación y captura Feb/2025]:[Compartición e Interoperabilidad Feb/2025]])</f>
        <v>0.5</v>
      </c>
      <c r="AS91" s="14"/>
      <c r="AT91" s="14"/>
      <c r="AU91" s="15"/>
      <c r="AV91" s="15">
        <f>Tabla13[[#This Row],[Uso y acceso Mar/2025]]</f>
        <v>1</v>
      </c>
      <c r="AW91" s="15">
        <f>Tabla58[[#This Row],[Integración Mar/2025]]</f>
        <v>0</v>
      </c>
      <c r="AX91" s="16">
        <f>AVERAGE(Tabla4[[#This Row],[Creación y captura Mar/2025]:[Compartición e Interoperabilidad Mar/2025]])</f>
        <v>0.5</v>
      </c>
      <c r="AY91" s="14"/>
      <c r="AZ91" s="14"/>
      <c r="BA91" s="15"/>
      <c r="BB91" s="15">
        <f>Tabla13[[#This Row],[Uso y acceso Abr/2025]]</f>
        <v>1</v>
      </c>
      <c r="BC91" s="15">
        <f>Tabla58[[#This Row],[Integración Abr/2025]]</f>
        <v>0</v>
      </c>
      <c r="BD91" s="16">
        <f>AVERAGE(Tabla4[[#This Row],[Creación y captura Abr/2025]:[Compartición e Interoperabilidad Abr/2025]])</f>
        <v>0.5</v>
      </c>
      <c r="BE91" s="14"/>
      <c r="BF91" s="14"/>
      <c r="BG91" s="15"/>
      <c r="BH91" s="15">
        <f>Tabla13[[#This Row],[Uso y acceso May/2025]]</f>
        <v>1</v>
      </c>
      <c r="BI91" s="15">
        <f>Tabla58[[#This Row],[Integración May/2025]]</f>
        <v>0</v>
      </c>
      <c r="BJ91" s="16">
        <f>AVERAGE(Tabla4[[#This Row],[Creación y captura May/2025]:[Compartición e Interoperabilidad May/2025]])</f>
        <v>0.5</v>
      </c>
      <c r="BK91" s="14"/>
      <c r="BL91" s="14"/>
      <c r="BM91" s="14">
        <f>AVERAGE('Calidad de Datos'!AQ95:AT95)</f>
        <v>1</v>
      </c>
      <c r="BN91" s="14">
        <f>Tabla13[[#This Row],[Uso y acceso Dic/2025]]</f>
        <v>1</v>
      </c>
      <c r="BO91" s="14">
        <f>Tabla58[[#This Row],[Integración Dic/2025]]</f>
        <v>0.8</v>
      </c>
      <c r="BP91" s="16">
        <f>AVERAGE(Tabla4[[#This Row],[Creación y captura Dic/2025]:[Compartición e Interoperabilidad Dic/2025]])</f>
        <v>0.93333333333333324</v>
      </c>
    </row>
    <row r="92" spans="2:68" x14ac:dyDescent="0.4">
      <c r="B92" s="1" t="s">
        <v>143</v>
      </c>
      <c r="C92" s="14"/>
      <c r="D92" s="14"/>
      <c r="E92" s="14"/>
      <c r="F92" s="14">
        <f>Tabla13[[#This Row],[Uso y acceso Ago/2024]]</f>
        <v>0.8</v>
      </c>
      <c r="G92" s="15">
        <f>Tabla58[[#This Row],[Integración Ago/2024]]</f>
        <v>0</v>
      </c>
      <c r="H92" s="16">
        <f>AVERAGE(Tabla4[[#This Row],[Creación y captura Ago/2024]:[Compartición e Interoperabilidad Ago/2024]])</f>
        <v>0.4</v>
      </c>
      <c r="I92" s="14"/>
      <c r="J92" s="14"/>
      <c r="K92" s="15"/>
      <c r="L92" s="15">
        <f>Tabla13[[#This Row],[Uso y acceso Sep/2024]]</f>
        <v>0.8</v>
      </c>
      <c r="M92" s="15">
        <f>Tabla58[[#This Row],[Integración Sep/2024]]</f>
        <v>0</v>
      </c>
      <c r="N92" s="16">
        <f>AVERAGE(Tabla4[[#This Row],[Creación y captura Sep/2024]:[Compartición e Interoperabilidad Sep/2024]])</f>
        <v>0.4</v>
      </c>
      <c r="O92" s="14"/>
      <c r="P92" s="14"/>
      <c r="Q92" s="15"/>
      <c r="R92" s="15">
        <f>Tabla13[[#This Row],[Uso y acceso Oct/2024]]</f>
        <v>1</v>
      </c>
      <c r="S92" s="15">
        <f>Tabla58[[#This Row],[Integración Oct/2024]]</f>
        <v>0</v>
      </c>
      <c r="T92" s="16">
        <f>AVERAGE(Tabla4[[#This Row],[Creación y captura Oct/2024]:[Compartición e Interoperabilidad Oct/2024]])</f>
        <v>0.5</v>
      </c>
      <c r="U92" s="14"/>
      <c r="V92" s="14"/>
      <c r="W92" s="15"/>
      <c r="X92" s="15">
        <f>Tabla13[[#This Row],[Uso y acceso Nov/2024]]</f>
        <v>1</v>
      </c>
      <c r="Y92" s="15">
        <f>Tabla58[[#This Row],[Integración Nov/2024]]</f>
        <v>0</v>
      </c>
      <c r="Z92" s="16">
        <f>AVERAGE(Tabla4[[#This Row],[Creación y captura Nov/2024]:[Compartición e Interoperabilidad Nov/2024]])</f>
        <v>0.5</v>
      </c>
      <c r="AA92" s="14"/>
      <c r="AB92" s="14"/>
      <c r="AC92" s="15"/>
      <c r="AD92" s="15">
        <f>Tabla13[[#This Row],[Uso y acceso Dic/2024]]</f>
        <v>1</v>
      </c>
      <c r="AE92" s="15">
        <f>Tabla58[[#This Row],[Integración Dic/2024]]</f>
        <v>0</v>
      </c>
      <c r="AF92" s="16">
        <f>AVERAGE(Tabla4[[#This Row],[Creación y captura Dic/2024]:[Compartición e Interoperabilidad Dic/2024]])</f>
        <v>0.5</v>
      </c>
      <c r="AG92" s="14"/>
      <c r="AH92" s="14"/>
      <c r="AI92" s="15"/>
      <c r="AJ92" s="15">
        <f>Tabla13[[#This Row],[Uso y acceso Ene/2025]]</f>
        <v>1</v>
      </c>
      <c r="AK92" s="15">
        <f>Tabla58[[#This Row],[Integración Ene/2025]]</f>
        <v>0</v>
      </c>
      <c r="AL92" s="16">
        <f>AVERAGE(Tabla4[[#This Row],[Creación y captura Ene/2025]:[Compartición e Interoperabilidad Ene/2025]])</f>
        <v>0.5</v>
      </c>
      <c r="AM92" s="14"/>
      <c r="AN92" s="14"/>
      <c r="AO92" s="15"/>
      <c r="AP92" s="15">
        <f>Tabla13[[#This Row],[Uso y acceso Feb/2025]]</f>
        <v>1</v>
      </c>
      <c r="AQ92" s="15">
        <f>Tabla58[[#This Row],[Integración Feb/2025]]</f>
        <v>0</v>
      </c>
      <c r="AR92" s="16">
        <f>AVERAGE(Tabla4[[#This Row],[Creación y captura Feb/2025]:[Compartición e Interoperabilidad Feb/2025]])</f>
        <v>0.5</v>
      </c>
      <c r="AS92" s="14"/>
      <c r="AT92" s="14"/>
      <c r="AU92" s="15"/>
      <c r="AV92" s="15">
        <f>Tabla13[[#This Row],[Uso y acceso Mar/2025]]</f>
        <v>1</v>
      </c>
      <c r="AW92" s="15">
        <f>Tabla58[[#This Row],[Integración Mar/2025]]</f>
        <v>0</v>
      </c>
      <c r="AX92" s="16">
        <f>AVERAGE(Tabla4[[#This Row],[Creación y captura Mar/2025]:[Compartición e Interoperabilidad Mar/2025]])</f>
        <v>0.5</v>
      </c>
      <c r="AY92" s="14"/>
      <c r="AZ92" s="14"/>
      <c r="BA92" s="15"/>
      <c r="BB92" s="15">
        <f>Tabla13[[#This Row],[Uso y acceso Abr/2025]]</f>
        <v>1</v>
      </c>
      <c r="BC92" s="15">
        <f>Tabla58[[#This Row],[Integración Abr/2025]]</f>
        <v>0</v>
      </c>
      <c r="BD92" s="16">
        <f>AVERAGE(Tabla4[[#This Row],[Creación y captura Abr/2025]:[Compartición e Interoperabilidad Abr/2025]])</f>
        <v>0.5</v>
      </c>
      <c r="BE92" s="14"/>
      <c r="BF92" s="14"/>
      <c r="BG92" s="15"/>
      <c r="BH92" s="15">
        <f>Tabla13[[#This Row],[Uso y acceso May/2025]]</f>
        <v>1</v>
      </c>
      <c r="BI92" s="15">
        <f>Tabla58[[#This Row],[Integración May/2025]]</f>
        <v>0</v>
      </c>
      <c r="BJ92" s="16">
        <f>AVERAGE(Tabla4[[#This Row],[Creación y captura May/2025]:[Compartición e Interoperabilidad May/2025]])</f>
        <v>0.5</v>
      </c>
      <c r="BK92" s="14">
        <v>1</v>
      </c>
      <c r="BL92" s="14">
        <v>1</v>
      </c>
      <c r="BM92" s="14">
        <f>AVERAGE('Calidad de Datos'!AQ96:AT96)</f>
        <v>0.97499999999999998</v>
      </c>
      <c r="BN92" s="14">
        <f>Tabla13[[#This Row],[Uso y acceso Dic/2025]]</f>
        <v>1</v>
      </c>
      <c r="BO92" s="14">
        <f>Tabla58[[#This Row],[Integración Dic/2025]]</f>
        <v>1</v>
      </c>
      <c r="BP92" s="16">
        <f>AVERAGE(Tabla4[[#This Row],[Creación y captura Dic/2025]:[Compartición e Interoperabilidad Dic/2025]])</f>
        <v>0.99499999999999988</v>
      </c>
    </row>
    <row r="93" spans="2:68" x14ac:dyDescent="0.4">
      <c r="B93" s="1" t="s">
        <v>144</v>
      </c>
      <c r="C93" s="14"/>
      <c r="D93" s="14"/>
      <c r="E93" s="14"/>
      <c r="F93" s="14">
        <f>Tabla13[[#This Row],[Uso y acceso Ago/2024]]</f>
        <v>1</v>
      </c>
      <c r="G93" s="15">
        <f>Tabla58[[#This Row],[Integración Ago/2024]]</f>
        <v>0</v>
      </c>
      <c r="H93" s="16">
        <f>AVERAGE(Tabla4[[#This Row],[Creación y captura Ago/2024]:[Compartición e Interoperabilidad Ago/2024]])</f>
        <v>0.5</v>
      </c>
      <c r="I93" s="14"/>
      <c r="J93" s="14"/>
      <c r="K93" s="15"/>
      <c r="L93" s="15">
        <f>Tabla13[[#This Row],[Uso y acceso Sep/2024]]</f>
        <v>1</v>
      </c>
      <c r="M93" s="15">
        <f>Tabla58[[#This Row],[Integración Sep/2024]]</f>
        <v>0</v>
      </c>
      <c r="N93" s="16">
        <f>AVERAGE(Tabla4[[#This Row],[Creación y captura Sep/2024]:[Compartición e Interoperabilidad Sep/2024]])</f>
        <v>0.5</v>
      </c>
      <c r="O93" s="14"/>
      <c r="P93" s="14"/>
      <c r="Q93" s="15"/>
      <c r="R93" s="15">
        <f>Tabla13[[#This Row],[Uso y acceso Oct/2024]]</f>
        <v>1</v>
      </c>
      <c r="S93" s="15">
        <f>Tabla58[[#This Row],[Integración Oct/2024]]</f>
        <v>0</v>
      </c>
      <c r="T93" s="16">
        <f>AVERAGE(Tabla4[[#This Row],[Creación y captura Oct/2024]:[Compartición e Interoperabilidad Oct/2024]])</f>
        <v>0.5</v>
      </c>
      <c r="U93" s="14"/>
      <c r="V93" s="14"/>
      <c r="W93" s="15"/>
      <c r="X93" s="15">
        <f>Tabla13[[#This Row],[Uso y acceso Nov/2024]]</f>
        <v>1</v>
      </c>
      <c r="Y93" s="15">
        <f>Tabla58[[#This Row],[Integración Nov/2024]]</f>
        <v>0</v>
      </c>
      <c r="Z93" s="16">
        <f>AVERAGE(Tabla4[[#This Row],[Creación y captura Nov/2024]:[Compartición e Interoperabilidad Nov/2024]])</f>
        <v>0.5</v>
      </c>
      <c r="AA93" s="14"/>
      <c r="AB93" s="14"/>
      <c r="AC93" s="15"/>
      <c r="AD93" s="15">
        <f>Tabla13[[#This Row],[Uso y acceso Dic/2024]]</f>
        <v>1</v>
      </c>
      <c r="AE93" s="15">
        <f>Tabla58[[#This Row],[Integración Dic/2024]]</f>
        <v>0</v>
      </c>
      <c r="AF93" s="16">
        <f>AVERAGE(Tabla4[[#This Row],[Creación y captura Dic/2024]:[Compartición e Interoperabilidad Dic/2024]])</f>
        <v>0.5</v>
      </c>
      <c r="AG93" s="14"/>
      <c r="AH93" s="14"/>
      <c r="AI93" s="15"/>
      <c r="AJ93" s="15">
        <f>Tabla13[[#This Row],[Uso y acceso Ene/2025]]</f>
        <v>1</v>
      </c>
      <c r="AK93" s="15">
        <f>Tabla58[[#This Row],[Integración Ene/2025]]</f>
        <v>0</v>
      </c>
      <c r="AL93" s="16">
        <f>AVERAGE(Tabla4[[#This Row],[Creación y captura Ene/2025]:[Compartición e Interoperabilidad Ene/2025]])</f>
        <v>0.5</v>
      </c>
      <c r="AM93" s="14"/>
      <c r="AN93" s="14"/>
      <c r="AO93" s="15"/>
      <c r="AP93" s="15">
        <f>Tabla13[[#This Row],[Uso y acceso Feb/2025]]</f>
        <v>1</v>
      </c>
      <c r="AQ93" s="15">
        <f>Tabla58[[#This Row],[Integración Feb/2025]]</f>
        <v>0.3</v>
      </c>
      <c r="AR93" s="16">
        <f>AVERAGE(Tabla4[[#This Row],[Creación y captura Feb/2025]:[Compartición e Interoperabilidad Feb/2025]])</f>
        <v>0.65</v>
      </c>
      <c r="AS93" s="14"/>
      <c r="AT93" s="14"/>
      <c r="AU93" s="15"/>
      <c r="AV93" s="15">
        <f>Tabla13[[#This Row],[Uso y acceso Mar/2025]]</f>
        <v>1</v>
      </c>
      <c r="AW93" s="15">
        <f>Tabla58[[#This Row],[Integración Mar/2025]]</f>
        <v>0.3</v>
      </c>
      <c r="AX93" s="16">
        <f>AVERAGE(Tabla4[[#This Row],[Creación y captura Mar/2025]:[Compartición e Interoperabilidad Mar/2025]])</f>
        <v>0.65</v>
      </c>
      <c r="AY93" s="14"/>
      <c r="AZ93" s="14"/>
      <c r="BA93" s="15"/>
      <c r="BB93" s="15">
        <f>Tabla13[[#This Row],[Uso y acceso Abr/2025]]</f>
        <v>1</v>
      </c>
      <c r="BC93" s="15">
        <f>Tabla58[[#This Row],[Integración Abr/2025]]</f>
        <v>0.3</v>
      </c>
      <c r="BD93" s="16">
        <f>AVERAGE(Tabla4[[#This Row],[Creación y captura Abr/2025]:[Compartición e Interoperabilidad Abr/2025]])</f>
        <v>0.65</v>
      </c>
      <c r="BE93" s="14"/>
      <c r="BF93" s="14"/>
      <c r="BG93" s="15"/>
      <c r="BH93" s="15">
        <f>Tabla13[[#This Row],[Uso y acceso May/2025]]</f>
        <v>1</v>
      </c>
      <c r="BI93" s="15">
        <f>Tabla58[[#This Row],[Integración May/2025]]</f>
        <v>0.3</v>
      </c>
      <c r="BJ93" s="16">
        <f>AVERAGE(Tabla4[[#This Row],[Creación y captura May/2025]:[Compartición e Interoperabilidad May/2025]])</f>
        <v>0.65</v>
      </c>
      <c r="BK93" s="14"/>
      <c r="BL93" s="14"/>
      <c r="BM93" s="14">
        <f>AVERAGE('Calidad de Datos'!AQ97:AT97)</f>
        <v>1</v>
      </c>
      <c r="BN93" s="14">
        <f>Tabla13[[#This Row],[Uso y acceso Dic/2025]]</f>
        <v>1</v>
      </c>
      <c r="BO93" s="14">
        <f>Tabla58[[#This Row],[Integración Dic/2025]]</f>
        <v>0.8</v>
      </c>
      <c r="BP93" s="16">
        <f>AVERAGE(Tabla4[[#This Row],[Creación y captura Dic/2025]:[Compartición e Interoperabilidad Dic/2025]])</f>
        <v>0.93333333333333324</v>
      </c>
    </row>
    <row r="94" spans="2:68" x14ac:dyDescent="0.4">
      <c r="B94" s="1" t="s">
        <v>145</v>
      </c>
      <c r="C94" s="14"/>
      <c r="D94" s="14"/>
      <c r="E94" s="14"/>
      <c r="F94" s="14">
        <f>Tabla13[[#This Row],[Uso y acceso Ago/2024]]</f>
        <v>1</v>
      </c>
      <c r="G94" s="15">
        <f>Tabla58[[#This Row],[Integración Ago/2024]]</f>
        <v>0</v>
      </c>
      <c r="H94" s="16">
        <f>AVERAGE(Tabla4[[#This Row],[Creación y captura Ago/2024]:[Compartición e Interoperabilidad Ago/2024]])</f>
        <v>0.5</v>
      </c>
      <c r="I94" s="14"/>
      <c r="J94" s="14"/>
      <c r="K94" s="15"/>
      <c r="L94" s="15">
        <f>Tabla13[[#This Row],[Uso y acceso Sep/2024]]</f>
        <v>1</v>
      </c>
      <c r="M94" s="15">
        <f>Tabla58[[#This Row],[Integración Sep/2024]]</f>
        <v>0</v>
      </c>
      <c r="N94" s="16">
        <f>AVERAGE(Tabla4[[#This Row],[Creación y captura Sep/2024]:[Compartición e Interoperabilidad Sep/2024]])</f>
        <v>0.5</v>
      </c>
      <c r="O94" s="14"/>
      <c r="P94" s="14"/>
      <c r="Q94" s="15"/>
      <c r="R94" s="15">
        <f>Tabla13[[#This Row],[Uso y acceso Oct/2024]]</f>
        <v>1</v>
      </c>
      <c r="S94" s="15">
        <f>Tabla58[[#This Row],[Integración Oct/2024]]</f>
        <v>0</v>
      </c>
      <c r="T94" s="16">
        <f>AVERAGE(Tabla4[[#This Row],[Creación y captura Oct/2024]:[Compartición e Interoperabilidad Oct/2024]])</f>
        <v>0.5</v>
      </c>
      <c r="U94" s="14"/>
      <c r="V94" s="14"/>
      <c r="W94" s="15"/>
      <c r="X94" s="15">
        <f>Tabla13[[#This Row],[Uso y acceso Nov/2024]]</f>
        <v>1</v>
      </c>
      <c r="Y94" s="15">
        <f>Tabla58[[#This Row],[Integración Nov/2024]]</f>
        <v>0</v>
      </c>
      <c r="Z94" s="16">
        <f>AVERAGE(Tabla4[[#This Row],[Creación y captura Nov/2024]:[Compartición e Interoperabilidad Nov/2024]])</f>
        <v>0.5</v>
      </c>
      <c r="AA94" s="14"/>
      <c r="AB94" s="14"/>
      <c r="AC94" s="15"/>
      <c r="AD94" s="15">
        <f>Tabla13[[#This Row],[Uso y acceso Dic/2024]]</f>
        <v>1</v>
      </c>
      <c r="AE94" s="15">
        <f>Tabla58[[#This Row],[Integración Dic/2024]]</f>
        <v>0</v>
      </c>
      <c r="AF94" s="16">
        <f>AVERAGE(Tabla4[[#This Row],[Creación y captura Dic/2024]:[Compartición e Interoperabilidad Dic/2024]])</f>
        <v>0.5</v>
      </c>
      <c r="AG94" s="14"/>
      <c r="AH94" s="14"/>
      <c r="AI94" s="15"/>
      <c r="AJ94" s="15">
        <f>Tabla13[[#This Row],[Uso y acceso Ene/2025]]</f>
        <v>1</v>
      </c>
      <c r="AK94" s="15">
        <f>Tabla58[[#This Row],[Integración Ene/2025]]</f>
        <v>0</v>
      </c>
      <c r="AL94" s="16">
        <f>AVERAGE(Tabla4[[#This Row],[Creación y captura Ene/2025]:[Compartición e Interoperabilidad Ene/2025]])</f>
        <v>0.5</v>
      </c>
      <c r="AM94" s="14"/>
      <c r="AN94" s="14"/>
      <c r="AO94" s="15"/>
      <c r="AP94" s="15">
        <f>Tabla13[[#This Row],[Uso y acceso Feb/2025]]</f>
        <v>1</v>
      </c>
      <c r="AQ94" s="15">
        <f>Tabla58[[#This Row],[Integración Feb/2025]]</f>
        <v>0.3</v>
      </c>
      <c r="AR94" s="16">
        <f>AVERAGE(Tabla4[[#This Row],[Creación y captura Feb/2025]:[Compartición e Interoperabilidad Feb/2025]])</f>
        <v>0.65</v>
      </c>
      <c r="AS94" s="14"/>
      <c r="AT94" s="14"/>
      <c r="AU94" s="15"/>
      <c r="AV94" s="15">
        <f>Tabla13[[#This Row],[Uso y acceso Mar/2025]]</f>
        <v>1</v>
      </c>
      <c r="AW94" s="15">
        <f>Tabla58[[#This Row],[Integración Mar/2025]]</f>
        <v>0.3</v>
      </c>
      <c r="AX94" s="16">
        <f>AVERAGE(Tabla4[[#This Row],[Creación y captura Mar/2025]:[Compartición e Interoperabilidad Mar/2025]])</f>
        <v>0.65</v>
      </c>
      <c r="AY94" s="14"/>
      <c r="AZ94" s="14"/>
      <c r="BA94" s="15"/>
      <c r="BB94" s="15">
        <f>Tabla13[[#This Row],[Uso y acceso Abr/2025]]</f>
        <v>1</v>
      </c>
      <c r="BC94" s="15">
        <f>Tabla58[[#This Row],[Integración Abr/2025]]</f>
        <v>0.3</v>
      </c>
      <c r="BD94" s="16">
        <f>AVERAGE(Tabla4[[#This Row],[Creación y captura Abr/2025]:[Compartición e Interoperabilidad Abr/2025]])</f>
        <v>0.65</v>
      </c>
      <c r="BE94" s="14"/>
      <c r="BF94" s="14"/>
      <c r="BG94" s="15"/>
      <c r="BH94" s="15">
        <f>Tabla13[[#This Row],[Uso y acceso May/2025]]</f>
        <v>1</v>
      </c>
      <c r="BI94" s="15">
        <f>Tabla58[[#This Row],[Integración May/2025]]</f>
        <v>0.3</v>
      </c>
      <c r="BJ94" s="16">
        <f>AVERAGE(Tabla4[[#This Row],[Creación y captura May/2025]:[Compartición e Interoperabilidad May/2025]])</f>
        <v>0.65</v>
      </c>
      <c r="BK94" s="14"/>
      <c r="BL94" s="14"/>
      <c r="BM94" s="14">
        <f>AVERAGE('Calidad de Datos'!AQ98:AT98)</f>
        <v>1</v>
      </c>
      <c r="BN94" s="14">
        <f>Tabla13[[#This Row],[Uso y acceso Dic/2025]]</f>
        <v>1</v>
      </c>
      <c r="BO94" s="14">
        <f>Tabla58[[#This Row],[Integración Dic/2025]]</f>
        <v>0.8</v>
      </c>
      <c r="BP94" s="16">
        <f>AVERAGE(Tabla4[[#This Row],[Creación y captura Dic/2025]:[Compartición e Interoperabilidad Dic/2025]])</f>
        <v>0.93333333333333324</v>
      </c>
    </row>
    <row r="95" spans="2:68" x14ac:dyDescent="0.4">
      <c r="B95" s="1" t="s">
        <v>146</v>
      </c>
      <c r="C95" s="14"/>
      <c r="D95" s="14"/>
      <c r="E95" s="14"/>
      <c r="F95" s="14">
        <f>Tabla13[[#This Row],[Uso y acceso Ago/2024]]</f>
        <v>0.8</v>
      </c>
      <c r="G95" s="15">
        <f>Tabla58[[#This Row],[Integración Ago/2024]]</f>
        <v>0</v>
      </c>
      <c r="H95" s="16">
        <f>AVERAGE(Tabla4[[#This Row],[Creación y captura Ago/2024]:[Compartición e Interoperabilidad Ago/2024]])</f>
        <v>0.4</v>
      </c>
      <c r="I95" s="14"/>
      <c r="J95" s="14"/>
      <c r="K95" s="15"/>
      <c r="L95" s="15">
        <f>Tabla13[[#This Row],[Uso y acceso Sep/2024]]</f>
        <v>0.8</v>
      </c>
      <c r="M95" s="15">
        <f>Tabla58[[#This Row],[Integración Sep/2024]]</f>
        <v>0</v>
      </c>
      <c r="N95" s="16">
        <f>AVERAGE(Tabla4[[#This Row],[Creación y captura Sep/2024]:[Compartición e Interoperabilidad Sep/2024]])</f>
        <v>0.4</v>
      </c>
      <c r="O95" s="14"/>
      <c r="P95" s="14"/>
      <c r="Q95" s="15"/>
      <c r="R95" s="15">
        <f>Tabla13[[#This Row],[Uso y acceso Oct/2024]]</f>
        <v>1</v>
      </c>
      <c r="S95" s="15">
        <f>Tabla58[[#This Row],[Integración Oct/2024]]</f>
        <v>0</v>
      </c>
      <c r="T95" s="16">
        <f>AVERAGE(Tabla4[[#This Row],[Creación y captura Oct/2024]:[Compartición e Interoperabilidad Oct/2024]])</f>
        <v>0.5</v>
      </c>
      <c r="U95" s="14"/>
      <c r="V95" s="14"/>
      <c r="W95" s="15"/>
      <c r="X95" s="15">
        <f>Tabla13[[#This Row],[Uso y acceso Nov/2024]]</f>
        <v>1</v>
      </c>
      <c r="Y95" s="15">
        <f>Tabla58[[#This Row],[Integración Nov/2024]]</f>
        <v>0</v>
      </c>
      <c r="Z95" s="16">
        <f>AVERAGE(Tabla4[[#This Row],[Creación y captura Nov/2024]:[Compartición e Interoperabilidad Nov/2024]])</f>
        <v>0.5</v>
      </c>
      <c r="AA95" s="14"/>
      <c r="AB95" s="14"/>
      <c r="AC95" s="15"/>
      <c r="AD95" s="15">
        <f>Tabla13[[#This Row],[Uso y acceso Dic/2024]]</f>
        <v>1</v>
      </c>
      <c r="AE95" s="15">
        <f>Tabla58[[#This Row],[Integración Dic/2024]]</f>
        <v>0</v>
      </c>
      <c r="AF95" s="16">
        <f>AVERAGE(Tabla4[[#This Row],[Creación y captura Dic/2024]:[Compartición e Interoperabilidad Dic/2024]])</f>
        <v>0.5</v>
      </c>
      <c r="AG95" s="14"/>
      <c r="AH95" s="14"/>
      <c r="AI95" s="15"/>
      <c r="AJ95" s="15">
        <f>Tabla13[[#This Row],[Uso y acceso Ene/2025]]</f>
        <v>1</v>
      </c>
      <c r="AK95" s="15">
        <f>Tabla58[[#This Row],[Integración Ene/2025]]</f>
        <v>0</v>
      </c>
      <c r="AL95" s="16">
        <f>AVERAGE(Tabla4[[#This Row],[Creación y captura Ene/2025]:[Compartición e Interoperabilidad Ene/2025]])</f>
        <v>0.5</v>
      </c>
      <c r="AM95" s="14"/>
      <c r="AN95" s="14"/>
      <c r="AO95" s="15"/>
      <c r="AP95" s="15">
        <f>Tabla13[[#This Row],[Uso y acceso Feb/2025]]</f>
        <v>1</v>
      </c>
      <c r="AQ95" s="15">
        <f>Tabla58[[#This Row],[Integración Feb/2025]]</f>
        <v>0</v>
      </c>
      <c r="AR95" s="16">
        <f>AVERAGE(Tabla4[[#This Row],[Creación y captura Feb/2025]:[Compartición e Interoperabilidad Feb/2025]])</f>
        <v>0.5</v>
      </c>
      <c r="AS95" s="14"/>
      <c r="AT95" s="14"/>
      <c r="AU95" s="15"/>
      <c r="AV95" s="15">
        <f>Tabla13[[#This Row],[Uso y acceso Mar/2025]]</f>
        <v>1</v>
      </c>
      <c r="AW95" s="15">
        <f>Tabla58[[#This Row],[Integración Mar/2025]]</f>
        <v>0</v>
      </c>
      <c r="AX95" s="16">
        <f>AVERAGE(Tabla4[[#This Row],[Creación y captura Mar/2025]:[Compartición e Interoperabilidad Mar/2025]])</f>
        <v>0.5</v>
      </c>
      <c r="AY95" s="14"/>
      <c r="AZ95" s="14"/>
      <c r="BA95" s="15"/>
      <c r="BB95" s="15">
        <f>Tabla13[[#This Row],[Uso y acceso Abr/2025]]</f>
        <v>1</v>
      </c>
      <c r="BC95" s="15">
        <f>Tabla58[[#This Row],[Integración Abr/2025]]</f>
        <v>0</v>
      </c>
      <c r="BD95" s="16">
        <f>AVERAGE(Tabla4[[#This Row],[Creación y captura Abr/2025]:[Compartición e Interoperabilidad Abr/2025]])</f>
        <v>0.5</v>
      </c>
      <c r="BE95" s="14"/>
      <c r="BF95" s="14"/>
      <c r="BG95" s="15"/>
      <c r="BH95" s="15">
        <f>Tabla13[[#This Row],[Uso y acceso May/2025]]</f>
        <v>1</v>
      </c>
      <c r="BI95" s="15">
        <f>Tabla58[[#This Row],[Integración May/2025]]</f>
        <v>0</v>
      </c>
      <c r="BJ95" s="16">
        <f>AVERAGE(Tabla4[[#This Row],[Creación y captura May/2025]:[Compartición e Interoperabilidad May/2025]])</f>
        <v>0.5</v>
      </c>
      <c r="BK95" s="14"/>
      <c r="BL95" s="14"/>
      <c r="BM95" s="14">
        <f>AVERAGE('Calidad de Datos'!AQ99:AT99)</f>
        <v>0.8</v>
      </c>
      <c r="BN95" s="14">
        <f>Tabla13[[#This Row],[Uso y acceso Dic/2025]]</f>
        <v>1</v>
      </c>
      <c r="BO95" s="14">
        <f>Tabla58[[#This Row],[Integración Dic/2025]]</f>
        <v>0.6</v>
      </c>
      <c r="BP95" s="16">
        <f>AVERAGE(Tabla4[[#This Row],[Creación y captura Dic/2025]:[Compartición e Interoperabilidad Dic/2025]])</f>
        <v>0.79999999999999993</v>
      </c>
    </row>
    <row r="96" spans="2:68" x14ac:dyDescent="0.4">
      <c r="B96" s="1" t="s">
        <v>147</v>
      </c>
      <c r="C96" s="14"/>
      <c r="D96" s="14"/>
      <c r="E96" s="14"/>
      <c r="F96" s="14">
        <f>Tabla13[[#This Row],[Uso y acceso Ago/2024]]</f>
        <v>0.8</v>
      </c>
      <c r="G96" s="15">
        <f>Tabla58[[#This Row],[Integración Ago/2024]]</f>
        <v>0</v>
      </c>
      <c r="H96" s="16">
        <f>AVERAGE(Tabla4[[#This Row],[Creación y captura Ago/2024]:[Compartición e Interoperabilidad Ago/2024]])</f>
        <v>0.4</v>
      </c>
      <c r="I96" s="14"/>
      <c r="J96" s="14"/>
      <c r="K96" s="15"/>
      <c r="L96" s="15">
        <f>Tabla13[[#This Row],[Uso y acceso Sep/2024]]</f>
        <v>0.8</v>
      </c>
      <c r="M96" s="15">
        <f>Tabla58[[#This Row],[Integración Sep/2024]]</f>
        <v>0</v>
      </c>
      <c r="N96" s="16">
        <f>AVERAGE(Tabla4[[#This Row],[Creación y captura Sep/2024]:[Compartición e Interoperabilidad Sep/2024]])</f>
        <v>0.4</v>
      </c>
      <c r="O96" s="14"/>
      <c r="P96" s="14"/>
      <c r="Q96" s="15"/>
      <c r="R96" s="15">
        <f>Tabla13[[#This Row],[Uso y acceso Oct/2024]]</f>
        <v>1</v>
      </c>
      <c r="S96" s="15">
        <f>Tabla58[[#This Row],[Integración Oct/2024]]</f>
        <v>0</v>
      </c>
      <c r="T96" s="16">
        <f>AVERAGE(Tabla4[[#This Row],[Creación y captura Oct/2024]:[Compartición e Interoperabilidad Oct/2024]])</f>
        <v>0.5</v>
      </c>
      <c r="U96" s="14"/>
      <c r="V96" s="14"/>
      <c r="W96" s="15"/>
      <c r="X96" s="15">
        <f>Tabla13[[#This Row],[Uso y acceso Nov/2024]]</f>
        <v>1</v>
      </c>
      <c r="Y96" s="15">
        <f>Tabla58[[#This Row],[Integración Nov/2024]]</f>
        <v>0</v>
      </c>
      <c r="Z96" s="16">
        <f>AVERAGE(Tabla4[[#This Row],[Creación y captura Nov/2024]:[Compartición e Interoperabilidad Nov/2024]])</f>
        <v>0.5</v>
      </c>
      <c r="AA96" s="14"/>
      <c r="AB96" s="14"/>
      <c r="AC96" s="15"/>
      <c r="AD96" s="15">
        <f>Tabla13[[#This Row],[Uso y acceso Dic/2024]]</f>
        <v>1</v>
      </c>
      <c r="AE96" s="15">
        <f>Tabla58[[#This Row],[Integración Dic/2024]]</f>
        <v>0</v>
      </c>
      <c r="AF96" s="16">
        <f>AVERAGE(Tabla4[[#This Row],[Creación y captura Dic/2024]:[Compartición e Interoperabilidad Dic/2024]])</f>
        <v>0.5</v>
      </c>
      <c r="AG96" s="14"/>
      <c r="AH96" s="14"/>
      <c r="AI96" s="15"/>
      <c r="AJ96" s="15">
        <f>Tabla13[[#This Row],[Uso y acceso Ene/2025]]</f>
        <v>1</v>
      </c>
      <c r="AK96" s="15">
        <f>Tabla58[[#This Row],[Integración Ene/2025]]</f>
        <v>0</v>
      </c>
      <c r="AL96" s="16">
        <f>AVERAGE(Tabla4[[#This Row],[Creación y captura Ene/2025]:[Compartición e Interoperabilidad Ene/2025]])</f>
        <v>0.5</v>
      </c>
      <c r="AM96" s="14"/>
      <c r="AN96" s="14"/>
      <c r="AO96" s="15"/>
      <c r="AP96" s="15">
        <f>Tabla13[[#This Row],[Uso y acceso Feb/2025]]</f>
        <v>1</v>
      </c>
      <c r="AQ96" s="15">
        <f>Tabla58[[#This Row],[Integración Feb/2025]]</f>
        <v>0</v>
      </c>
      <c r="AR96" s="16">
        <f>AVERAGE(Tabla4[[#This Row],[Creación y captura Feb/2025]:[Compartición e Interoperabilidad Feb/2025]])</f>
        <v>0.5</v>
      </c>
      <c r="AS96" s="14"/>
      <c r="AT96" s="14"/>
      <c r="AU96" s="15"/>
      <c r="AV96" s="15">
        <f>Tabla13[[#This Row],[Uso y acceso Mar/2025]]</f>
        <v>1</v>
      </c>
      <c r="AW96" s="15">
        <f>Tabla58[[#This Row],[Integración Mar/2025]]</f>
        <v>0</v>
      </c>
      <c r="AX96" s="16">
        <f>AVERAGE(Tabla4[[#This Row],[Creación y captura Mar/2025]:[Compartición e Interoperabilidad Mar/2025]])</f>
        <v>0.5</v>
      </c>
      <c r="AY96" s="14"/>
      <c r="AZ96" s="14"/>
      <c r="BA96" s="15"/>
      <c r="BB96" s="15">
        <f>Tabla13[[#This Row],[Uso y acceso Abr/2025]]</f>
        <v>1</v>
      </c>
      <c r="BC96" s="15">
        <f>Tabla58[[#This Row],[Integración Abr/2025]]</f>
        <v>0</v>
      </c>
      <c r="BD96" s="16">
        <f>AVERAGE(Tabla4[[#This Row],[Creación y captura Abr/2025]:[Compartición e Interoperabilidad Abr/2025]])</f>
        <v>0.5</v>
      </c>
      <c r="BE96" s="14"/>
      <c r="BF96" s="14"/>
      <c r="BG96" s="15"/>
      <c r="BH96" s="15">
        <f>Tabla13[[#This Row],[Uso y acceso May/2025]]</f>
        <v>1</v>
      </c>
      <c r="BI96" s="15">
        <f>Tabla58[[#This Row],[Integración May/2025]]</f>
        <v>0</v>
      </c>
      <c r="BJ96" s="16">
        <f>AVERAGE(Tabla4[[#This Row],[Creación y captura May/2025]:[Compartición e Interoperabilidad May/2025]])</f>
        <v>0.5</v>
      </c>
      <c r="BK96" s="14">
        <v>1</v>
      </c>
      <c r="BL96" s="14">
        <v>1</v>
      </c>
      <c r="BM96" s="14">
        <f>AVERAGE('Calidad de Datos'!AQ100:AT100)</f>
        <v>0.95</v>
      </c>
      <c r="BN96" s="14">
        <f>Tabla13[[#This Row],[Uso y acceso Dic/2025]]</f>
        <v>1</v>
      </c>
      <c r="BO96" s="14">
        <f>Tabla58[[#This Row],[Integración Dic/2025]]</f>
        <v>1</v>
      </c>
      <c r="BP96" s="16">
        <f>AVERAGE(Tabla4[[#This Row],[Creación y captura Dic/2025]:[Compartición e Interoperabilidad Dic/2025]])</f>
        <v>0.99</v>
      </c>
    </row>
    <row r="97" spans="2:68" x14ac:dyDescent="0.4">
      <c r="B97" s="1" t="s">
        <v>148</v>
      </c>
      <c r="C97" s="14">
        <v>1</v>
      </c>
      <c r="D97" s="14">
        <v>1</v>
      </c>
      <c r="E97" s="14">
        <f>AVERAGE('Calidad de Datos'!C101:F101)</f>
        <v>0.85</v>
      </c>
      <c r="F97" s="14">
        <f>Tabla13[[#This Row],[Uso y acceso Ago/2024]]</f>
        <v>1</v>
      </c>
      <c r="G97" s="15">
        <f>Tabla58[[#This Row],[Integración Ago/2024]]</f>
        <v>1</v>
      </c>
      <c r="H97" s="16">
        <f>AVERAGE(Tabla4[[#This Row],[Creación y captura Ago/2024]:[Compartición e Interoperabilidad Ago/2024]])</f>
        <v>0.97</v>
      </c>
      <c r="I97" s="14">
        <v>1</v>
      </c>
      <c r="J97" s="14">
        <v>1</v>
      </c>
      <c r="K97" s="15">
        <f>AVERAGE('Calidad de Datos'!G101:J101)</f>
        <v>0.88749999999999996</v>
      </c>
      <c r="L97" s="15">
        <f>Tabla13[[#This Row],[Uso y acceso Sep/2024]]</f>
        <v>1</v>
      </c>
      <c r="M97" s="15">
        <f>Tabla58[[#This Row],[Integración Sep/2024]]</f>
        <v>1</v>
      </c>
      <c r="N97" s="16">
        <f>AVERAGE(Tabla4[[#This Row],[Creación y captura Sep/2024]:[Compartición e Interoperabilidad Sep/2024]])</f>
        <v>0.97750000000000004</v>
      </c>
      <c r="O97" s="14">
        <v>1</v>
      </c>
      <c r="P97" s="14">
        <v>1</v>
      </c>
      <c r="Q97" s="15">
        <f>AVERAGE('Calidad de Datos'!K101:N101)</f>
        <v>0.88749999999999996</v>
      </c>
      <c r="R97" s="15">
        <f>Tabla13[[#This Row],[Uso y acceso Oct/2024]]</f>
        <v>1</v>
      </c>
      <c r="S97" s="15">
        <f>Tabla58[[#This Row],[Integración Oct/2024]]</f>
        <v>1</v>
      </c>
      <c r="T97" s="16">
        <f>AVERAGE(Tabla4[[#This Row],[Creación y captura Oct/2024]:[Compartición e Interoperabilidad Oct/2024]])</f>
        <v>0.97750000000000004</v>
      </c>
      <c r="U97" s="14">
        <v>1</v>
      </c>
      <c r="V97" s="14">
        <v>1</v>
      </c>
      <c r="W97" s="15">
        <f>AVERAGE('Calidad de Datos'!O101:R101)</f>
        <v>0.96250000000000002</v>
      </c>
      <c r="X97" s="15">
        <f>Tabla13[[#This Row],[Uso y acceso Nov/2024]]</f>
        <v>1</v>
      </c>
      <c r="Y97" s="15">
        <f>Tabla58[[#This Row],[Integración Nov/2024]]</f>
        <v>1</v>
      </c>
      <c r="Z97" s="16">
        <f>AVERAGE(Tabla4[[#This Row],[Creación y captura Nov/2024]:[Compartición e Interoperabilidad Nov/2024]])</f>
        <v>0.99250000000000005</v>
      </c>
      <c r="AA97" s="14">
        <v>1</v>
      </c>
      <c r="AB97" s="14">
        <v>1</v>
      </c>
      <c r="AC97" s="15">
        <f>AVERAGE('Calidad de Datos'!S101:V101)</f>
        <v>1</v>
      </c>
      <c r="AD97" s="15">
        <f>Tabla13[[#This Row],[Uso y acceso Dic/2024]]</f>
        <v>1</v>
      </c>
      <c r="AE97" s="15">
        <f>Tabla58[[#This Row],[Integración Dic/2024]]</f>
        <v>1</v>
      </c>
      <c r="AF97" s="16">
        <f>AVERAGE(Tabla4[[#This Row],[Creación y captura Dic/2024]:[Compartición e Interoperabilidad Dic/2024]])</f>
        <v>1</v>
      </c>
      <c r="AG97" s="14">
        <v>1</v>
      </c>
      <c r="AH97" s="14">
        <v>1</v>
      </c>
      <c r="AI97" s="17">
        <f>AVERAGE('Calidad de Datos'!W101:Z101)</f>
        <v>1</v>
      </c>
      <c r="AJ97" s="15">
        <f>Tabla13[[#This Row],[Uso y acceso Ene/2025]]</f>
        <v>1</v>
      </c>
      <c r="AK97" s="15">
        <f>Tabla58[[#This Row],[Integración Ene/2025]]</f>
        <v>1</v>
      </c>
      <c r="AL97" s="16">
        <f>AVERAGE(Tabla4[[#This Row],[Creación y captura Ene/2025]:[Compartición e Interoperabilidad Ene/2025]])</f>
        <v>1</v>
      </c>
      <c r="AM97" s="14">
        <v>1</v>
      </c>
      <c r="AN97" s="14">
        <v>1</v>
      </c>
      <c r="AO97" s="17">
        <f>AVERAGE('Calidad de Datos'!AA101:AD101)</f>
        <v>1</v>
      </c>
      <c r="AP97" s="15">
        <f>Tabla13[[#This Row],[Uso y acceso Feb/2025]]</f>
        <v>1</v>
      </c>
      <c r="AQ97" s="15">
        <f>Tabla58[[#This Row],[Integración Feb/2025]]</f>
        <v>1</v>
      </c>
      <c r="AR97" s="16">
        <f>AVERAGE(Tabla4[[#This Row],[Creación y captura Feb/2025]:[Compartición e Interoperabilidad Feb/2025]])</f>
        <v>1</v>
      </c>
      <c r="AS97" s="14">
        <v>1</v>
      </c>
      <c r="AT97" s="14">
        <v>1</v>
      </c>
      <c r="AU97" s="17">
        <f>AVERAGE('Calidad de Datos'!AE101:AH101)</f>
        <v>1</v>
      </c>
      <c r="AV97" s="15">
        <f>Tabla13[[#This Row],[Uso y acceso Mar/2025]]</f>
        <v>1</v>
      </c>
      <c r="AW97" s="15">
        <f>Tabla58[[#This Row],[Integración Mar/2025]]</f>
        <v>1</v>
      </c>
      <c r="AX97" s="16">
        <f>AVERAGE(Tabla4[[#This Row],[Creación y captura Mar/2025]:[Compartición e Interoperabilidad Mar/2025]])</f>
        <v>1</v>
      </c>
      <c r="AY97" s="14">
        <v>1</v>
      </c>
      <c r="AZ97" s="14">
        <v>1</v>
      </c>
      <c r="BA97" s="17">
        <f>AVERAGE('Calidad de Datos'!AI101:AL101)</f>
        <v>1</v>
      </c>
      <c r="BB97" s="15">
        <f>Tabla13[[#This Row],[Uso y acceso Abr/2025]]</f>
        <v>1</v>
      </c>
      <c r="BC97" s="15">
        <f>Tabla58[[#This Row],[Integración Abr/2025]]</f>
        <v>1</v>
      </c>
      <c r="BD97" s="16">
        <f>AVERAGE(Tabla4[[#This Row],[Creación y captura Abr/2025]:[Compartición e Interoperabilidad Abr/2025]])</f>
        <v>1</v>
      </c>
      <c r="BE97" s="14">
        <v>1</v>
      </c>
      <c r="BF97" s="14">
        <v>1</v>
      </c>
      <c r="BG97" s="17">
        <f>AVERAGE('Calidad de Datos'!AM101:AP101)</f>
        <v>1</v>
      </c>
      <c r="BH97" s="15">
        <f>Tabla13[[#This Row],[Uso y acceso May/2025]]</f>
        <v>1</v>
      </c>
      <c r="BI97" s="15">
        <f>Tabla58[[#This Row],[Integración May/2025]]</f>
        <v>1</v>
      </c>
      <c r="BJ97" s="16">
        <f>AVERAGE(Tabla4[[#This Row],[Creación y captura May/2025]:[Compartición e Interoperabilidad May/2025]])</f>
        <v>1</v>
      </c>
      <c r="BK97" s="14">
        <v>1</v>
      </c>
      <c r="BL97" s="14">
        <v>1</v>
      </c>
      <c r="BM97" s="14">
        <f>AVERAGE('Calidad de Datos'!AQ101:AT101)</f>
        <v>1</v>
      </c>
      <c r="BN97" s="14">
        <f>Tabla13[[#This Row],[Uso y acceso Dic/2025]]</f>
        <v>1</v>
      </c>
      <c r="BO97" s="14">
        <f>Tabla58[[#This Row],[Integración Dic/2025]]</f>
        <v>1</v>
      </c>
      <c r="BP97" s="16">
        <f>AVERAGE(Tabla4[[#This Row],[Creación y captura Dic/2025]:[Compartición e Interoperabilidad Dic/2025]])</f>
        <v>1</v>
      </c>
    </row>
    <row r="98" spans="2:68" x14ac:dyDescent="0.4">
      <c r="B98" s="1" t="s">
        <v>149</v>
      </c>
      <c r="C98" s="14"/>
      <c r="D98" s="14"/>
      <c r="E98" s="14"/>
      <c r="F98" s="14">
        <f>Tabla13[[#This Row],[Uso y acceso Ago/2024]]</f>
        <v>0.8</v>
      </c>
      <c r="G98" s="15">
        <f>Tabla58[[#This Row],[Integración Ago/2024]]</f>
        <v>0</v>
      </c>
      <c r="H98" s="16">
        <f>AVERAGE(Tabla4[[#This Row],[Creación y captura Ago/2024]:[Compartición e Interoperabilidad Ago/2024]])</f>
        <v>0.4</v>
      </c>
      <c r="I98" s="14"/>
      <c r="J98" s="14"/>
      <c r="K98" s="15"/>
      <c r="L98" s="15">
        <f>Tabla13[[#This Row],[Uso y acceso Sep/2024]]</f>
        <v>0.8</v>
      </c>
      <c r="M98" s="15">
        <f>Tabla58[[#This Row],[Integración Sep/2024]]</f>
        <v>0</v>
      </c>
      <c r="N98" s="16">
        <f>AVERAGE(Tabla4[[#This Row],[Creación y captura Sep/2024]:[Compartición e Interoperabilidad Sep/2024]])</f>
        <v>0.4</v>
      </c>
      <c r="O98" s="14"/>
      <c r="P98" s="14"/>
      <c r="Q98" s="15"/>
      <c r="R98" s="15">
        <f>Tabla13[[#This Row],[Uso y acceso Oct/2024]]</f>
        <v>1</v>
      </c>
      <c r="S98" s="15">
        <f>Tabla58[[#This Row],[Integración Oct/2024]]</f>
        <v>0</v>
      </c>
      <c r="T98" s="16">
        <f>AVERAGE(Tabla4[[#This Row],[Creación y captura Oct/2024]:[Compartición e Interoperabilidad Oct/2024]])</f>
        <v>0.5</v>
      </c>
      <c r="U98" s="14"/>
      <c r="V98" s="14"/>
      <c r="W98" s="15"/>
      <c r="X98" s="15">
        <f>Tabla13[[#This Row],[Uso y acceso Nov/2024]]</f>
        <v>1</v>
      </c>
      <c r="Y98" s="15">
        <f>Tabla58[[#This Row],[Integración Nov/2024]]</f>
        <v>0</v>
      </c>
      <c r="Z98" s="16">
        <f>AVERAGE(Tabla4[[#This Row],[Creación y captura Nov/2024]:[Compartición e Interoperabilidad Nov/2024]])</f>
        <v>0.5</v>
      </c>
      <c r="AA98" s="14"/>
      <c r="AB98" s="14"/>
      <c r="AC98" s="15"/>
      <c r="AD98" s="15">
        <f>Tabla13[[#This Row],[Uso y acceso Dic/2024]]</f>
        <v>1</v>
      </c>
      <c r="AE98" s="15">
        <f>Tabla58[[#This Row],[Integración Dic/2024]]</f>
        <v>0</v>
      </c>
      <c r="AF98" s="16">
        <f>AVERAGE(Tabla4[[#This Row],[Creación y captura Dic/2024]:[Compartición e Interoperabilidad Dic/2024]])</f>
        <v>0.5</v>
      </c>
      <c r="AG98" s="14"/>
      <c r="AH98" s="14"/>
      <c r="AI98" s="15"/>
      <c r="AJ98" s="15">
        <f>Tabla13[[#This Row],[Uso y acceso Ene/2025]]</f>
        <v>1</v>
      </c>
      <c r="AK98" s="15">
        <f>Tabla58[[#This Row],[Integración Ene/2025]]</f>
        <v>0</v>
      </c>
      <c r="AL98" s="16">
        <f>AVERAGE(Tabla4[[#This Row],[Creación y captura Ene/2025]:[Compartición e Interoperabilidad Ene/2025]])</f>
        <v>0.5</v>
      </c>
      <c r="AM98" s="14"/>
      <c r="AN98" s="14"/>
      <c r="AO98" s="15"/>
      <c r="AP98" s="15">
        <f>Tabla13[[#This Row],[Uso y acceso Feb/2025]]</f>
        <v>1</v>
      </c>
      <c r="AQ98" s="15">
        <f>Tabla58[[#This Row],[Integración Feb/2025]]</f>
        <v>0</v>
      </c>
      <c r="AR98" s="16">
        <f>AVERAGE(Tabla4[[#This Row],[Creación y captura Feb/2025]:[Compartición e Interoperabilidad Feb/2025]])</f>
        <v>0.5</v>
      </c>
      <c r="AS98" s="14"/>
      <c r="AT98" s="14"/>
      <c r="AU98" s="15"/>
      <c r="AV98" s="15">
        <f>Tabla13[[#This Row],[Uso y acceso Mar/2025]]</f>
        <v>1</v>
      </c>
      <c r="AW98" s="15">
        <f>Tabla58[[#This Row],[Integración Mar/2025]]</f>
        <v>0</v>
      </c>
      <c r="AX98" s="16">
        <f>AVERAGE(Tabla4[[#This Row],[Creación y captura Mar/2025]:[Compartición e Interoperabilidad Mar/2025]])</f>
        <v>0.5</v>
      </c>
      <c r="AY98" s="14"/>
      <c r="AZ98" s="14"/>
      <c r="BA98" s="15"/>
      <c r="BB98" s="15">
        <f>Tabla13[[#This Row],[Uso y acceso Abr/2025]]</f>
        <v>1</v>
      </c>
      <c r="BC98" s="15">
        <f>Tabla58[[#This Row],[Integración Abr/2025]]</f>
        <v>0</v>
      </c>
      <c r="BD98" s="16">
        <f>AVERAGE(Tabla4[[#This Row],[Creación y captura Abr/2025]:[Compartición e Interoperabilidad Abr/2025]])</f>
        <v>0.5</v>
      </c>
      <c r="BE98" s="14"/>
      <c r="BF98" s="14"/>
      <c r="BG98" s="15"/>
      <c r="BH98" s="15">
        <f>Tabla13[[#This Row],[Uso y acceso May/2025]]</f>
        <v>1</v>
      </c>
      <c r="BI98" s="15">
        <f>Tabla58[[#This Row],[Integración May/2025]]</f>
        <v>0</v>
      </c>
      <c r="BJ98" s="16">
        <f>AVERAGE(Tabla4[[#This Row],[Creación y captura May/2025]:[Compartición e Interoperabilidad May/2025]])</f>
        <v>0.5</v>
      </c>
      <c r="BK98" s="14"/>
      <c r="BL98" s="14"/>
      <c r="BM98" s="14">
        <f>AVERAGE('Calidad de Datos'!AQ102:AT102)</f>
        <v>0.95</v>
      </c>
      <c r="BN98" s="14">
        <f>Tabla13[[#This Row],[Uso y acceso Dic/2025]]</f>
        <v>1</v>
      </c>
      <c r="BO98" s="14">
        <f>Tabla58[[#This Row],[Integración Dic/2025]]</f>
        <v>0.8</v>
      </c>
      <c r="BP98" s="16">
        <f>AVERAGE(Tabla4[[#This Row],[Creación y captura Dic/2025]:[Compartición e Interoperabilidad Dic/2025]])</f>
        <v>0.91666666666666663</v>
      </c>
    </row>
    <row r="99" spans="2:68" x14ac:dyDescent="0.4">
      <c r="B99" s="1" t="s">
        <v>150</v>
      </c>
      <c r="C99" s="14"/>
      <c r="D99" s="14"/>
      <c r="E99" s="14"/>
      <c r="F99" s="14">
        <f>Tabla13[[#This Row],[Uso y acceso Ago/2024]]</f>
        <v>0.8</v>
      </c>
      <c r="G99" s="15">
        <f>Tabla58[[#This Row],[Integración Ago/2024]]</f>
        <v>0</v>
      </c>
      <c r="H99" s="16">
        <f>AVERAGE(Tabla4[[#This Row],[Creación y captura Ago/2024]:[Compartición e Interoperabilidad Ago/2024]])</f>
        <v>0.4</v>
      </c>
      <c r="I99" s="14"/>
      <c r="J99" s="14"/>
      <c r="K99" s="15"/>
      <c r="L99" s="15">
        <f>Tabla13[[#This Row],[Uso y acceso Sep/2024]]</f>
        <v>0.8</v>
      </c>
      <c r="M99" s="15">
        <f>Tabla58[[#This Row],[Integración Sep/2024]]</f>
        <v>0</v>
      </c>
      <c r="N99" s="16">
        <f>AVERAGE(Tabla4[[#This Row],[Creación y captura Sep/2024]:[Compartición e Interoperabilidad Sep/2024]])</f>
        <v>0.4</v>
      </c>
      <c r="O99" s="14"/>
      <c r="P99" s="14"/>
      <c r="Q99" s="15"/>
      <c r="R99" s="15">
        <f>Tabla13[[#This Row],[Uso y acceso Oct/2024]]</f>
        <v>1</v>
      </c>
      <c r="S99" s="15">
        <f>Tabla58[[#This Row],[Integración Oct/2024]]</f>
        <v>0</v>
      </c>
      <c r="T99" s="16">
        <f>AVERAGE(Tabla4[[#This Row],[Creación y captura Oct/2024]:[Compartición e Interoperabilidad Oct/2024]])</f>
        <v>0.5</v>
      </c>
      <c r="U99" s="14"/>
      <c r="V99" s="14"/>
      <c r="W99" s="15"/>
      <c r="X99" s="15">
        <f>Tabla13[[#This Row],[Uso y acceso Nov/2024]]</f>
        <v>1</v>
      </c>
      <c r="Y99" s="15">
        <f>Tabla58[[#This Row],[Integración Nov/2024]]</f>
        <v>0</v>
      </c>
      <c r="Z99" s="16">
        <f>AVERAGE(Tabla4[[#This Row],[Creación y captura Nov/2024]:[Compartición e Interoperabilidad Nov/2024]])</f>
        <v>0.5</v>
      </c>
      <c r="AA99" s="14"/>
      <c r="AB99" s="14"/>
      <c r="AC99" s="15"/>
      <c r="AD99" s="15">
        <f>Tabla13[[#This Row],[Uso y acceso Dic/2024]]</f>
        <v>1</v>
      </c>
      <c r="AE99" s="15">
        <f>Tabla58[[#This Row],[Integración Dic/2024]]</f>
        <v>0</v>
      </c>
      <c r="AF99" s="16">
        <f>AVERAGE(Tabla4[[#This Row],[Creación y captura Dic/2024]:[Compartición e Interoperabilidad Dic/2024]])</f>
        <v>0.5</v>
      </c>
      <c r="AG99" s="14"/>
      <c r="AH99" s="14"/>
      <c r="AI99" s="15"/>
      <c r="AJ99" s="15">
        <f>Tabla13[[#This Row],[Uso y acceso Ene/2025]]</f>
        <v>1</v>
      </c>
      <c r="AK99" s="15">
        <f>Tabla58[[#This Row],[Integración Ene/2025]]</f>
        <v>0</v>
      </c>
      <c r="AL99" s="16">
        <f>AVERAGE(Tabla4[[#This Row],[Creación y captura Ene/2025]:[Compartición e Interoperabilidad Ene/2025]])</f>
        <v>0.5</v>
      </c>
      <c r="AM99" s="14"/>
      <c r="AN99" s="14"/>
      <c r="AO99" s="15"/>
      <c r="AP99" s="15">
        <f>Tabla13[[#This Row],[Uso y acceso Feb/2025]]</f>
        <v>1</v>
      </c>
      <c r="AQ99" s="15">
        <f>Tabla58[[#This Row],[Integración Feb/2025]]</f>
        <v>0</v>
      </c>
      <c r="AR99" s="16">
        <f>AVERAGE(Tabla4[[#This Row],[Creación y captura Feb/2025]:[Compartición e Interoperabilidad Feb/2025]])</f>
        <v>0.5</v>
      </c>
      <c r="AS99" s="14"/>
      <c r="AT99" s="14"/>
      <c r="AU99" s="15"/>
      <c r="AV99" s="15">
        <f>Tabla13[[#This Row],[Uso y acceso Mar/2025]]</f>
        <v>1</v>
      </c>
      <c r="AW99" s="15">
        <f>Tabla58[[#This Row],[Integración Mar/2025]]</f>
        <v>0</v>
      </c>
      <c r="AX99" s="16">
        <f>AVERAGE(Tabla4[[#This Row],[Creación y captura Mar/2025]:[Compartición e Interoperabilidad Mar/2025]])</f>
        <v>0.5</v>
      </c>
      <c r="AY99" s="14"/>
      <c r="AZ99" s="14"/>
      <c r="BA99" s="15"/>
      <c r="BB99" s="15">
        <f>Tabla13[[#This Row],[Uso y acceso Abr/2025]]</f>
        <v>1</v>
      </c>
      <c r="BC99" s="15">
        <f>Tabla58[[#This Row],[Integración Abr/2025]]</f>
        <v>0</v>
      </c>
      <c r="BD99" s="16">
        <f>AVERAGE(Tabla4[[#This Row],[Creación y captura Abr/2025]:[Compartición e Interoperabilidad Abr/2025]])</f>
        <v>0.5</v>
      </c>
      <c r="BE99" s="14"/>
      <c r="BF99" s="14"/>
      <c r="BG99" s="15"/>
      <c r="BH99" s="15">
        <f>Tabla13[[#This Row],[Uso y acceso May/2025]]</f>
        <v>1</v>
      </c>
      <c r="BI99" s="15">
        <f>Tabla58[[#This Row],[Integración May/2025]]</f>
        <v>0</v>
      </c>
      <c r="BJ99" s="16">
        <f>AVERAGE(Tabla4[[#This Row],[Creación y captura May/2025]:[Compartición e Interoperabilidad May/2025]])</f>
        <v>0.5</v>
      </c>
      <c r="BK99" s="14"/>
      <c r="BL99" s="14"/>
      <c r="BM99" s="14">
        <f>AVERAGE('Calidad de Datos'!AQ103:AT103)</f>
        <v>0.8</v>
      </c>
      <c r="BN99" s="14">
        <f>Tabla13[[#This Row],[Uso y acceso Dic/2025]]</f>
        <v>1</v>
      </c>
      <c r="BO99" s="14">
        <f>Tabla58[[#This Row],[Integración Dic/2025]]</f>
        <v>0.6</v>
      </c>
      <c r="BP99" s="16">
        <f>AVERAGE(Tabla4[[#This Row],[Creación y captura Dic/2025]:[Compartición e Interoperabilidad Dic/2025]])</f>
        <v>0.79999999999999993</v>
      </c>
    </row>
    <row r="100" spans="2:68" x14ac:dyDescent="0.4">
      <c r="B100" s="1" t="s">
        <v>151</v>
      </c>
      <c r="C100" s="14"/>
      <c r="D100" s="14"/>
      <c r="E100" s="14"/>
      <c r="F100" s="14">
        <f>Tabla13[[#This Row],[Uso y acceso Ago/2024]]</f>
        <v>1</v>
      </c>
      <c r="G100" s="15">
        <f>Tabla58[[#This Row],[Integración Ago/2024]]</f>
        <v>0</v>
      </c>
      <c r="H100" s="16">
        <f>AVERAGE(Tabla4[[#This Row],[Creación y captura Ago/2024]:[Compartición e Interoperabilidad Ago/2024]])</f>
        <v>0.5</v>
      </c>
      <c r="I100" s="14"/>
      <c r="J100" s="14"/>
      <c r="K100" s="15"/>
      <c r="L100" s="15">
        <f>Tabla13[[#This Row],[Uso y acceso Sep/2024]]</f>
        <v>1</v>
      </c>
      <c r="M100" s="15">
        <f>Tabla58[[#This Row],[Integración Sep/2024]]</f>
        <v>0</v>
      </c>
      <c r="N100" s="16">
        <f>AVERAGE(Tabla4[[#This Row],[Creación y captura Sep/2024]:[Compartición e Interoperabilidad Sep/2024]])</f>
        <v>0.5</v>
      </c>
      <c r="O100" s="14"/>
      <c r="P100" s="14"/>
      <c r="Q100" s="15"/>
      <c r="R100" s="15">
        <f>Tabla13[[#This Row],[Uso y acceso Oct/2024]]</f>
        <v>1</v>
      </c>
      <c r="S100" s="15">
        <f>Tabla58[[#This Row],[Integración Oct/2024]]</f>
        <v>0</v>
      </c>
      <c r="T100" s="16">
        <f>AVERAGE(Tabla4[[#This Row],[Creación y captura Oct/2024]:[Compartición e Interoperabilidad Oct/2024]])</f>
        <v>0.5</v>
      </c>
      <c r="U100" s="14"/>
      <c r="V100" s="14"/>
      <c r="W100" s="15"/>
      <c r="X100" s="15">
        <f>Tabla13[[#This Row],[Uso y acceso Nov/2024]]</f>
        <v>1</v>
      </c>
      <c r="Y100" s="15">
        <f>Tabla58[[#This Row],[Integración Nov/2024]]</f>
        <v>0</v>
      </c>
      <c r="Z100" s="16">
        <f>AVERAGE(Tabla4[[#This Row],[Creación y captura Nov/2024]:[Compartición e Interoperabilidad Nov/2024]])</f>
        <v>0.5</v>
      </c>
      <c r="AA100" s="14"/>
      <c r="AB100" s="14"/>
      <c r="AC100" s="15"/>
      <c r="AD100" s="15">
        <f>Tabla13[[#This Row],[Uso y acceso Dic/2024]]</f>
        <v>1</v>
      </c>
      <c r="AE100" s="15">
        <f>Tabla58[[#This Row],[Integración Dic/2024]]</f>
        <v>0</v>
      </c>
      <c r="AF100" s="16">
        <f>AVERAGE(Tabla4[[#This Row],[Creación y captura Dic/2024]:[Compartición e Interoperabilidad Dic/2024]])</f>
        <v>0.5</v>
      </c>
      <c r="AG100" s="14"/>
      <c r="AH100" s="14"/>
      <c r="AI100" s="15"/>
      <c r="AJ100" s="15">
        <f>Tabla13[[#This Row],[Uso y acceso Ene/2025]]</f>
        <v>1</v>
      </c>
      <c r="AK100" s="15">
        <f>Tabla58[[#This Row],[Integración Ene/2025]]</f>
        <v>0</v>
      </c>
      <c r="AL100" s="16">
        <f>AVERAGE(Tabla4[[#This Row],[Creación y captura Ene/2025]:[Compartición e Interoperabilidad Ene/2025]])</f>
        <v>0.5</v>
      </c>
      <c r="AM100" s="14"/>
      <c r="AN100" s="14"/>
      <c r="AO100" s="15"/>
      <c r="AP100" s="15">
        <f>Tabla13[[#This Row],[Uso y acceso Feb/2025]]</f>
        <v>1</v>
      </c>
      <c r="AQ100" s="15">
        <f>Tabla58[[#This Row],[Integración Feb/2025]]</f>
        <v>0</v>
      </c>
      <c r="AR100" s="16">
        <f>AVERAGE(Tabla4[[#This Row],[Creación y captura Feb/2025]:[Compartición e Interoperabilidad Feb/2025]])</f>
        <v>0.5</v>
      </c>
      <c r="AS100" s="14"/>
      <c r="AT100" s="14"/>
      <c r="AU100" s="15"/>
      <c r="AV100" s="15">
        <f>Tabla13[[#This Row],[Uso y acceso Mar/2025]]</f>
        <v>1</v>
      </c>
      <c r="AW100" s="15">
        <f>Tabla58[[#This Row],[Integración Mar/2025]]</f>
        <v>0</v>
      </c>
      <c r="AX100" s="16">
        <f>AVERAGE(Tabla4[[#This Row],[Creación y captura Mar/2025]:[Compartición e Interoperabilidad Mar/2025]])</f>
        <v>0.5</v>
      </c>
      <c r="AY100" s="14"/>
      <c r="AZ100" s="14"/>
      <c r="BA100" s="15"/>
      <c r="BB100" s="15">
        <f>Tabla13[[#This Row],[Uso y acceso Abr/2025]]</f>
        <v>1</v>
      </c>
      <c r="BC100" s="15">
        <f>Tabla58[[#This Row],[Integración Abr/2025]]</f>
        <v>0</v>
      </c>
      <c r="BD100" s="16">
        <f>AVERAGE(Tabla4[[#This Row],[Creación y captura Abr/2025]:[Compartición e Interoperabilidad Abr/2025]])</f>
        <v>0.5</v>
      </c>
      <c r="BE100" s="14"/>
      <c r="BF100" s="14"/>
      <c r="BG100" s="15"/>
      <c r="BH100" s="15">
        <f>Tabla13[[#This Row],[Uso y acceso May/2025]]</f>
        <v>1</v>
      </c>
      <c r="BI100" s="15">
        <f>Tabla58[[#This Row],[Integración May/2025]]</f>
        <v>0</v>
      </c>
      <c r="BJ100" s="16">
        <f>AVERAGE(Tabla4[[#This Row],[Creación y captura May/2025]:[Compartición e Interoperabilidad May/2025]])</f>
        <v>0.5</v>
      </c>
      <c r="BK100" s="14">
        <v>1</v>
      </c>
      <c r="BL100" s="14">
        <v>1</v>
      </c>
      <c r="BM100" s="14">
        <f>AVERAGE('Calidad de Datos'!AQ104:AT104)</f>
        <v>1</v>
      </c>
      <c r="BN100" s="14">
        <f>Tabla13[[#This Row],[Uso y acceso Dic/2025]]</f>
        <v>1</v>
      </c>
      <c r="BO100" s="14">
        <f>Tabla58[[#This Row],[Integración Dic/2025]]</f>
        <v>1</v>
      </c>
      <c r="BP100" s="16">
        <f>AVERAGE(Tabla4[[#This Row],[Creación y captura Dic/2025]:[Compartición e Interoperabilidad Dic/2025]])</f>
        <v>1</v>
      </c>
    </row>
    <row r="101" spans="2:68" x14ac:dyDescent="0.4">
      <c r="B101" s="1" t="s">
        <v>152</v>
      </c>
      <c r="C101" s="14"/>
      <c r="D101" s="14"/>
      <c r="E101" s="14"/>
      <c r="F101" s="14">
        <f>Tabla13[[#This Row],[Uso y acceso Ago/2024]]</f>
        <v>1</v>
      </c>
      <c r="G101" s="15">
        <f>Tabla58[[#This Row],[Integración Ago/2024]]</f>
        <v>0</v>
      </c>
      <c r="H101" s="16">
        <f>AVERAGE(Tabla4[[#This Row],[Creación y captura Ago/2024]:[Compartición e Interoperabilidad Ago/2024]])</f>
        <v>0.5</v>
      </c>
      <c r="I101" s="14"/>
      <c r="J101" s="14"/>
      <c r="K101" s="15"/>
      <c r="L101" s="15">
        <f>Tabla13[[#This Row],[Uso y acceso Sep/2024]]</f>
        <v>1</v>
      </c>
      <c r="M101" s="15">
        <f>Tabla58[[#This Row],[Integración Sep/2024]]</f>
        <v>0</v>
      </c>
      <c r="N101" s="16">
        <f>AVERAGE(Tabla4[[#This Row],[Creación y captura Sep/2024]:[Compartición e Interoperabilidad Sep/2024]])</f>
        <v>0.5</v>
      </c>
      <c r="O101" s="14"/>
      <c r="P101" s="14"/>
      <c r="Q101" s="15"/>
      <c r="R101" s="15">
        <f>Tabla13[[#This Row],[Uso y acceso Oct/2024]]</f>
        <v>1</v>
      </c>
      <c r="S101" s="15">
        <f>Tabla58[[#This Row],[Integración Oct/2024]]</f>
        <v>0</v>
      </c>
      <c r="T101" s="16">
        <f>AVERAGE(Tabla4[[#This Row],[Creación y captura Oct/2024]:[Compartición e Interoperabilidad Oct/2024]])</f>
        <v>0.5</v>
      </c>
      <c r="U101" s="14"/>
      <c r="V101" s="14"/>
      <c r="W101" s="15"/>
      <c r="X101" s="15">
        <f>Tabla13[[#This Row],[Uso y acceso Nov/2024]]</f>
        <v>1</v>
      </c>
      <c r="Y101" s="15">
        <f>Tabla58[[#This Row],[Integración Nov/2024]]</f>
        <v>0</v>
      </c>
      <c r="Z101" s="16">
        <f>AVERAGE(Tabla4[[#This Row],[Creación y captura Nov/2024]:[Compartición e Interoperabilidad Nov/2024]])</f>
        <v>0.5</v>
      </c>
      <c r="AA101" s="14"/>
      <c r="AB101" s="14"/>
      <c r="AC101" s="15"/>
      <c r="AD101" s="15">
        <f>Tabla13[[#This Row],[Uso y acceso Dic/2024]]</f>
        <v>1</v>
      </c>
      <c r="AE101" s="15">
        <f>Tabla58[[#This Row],[Integración Dic/2024]]</f>
        <v>0</v>
      </c>
      <c r="AF101" s="16">
        <f>AVERAGE(Tabla4[[#This Row],[Creación y captura Dic/2024]:[Compartición e Interoperabilidad Dic/2024]])</f>
        <v>0.5</v>
      </c>
      <c r="AG101" s="14"/>
      <c r="AH101" s="14"/>
      <c r="AI101" s="15"/>
      <c r="AJ101" s="15">
        <f>Tabla13[[#This Row],[Uso y acceso Ene/2025]]</f>
        <v>1</v>
      </c>
      <c r="AK101" s="15">
        <f>Tabla58[[#This Row],[Integración Ene/2025]]</f>
        <v>0</v>
      </c>
      <c r="AL101" s="16">
        <f>AVERAGE(Tabla4[[#This Row],[Creación y captura Ene/2025]:[Compartición e Interoperabilidad Ene/2025]])</f>
        <v>0.5</v>
      </c>
      <c r="AM101" s="14"/>
      <c r="AN101" s="14"/>
      <c r="AO101" s="15"/>
      <c r="AP101" s="15">
        <f>Tabla13[[#This Row],[Uso y acceso Feb/2025]]</f>
        <v>1</v>
      </c>
      <c r="AQ101" s="15">
        <f>Tabla58[[#This Row],[Integración Feb/2025]]</f>
        <v>0</v>
      </c>
      <c r="AR101" s="16">
        <f>AVERAGE(Tabla4[[#This Row],[Creación y captura Feb/2025]:[Compartición e Interoperabilidad Feb/2025]])</f>
        <v>0.5</v>
      </c>
      <c r="AS101" s="14"/>
      <c r="AT101" s="14"/>
      <c r="AU101" s="15"/>
      <c r="AV101" s="15">
        <f>Tabla13[[#This Row],[Uso y acceso Mar/2025]]</f>
        <v>1</v>
      </c>
      <c r="AW101" s="15">
        <f>Tabla58[[#This Row],[Integración Mar/2025]]</f>
        <v>0</v>
      </c>
      <c r="AX101" s="16">
        <f>AVERAGE(Tabla4[[#This Row],[Creación y captura Mar/2025]:[Compartición e Interoperabilidad Mar/2025]])</f>
        <v>0.5</v>
      </c>
      <c r="AY101" s="14"/>
      <c r="AZ101" s="14"/>
      <c r="BA101" s="15"/>
      <c r="BB101" s="15">
        <f>Tabla13[[#This Row],[Uso y acceso Abr/2025]]</f>
        <v>1</v>
      </c>
      <c r="BC101" s="15">
        <f>Tabla58[[#This Row],[Integración Abr/2025]]</f>
        <v>0</v>
      </c>
      <c r="BD101" s="16">
        <f>AVERAGE(Tabla4[[#This Row],[Creación y captura Abr/2025]:[Compartición e Interoperabilidad Abr/2025]])</f>
        <v>0.5</v>
      </c>
      <c r="BE101" s="14"/>
      <c r="BF101" s="14"/>
      <c r="BG101" s="15"/>
      <c r="BH101" s="15">
        <f>Tabla13[[#This Row],[Uso y acceso May/2025]]</f>
        <v>1</v>
      </c>
      <c r="BI101" s="15">
        <f>Tabla58[[#This Row],[Integración May/2025]]</f>
        <v>0</v>
      </c>
      <c r="BJ101" s="16">
        <f>AVERAGE(Tabla4[[#This Row],[Creación y captura May/2025]:[Compartición e Interoperabilidad May/2025]])</f>
        <v>0.5</v>
      </c>
      <c r="BK101" s="14">
        <v>1</v>
      </c>
      <c r="BL101" s="14">
        <v>1</v>
      </c>
      <c r="BM101" s="14">
        <f>AVERAGE('Calidad de Datos'!AQ105:AT105)</f>
        <v>1</v>
      </c>
      <c r="BN101" s="14">
        <f>Tabla13[[#This Row],[Uso y acceso Dic/2025]]</f>
        <v>1</v>
      </c>
      <c r="BO101" s="14">
        <f>Tabla58[[#This Row],[Integración Dic/2025]]</f>
        <v>1</v>
      </c>
      <c r="BP101" s="16">
        <f>AVERAGE(Tabla4[[#This Row],[Creación y captura Dic/2025]:[Compartición e Interoperabilidad Dic/2025]])</f>
        <v>1</v>
      </c>
    </row>
    <row r="102" spans="2:68" x14ac:dyDescent="0.4">
      <c r="B102" s="1" t="s">
        <v>153</v>
      </c>
      <c r="C102" s="14"/>
      <c r="D102" s="14"/>
      <c r="E102" s="14"/>
      <c r="F102" s="14">
        <f>Tabla13[[#This Row],[Uso y acceso Ago/2024]]</f>
        <v>1</v>
      </c>
      <c r="G102" s="15">
        <f>Tabla58[[#This Row],[Integración Ago/2024]]</f>
        <v>0</v>
      </c>
      <c r="H102" s="16">
        <f>AVERAGE(Tabla4[[#This Row],[Creación y captura Ago/2024]:[Compartición e Interoperabilidad Ago/2024]])</f>
        <v>0.5</v>
      </c>
      <c r="I102" s="14"/>
      <c r="J102" s="14"/>
      <c r="K102" s="15"/>
      <c r="L102" s="15">
        <f>Tabla13[[#This Row],[Uso y acceso Sep/2024]]</f>
        <v>1</v>
      </c>
      <c r="M102" s="15">
        <f>Tabla58[[#This Row],[Integración Sep/2024]]</f>
        <v>0</v>
      </c>
      <c r="N102" s="16">
        <f>AVERAGE(Tabla4[[#This Row],[Creación y captura Sep/2024]:[Compartición e Interoperabilidad Sep/2024]])</f>
        <v>0.5</v>
      </c>
      <c r="O102" s="14"/>
      <c r="P102" s="14"/>
      <c r="Q102" s="15"/>
      <c r="R102" s="15">
        <f>Tabla13[[#This Row],[Uso y acceso Oct/2024]]</f>
        <v>1</v>
      </c>
      <c r="S102" s="15">
        <f>Tabla58[[#This Row],[Integración Oct/2024]]</f>
        <v>0</v>
      </c>
      <c r="T102" s="16">
        <f>AVERAGE(Tabla4[[#This Row],[Creación y captura Oct/2024]:[Compartición e Interoperabilidad Oct/2024]])</f>
        <v>0.5</v>
      </c>
      <c r="U102" s="14"/>
      <c r="V102" s="14"/>
      <c r="W102" s="15"/>
      <c r="X102" s="15">
        <f>Tabla13[[#This Row],[Uso y acceso Nov/2024]]</f>
        <v>1</v>
      </c>
      <c r="Y102" s="15">
        <f>Tabla58[[#This Row],[Integración Nov/2024]]</f>
        <v>0</v>
      </c>
      <c r="Z102" s="16">
        <f>AVERAGE(Tabla4[[#This Row],[Creación y captura Nov/2024]:[Compartición e Interoperabilidad Nov/2024]])</f>
        <v>0.5</v>
      </c>
      <c r="AA102" s="14"/>
      <c r="AB102" s="14"/>
      <c r="AC102" s="15"/>
      <c r="AD102" s="15">
        <f>Tabla13[[#This Row],[Uso y acceso Dic/2024]]</f>
        <v>1</v>
      </c>
      <c r="AE102" s="15">
        <f>Tabla58[[#This Row],[Integración Dic/2024]]</f>
        <v>0</v>
      </c>
      <c r="AF102" s="16">
        <f>AVERAGE(Tabla4[[#This Row],[Creación y captura Dic/2024]:[Compartición e Interoperabilidad Dic/2024]])</f>
        <v>0.5</v>
      </c>
      <c r="AG102" s="14"/>
      <c r="AH102" s="14"/>
      <c r="AI102" s="15"/>
      <c r="AJ102" s="15">
        <f>Tabla13[[#This Row],[Uso y acceso Ene/2025]]</f>
        <v>1</v>
      </c>
      <c r="AK102" s="15">
        <f>Tabla58[[#This Row],[Integración Ene/2025]]</f>
        <v>0</v>
      </c>
      <c r="AL102" s="16">
        <f>AVERAGE(Tabla4[[#This Row],[Creación y captura Ene/2025]:[Compartición e Interoperabilidad Ene/2025]])</f>
        <v>0.5</v>
      </c>
      <c r="AM102" s="14"/>
      <c r="AN102" s="14"/>
      <c r="AO102" s="15"/>
      <c r="AP102" s="15">
        <f>Tabla13[[#This Row],[Uso y acceso Feb/2025]]</f>
        <v>1</v>
      </c>
      <c r="AQ102" s="15">
        <f>Tabla58[[#This Row],[Integración Feb/2025]]</f>
        <v>0</v>
      </c>
      <c r="AR102" s="16">
        <f>AVERAGE(Tabla4[[#This Row],[Creación y captura Feb/2025]:[Compartición e Interoperabilidad Feb/2025]])</f>
        <v>0.5</v>
      </c>
      <c r="AS102" s="14"/>
      <c r="AT102" s="14"/>
      <c r="AU102" s="15"/>
      <c r="AV102" s="15">
        <f>Tabla13[[#This Row],[Uso y acceso Mar/2025]]</f>
        <v>1</v>
      </c>
      <c r="AW102" s="15">
        <f>Tabla58[[#This Row],[Integración Mar/2025]]</f>
        <v>0</v>
      </c>
      <c r="AX102" s="16">
        <f>AVERAGE(Tabla4[[#This Row],[Creación y captura Mar/2025]:[Compartición e Interoperabilidad Mar/2025]])</f>
        <v>0.5</v>
      </c>
      <c r="AY102" s="14"/>
      <c r="AZ102" s="14"/>
      <c r="BA102" s="15"/>
      <c r="BB102" s="15">
        <f>Tabla13[[#This Row],[Uso y acceso Abr/2025]]</f>
        <v>1</v>
      </c>
      <c r="BC102" s="15">
        <f>Tabla58[[#This Row],[Integración Abr/2025]]</f>
        <v>0</v>
      </c>
      <c r="BD102" s="16">
        <f>AVERAGE(Tabla4[[#This Row],[Creación y captura Abr/2025]:[Compartición e Interoperabilidad Abr/2025]])</f>
        <v>0.5</v>
      </c>
      <c r="BE102" s="14"/>
      <c r="BF102" s="14"/>
      <c r="BG102" s="15"/>
      <c r="BH102" s="15">
        <f>Tabla13[[#This Row],[Uso y acceso May/2025]]</f>
        <v>1</v>
      </c>
      <c r="BI102" s="15">
        <f>Tabla58[[#This Row],[Integración May/2025]]</f>
        <v>0</v>
      </c>
      <c r="BJ102" s="16">
        <f>AVERAGE(Tabla4[[#This Row],[Creación y captura May/2025]:[Compartición e Interoperabilidad May/2025]])</f>
        <v>0.5</v>
      </c>
      <c r="BK102" s="14">
        <v>1</v>
      </c>
      <c r="BL102" s="14">
        <v>1</v>
      </c>
      <c r="BM102" s="14">
        <f>AVERAGE('Calidad de Datos'!AQ106:AT106)</f>
        <v>0.95</v>
      </c>
      <c r="BN102" s="14">
        <f>Tabla13[[#This Row],[Uso y acceso Dic/2025]]</f>
        <v>1</v>
      </c>
      <c r="BO102" s="14">
        <f>Tabla58[[#This Row],[Integración Dic/2025]]</f>
        <v>1</v>
      </c>
      <c r="BP102" s="16">
        <f>AVERAGE(Tabla4[[#This Row],[Creación y captura Dic/2025]:[Compartición e Interoperabilidad Dic/2025]])</f>
        <v>0.99</v>
      </c>
    </row>
    <row r="103" spans="2:68" x14ac:dyDescent="0.4">
      <c r="B103" s="1" t="s">
        <v>154</v>
      </c>
      <c r="C103" s="14"/>
      <c r="D103" s="14"/>
      <c r="E103" s="14"/>
      <c r="F103" s="14">
        <f>Tabla13[[#This Row],[Uso y acceso Ago/2024]]</f>
        <v>0.8</v>
      </c>
      <c r="G103" s="15">
        <f>Tabla58[[#This Row],[Integración Ago/2024]]</f>
        <v>0</v>
      </c>
      <c r="H103" s="16">
        <f>AVERAGE(Tabla4[[#This Row],[Creación y captura Ago/2024]:[Compartición e Interoperabilidad Ago/2024]])</f>
        <v>0.4</v>
      </c>
      <c r="I103" s="14"/>
      <c r="J103" s="14"/>
      <c r="K103" s="15"/>
      <c r="L103" s="15">
        <f>Tabla13[[#This Row],[Uso y acceso Sep/2024]]</f>
        <v>0.8</v>
      </c>
      <c r="M103" s="15">
        <f>Tabla58[[#This Row],[Integración Sep/2024]]</f>
        <v>0</v>
      </c>
      <c r="N103" s="16">
        <f>AVERAGE(Tabla4[[#This Row],[Creación y captura Sep/2024]:[Compartición e Interoperabilidad Sep/2024]])</f>
        <v>0.4</v>
      </c>
      <c r="O103" s="14"/>
      <c r="P103" s="14"/>
      <c r="Q103" s="15"/>
      <c r="R103" s="15">
        <f>Tabla13[[#This Row],[Uso y acceso Oct/2024]]</f>
        <v>1</v>
      </c>
      <c r="S103" s="15">
        <f>Tabla58[[#This Row],[Integración Oct/2024]]</f>
        <v>0</v>
      </c>
      <c r="T103" s="16">
        <f>AVERAGE(Tabla4[[#This Row],[Creación y captura Oct/2024]:[Compartición e Interoperabilidad Oct/2024]])</f>
        <v>0.5</v>
      </c>
      <c r="U103" s="14"/>
      <c r="V103" s="14"/>
      <c r="W103" s="15"/>
      <c r="X103" s="15">
        <f>Tabla13[[#This Row],[Uso y acceso Nov/2024]]</f>
        <v>1</v>
      </c>
      <c r="Y103" s="15">
        <f>Tabla58[[#This Row],[Integración Nov/2024]]</f>
        <v>0</v>
      </c>
      <c r="Z103" s="16">
        <f>AVERAGE(Tabla4[[#This Row],[Creación y captura Nov/2024]:[Compartición e Interoperabilidad Nov/2024]])</f>
        <v>0.5</v>
      </c>
      <c r="AA103" s="14"/>
      <c r="AB103" s="14"/>
      <c r="AC103" s="15"/>
      <c r="AD103" s="15">
        <f>Tabla13[[#This Row],[Uso y acceso Dic/2024]]</f>
        <v>1</v>
      </c>
      <c r="AE103" s="15">
        <f>Tabla58[[#This Row],[Integración Dic/2024]]</f>
        <v>0</v>
      </c>
      <c r="AF103" s="16">
        <f>AVERAGE(Tabla4[[#This Row],[Creación y captura Dic/2024]:[Compartición e Interoperabilidad Dic/2024]])</f>
        <v>0.5</v>
      </c>
      <c r="AG103" s="14"/>
      <c r="AH103" s="14"/>
      <c r="AI103" s="15"/>
      <c r="AJ103" s="15">
        <f>Tabla13[[#This Row],[Uso y acceso Ene/2025]]</f>
        <v>1</v>
      </c>
      <c r="AK103" s="15">
        <f>Tabla58[[#This Row],[Integración Ene/2025]]</f>
        <v>0</v>
      </c>
      <c r="AL103" s="16">
        <f>AVERAGE(Tabla4[[#This Row],[Creación y captura Ene/2025]:[Compartición e Interoperabilidad Ene/2025]])</f>
        <v>0.5</v>
      </c>
      <c r="AM103" s="14"/>
      <c r="AN103" s="14"/>
      <c r="AO103" s="15"/>
      <c r="AP103" s="15">
        <f>Tabla13[[#This Row],[Uso y acceso Feb/2025]]</f>
        <v>1</v>
      </c>
      <c r="AQ103" s="15">
        <f>Tabla58[[#This Row],[Integración Feb/2025]]</f>
        <v>0</v>
      </c>
      <c r="AR103" s="16">
        <f>AVERAGE(Tabla4[[#This Row],[Creación y captura Feb/2025]:[Compartición e Interoperabilidad Feb/2025]])</f>
        <v>0.5</v>
      </c>
      <c r="AS103" s="14"/>
      <c r="AT103" s="14"/>
      <c r="AU103" s="15"/>
      <c r="AV103" s="15">
        <f>Tabla13[[#This Row],[Uso y acceso Mar/2025]]</f>
        <v>1</v>
      </c>
      <c r="AW103" s="15">
        <f>Tabla58[[#This Row],[Integración Mar/2025]]</f>
        <v>0</v>
      </c>
      <c r="AX103" s="16">
        <f>AVERAGE(Tabla4[[#This Row],[Creación y captura Mar/2025]:[Compartición e Interoperabilidad Mar/2025]])</f>
        <v>0.5</v>
      </c>
      <c r="AY103" s="14"/>
      <c r="AZ103" s="14"/>
      <c r="BA103" s="15"/>
      <c r="BB103" s="15">
        <f>Tabla13[[#This Row],[Uso y acceso Abr/2025]]</f>
        <v>1</v>
      </c>
      <c r="BC103" s="15">
        <f>Tabla58[[#This Row],[Integración Abr/2025]]</f>
        <v>0</v>
      </c>
      <c r="BD103" s="16">
        <f>AVERAGE(Tabla4[[#This Row],[Creación y captura Abr/2025]:[Compartición e Interoperabilidad Abr/2025]])</f>
        <v>0.5</v>
      </c>
      <c r="BE103" s="14"/>
      <c r="BF103" s="14"/>
      <c r="BG103" s="15"/>
      <c r="BH103" s="15">
        <f>Tabla13[[#This Row],[Uso y acceso May/2025]]</f>
        <v>1</v>
      </c>
      <c r="BI103" s="15">
        <f>Tabla58[[#This Row],[Integración May/2025]]</f>
        <v>0</v>
      </c>
      <c r="BJ103" s="16">
        <f>AVERAGE(Tabla4[[#This Row],[Creación y captura May/2025]:[Compartición e Interoperabilidad May/2025]])</f>
        <v>0.5</v>
      </c>
      <c r="BK103" s="14"/>
      <c r="BL103" s="14"/>
      <c r="BM103" s="14">
        <f>AVERAGE('Calidad de Datos'!AQ107:AT107)</f>
        <v>0.8</v>
      </c>
      <c r="BN103" s="14">
        <f>Tabla13[[#This Row],[Uso y acceso Dic/2025]]</f>
        <v>1</v>
      </c>
      <c r="BO103" s="14">
        <f>Tabla58[[#This Row],[Integración Dic/2025]]</f>
        <v>0.6</v>
      </c>
      <c r="BP103" s="16">
        <f>AVERAGE(Tabla4[[#This Row],[Creación y captura Dic/2025]:[Compartición e Interoperabilidad Dic/2025]])</f>
        <v>0.79999999999999993</v>
      </c>
    </row>
    <row r="104" spans="2:68" x14ac:dyDescent="0.4">
      <c r="B104" s="1" t="s">
        <v>155</v>
      </c>
      <c r="C104" s="14"/>
      <c r="D104" s="14"/>
      <c r="E104" s="14"/>
      <c r="F104" s="14">
        <f>Tabla13[[#This Row],[Uso y acceso Ago/2024]]</f>
        <v>0.8</v>
      </c>
      <c r="G104" s="15">
        <f>Tabla58[[#This Row],[Integración Ago/2024]]</f>
        <v>0</v>
      </c>
      <c r="H104" s="16">
        <f>AVERAGE(Tabla4[[#This Row],[Creación y captura Ago/2024]:[Compartición e Interoperabilidad Ago/2024]])</f>
        <v>0.4</v>
      </c>
      <c r="I104" s="14"/>
      <c r="J104" s="14"/>
      <c r="K104" s="15"/>
      <c r="L104" s="15">
        <f>Tabla13[[#This Row],[Uso y acceso Sep/2024]]</f>
        <v>0.8</v>
      </c>
      <c r="M104" s="15">
        <f>Tabla58[[#This Row],[Integración Sep/2024]]</f>
        <v>0</v>
      </c>
      <c r="N104" s="16">
        <f>AVERAGE(Tabla4[[#This Row],[Creación y captura Sep/2024]:[Compartición e Interoperabilidad Sep/2024]])</f>
        <v>0.4</v>
      </c>
      <c r="O104" s="14"/>
      <c r="P104" s="14"/>
      <c r="Q104" s="15"/>
      <c r="R104" s="15">
        <f>Tabla13[[#This Row],[Uso y acceso Oct/2024]]</f>
        <v>1</v>
      </c>
      <c r="S104" s="15">
        <f>Tabla58[[#This Row],[Integración Oct/2024]]</f>
        <v>0</v>
      </c>
      <c r="T104" s="16">
        <f>AVERAGE(Tabla4[[#This Row],[Creación y captura Oct/2024]:[Compartición e Interoperabilidad Oct/2024]])</f>
        <v>0.5</v>
      </c>
      <c r="U104" s="14"/>
      <c r="V104" s="14"/>
      <c r="W104" s="15"/>
      <c r="X104" s="15">
        <f>Tabla13[[#This Row],[Uso y acceso Nov/2024]]</f>
        <v>1</v>
      </c>
      <c r="Y104" s="15">
        <f>Tabla58[[#This Row],[Integración Nov/2024]]</f>
        <v>0</v>
      </c>
      <c r="Z104" s="16">
        <f>AVERAGE(Tabla4[[#This Row],[Creación y captura Nov/2024]:[Compartición e Interoperabilidad Nov/2024]])</f>
        <v>0.5</v>
      </c>
      <c r="AA104" s="14"/>
      <c r="AB104" s="14"/>
      <c r="AC104" s="15"/>
      <c r="AD104" s="15">
        <f>Tabla13[[#This Row],[Uso y acceso Dic/2024]]</f>
        <v>1</v>
      </c>
      <c r="AE104" s="15">
        <f>Tabla58[[#This Row],[Integración Dic/2024]]</f>
        <v>0</v>
      </c>
      <c r="AF104" s="16">
        <f>AVERAGE(Tabla4[[#This Row],[Creación y captura Dic/2024]:[Compartición e Interoperabilidad Dic/2024]])</f>
        <v>0.5</v>
      </c>
      <c r="AG104" s="14"/>
      <c r="AH104" s="14"/>
      <c r="AI104" s="15"/>
      <c r="AJ104" s="15">
        <f>Tabla13[[#This Row],[Uso y acceso Ene/2025]]</f>
        <v>1</v>
      </c>
      <c r="AK104" s="15">
        <f>Tabla58[[#This Row],[Integración Ene/2025]]</f>
        <v>0</v>
      </c>
      <c r="AL104" s="16">
        <f>AVERAGE(Tabla4[[#This Row],[Creación y captura Ene/2025]:[Compartición e Interoperabilidad Ene/2025]])</f>
        <v>0.5</v>
      </c>
      <c r="AM104" s="14"/>
      <c r="AN104" s="14"/>
      <c r="AO104" s="15"/>
      <c r="AP104" s="15">
        <f>Tabla13[[#This Row],[Uso y acceso Feb/2025]]</f>
        <v>1</v>
      </c>
      <c r="AQ104" s="15">
        <f>Tabla58[[#This Row],[Integración Feb/2025]]</f>
        <v>0</v>
      </c>
      <c r="AR104" s="16">
        <f>AVERAGE(Tabla4[[#This Row],[Creación y captura Feb/2025]:[Compartición e Interoperabilidad Feb/2025]])</f>
        <v>0.5</v>
      </c>
      <c r="AS104" s="14"/>
      <c r="AT104" s="14"/>
      <c r="AU104" s="15"/>
      <c r="AV104" s="15">
        <f>Tabla13[[#This Row],[Uso y acceso Mar/2025]]</f>
        <v>1</v>
      </c>
      <c r="AW104" s="15">
        <f>Tabla58[[#This Row],[Integración Mar/2025]]</f>
        <v>0</v>
      </c>
      <c r="AX104" s="16">
        <f>AVERAGE(Tabla4[[#This Row],[Creación y captura Mar/2025]:[Compartición e Interoperabilidad Mar/2025]])</f>
        <v>0.5</v>
      </c>
      <c r="AY104" s="14"/>
      <c r="AZ104" s="14"/>
      <c r="BA104" s="15"/>
      <c r="BB104" s="15">
        <f>Tabla13[[#This Row],[Uso y acceso Abr/2025]]</f>
        <v>1</v>
      </c>
      <c r="BC104" s="15">
        <f>Tabla58[[#This Row],[Integración Abr/2025]]</f>
        <v>0</v>
      </c>
      <c r="BD104" s="16">
        <f>AVERAGE(Tabla4[[#This Row],[Creación y captura Abr/2025]:[Compartición e Interoperabilidad Abr/2025]])</f>
        <v>0.5</v>
      </c>
      <c r="BE104" s="14"/>
      <c r="BF104" s="14"/>
      <c r="BG104" s="15"/>
      <c r="BH104" s="15">
        <f>Tabla13[[#This Row],[Uso y acceso May/2025]]</f>
        <v>1</v>
      </c>
      <c r="BI104" s="15">
        <f>Tabla58[[#This Row],[Integración May/2025]]</f>
        <v>0</v>
      </c>
      <c r="BJ104" s="16">
        <f>AVERAGE(Tabla4[[#This Row],[Creación y captura May/2025]:[Compartición e Interoperabilidad May/2025]])</f>
        <v>0.5</v>
      </c>
      <c r="BK104" s="14"/>
      <c r="BL104" s="14"/>
      <c r="BM104" s="14">
        <f>AVERAGE('Calidad de Datos'!AQ108:AT108)</f>
        <v>0.8</v>
      </c>
      <c r="BN104" s="14">
        <f>Tabla13[[#This Row],[Uso y acceso Dic/2025]]</f>
        <v>1</v>
      </c>
      <c r="BO104" s="14">
        <f>Tabla58[[#This Row],[Integración Dic/2025]]</f>
        <v>0.6</v>
      </c>
      <c r="BP104" s="16">
        <f>AVERAGE(Tabla4[[#This Row],[Creación y captura Dic/2025]:[Compartición e Interoperabilidad Dic/2025]])</f>
        <v>0.79999999999999993</v>
      </c>
    </row>
    <row r="105" spans="2:68" x14ac:dyDescent="0.4">
      <c r="B105" s="1" t="s">
        <v>156</v>
      </c>
      <c r="C105" s="14"/>
      <c r="D105" s="14"/>
      <c r="E105" s="14"/>
      <c r="F105" s="14">
        <f>Tabla13[[#This Row],[Uso y acceso Ago/2024]]</f>
        <v>0.8</v>
      </c>
      <c r="G105" s="15">
        <f>Tabla58[[#This Row],[Integración Ago/2024]]</f>
        <v>0</v>
      </c>
      <c r="H105" s="16">
        <f>AVERAGE(Tabla4[[#This Row],[Creación y captura Ago/2024]:[Compartición e Interoperabilidad Ago/2024]])</f>
        <v>0.4</v>
      </c>
      <c r="I105" s="14"/>
      <c r="J105" s="14"/>
      <c r="K105" s="15"/>
      <c r="L105" s="15">
        <f>Tabla13[[#This Row],[Uso y acceso Sep/2024]]</f>
        <v>0.8</v>
      </c>
      <c r="M105" s="15">
        <f>Tabla58[[#This Row],[Integración Sep/2024]]</f>
        <v>0</v>
      </c>
      <c r="N105" s="16">
        <f>AVERAGE(Tabla4[[#This Row],[Creación y captura Sep/2024]:[Compartición e Interoperabilidad Sep/2024]])</f>
        <v>0.4</v>
      </c>
      <c r="O105" s="14"/>
      <c r="P105" s="14"/>
      <c r="Q105" s="15"/>
      <c r="R105" s="15">
        <f>Tabla13[[#This Row],[Uso y acceso Oct/2024]]</f>
        <v>1</v>
      </c>
      <c r="S105" s="15">
        <f>Tabla58[[#This Row],[Integración Oct/2024]]</f>
        <v>0</v>
      </c>
      <c r="T105" s="16">
        <f>AVERAGE(Tabla4[[#This Row],[Creación y captura Oct/2024]:[Compartición e Interoperabilidad Oct/2024]])</f>
        <v>0.5</v>
      </c>
      <c r="U105" s="14"/>
      <c r="V105" s="14"/>
      <c r="W105" s="15"/>
      <c r="X105" s="15">
        <f>Tabla13[[#This Row],[Uso y acceso Nov/2024]]</f>
        <v>1</v>
      </c>
      <c r="Y105" s="15">
        <f>Tabla58[[#This Row],[Integración Nov/2024]]</f>
        <v>0</v>
      </c>
      <c r="Z105" s="16">
        <f>AVERAGE(Tabla4[[#This Row],[Creación y captura Nov/2024]:[Compartición e Interoperabilidad Nov/2024]])</f>
        <v>0.5</v>
      </c>
      <c r="AA105" s="14"/>
      <c r="AB105" s="14"/>
      <c r="AC105" s="15"/>
      <c r="AD105" s="15">
        <f>Tabla13[[#This Row],[Uso y acceso Dic/2024]]</f>
        <v>1</v>
      </c>
      <c r="AE105" s="15">
        <f>Tabla58[[#This Row],[Integración Dic/2024]]</f>
        <v>0</v>
      </c>
      <c r="AF105" s="16">
        <f>AVERAGE(Tabla4[[#This Row],[Creación y captura Dic/2024]:[Compartición e Interoperabilidad Dic/2024]])</f>
        <v>0.5</v>
      </c>
      <c r="AG105" s="14"/>
      <c r="AH105" s="14"/>
      <c r="AI105" s="15"/>
      <c r="AJ105" s="15">
        <f>Tabla13[[#This Row],[Uso y acceso Ene/2025]]</f>
        <v>1</v>
      </c>
      <c r="AK105" s="15">
        <f>Tabla58[[#This Row],[Integración Ene/2025]]</f>
        <v>0</v>
      </c>
      <c r="AL105" s="16">
        <f>AVERAGE(Tabla4[[#This Row],[Creación y captura Ene/2025]:[Compartición e Interoperabilidad Ene/2025]])</f>
        <v>0.5</v>
      </c>
      <c r="AM105" s="14"/>
      <c r="AN105" s="14"/>
      <c r="AO105" s="15"/>
      <c r="AP105" s="15">
        <f>Tabla13[[#This Row],[Uso y acceso Feb/2025]]</f>
        <v>1</v>
      </c>
      <c r="AQ105" s="15">
        <f>Tabla58[[#This Row],[Integración Feb/2025]]</f>
        <v>0</v>
      </c>
      <c r="AR105" s="16">
        <f>AVERAGE(Tabla4[[#This Row],[Creación y captura Feb/2025]:[Compartición e Interoperabilidad Feb/2025]])</f>
        <v>0.5</v>
      </c>
      <c r="AS105" s="14"/>
      <c r="AT105" s="14"/>
      <c r="AU105" s="15"/>
      <c r="AV105" s="15">
        <f>Tabla13[[#This Row],[Uso y acceso Mar/2025]]</f>
        <v>1</v>
      </c>
      <c r="AW105" s="15">
        <f>Tabla58[[#This Row],[Integración Mar/2025]]</f>
        <v>0</v>
      </c>
      <c r="AX105" s="16">
        <f>AVERAGE(Tabla4[[#This Row],[Creación y captura Mar/2025]:[Compartición e Interoperabilidad Mar/2025]])</f>
        <v>0.5</v>
      </c>
      <c r="AY105" s="14"/>
      <c r="AZ105" s="14"/>
      <c r="BA105" s="15"/>
      <c r="BB105" s="15">
        <f>Tabla13[[#This Row],[Uso y acceso Abr/2025]]</f>
        <v>1</v>
      </c>
      <c r="BC105" s="15">
        <f>Tabla58[[#This Row],[Integración Abr/2025]]</f>
        <v>0</v>
      </c>
      <c r="BD105" s="16">
        <f>AVERAGE(Tabla4[[#This Row],[Creación y captura Abr/2025]:[Compartición e Interoperabilidad Abr/2025]])</f>
        <v>0.5</v>
      </c>
      <c r="BE105" s="14"/>
      <c r="BF105" s="14"/>
      <c r="BG105" s="15"/>
      <c r="BH105" s="15">
        <f>Tabla13[[#This Row],[Uso y acceso May/2025]]</f>
        <v>1</v>
      </c>
      <c r="BI105" s="15">
        <f>Tabla58[[#This Row],[Integración May/2025]]</f>
        <v>0</v>
      </c>
      <c r="BJ105" s="16">
        <f>AVERAGE(Tabla4[[#This Row],[Creación y captura May/2025]:[Compartición e Interoperabilidad May/2025]])</f>
        <v>0.5</v>
      </c>
      <c r="BK105" s="14"/>
      <c r="BL105" s="14"/>
      <c r="BM105" s="14">
        <f>AVERAGE('Calidad de Datos'!AQ109:AT109)</f>
        <v>0.8</v>
      </c>
      <c r="BN105" s="14">
        <f>Tabla13[[#This Row],[Uso y acceso Dic/2025]]</f>
        <v>1</v>
      </c>
      <c r="BO105" s="14">
        <f>Tabla58[[#This Row],[Integración Dic/2025]]</f>
        <v>0.6</v>
      </c>
      <c r="BP105" s="16">
        <f>AVERAGE(Tabla4[[#This Row],[Creación y captura Dic/2025]:[Compartición e Interoperabilidad Dic/2025]])</f>
        <v>0.79999999999999993</v>
      </c>
    </row>
    <row r="106" spans="2:68" x14ac:dyDescent="0.4">
      <c r="B106" s="1" t="s">
        <v>157</v>
      </c>
      <c r="C106" s="14"/>
      <c r="D106" s="14"/>
      <c r="E106" s="14"/>
      <c r="F106" s="14">
        <f>Tabla13[[#This Row],[Uso y acceso Ago/2024]]</f>
        <v>0.8</v>
      </c>
      <c r="G106" s="15">
        <f>Tabla58[[#This Row],[Integración Ago/2024]]</f>
        <v>0</v>
      </c>
      <c r="H106" s="16">
        <f>AVERAGE(Tabla4[[#This Row],[Creación y captura Ago/2024]:[Compartición e Interoperabilidad Ago/2024]])</f>
        <v>0.4</v>
      </c>
      <c r="I106" s="14"/>
      <c r="J106" s="14"/>
      <c r="K106" s="15"/>
      <c r="L106" s="15">
        <f>Tabla13[[#This Row],[Uso y acceso Sep/2024]]</f>
        <v>0.8</v>
      </c>
      <c r="M106" s="15">
        <f>Tabla58[[#This Row],[Integración Sep/2024]]</f>
        <v>0</v>
      </c>
      <c r="N106" s="16">
        <f>AVERAGE(Tabla4[[#This Row],[Creación y captura Sep/2024]:[Compartición e Interoperabilidad Sep/2024]])</f>
        <v>0.4</v>
      </c>
      <c r="O106" s="14"/>
      <c r="P106" s="14"/>
      <c r="Q106" s="15"/>
      <c r="R106" s="15">
        <f>Tabla13[[#This Row],[Uso y acceso Oct/2024]]</f>
        <v>1</v>
      </c>
      <c r="S106" s="15">
        <f>Tabla58[[#This Row],[Integración Oct/2024]]</f>
        <v>0</v>
      </c>
      <c r="T106" s="16">
        <f>AVERAGE(Tabla4[[#This Row],[Creación y captura Oct/2024]:[Compartición e Interoperabilidad Oct/2024]])</f>
        <v>0.5</v>
      </c>
      <c r="U106" s="14"/>
      <c r="V106" s="14"/>
      <c r="W106" s="15"/>
      <c r="X106" s="15">
        <f>Tabla13[[#This Row],[Uso y acceso Nov/2024]]</f>
        <v>1</v>
      </c>
      <c r="Y106" s="15">
        <f>Tabla58[[#This Row],[Integración Nov/2024]]</f>
        <v>0</v>
      </c>
      <c r="Z106" s="16">
        <f>AVERAGE(Tabla4[[#This Row],[Creación y captura Nov/2024]:[Compartición e Interoperabilidad Nov/2024]])</f>
        <v>0.5</v>
      </c>
      <c r="AA106" s="14"/>
      <c r="AB106" s="14"/>
      <c r="AC106" s="15"/>
      <c r="AD106" s="15">
        <f>Tabla13[[#This Row],[Uso y acceso Dic/2024]]</f>
        <v>1</v>
      </c>
      <c r="AE106" s="15">
        <f>Tabla58[[#This Row],[Integración Dic/2024]]</f>
        <v>0</v>
      </c>
      <c r="AF106" s="16">
        <f>AVERAGE(Tabla4[[#This Row],[Creación y captura Dic/2024]:[Compartición e Interoperabilidad Dic/2024]])</f>
        <v>0.5</v>
      </c>
      <c r="AG106" s="14"/>
      <c r="AH106" s="14"/>
      <c r="AI106" s="15"/>
      <c r="AJ106" s="15">
        <f>Tabla13[[#This Row],[Uso y acceso Ene/2025]]</f>
        <v>1</v>
      </c>
      <c r="AK106" s="15">
        <f>Tabla58[[#This Row],[Integración Ene/2025]]</f>
        <v>0</v>
      </c>
      <c r="AL106" s="16">
        <f>AVERAGE(Tabla4[[#This Row],[Creación y captura Ene/2025]:[Compartición e Interoperabilidad Ene/2025]])</f>
        <v>0.5</v>
      </c>
      <c r="AM106" s="14"/>
      <c r="AN106" s="14"/>
      <c r="AO106" s="15"/>
      <c r="AP106" s="15">
        <f>Tabla13[[#This Row],[Uso y acceso Feb/2025]]</f>
        <v>1</v>
      </c>
      <c r="AQ106" s="15">
        <f>Tabla58[[#This Row],[Integración Feb/2025]]</f>
        <v>0</v>
      </c>
      <c r="AR106" s="16">
        <f>AVERAGE(Tabla4[[#This Row],[Creación y captura Feb/2025]:[Compartición e Interoperabilidad Feb/2025]])</f>
        <v>0.5</v>
      </c>
      <c r="AS106" s="14"/>
      <c r="AT106" s="14"/>
      <c r="AU106" s="15"/>
      <c r="AV106" s="15">
        <f>Tabla13[[#This Row],[Uso y acceso Mar/2025]]</f>
        <v>1</v>
      </c>
      <c r="AW106" s="15">
        <f>Tabla58[[#This Row],[Integración Mar/2025]]</f>
        <v>0</v>
      </c>
      <c r="AX106" s="16">
        <f>AVERAGE(Tabla4[[#This Row],[Creación y captura Mar/2025]:[Compartición e Interoperabilidad Mar/2025]])</f>
        <v>0.5</v>
      </c>
      <c r="AY106" s="14"/>
      <c r="AZ106" s="14"/>
      <c r="BA106" s="15"/>
      <c r="BB106" s="15">
        <f>Tabla13[[#This Row],[Uso y acceso Abr/2025]]</f>
        <v>1</v>
      </c>
      <c r="BC106" s="15">
        <f>Tabla58[[#This Row],[Integración Abr/2025]]</f>
        <v>0</v>
      </c>
      <c r="BD106" s="16">
        <f>AVERAGE(Tabla4[[#This Row],[Creación y captura Abr/2025]:[Compartición e Interoperabilidad Abr/2025]])</f>
        <v>0.5</v>
      </c>
      <c r="BE106" s="14"/>
      <c r="BF106" s="14"/>
      <c r="BG106" s="15"/>
      <c r="BH106" s="15">
        <f>Tabla13[[#This Row],[Uso y acceso May/2025]]</f>
        <v>1</v>
      </c>
      <c r="BI106" s="15">
        <f>Tabla58[[#This Row],[Integración May/2025]]</f>
        <v>0</v>
      </c>
      <c r="BJ106" s="16">
        <f>AVERAGE(Tabla4[[#This Row],[Creación y captura May/2025]:[Compartición e Interoperabilidad May/2025]])</f>
        <v>0.5</v>
      </c>
      <c r="BK106" s="14"/>
      <c r="BL106" s="14"/>
      <c r="BM106" s="14">
        <f>AVERAGE('Calidad de Datos'!AQ110:AT110)</f>
        <v>1</v>
      </c>
      <c r="BN106" s="14">
        <f>Tabla13[[#This Row],[Uso y acceso Dic/2025]]</f>
        <v>1</v>
      </c>
      <c r="BO106" s="14">
        <f>Tabla58[[#This Row],[Integración Dic/2025]]</f>
        <v>0.8</v>
      </c>
      <c r="BP106" s="16">
        <f>AVERAGE(Tabla4[[#This Row],[Creación y captura Dic/2025]:[Compartición e Interoperabilidad Dic/2025]])</f>
        <v>0.93333333333333324</v>
      </c>
    </row>
    <row r="107" spans="2:68" x14ac:dyDescent="0.4">
      <c r="B107" s="1" t="s">
        <v>158</v>
      </c>
      <c r="C107" s="14">
        <v>1</v>
      </c>
      <c r="D107" s="14">
        <v>1</v>
      </c>
      <c r="E107" s="14">
        <f>AVERAGE('Calidad de Datos'!C111:F111)</f>
        <v>0.85</v>
      </c>
      <c r="F107" s="14">
        <f>Tabla13[[#This Row],[Uso y acceso Ago/2024]]</f>
        <v>1</v>
      </c>
      <c r="G107" s="15">
        <f>Tabla58[[#This Row],[Integración Ago/2024]]</f>
        <v>1</v>
      </c>
      <c r="H107" s="16">
        <f>AVERAGE(Tabla4[[#This Row],[Creación y captura Ago/2024]:[Compartición e Interoperabilidad Ago/2024]])</f>
        <v>0.97</v>
      </c>
      <c r="I107" s="14">
        <v>1</v>
      </c>
      <c r="J107" s="14">
        <v>1</v>
      </c>
      <c r="K107" s="15">
        <f>AVERAGE('Calidad de Datos'!G111:J111)</f>
        <v>0.88749999999999996</v>
      </c>
      <c r="L107" s="15">
        <f>Tabla13[[#This Row],[Uso y acceso Sep/2024]]</f>
        <v>1</v>
      </c>
      <c r="M107" s="15">
        <f>Tabla58[[#This Row],[Integración Sep/2024]]</f>
        <v>1</v>
      </c>
      <c r="N107" s="16">
        <f>AVERAGE(Tabla4[[#This Row],[Creación y captura Sep/2024]:[Compartición e Interoperabilidad Sep/2024]])</f>
        <v>0.97750000000000004</v>
      </c>
      <c r="O107" s="14">
        <v>1</v>
      </c>
      <c r="P107" s="14">
        <v>1</v>
      </c>
      <c r="Q107" s="15">
        <f>AVERAGE('Calidad de Datos'!K111:N111)</f>
        <v>0.88749999999999996</v>
      </c>
      <c r="R107" s="15">
        <f>Tabla13[[#This Row],[Uso y acceso Oct/2024]]</f>
        <v>1</v>
      </c>
      <c r="S107" s="15">
        <f>Tabla58[[#This Row],[Integración Oct/2024]]</f>
        <v>1</v>
      </c>
      <c r="T107" s="16">
        <f>AVERAGE(Tabla4[[#This Row],[Creación y captura Oct/2024]:[Compartición e Interoperabilidad Oct/2024]])</f>
        <v>0.97750000000000004</v>
      </c>
      <c r="U107" s="14">
        <v>1</v>
      </c>
      <c r="V107" s="14">
        <v>1</v>
      </c>
      <c r="W107" s="15">
        <f>AVERAGE('Calidad de Datos'!O111:R111)</f>
        <v>0.96250000000000002</v>
      </c>
      <c r="X107" s="15">
        <f>Tabla13[[#This Row],[Uso y acceso Nov/2024]]</f>
        <v>1</v>
      </c>
      <c r="Y107" s="15">
        <f>Tabla58[[#This Row],[Integración Nov/2024]]</f>
        <v>1</v>
      </c>
      <c r="Z107" s="16">
        <f>AVERAGE(Tabla4[[#This Row],[Creación y captura Nov/2024]:[Compartición e Interoperabilidad Nov/2024]])</f>
        <v>0.99250000000000005</v>
      </c>
      <c r="AA107" s="14">
        <v>1</v>
      </c>
      <c r="AB107" s="14">
        <v>1</v>
      </c>
      <c r="AC107" s="15">
        <f>AVERAGE('Calidad de Datos'!S111:V111)</f>
        <v>1</v>
      </c>
      <c r="AD107" s="15">
        <f>Tabla13[[#This Row],[Uso y acceso Dic/2024]]</f>
        <v>1</v>
      </c>
      <c r="AE107" s="15">
        <f>Tabla58[[#This Row],[Integración Dic/2024]]</f>
        <v>1</v>
      </c>
      <c r="AF107" s="16">
        <f>AVERAGE(Tabla4[[#This Row],[Creación y captura Dic/2024]:[Compartición e Interoperabilidad Dic/2024]])</f>
        <v>1</v>
      </c>
      <c r="AG107" s="14">
        <v>1</v>
      </c>
      <c r="AH107" s="14">
        <v>1</v>
      </c>
      <c r="AI107" s="17">
        <f>AVERAGE('Calidad de Datos'!W111:Z111)</f>
        <v>1</v>
      </c>
      <c r="AJ107" s="15">
        <f>Tabla13[[#This Row],[Uso y acceso Ene/2025]]</f>
        <v>1</v>
      </c>
      <c r="AK107" s="15">
        <f>Tabla58[[#This Row],[Integración Ene/2025]]</f>
        <v>1</v>
      </c>
      <c r="AL107" s="16">
        <f>AVERAGE(Tabla4[[#This Row],[Creación y captura Ene/2025]:[Compartición e Interoperabilidad Ene/2025]])</f>
        <v>1</v>
      </c>
      <c r="AM107" s="14">
        <v>1</v>
      </c>
      <c r="AN107" s="14">
        <v>1</v>
      </c>
      <c r="AO107" s="17">
        <f>AVERAGE('Calidad de Datos'!AA111:AD111)</f>
        <v>1</v>
      </c>
      <c r="AP107" s="15">
        <f>Tabla13[[#This Row],[Uso y acceso Feb/2025]]</f>
        <v>1</v>
      </c>
      <c r="AQ107" s="15">
        <f>Tabla58[[#This Row],[Integración Feb/2025]]</f>
        <v>1</v>
      </c>
      <c r="AR107" s="16">
        <f>AVERAGE(Tabla4[[#This Row],[Creación y captura Feb/2025]:[Compartición e Interoperabilidad Feb/2025]])</f>
        <v>1</v>
      </c>
      <c r="AS107" s="14">
        <v>1</v>
      </c>
      <c r="AT107" s="14">
        <v>1</v>
      </c>
      <c r="AU107" s="17">
        <f>AVERAGE('Calidad de Datos'!AE111:AH111)</f>
        <v>1</v>
      </c>
      <c r="AV107" s="15">
        <f>Tabla13[[#This Row],[Uso y acceso Mar/2025]]</f>
        <v>1</v>
      </c>
      <c r="AW107" s="15">
        <f>Tabla58[[#This Row],[Integración Mar/2025]]</f>
        <v>1</v>
      </c>
      <c r="AX107" s="16">
        <f>AVERAGE(Tabla4[[#This Row],[Creación y captura Mar/2025]:[Compartición e Interoperabilidad Mar/2025]])</f>
        <v>1</v>
      </c>
      <c r="AY107" s="14">
        <v>1</v>
      </c>
      <c r="AZ107" s="14">
        <v>1</v>
      </c>
      <c r="BA107" s="17">
        <f>AVERAGE('Calidad de Datos'!AI111:AL111)</f>
        <v>1</v>
      </c>
      <c r="BB107" s="15">
        <f>Tabla13[[#This Row],[Uso y acceso Abr/2025]]</f>
        <v>1</v>
      </c>
      <c r="BC107" s="15">
        <f>Tabla58[[#This Row],[Integración Abr/2025]]</f>
        <v>1</v>
      </c>
      <c r="BD107" s="16">
        <f>AVERAGE(Tabla4[[#This Row],[Creación y captura Abr/2025]:[Compartición e Interoperabilidad Abr/2025]])</f>
        <v>1</v>
      </c>
      <c r="BE107" s="14">
        <v>1</v>
      </c>
      <c r="BF107" s="14">
        <v>1</v>
      </c>
      <c r="BG107" s="17">
        <f>AVERAGE('Calidad de Datos'!AM111:AP111)</f>
        <v>1</v>
      </c>
      <c r="BH107" s="15">
        <f>Tabla13[[#This Row],[Uso y acceso May/2025]]</f>
        <v>1</v>
      </c>
      <c r="BI107" s="15">
        <f>Tabla58[[#This Row],[Integración May/2025]]</f>
        <v>1</v>
      </c>
      <c r="BJ107" s="16">
        <f>AVERAGE(Tabla4[[#This Row],[Creación y captura May/2025]:[Compartición e Interoperabilidad May/2025]])</f>
        <v>1</v>
      </c>
      <c r="BK107" s="14">
        <v>1</v>
      </c>
      <c r="BL107" s="14">
        <v>1</v>
      </c>
      <c r="BM107" s="14">
        <f>AVERAGE('Calidad de Datos'!AQ111:AT111)</f>
        <v>1</v>
      </c>
      <c r="BN107" s="14">
        <f>Tabla13[[#This Row],[Uso y acceso Dic/2025]]</f>
        <v>1</v>
      </c>
      <c r="BO107" s="14">
        <f>Tabla58[[#This Row],[Integración Dic/2025]]</f>
        <v>1</v>
      </c>
      <c r="BP107" s="16">
        <f>AVERAGE(Tabla4[[#This Row],[Creación y captura Dic/2025]:[Compartición e Interoperabilidad Dic/2025]])</f>
        <v>1</v>
      </c>
    </row>
    <row r="108" spans="2:68" x14ac:dyDescent="0.4">
      <c r="B108" s="1" t="s">
        <v>159</v>
      </c>
      <c r="C108" s="14"/>
      <c r="D108" s="14"/>
      <c r="E108" s="14"/>
      <c r="F108" s="14">
        <f>Tabla13[[#This Row],[Uso y acceso Ago/2024]]</f>
        <v>0</v>
      </c>
      <c r="G108" s="15">
        <v>0</v>
      </c>
      <c r="H108" s="16">
        <f>AVERAGE(Tabla4[[#This Row],[Creación y captura Ago/2024]:[Compartición e Interoperabilidad Ago/2024]])</f>
        <v>0</v>
      </c>
      <c r="I108" s="14"/>
      <c r="J108" s="14"/>
      <c r="K108" s="15"/>
      <c r="L108" s="15">
        <f>Tabla13[[#This Row],[Uso y acceso Sep/2024]]</f>
        <v>0</v>
      </c>
      <c r="M108" s="15">
        <f>Tabla58[[#This Row],[Integración Sep/2024]]</f>
        <v>0</v>
      </c>
      <c r="N108" s="16">
        <f>AVERAGE(Tabla4[[#This Row],[Creación y captura Sep/2024]:[Compartición e Interoperabilidad Sep/2024]])</f>
        <v>0</v>
      </c>
      <c r="O108" s="14"/>
      <c r="P108" s="14"/>
      <c r="Q108" s="15"/>
      <c r="R108" s="15">
        <f>Tabla13[[#This Row],[Uso y acceso Oct/2024]]</f>
        <v>0</v>
      </c>
      <c r="S108" s="15">
        <f>Tabla58[[#This Row],[Integración Oct/2024]]</f>
        <v>0</v>
      </c>
      <c r="T108" s="16">
        <f>AVERAGE(Tabla4[[#This Row],[Creación y captura Oct/2024]:[Compartición e Interoperabilidad Oct/2024]])</f>
        <v>0</v>
      </c>
      <c r="U108" s="14"/>
      <c r="V108" s="14"/>
      <c r="W108" s="15"/>
      <c r="X108" s="15">
        <v>0</v>
      </c>
      <c r="Y108" s="15">
        <v>0</v>
      </c>
      <c r="Z108" s="16">
        <f>AVERAGE(Tabla4[[#This Row],[Creación y captura Nov/2024]:[Compartición e Interoperabilidad Nov/2024]])</f>
        <v>0</v>
      </c>
      <c r="AA108" s="14"/>
      <c r="AB108" s="14"/>
      <c r="AC108" s="15"/>
      <c r="AD108" s="15">
        <f>Tabla13[[#This Row],[Uso y acceso Dic/2024]]</f>
        <v>0</v>
      </c>
      <c r="AE108" s="15">
        <f>Tabla58[[#This Row],[Integración Dic/2024]]</f>
        <v>0</v>
      </c>
      <c r="AF108" s="16">
        <f>AVERAGE(Tabla4[[#This Row],[Creación y captura Dic/2024]:[Compartición e Interoperabilidad Dic/2024]])</f>
        <v>0</v>
      </c>
      <c r="AG108" s="14"/>
      <c r="AH108" s="14"/>
      <c r="AI108" s="15"/>
      <c r="AJ108" s="15">
        <f>Tabla13[[#This Row],[Uso y acceso Ene/2025]]</f>
        <v>0</v>
      </c>
      <c r="AK108" s="15">
        <f>Tabla58[[#This Row],[Integración Ene/2025]]</f>
        <v>0</v>
      </c>
      <c r="AL108" s="16">
        <f>AVERAGE(Tabla4[[#This Row],[Creación y captura Ene/2025]:[Compartición e Interoperabilidad Ene/2025]])</f>
        <v>0</v>
      </c>
      <c r="AM108" s="14"/>
      <c r="AN108" s="14"/>
      <c r="AO108" s="15"/>
      <c r="AP108" s="15">
        <f>Tabla13[[#This Row],[Uso y acceso Feb/2025]]</f>
        <v>0</v>
      </c>
      <c r="AQ108" s="15">
        <f>Tabla58[[#This Row],[Integración Feb/2025]]</f>
        <v>0</v>
      </c>
      <c r="AR108" s="16">
        <f>AVERAGE(Tabla4[[#This Row],[Creación y captura Feb/2025]:[Compartición e Interoperabilidad Feb/2025]])</f>
        <v>0</v>
      </c>
      <c r="AS108" s="14"/>
      <c r="AT108" s="14"/>
      <c r="AU108" s="15"/>
      <c r="AV108" s="15">
        <f>Tabla13[[#This Row],[Uso y acceso Mar/2025]]</f>
        <v>0</v>
      </c>
      <c r="AW108" s="15">
        <f>Tabla58[[#This Row],[Integración Mar/2025]]</f>
        <v>0</v>
      </c>
      <c r="AX108" s="16">
        <f>AVERAGE(Tabla4[[#This Row],[Creación y captura Mar/2025]:[Compartición e Interoperabilidad Mar/2025]])</f>
        <v>0</v>
      </c>
      <c r="AY108" s="14"/>
      <c r="AZ108" s="14"/>
      <c r="BA108" s="15"/>
      <c r="BB108" s="15">
        <f>Tabla13[[#This Row],[Uso y acceso Abr/2025]]</f>
        <v>0</v>
      </c>
      <c r="BC108" s="15">
        <f>Tabla58[[#This Row],[Integración Abr/2025]]</f>
        <v>0</v>
      </c>
      <c r="BD108" s="16">
        <f>AVERAGE(Tabla4[[#This Row],[Creación y captura Abr/2025]:[Compartición e Interoperabilidad Abr/2025]])</f>
        <v>0</v>
      </c>
      <c r="BE108" s="14"/>
      <c r="BF108" s="14"/>
      <c r="BG108" s="15"/>
      <c r="BH108" s="15">
        <f>Tabla13[[#This Row],[Uso y acceso May/2025]]</f>
        <v>0</v>
      </c>
      <c r="BI108" s="15">
        <f>Tabla58[[#This Row],[Integración May/2025]]</f>
        <v>0</v>
      </c>
      <c r="BJ108" s="16">
        <f>AVERAGE(Tabla4[[#This Row],[Creación y captura May/2025]:[Compartición e Interoperabilidad May/2025]])</f>
        <v>0</v>
      </c>
      <c r="BK108" s="14"/>
      <c r="BL108" s="14"/>
      <c r="BM108" s="14">
        <f>AVERAGE('Calidad de Datos'!AQ112:AT112)</f>
        <v>1</v>
      </c>
      <c r="BN108" s="14">
        <f>Tabla13[[#This Row],[Uso y acceso Dic/2025]]</f>
        <v>1</v>
      </c>
      <c r="BO108" s="14">
        <f>Tabla58[[#This Row],[Integración Dic/2025]]</f>
        <v>0.8</v>
      </c>
      <c r="BP108" s="16">
        <f>AVERAGE(Tabla4[[#This Row],[Creación y captura Dic/2025]:[Compartición e Interoperabilidad Dic/2025]])</f>
        <v>0.93333333333333324</v>
      </c>
    </row>
    <row r="109" spans="2:68" x14ac:dyDescent="0.4">
      <c r="B109" s="1" t="s">
        <v>160</v>
      </c>
      <c r="C109" s="14"/>
      <c r="D109" s="14"/>
      <c r="E109" s="14"/>
      <c r="F109" s="14">
        <f>Tabla13[[#This Row],[Uso y acceso Ago/2024]]</f>
        <v>0</v>
      </c>
      <c r="G109" s="15">
        <v>0</v>
      </c>
      <c r="H109" s="16">
        <f>AVERAGE(Tabla4[[#This Row],[Creación y captura Ago/2024]:[Compartición e Interoperabilidad Ago/2024]])</f>
        <v>0</v>
      </c>
      <c r="I109" s="14"/>
      <c r="J109" s="14"/>
      <c r="K109" s="15"/>
      <c r="L109" s="15">
        <f>Tabla13[[#This Row],[Uso y acceso Sep/2024]]</f>
        <v>0</v>
      </c>
      <c r="M109" s="15">
        <f>Tabla58[[#This Row],[Integración Sep/2024]]</f>
        <v>0</v>
      </c>
      <c r="N109" s="16">
        <f>AVERAGE(Tabla4[[#This Row],[Creación y captura Sep/2024]:[Compartición e Interoperabilidad Sep/2024]])</f>
        <v>0</v>
      </c>
      <c r="O109" s="14"/>
      <c r="P109" s="14"/>
      <c r="Q109" s="15"/>
      <c r="R109" s="15">
        <f>Tabla13[[#This Row],[Uso y acceso Oct/2024]]</f>
        <v>0</v>
      </c>
      <c r="S109" s="15">
        <f>Tabla58[[#This Row],[Integración Oct/2024]]</f>
        <v>0</v>
      </c>
      <c r="T109" s="16">
        <f>AVERAGE(Tabla4[[#This Row],[Creación y captura Oct/2024]:[Compartición e Interoperabilidad Oct/2024]])</f>
        <v>0</v>
      </c>
      <c r="U109" s="14"/>
      <c r="V109" s="14"/>
      <c r="W109" s="15"/>
      <c r="X109" s="15">
        <v>0</v>
      </c>
      <c r="Y109" s="15">
        <v>0</v>
      </c>
      <c r="Z109" s="16">
        <f>AVERAGE(Tabla4[[#This Row],[Creación y captura Nov/2024]:[Compartición e Interoperabilidad Nov/2024]])</f>
        <v>0</v>
      </c>
      <c r="AA109" s="14"/>
      <c r="AB109" s="14"/>
      <c r="AC109" s="15"/>
      <c r="AD109" s="15">
        <f>Tabla13[[#This Row],[Uso y acceso Dic/2024]]</f>
        <v>0</v>
      </c>
      <c r="AE109" s="15">
        <f>Tabla58[[#This Row],[Integración Dic/2024]]</f>
        <v>0</v>
      </c>
      <c r="AF109" s="16">
        <f>AVERAGE(Tabla4[[#This Row],[Creación y captura Dic/2024]:[Compartición e Interoperabilidad Dic/2024]])</f>
        <v>0</v>
      </c>
      <c r="AG109" s="14"/>
      <c r="AH109" s="14"/>
      <c r="AI109" s="15"/>
      <c r="AJ109" s="15">
        <f>Tabla13[[#This Row],[Uso y acceso Ene/2025]]</f>
        <v>0</v>
      </c>
      <c r="AK109" s="15">
        <f>Tabla58[[#This Row],[Integración Ene/2025]]</f>
        <v>0</v>
      </c>
      <c r="AL109" s="16">
        <f>AVERAGE(Tabla4[[#This Row],[Creación y captura Ene/2025]:[Compartición e Interoperabilidad Ene/2025]])</f>
        <v>0</v>
      </c>
      <c r="AM109" s="14"/>
      <c r="AN109" s="14"/>
      <c r="AO109" s="15"/>
      <c r="AP109" s="15">
        <f>Tabla13[[#This Row],[Uso y acceso Feb/2025]]</f>
        <v>0</v>
      </c>
      <c r="AQ109" s="15">
        <f>Tabla58[[#This Row],[Integración Feb/2025]]</f>
        <v>0</v>
      </c>
      <c r="AR109" s="16">
        <f>AVERAGE(Tabla4[[#This Row],[Creación y captura Feb/2025]:[Compartición e Interoperabilidad Feb/2025]])</f>
        <v>0</v>
      </c>
      <c r="AS109" s="14"/>
      <c r="AT109" s="14"/>
      <c r="AU109" s="15"/>
      <c r="AV109" s="15">
        <f>Tabla13[[#This Row],[Uso y acceso Mar/2025]]</f>
        <v>0</v>
      </c>
      <c r="AW109" s="15">
        <f>Tabla58[[#This Row],[Integración Mar/2025]]</f>
        <v>0</v>
      </c>
      <c r="AX109" s="16">
        <f>AVERAGE(Tabla4[[#This Row],[Creación y captura Mar/2025]:[Compartición e Interoperabilidad Mar/2025]])</f>
        <v>0</v>
      </c>
      <c r="AY109" s="14"/>
      <c r="AZ109" s="14"/>
      <c r="BA109" s="15"/>
      <c r="BB109" s="15">
        <f>Tabla13[[#This Row],[Uso y acceso Abr/2025]]</f>
        <v>0</v>
      </c>
      <c r="BC109" s="15">
        <f>Tabla58[[#This Row],[Integración Abr/2025]]</f>
        <v>0</v>
      </c>
      <c r="BD109" s="16">
        <f>AVERAGE(Tabla4[[#This Row],[Creación y captura Abr/2025]:[Compartición e Interoperabilidad Abr/2025]])</f>
        <v>0</v>
      </c>
      <c r="BE109" s="14"/>
      <c r="BF109" s="14"/>
      <c r="BG109" s="15"/>
      <c r="BH109" s="15">
        <f>Tabla13[[#This Row],[Uso y acceso May/2025]]</f>
        <v>0</v>
      </c>
      <c r="BI109" s="15">
        <f>Tabla58[[#This Row],[Integración May/2025]]</f>
        <v>0</v>
      </c>
      <c r="BJ109" s="16">
        <f>AVERAGE(Tabla4[[#This Row],[Creación y captura May/2025]:[Compartición e Interoperabilidad May/2025]])</f>
        <v>0</v>
      </c>
      <c r="BK109" s="14"/>
      <c r="BL109" s="14"/>
      <c r="BM109" s="14">
        <f>AVERAGE('Calidad de Datos'!AQ113:AT113)</f>
        <v>0.7</v>
      </c>
      <c r="BN109" s="14">
        <f>Tabla13[[#This Row],[Uso y acceso Dic/2025]]</f>
        <v>0</v>
      </c>
      <c r="BO109" s="14">
        <f>Tabla58[[#This Row],[Integración Dic/2025]]</f>
        <v>0.4</v>
      </c>
      <c r="BP109" s="16">
        <f>AVERAGE(Tabla4[[#This Row],[Creación y captura Dic/2025]:[Compartición e Interoperabilidad Dic/2025]])</f>
        <v>0.3666666666666667</v>
      </c>
    </row>
    <row r="110" spans="2:68" x14ac:dyDescent="0.4">
      <c r="B110" s="1" t="s">
        <v>161</v>
      </c>
      <c r="C110" s="14"/>
      <c r="D110" s="14"/>
      <c r="E110" s="14"/>
      <c r="F110" s="14">
        <f>Tabla13[[#This Row],[Uso y acceso Ago/2024]]</f>
        <v>0.8</v>
      </c>
      <c r="G110" s="15">
        <f>Tabla58[[#This Row],[Integración Ago/2024]]</f>
        <v>0</v>
      </c>
      <c r="H110" s="16">
        <f>AVERAGE(Tabla4[[#This Row],[Creación y captura Ago/2024]:[Compartición e Interoperabilidad Ago/2024]])</f>
        <v>0.4</v>
      </c>
      <c r="I110" s="14"/>
      <c r="J110" s="14"/>
      <c r="K110" s="15"/>
      <c r="L110" s="15">
        <f>Tabla13[[#This Row],[Uso y acceso Sep/2024]]</f>
        <v>0.8</v>
      </c>
      <c r="M110" s="15">
        <f>Tabla58[[#This Row],[Integración Sep/2024]]</f>
        <v>0</v>
      </c>
      <c r="N110" s="16">
        <f>AVERAGE(Tabla4[[#This Row],[Creación y captura Sep/2024]:[Compartición e Interoperabilidad Sep/2024]])</f>
        <v>0.4</v>
      </c>
      <c r="O110" s="14"/>
      <c r="P110" s="14"/>
      <c r="Q110" s="15"/>
      <c r="R110" s="15">
        <f>Tabla13[[#This Row],[Uso y acceso Oct/2024]]</f>
        <v>1</v>
      </c>
      <c r="S110" s="15">
        <f>Tabla58[[#This Row],[Integración Oct/2024]]</f>
        <v>0</v>
      </c>
      <c r="T110" s="16">
        <f>AVERAGE(Tabla4[[#This Row],[Creación y captura Oct/2024]:[Compartición e Interoperabilidad Oct/2024]])</f>
        <v>0.5</v>
      </c>
      <c r="U110" s="14"/>
      <c r="V110" s="14"/>
      <c r="W110" s="15"/>
      <c r="X110" s="15">
        <f>Tabla13[[#This Row],[Uso y acceso Nov/2024]]</f>
        <v>1</v>
      </c>
      <c r="Y110" s="15">
        <f>Tabla58[[#This Row],[Integración Nov/2024]]</f>
        <v>0</v>
      </c>
      <c r="Z110" s="16">
        <f>AVERAGE(Tabla4[[#This Row],[Creación y captura Nov/2024]:[Compartición e Interoperabilidad Nov/2024]])</f>
        <v>0.5</v>
      </c>
      <c r="AA110" s="14"/>
      <c r="AB110" s="14"/>
      <c r="AC110" s="15"/>
      <c r="AD110" s="15">
        <f>Tabla13[[#This Row],[Uso y acceso Dic/2024]]</f>
        <v>1</v>
      </c>
      <c r="AE110" s="15">
        <f>Tabla58[[#This Row],[Integración Dic/2024]]</f>
        <v>0</v>
      </c>
      <c r="AF110" s="16">
        <f>AVERAGE(Tabla4[[#This Row],[Creación y captura Dic/2024]:[Compartición e Interoperabilidad Dic/2024]])</f>
        <v>0.5</v>
      </c>
      <c r="AG110" s="14"/>
      <c r="AH110" s="14"/>
      <c r="AI110" s="15"/>
      <c r="AJ110" s="15">
        <f>Tabla13[[#This Row],[Uso y acceso Ene/2025]]</f>
        <v>1</v>
      </c>
      <c r="AK110" s="15">
        <f>Tabla58[[#This Row],[Integración Ene/2025]]</f>
        <v>0</v>
      </c>
      <c r="AL110" s="16">
        <f>AVERAGE(Tabla4[[#This Row],[Creación y captura Ene/2025]:[Compartición e Interoperabilidad Ene/2025]])</f>
        <v>0.5</v>
      </c>
      <c r="AM110" s="14"/>
      <c r="AN110" s="14"/>
      <c r="AO110" s="15"/>
      <c r="AP110" s="15">
        <f>Tabla13[[#This Row],[Uso y acceso Feb/2025]]</f>
        <v>1</v>
      </c>
      <c r="AQ110" s="15">
        <f>Tabla58[[#This Row],[Integración Feb/2025]]</f>
        <v>0</v>
      </c>
      <c r="AR110" s="16">
        <f>AVERAGE(Tabla4[[#This Row],[Creación y captura Feb/2025]:[Compartición e Interoperabilidad Feb/2025]])</f>
        <v>0.5</v>
      </c>
      <c r="AS110" s="14"/>
      <c r="AT110" s="14"/>
      <c r="AU110" s="15"/>
      <c r="AV110" s="15">
        <f>Tabla13[[#This Row],[Uso y acceso Mar/2025]]</f>
        <v>1</v>
      </c>
      <c r="AW110" s="15">
        <f>Tabla58[[#This Row],[Integración Mar/2025]]</f>
        <v>0</v>
      </c>
      <c r="AX110" s="16">
        <f>AVERAGE(Tabla4[[#This Row],[Creación y captura Mar/2025]:[Compartición e Interoperabilidad Mar/2025]])</f>
        <v>0.5</v>
      </c>
      <c r="AY110" s="14"/>
      <c r="AZ110" s="14"/>
      <c r="BA110" s="15"/>
      <c r="BB110" s="15">
        <f>Tabla13[[#This Row],[Uso y acceso Abr/2025]]</f>
        <v>1</v>
      </c>
      <c r="BC110" s="15">
        <f>Tabla58[[#This Row],[Integración Abr/2025]]</f>
        <v>0</v>
      </c>
      <c r="BD110" s="16">
        <f>AVERAGE(Tabla4[[#This Row],[Creación y captura Abr/2025]:[Compartición e Interoperabilidad Abr/2025]])</f>
        <v>0.5</v>
      </c>
      <c r="BE110" s="14"/>
      <c r="BF110" s="14"/>
      <c r="BG110" s="15"/>
      <c r="BH110" s="15">
        <f>Tabla13[[#This Row],[Uso y acceso May/2025]]</f>
        <v>1</v>
      </c>
      <c r="BI110" s="15">
        <f>Tabla58[[#This Row],[Integración May/2025]]</f>
        <v>0</v>
      </c>
      <c r="BJ110" s="16">
        <f>AVERAGE(Tabla4[[#This Row],[Creación y captura May/2025]:[Compartición e Interoperabilidad May/2025]])</f>
        <v>0.5</v>
      </c>
      <c r="BK110" s="14"/>
      <c r="BL110" s="14"/>
      <c r="BM110" s="14">
        <f>AVERAGE('Calidad de Datos'!AQ114:AT114)</f>
        <v>0.65</v>
      </c>
      <c r="BN110" s="14">
        <f>Tabla13[[#This Row],[Uso y acceso Dic/2025]]</f>
        <v>1</v>
      </c>
      <c r="BO110" s="14">
        <f>Tabla58[[#This Row],[Integración Dic/2025]]</f>
        <v>0.6</v>
      </c>
      <c r="BP110" s="16">
        <f>AVERAGE(Tabla4[[#This Row],[Creación y captura Dic/2025]:[Compartición e Interoperabilidad Dic/2025]])</f>
        <v>0.75</v>
      </c>
    </row>
    <row r="111" spans="2:68" x14ac:dyDescent="0.4">
      <c r="B111" s="1" t="s">
        <v>162</v>
      </c>
      <c r="C111" s="14"/>
      <c r="D111" s="14"/>
      <c r="E111" s="14"/>
      <c r="F111" s="14">
        <f>Tabla13[[#This Row],[Uso y acceso Ago/2024]]</f>
        <v>1</v>
      </c>
      <c r="G111" s="15">
        <f>Tabla58[[#This Row],[Integración Ago/2024]]</f>
        <v>0</v>
      </c>
      <c r="H111" s="16">
        <f>AVERAGE(Tabla4[[#This Row],[Creación y captura Ago/2024]:[Compartición e Interoperabilidad Ago/2024]])</f>
        <v>0.5</v>
      </c>
      <c r="I111" s="14"/>
      <c r="J111" s="14"/>
      <c r="K111" s="15"/>
      <c r="L111" s="15">
        <f>Tabla13[[#This Row],[Uso y acceso Sep/2024]]</f>
        <v>1</v>
      </c>
      <c r="M111" s="15">
        <f>Tabla58[[#This Row],[Integración Sep/2024]]</f>
        <v>0</v>
      </c>
      <c r="N111" s="16">
        <f>AVERAGE(Tabla4[[#This Row],[Creación y captura Sep/2024]:[Compartición e Interoperabilidad Sep/2024]])</f>
        <v>0.5</v>
      </c>
      <c r="O111" s="14"/>
      <c r="P111" s="14"/>
      <c r="Q111" s="15"/>
      <c r="R111" s="15">
        <f>Tabla13[[#This Row],[Uso y acceso Oct/2024]]</f>
        <v>1</v>
      </c>
      <c r="S111" s="15">
        <f>Tabla58[[#This Row],[Integración Oct/2024]]</f>
        <v>0</v>
      </c>
      <c r="T111" s="16">
        <f>AVERAGE(Tabla4[[#This Row],[Creación y captura Oct/2024]:[Compartición e Interoperabilidad Oct/2024]])</f>
        <v>0.5</v>
      </c>
      <c r="U111" s="14"/>
      <c r="V111" s="14"/>
      <c r="W111" s="15"/>
      <c r="X111" s="15">
        <f>Tabla13[[#This Row],[Uso y acceso Nov/2024]]</f>
        <v>1</v>
      </c>
      <c r="Y111" s="15">
        <f>Tabla58[[#This Row],[Integración Nov/2024]]</f>
        <v>0</v>
      </c>
      <c r="Z111" s="16">
        <f>AVERAGE(Tabla4[[#This Row],[Creación y captura Nov/2024]:[Compartición e Interoperabilidad Nov/2024]])</f>
        <v>0.5</v>
      </c>
      <c r="AA111" s="14"/>
      <c r="AB111" s="14"/>
      <c r="AC111" s="15"/>
      <c r="AD111" s="15">
        <f>Tabla13[[#This Row],[Uso y acceso Dic/2024]]</f>
        <v>1</v>
      </c>
      <c r="AE111" s="15">
        <f>Tabla58[[#This Row],[Integración Dic/2024]]</f>
        <v>0</v>
      </c>
      <c r="AF111" s="16">
        <f>AVERAGE(Tabla4[[#This Row],[Creación y captura Dic/2024]:[Compartición e Interoperabilidad Dic/2024]])</f>
        <v>0.5</v>
      </c>
      <c r="AG111" s="14"/>
      <c r="AH111" s="14"/>
      <c r="AI111" s="15"/>
      <c r="AJ111" s="15">
        <f>Tabla13[[#This Row],[Uso y acceso Ene/2025]]</f>
        <v>1</v>
      </c>
      <c r="AK111" s="15">
        <f>Tabla58[[#This Row],[Integración Ene/2025]]</f>
        <v>0</v>
      </c>
      <c r="AL111" s="16">
        <f>AVERAGE(Tabla4[[#This Row],[Creación y captura Ene/2025]:[Compartición e Interoperabilidad Ene/2025]])</f>
        <v>0.5</v>
      </c>
      <c r="AM111" s="14"/>
      <c r="AN111" s="14"/>
      <c r="AO111" s="15"/>
      <c r="AP111" s="15">
        <f>Tabla13[[#This Row],[Uso y acceso Feb/2025]]</f>
        <v>1</v>
      </c>
      <c r="AQ111" s="15">
        <f>Tabla58[[#This Row],[Integración Feb/2025]]</f>
        <v>0</v>
      </c>
      <c r="AR111" s="16">
        <f>AVERAGE(Tabla4[[#This Row],[Creación y captura Feb/2025]:[Compartición e Interoperabilidad Feb/2025]])</f>
        <v>0.5</v>
      </c>
      <c r="AS111" s="14"/>
      <c r="AT111" s="14"/>
      <c r="AU111" s="15"/>
      <c r="AV111" s="15">
        <f>Tabla13[[#This Row],[Uso y acceso Mar/2025]]</f>
        <v>1</v>
      </c>
      <c r="AW111" s="15">
        <f>Tabla58[[#This Row],[Integración Mar/2025]]</f>
        <v>0</v>
      </c>
      <c r="AX111" s="16">
        <f>AVERAGE(Tabla4[[#This Row],[Creación y captura Mar/2025]:[Compartición e Interoperabilidad Mar/2025]])</f>
        <v>0.5</v>
      </c>
      <c r="AY111" s="14"/>
      <c r="AZ111" s="14"/>
      <c r="BA111" s="15"/>
      <c r="BB111" s="15">
        <f>Tabla13[[#This Row],[Uso y acceso Abr/2025]]</f>
        <v>1</v>
      </c>
      <c r="BC111" s="15">
        <f>Tabla58[[#This Row],[Integración Abr/2025]]</f>
        <v>0</v>
      </c>
      <c r="BD111" s="16">
        <f>AVERAGE(Tabla4[[#This Row],[Creación y captura Abr/2025]:[Compartición e Interoperabilidad Abr/2025]])</f>
        <v>0.5</v>
      </c>
      <c r="BE111" s="14"/>
      <c r="BF111" s="14"/>
      <c r="BG111" s="15"/>
      <c r="BH111" s="15">
        <f>Tabla13[[#This Row],[Uso y acceso May/2025]]</f>
        <v>1</v>
      </c>
      <c r="BI111" s="15">
        <f>Tabla58[[#This Row],[Integración May/2025]]</f>
        <v>0</v>
      </c>
      <c r="BJ111" s="16">
        <f>AVERAGE(Tabla4[[#This Row],[Creación y captura May/2025]:[Compartición e Interoperabilidad May/2025]])</f>
        <v>0.5</v>
      </c>
      <c r="BK111" s="14"/>
      <c r="BL111" s="14"/>
      <c r="BM111" s="14">
        <f>AVERAGE('Calidad de Datos'!AQ115:AT115)</f>
        <v>0.5</v>
      </c>
      <c r="BN111" s="14">
        <f>Tabla13[[#This Row],[Uso y acceso Dic/2025]]</f>
        <v>1</v>
      </c>
      <c r="BO111" s="14">
        <f>Tabla58[[#This Row],[Integración Dic/2025]]</f>
        <v>0.4</v>
      </c>
      <c r="BP111" s="16">
        <f>AVERAGE(Tabla4[[#This Row],[Creación y captura Dic/2025]:[Compartición e Interoperabilidad Dic/2025]])</f>
        <v>0.6333333333333333</v>
      </c>
    </row>
    <row r="112" spans="2:68" x14ac:dyDescent="0.4">
      <c r="B112" s="1" t="s">
        <v>163</v>
      </c>
      <c r="C112" s="14"/>
      <c r="D112" s="14"/>
      <c r="E112" s="14"/>
      <c r="F112" s="14">
        <f>Tabla13[[#This Row],[Uso y acceso Ago/2024]]</f>
        <v>1</v>
      </c>
      <c r="G112" s="15">
        <f>Tabla58[[#This Row],[Integración Ago/2024]]</f>
        <v>0</v>
      </c>
      <c r="H112" s="16">
        <f>AVERAGE(Tabla4[[#This Row],[Creación y captura Ago/2024]:[Compartición e Interoperabilidad Ago/2024]])</f>
        <v>0.5</v>
      </c>
      <c r="I112" s="14"/>
      <c r="J112" s="14"/>
      <c r="K112" s="15"/>
      <c r="L112" s="15">
        <f>Tabla13[[#This Row],[Uso y acceso Sep/2024]]</f>
        <v>1</v>
      </c>
      <c r="M112" s="15">
        <f>Tabla58[[#This Row],[Integración Sep/2024]]</f>
        <v>0</v>
      </c>
      <c r="N112" s="16">
        <f>AVERAGE(Tabla4[[#This Row],[Creación y captura Sep/2024]:[Compartición e Interoperabilidad Sep/2024]])</f>
        <v>0.5</v>
      </c>
      <c r="O112" s="14"/>
      <c r="P112" s="14"/>
      <c r="Q112" s="15"/>
      <c r="R112" s="15">
        <f>Tabla13[[#This Row],[Uso y acceso Oct/2024]]</f>
        <v>1</v>
      </c>
      <c r="S112" s="15">
        <f>Tabla58[[#This Row],[Integración Oct/2024]]</f>
        <v>0</v>
      </c>
      <c r="T112" s="16">
        <f>AVERAGE(Tabla4[[#This Row],[Creación y captura Oct/2024]:[Compartición e Interoperabilidad Oct/2024]])</f>
        <v>0.5</v>
      </c>
      <c r="U112" s="14"/>
      <c r="V112" s="14"/>
      <c r="W112" s="15"/>
      <c r="X112" s="15">
        <f>Tabla13[[#This Row],[Uso y acceso Nov/2024]]</f>
        <v>1</v>
      </c>
      <c r="Y112" s="15">
        <f>Tabla58[[#This Row],[Integración Nov/2024]]</f>
        <v>0</v>
      </c>
      <c r="Z112" s="16">
        <f>AVERAGE(Tabla4[[#This Row],[Creación y captura Nov/2024]:[Compartición e Interoperabilidad Nov/2024]])</f>
        <v>0.5</v>
      </c>
      <c r="AA112" s="14"/>
      <c r="AB112" s="14"/>
      <c r="AC112" s="15"/>
      <c r="AD112" s="15">
        <f>Tabla13[[#This Row],[Uso y acceso Dic/2024]]</f>
        <v>1</v>
      </c>
      <c r="AE112" s="15">
        <f>Tabla58[[#This Row],[Integración Dic/2024]]</f>
        <v>0</v>
      </c>
      <c r="AF112" s="16">
        <f>AVERAGE(Tabla4[[#This Row],[Creación y captura Dic/2024]:[Compartición e Interoperabilidad Dic/2024]])</f>
        <v>0.5</v>
      </c>
      <c r="AG112" s="14"/>
      <c r="AH112" s="14"/>
      <c r="AI112" s="15"/>
      <c r="AJ112" s="15">
        <f>Tabla13[[#This Row],[Uso y acceso Ene/2025]]</f>
        <v>1</v>
      </c>
      <c r="AK112" s="15">
        <f>Tabla58[[#This Row],[Integración Ene/2025]]</f>
        <v>0</v>
      </c>
      <c r="AL112" s="16">
        <f>AVERAGE(Tabla4[[#This Row],[Creación y captura Ene/2025]:[Compartición e Interoperabilidad Ene/2025]])</f>
        <v>0.5</v>
      </c>
      <c r="AM112" s="14"/>
      <c r="AN112" s="14"/>
      <c r="AO112" s="15"/>
      <c r="AP112" s="15">
        <f>Tabla13[[#This Row],[Uso y acceso Feb/2025]]</f>
        <v>1</v>
      </c>
      <c r="AQ112" s="15">
        <f>Tabla58[[#This Row],[Integración Feb/2025]]</f>
        <v>0</v>
      </c>
      <c r="AR112" s="16">
        <f>AVERAGE(Tabla4[[#This Row],[Creación y captura Feb/2025]:[Compartición e Interoperabilidad Feb/2025]])</f>
        <v>0.5</v>
      </c>
      <c r="AS112" s="14"/>
      <c r="AT112" s="14"/>
      <c r="AU112" s="15"/>
      <c r="AV112" s="15">
        <f>Tabla13[[#This Row],[Uso y acceso Mar/2025]]</f>
        <v>1</v>
      </c>
      <c r="AW112" s="15">
        <f>Tabla58[[#This Row],[Integración Mar/2025]]</f>
        <v>0</v>
      </c>
      <c r="AX112" s="16">
        <f>AVERAGE(Tabla4[[#This Row],[Creación y captura Mar/2025]:[Compartición e Interoperabilidad Mar/2025]])</f>
        <v>0.5</v>
      </c>
      <c r="AY112" s="14"/>
      <c r="AZ112" s="14"/>
      <c r="BA112" s="15"/>
      <c r="BB112" s="15">
        <f>Tabla13[[#This Row],[Uso y acceso Abr/2025]]</f>
        <v>1</v>
      </c>
      <c r="BC112" s="15">
        <f>Tabla58[[#This Row],[Integración Abr/2025]]</f>
        <v>0</v>
      </c>
      <c r="BD112" s="16">
        <f>AVERAGE(Tabla4[[#This Row],[Creación y captura Abr/2025]:[Compartición e Interoperabilidad Abr/2025]])</f>
        <v>0.5</v>
      </c>
      <c r="BE112" s="14"/>
      <c r="BF112" s="14"/>
      <c r="BG112" s="15"/>
      <c r="BH112" s="15">
        <f>Tabla13[[#This Row],[Uso y acceso May/2025]]</f>
        <v>1</v>
      </c>
      <c r="BI112" s="15">
        <f>Tabla58[[#This Row],[Integración May/2025]]</f>
        <v>0</v>
      </c>
      <c r="BJ112" s="16">
        <f>AVERAGE(Tabla4[[#This Row],[Creación y captura May/2025]:[Compartición e Interoperabilidad May/2025]])</f>
        <v>0.5</v>
      </c>
      <c r="BK112" s="14"/>
      <c r="BL112" s="14"/>
      <c r="BM112" s="14">
        <f>AVERAGE('Calidad de Datos'!AQ116:AT116)</f>
        <v>0.9</v>
      </c>
      <c r="BN112" s="14">
        <f>Tabla13[[#This Row],[Uso y acceso Dic/2025]]</f>
        <v>1</v>
      </c>
      <c r="BO112" s="14">
        <f>Tabla58[[#This Row],[Integración Dic/2025]]</f>
        <v>0.6</v>
      </c>
      <c r="BP112" s="16">
        <f>AVERAGE(Tabla4[[#This Row],[Creación y captura Dic/2025]:[Compartición e Interoperabilidad Dic/2025]])</f>
        <v>0.83333333333333337</v>
      </c>
    </row>
    <row r="113" spans="2:68" x14ac:dyDescent="0.4">
      <c r="B113" s="1" t="s">
        <v>164</v>
      </c>
      <c r="C113" s="14"/>
      <c r="D113" s="14"/>
      <c r="E113" s="14"/>
      <c r="F113" s="14">
        <f>Tabla13[[#This Row],[Uso y acceso Ago/2024]]</f>
        <v>1</v>
      </c>
      <c r="G113" s="15">
        <f>Tabla58[[#This Row],[Integración Ago/2024]]</f>
        <v>0</v>
      </c>
      <c r="H113" s="16">
        <f>AVERAGE(Tabla4[[#This Row],[Creación y captura Ago/2024]:[Compartición e Interoperabilidad Ago/2024]])</f>
        <v>0.5</v>
      </c>
      <c r="I113" s="14"/>
      <c r="J113" s="14"/>
      <c r="K113" s="15"/>
      <c r="L113" s="15">
        <f>Tabla13[[#This Row],[Uso y acceso Sep/2024]]</f>
        <v>1</v>
      </c>
      <c r="M113" s="15">
        <f>Tabla58[[#This Row],[Integración Sep/2024]]</f>
        <v>0</v>
      </c>
      <c r="N113" s="16">
        <f>AVERAGE(Tabla4[[#This Row],[Creación y captura Sep/2024]:[Compartición e Interoperabilidad Sep/2024]])</f>
        <v>0.5</v>
      </c>
      <c r="O113" s="14"/>
      <c r="P113" s="14"/>
      <c r="Q113" s="15"/>
      <c r="R113" s="15">
        <f>Tabla13[[#This Row],[Uso y acceso Oct/2024]]</f>
        <v>1</v>
      </c>
      <c r="S113" s="15">
        <f>Tabla58[[#This Row],[Integración Oct/2024]]</f>
        <v>0</v>
      </c>
      <c r="T113" s="16">
        <f>AVERAGE(Tabla4[[#This Row],[Creación y captura Oct/2024]:[Compartición e Interoperabilidad Oct/2024]])</f>
        <v>0.5</v>
      </c>
      <c r="U113" s="14"/>
      <c r="V113" s="14"/>
      <c r="W113" s="15"/>
      <c r="X113" s="15">
        <f>Tabla13[[#This Row],[Uso y acceso Nov/2024]]</f>
        <v>1</v>
      </c>
      <c r="Y113" s="15">
        <f>Tabla58[[#This Row],[Integración Nov/2024]]</f>
        <v>0</v>
      </c>
      <c r="Z113" s="16">
        <f>AVERAGE(Tabla4[[#This Row],[Creación y captura Nov/2024]:[Compartición e Interoperabilidad Nov/2024]])</f>
        <v>0.5</v>
      </c>
      <c r="AA113" s="14"/>
      <c r="AB113" s="14"/>
      <c r="AC113" s="15"/>
      <c r="AD113" s="15">
        <f>Tabla13[[#This Row],[Uso y acceso Dic/2024]]</f>
        <v>1</v>
      </c>
      <c r="AE113" s="15">
        <f>Tabla58[[#This Row],[Integración Dic/2024]]</f>
        <v>0</v>
      </c>
      <c r="AF113" s="16">
        <f>AVERAGE(Tabla4[[#This Row],[Creación y captura Dic/2024]:[Compartición e Interoperabilidad Dic/2024]])</f>
        <v>0.5</v>
      </c>
      <c r="AG113" s="14"/>
      <c r="AH113" s="14"/>
      <c r="AI113" s="15"/>
      <c r="AJ113" s="15">
        <f>Tabla13[[#This Row],[Uso y acceso Ene/2025]]</f>
        <v>1</v>
      </c>
      <c r="AK113" s="15">
        <f>Tabla58[[#This Row],[Integración Ene/2025]]</f>
        <v>0</v>
      </c>
      <c r="AL113" s="16">
        <f>AVERAGE(Tabla4[[#This Row],[Creación y captura Ene/2025]:[Compartición e Interoperabilidad Ene/2025]])</f>
        <v>0.5</v>
      </c>
      <c r="AM113" s="14"/>
      <c r="AN113" s="14"/>
      <c r="AO113" s="15"/>
      <c r="AP113" s="15">
        <f>Tabla13[[#This Row],[Uso y acceso Feb/2025]]</f>
        <v>1</v>
      </c>
      <c r="AQ113" s="15">
        <f>Tabla58[[#This Row],[Integración Feb/2025]]</f>
        <v>0</v>
      </c>
      <c r="AR113" s="16">
        <f>AVERAGE(Tabla4[[#This Row],[Creación y captura Feb/2025]:[Compartición e Interoperabilidad Feb/2025]])</f>
        <v>0.5</v>
      </c>
      <c r="AS113" s="14"/>
      <c r="AT113" s="14"/>
      <c r="AU113" s="15"/>
      <c r="AV113" s="15">
        <f>Tabla13[[#This Row],[Uso y acceso Mar/2025]]</f>
        <v>1</v>
      </c>
      <c r="AW113" s="15">
        <f>Tabla58[[#This Row],[Integración Mar/2025]]</f>
        <v>0</v>
      </c>
      <c r="AX113" s="16">
        <f>AVERAGE(Tabla4[[#This Row],[Creación y captura Mar/2025]:[Compartición e Interoperabilidad Mar/2025]])</f>
        <v>0.5</v>
      </c>
      <c r="AY113" s="14"/>
      <c r="AZ113" s="14"/>
      <c r="BA113" s="15"/>
      <c r="BB113" s="15">
        <f>Tabla13[[#This Row],[Uso y acceso Abr/2025]]</f>
        <v>1</v>
      </c>
      <c r="BC113" s="15">
        <f>Tabla58[[#This Row],[Integración Abr/2025]]</f>
        <v>0</v>
      </c>
      <c r="BD113" s="16">
        <f>AVERAGE(Tabla4[[#This Row],[Creación y captura Abr/2025]:[Compartición e Interoperabilidad Abr/2025]])</f>
        <v>0.5</v>
      </c>
      <c r="BE113" s="14"/>
      <c r="BF113" s="14"/>
      <c r="BG113" s="15"/>
      <c r="BH113" s="15">
        <f>Tabla13[[#This Row],[Uso y acceso May/2025]]</f>
        <v>1</v>
      </c>
      <c r="BI113" s="15">
        <f>Tabla58[[#This Row],[Integración May/2025]]</f>
        <v>0</v>
      </c>
      <c r="BJ113" s="16">
        <f>AVERAGE(Tabla4[[#This Row],[Creación y captura May/2025]:[Compartición e Interoperabilidad May/2025]])</f>
        <v>0.5</v>
      </c>
      <c r="BK113" s="14">
        <v>1</v>
      </c>
      <c r="BL113" s="14">
        <v>1</v>
      </c>
      <c r="BM113" s="14">
        <f>AVERAGE('Calidad de Datos'!AQ117:AT117)</f>
        <v>1</v>
      </c>
      <c r="BN113" s="14">
        <f>Tabla13[[#This Row],[Uso y acceso Dic/2025]]</f>
        <v>1</v>
      </c>
      <c r="BO113" s="14">
        <f>Tabla58[[#This Row],[Integración Dic/2025]]</f>
        <v>1</v>
      </c>
      <c r="BP113" s="16">
        <f>AVERAGE(Tabla4[[#This Row],[Creación y captura Dic/2025]:[Compartición e Interoperabilidad Dic/2025]])</f>
        <v>1</v>
      </c>
    </row>
    <row r="114" spans="2:68" x14ac:dyDescent="0.4">
      <c r="B114" s="1" t="s">
        <v>165</v>
      </c>
      <c r="C114" s="14"/>
      <c r="D114" s="14"/>
      <c r="E114" s="14"/>
      <c r="F114" s="14">
        <f>Tabla13[[#This Row],[Uso y acceso Ago/2024]]</f>
        <v>1</v>
      </c>
      <c r="G114" s="15">
        <f>Tabla58[[#This Row],[Integración Ago/2024]]</f>
        <v>0</v>
      </c>
      <c r="H114" s="16">
        <f>AVERAGE(Tabla4[[#This Row],[Creación y captura Ago/2024]:[Compartición e Interoperabilidad Ago/2024]])</f>
        <v>0.5</v>
      </c>
      <c r="I114" s="14"/>
      <c r="J114" s="14"/>
      <c r="K114" s="15"/>
      <c r="L114" s="15">
        <f>Tabla13[[#This Row],[Uso y acceso Sep/2024]]</f>
        <v>1</v>
      </c>
      <c r="M114" s="15">
        <f>Tabla58[[#This Row],[Integración Sep/2024]]</f>
        <v>0</v>
      </c>
      <c r="N114" s="16">
        <f>AVERAGE(Tabla4[[#This Row],[Creación y captura Sep/2024]:[Compartición e Interoperabilidad Sep/2024]])</f>
        <v>0.5</v>
      </c>
      <c r="O114" s="14"/>
      <c r="P114" s="14"/>
      <c r="Q114" s="15"/>
      <c r="R114" s="15">
        <f>Tabla13[[#This Row],[Uso y acceso Oct/2024]]</f>
        <v>1</v>
      </c>
      <c r="S114" s="15">
        <f>Tabla58[[#This Row],[Integración Oct/2024]]</f>
        <v>0</v>
      </c>
      <c r="T114" s="16">
        <f>AVERAGE(Tabla4[[#This Row],[Creación y captura Oct/2024]:[Compartición e Interoperabilidad Oct/2024]])</f>
        <v>0.5</v>
      </c>
      <c r="U114" s="14"/>
      <c r="V114" s="14"/>
      <c r="W114" s="15"/>
      <c r="X114" s="15">
        <f>Tabla13[[#This Row],[Uso y acceso Nov/2024]]</f>
        <v>1</v>
      </c>
      <c r="Y114" s="15">
        <f>Tabla58[[#This Row],[Integración Nov/2024]]</f>
        <v>0</v>
      </c>
      <c r="Z114" s="16">
        <f>AVERAGE(Tabla4[[#This Row],[Creación y captura Nov/2024]:[Compartición e Interoperabilidad Nov/2024]])</f>
        <v>0.5</v>
      </c>
      <c r="AA114" s="14"/>
      <c r="AB114" s="14"/>
      <c r="AC114" s="15"/>
      <c r="AD114" s="15">
        <f>Tabla13[[#This Row],[Uso y acceso Dic/2024]]</f>
        <v>1</v>
      </c>
      <c r="AE114" s="15">
        <f>Tabla58[[#This Row],[Integración Dic/2024]]</f>
        <v>0</v>
      </c>
      <c r="AF114" s="16">
        <f>AVERAGE(Tabla4[[#This Row],[Creación y captura Dic/2024]:[Compartición e Interoperabilidad Dic/2024]])</f>
        <v>0.5</v>
      </c>
      <c r="AG114" s="14"/>
      <c r="AH114" s="14"/>
      <c r="AI114" s="15"/>
      <c r="AJ114" s="15">
        <f>Tabla13[[#This Row],[Uso y acceso Ene/2025]]</f>
        <v>1</v>
      </c>
      <c r="AK114" s="15">
        <f>Tabla58[[#This Row],[Integración Ene/2025]]</f>
        <v>0</v>
      </c>
      <c r="AL114" s="16">
        <f>AVERAGE(Tabla4[[#This Row],[Creación y captura Ene/2025]:[Compartición e Interoperabilidad Ene/2025]])</f>
        <v>0.5</v>
      </c>
      <c r="AM114" s="14">
        <v>1</v>
      </c>
      <c r="AN114" s="14">
        <v>1</v>
      </c>
      <c r="AO114" s="15"/>
      <c r="AP114" s="15">
        <f>Tabla13[[#This Row],[Uso y acceso Feb/2025]]</f>
        <v>1</v>
      </c>
      <c r="AQ114" s="15">
        <f>Tabla58[[#This Row],[Integración Feb/2025]]</f>
        <v>1</v>
      </c>
      <c r="AR114" s="16">
        <f>AVERAGE(Tabla4[[#This Row],[Creación y captura Feb/2025]:[Compartición e Interoperabilidad Feb/2025]])</f>
        <v>1</v>
      </c>
      <c r="AS114" s="14"/>
      <c r="AT114" s="14"/>
      <c r="AU114" s="15"/>
      <c r="AV114" s="15">
        <f>Tabla13[[#This Row],[Uso y acceso Mar/2025]]</f>
        <v>1</v>
      </c>
      <c r="AW114" s="15">
        <f>Tabla58[[#This Row],[Integración Mar/2025]]</f>
        <v>1</v>
      </c>
      <c r="AX114" s="16">
        <f>AVERAGE(Tabla4[[#This Row],[Creación y captura Mar/2025]:[Compartición e Interoperabilidad Mar/2025]])</f>
        <v>1</v>
      </c>
      <c r="AY114" s="14"/>
      <c r="AZ114" s="14"/>
      <c r="BA114" s="15"/>
      <c r="BB114" s="15">
        <f>Tabla13[[#This Row],[Uso y acceso Abr/2025]]</f>
        <v>1</v>
      </c>
      <c r="BC114" s="15">
        <f>Tabla58[[#This Row],[Integración Abr/2025]]</f>
        <v>1</v>
      </c>
      <c r="BD114" s="16">
        <f>AVERAGE(Tabla4[[#This Row],[Creación y captura Abr/2025]:[Compartición e Interoperabilidad Abr/2025]])</f>
        <v>1</v>
      </c>
      <c r="BE114" s="14"/>
      <c r="BF114" s="14"/>
      <c r="BG114" s="15"/>
      <c r="BH114" s="15">
        <f>Tabla13[[#This Row],[Uso y acceso May/2025]]</f>
        <v>1</v>
      </c>
      <c r="BI114" s="15">
        <f>Tabla58[[#This Row],[Integración May/2025]]</f>
        <v>1</v>
      </c>
      <c r="BJ114" s="16">
        <f>AVERAGE(Tabla4[[#This Row],[Creación y captura May/2025]:[Compartición e Interoperabilidad May/2025]])</f>
        <v>1</v>
      </c>
      <c r="BK114" s="14">
        <v>1</v>
      </c>
      <c r="BL114" s="14">
        <v>1</v>
      </c>
      <c r="BM114" s="14">
        <f>AVERAGE('Calidad de Datos'!AQ118:AT118)</f>
        <v>1</v>
      </c>
      <c r="BN114" s="14">
        <f>Tabla13[[#This Row],[Uso y acceso Dic/2025]]</f>
        <v>1</v>
      </c>
      <c r="BO114" s="14">
        <f>Tabla58[[#This Row],[Integración Dic/2025]]</f>
        <v>1</v>
      </c>
      <c r="BP114" s="16">
        <f>AVERAGE(Tabla4[[#This Row],[Creación y captura Dic/2025]:[Compartición e Interoperabilidad Dic/2025]])</f>
        <v>1</v>
      </c>
    </row>
    <row r="115" spans="2:68" x14ac:dyDescent="0.4">
      <c r="B115" s="1" t="s">
        <v>166</v>
      </c>
      <c r="C115" s="14"/>
      <c r="D115" s="14"/>
      <c r="E115" s="14"/>
      <c r="F115" s="14">
        <f>Tabla13[[#This Row],[Uso y acceso Ago/2024]]</f>
        <v>1</v>
      </c>
      <c r="G115" s="15">
        <f>Tabla58[[#This Row],[Integración Ago/2024]]</f>
        <v>0</v>
      </c>
      <c r="H115" s="16">
        <f>AVERAGE(Tabla4[[#This Row],[Creación y captura Ago/2024]:[Compartición e Interoperabilidad Ago/2024]])</f>
        <v>0.5</v>
      </c>
      <c r="I115" s="14"/>
      <c r="J115" s="14"/>
      <c r="K115" s="15"/>
      <c r="L115" s="15">
        <f>Tabla13[[#This Row],[Uso y acceso Sep/2024]]</f>
        <v>1</v>
      </c>
      <c r="M115" s="15">
        <f>Tabla58[[#This Row],[Integración Sep/2024]]</f>
        <v>0</v>
      </c>
      <c r="N115" s="16">
        <f>AVERAGE(Tabla4[[#This Row],[Creación y captura Sep/2024]:[Compartición e Interoperabilidad Sep/2024]])</f>
        <v>0.5</v>
      </c>
      <c r="O115" s="14"/>
      <c r="P115" s="14"/>
      <c r="Q115" s="15"/>
      <c r="R115" s="15">
        <f>Tabla13[[#This Row],[Uso y acceso Oct/2024]]</f>
        <v>1</v>
      </c>
      <c r="S115" s="15">
        <f>Tabla58[[#This Row],[Integración Oct/2024]]</f>
        <v>0</v>
      </c>
      <c r="T115" s="16">
        <f>AVERAGE(Tabla4[[#This Row],[Creación y captura Oct/2024]:[Compartición e Interoperabilidad Oct/2024]])</f>
        <v>0.5</v>
      </c>
      <c r="U115" s="14"/>
      <c r="V115" s="14"/>
      <c r="W115" s="15"/>
      <c r="X115" s="15">
        <f>Tabla13[[#This Row],[Uso y acceso Nov/2024]]</f>
        <v>1</v>
      </c>
      <c r="Y115" s="15">
        <f>Tabla58[[#This Row],[Integración Nov/2024]]</f>
        <v>0</v>
      </c>
      <c r="Z115" s="16">
        <f>AVERAGE(Tabla4[[#This Row],[Creación y captura Nov/2024]:[Compartición e Interoperabilidad Nov/2024]])</f>
        <v>0.5</v>
      </c>
      <c r="AA115" s="14"/>
      <c r="AB115" s="14"/>
      <c r="AC115" s="15"/>
      <c r="AD115" s="15">
        <f>Tabla13[[#This Row],[Uso y acceso Dic/2024]]</f>
        <v>1</v>
      </c>
      <c r="AE115" s="15">
        <f>Tabla58[[#This Row],[Integración Dic/2024]]</f>
        <v>0</v>
      </c>
      <c r="AF115" s="16">
        <f>AVERAGE(Tabla4[[#This Row],[Creación y captura Dic/2024]:[Compartición e Interoperabilidad Dic/2024]])</f>
        <v>0.5</v>
      </c>
      <c r="AG115" s="14"/>
      <c r="AH115" s="14"/>
      <c r="AI115" s="15"/>
      <c r="AJ115" s="15">
        <f>Tabla13[[#This Row],[Uso y acceso Ene/2025]]</f>
        <v>1</v>
      </c>
      <c r="AK115" s="15">
        <f>Tabla58[[#This Row],[Integración Ene/2025]]</f>
        <v>0</v>
      </c>
      <c r="AL115" s="16">
        <f>AVERAGE(Tabla4[[#This Row],[Creación y captura Ene/2025]:[Compartición e Interoperabilidad Ene/2025]])</f>
        <v>0.5</v>
      </c>
      <c r="AM115" s="14"/>
      <c r="AN115" s="14"/>
      <c r="AO115" s="15"/>
      <c r="AP115" s="15">
        <f>Tabla13[[#This Row],[Uso y acceso Feb/2025]]</f>
        <v>1</v>
      </c>
      <c r="AQ115" s="15">
        <f>Tabla58[[#This Row],[Integración Feb/2025]]</f>
        <v>0</v>
      </c>
      <c r="AR115" s="16">
        <f>AVERAGE(Tabla4[[#This Row],[Creación y captura Feb/2025]:[Compartición e Interoperabilidad Feb/2025]])</f>
        <v>0.5</v>
      </c>
      <c r="AS115" s="14"/>
      <c r="AT115" s="14"/>
      <c r="AU115" s="15"/>
      <c r="AV115" s="15">
        <f>Tabla13[[#This Row],[Uso y acceso Mar/2025]]</f>
        <v>1</v>
      </c>
      <c r="AW115" s="15">
        <f>Tabla58[[#This Row],[Integración Mar/2025]]</f>
        <v>0</v>
      </c>
      <c r="AX115" s="16">
        <f>AVERAGE(Tabla4[[#This Row],[Creación y captura Mar/2025]:[Compartición e Interoperabilidad Mar/2025]])</f>
        <v>0.5</v>
      </c>
      <c r="AY115" s="14"/>
      <c r="AZ115" s="14"/>
      <c r="BA115" s="15"/>
      <c r="BB115" s="15">
        <f>Tabla13[[#This Row],[Uso y acceso Abr/2025]]</f>
        <v>1</v>
      </c>
      <c r="BC115" s="15">
        <f>Tabla58[[#This Row],[Integración Abr/2025]]</f>
        <v>0</v>
      </c>
      <c r="BD115" s="16">
        <f>AVERAGE(Tabla4[[#This Row],[Creación y captura Abr/2025]:[Compartición e Interoperabilidad Abr/2025]])</f>
        <v>0.5</v>
      </c>
      <c r="BE115" s="14"/>
      <c r="BF115" s="14"/>
      <c r="BG115" s="15"/>
      <c r="BH115" s="15">
        <f>Tabla13[[#This Row],[Uso y acceso May/2025]]</f>
        <v>1</v>
      </c>
      <c r="BI115" s="15">
        <f>Tabla58[[#This Row],[Integración May/2025]]</f>
        <v>0</v>
      </c>
      <c r="BJ115" s="16">
        <f>AVERAGE(Tabla4[[#This Row],[Creación y captura May/2025]:[Compartición e Interoperabilidad May/2025]])</f>
        <v>0.5</v>
      </c>
      <c r="BK115" s="14"/>
      <c r="BL115" s="14"/>
      <c r="BM115" s="14">
        <f>AVERAGE('Calidad de Datos'!AQ119:AT119)</f>
        <v>1</v>
      </c>
      <c r="BN115" s="14">
        <f>Tabla13[[#This Row],[Uso y acceso Dic/2025]]</f>
        <v>1</v>
      </c>
      <c r="BO115" s="14">
        <f>Tabla58[[#This Row],[Integración Dic/2025]]</f>
        <v>0.6</v>
      </c>
      <c r="BP115" s="16">
        <f>AVERAGE(Tabla4[[#This Row],[Creación y captura Dic/2025]:[Compartición e Interoperabilidad Dic/2025]])</f>
        <v>0.8666666666666667</v>
      </c>
    </row>
    <row r="116" spans="2:68" x14ac:dyDescent="0.4">
      <c r="B116" s="1" t="s">
        <v>167</v>
      </c>
      <c r="C116" s="14"/>
      <c r="D116" s="14"/>
      <c r="E116" s="14"/>
      <c r="F116" s="14">
        <f>Tabla13[[#This Row],[Uso y acceso Ago/2024]]</f>
        <v>0.8</v>
      </c>
      <c r="G116" s="15">
        <f>Tabla58[[#This Row],[Integración Ago/2024]]</f>
        <v>0</v>
      </c>
      <c r="H116" s="16">
        <f>AVERAGE(Tabla4[[#This Row],[Creación y captura Ago/2024]:[Compartición e Interoperabilidad Ago/2024]])</f>
        <v>0.4</v>
      </c>
      <c r="I116" s="14"/>
      <c r="J116" s="14"/>
      <c r="K116" s="15"/>
      <c r="L116" s="15">
        <f>Tabla13[[#This Row],[Uso y acceso Sep/2024]]</f>
        <v>0.8</v>
      </c>
      <c r="M116" s="15">
        <f>Tabla58[[#This Row],[Integración Sep/2024]]</f>
        <v>0</v>
      </c>
      <c r="N116" s="16">
        <f>AVERAGE(Tabla4[[#This Row],[Creación y captura Sep/2024]:[Compartición e Interoperabilidad Sep/2024]])</f>
        <v>0.4</v>
      </c>
      <c r="O116" s="14"/>
      <c r="P116" s="14"/>
      <c r="Q116" s="15"/>
      <c r="R116" s="15">
        <f>Tabla13[[#This Row],[Uso y acceso Oct/2024]]</f>
        <v>1</v>
      </c>
      <c r="S116" s="15">
        <f>Tabla58[[#This Row],[Integración Oct/2024]]</f>
        <v>0</v>
      </c>
      <c r="T116" s="16">
        <f>AVERAGE(Tabla4[[#This Row],[Creación y captura Oct/2024]:[Compartición e Interoperabilidad Oct/2024]])</f>
        <v>0.5</v>
      </c>
      <c r="U116" s="14"/>
      <c r="V116" s="14"/>
      <c r="W116" s="15"/>
      <c r="X116" s="15">
        <f>Tabla13[[#This Row],[Uso y acceso Nov/2024]]</f>
        <v>1</v>
      </c>
      <c r="Y116" s="15">
        <f>Tabla58[[#This Row],[Integración Nov/2024]]</f>
        <v>0</v>
      </c>
      <c r="Z116" s="16">
        <f>AVERAGE(Tabla4[[#This Row],[Creación y captura Nov/2024]:[Compartición e Interoperabilidad Nov/2024]])</f>
        <v>0.5</v>
      </c>
      <c r="AA116" s="14"/>
      <c r="AB116" s="14"/>
      <c r="AC116" s="15"/>
      <c r="AD116" s="15">
        <f>Tabla13[[#This Row],[Uso y acceso Dic/2024]]</f>
        <v>1</v>
      </c>
      <c r="AE116" s="15">
        <f>Tabla58[[#This Row],[Integración Dic/2024]]</f>
        <v>0</v>
      </c>
      <c r="AF116" s="16">
        <f>AVERAGE(Tabla4[[#This Row],[Creación y captura Dic/2024]:[Compartición e Interoperabilidad Dic/2024]])</f>
        <v>0.5</v>
      </c>
      <c r="AG116" s="14"/>
      <c r="AH116" s="14"/>
      <c r="AI116" s="15"/>
      <c r="AJ116" s="15">
        <f>Tabla13[[#This Row],[Uso y acceso Ene/2025]]</f>
        <v>1</v>
      </c>
      <c r="AK116" s="15">
        <f>Tabla58[[#This Row],[Integración Ene/2025]]</f>
        <v>0</v>
      </c>
      <c r="AL116" s="16">
        <f>AVERAGE(Tabla4[[#This Row],[Creación y captura Ene/2025]:[Compartición e Interoperabilidad Ene/2025]])</f>
        <v>0.5</v>
      </c>
      <c r="AM116" s="14"/>
      <c r="AN116" s="14"/>
      <c r="AO116" s="15"/>
      <c r="AP116" s="15">
        <f>Tabla13[[#This Row],[Uso y acceso Feb/2025]]</f>
        <v>1</v>
      </c>
      <c r="AQ116" s="15">
        <f>Tabla58[[#This Row],[Integración Feb/2025]]</f>
        <v>0</v>
      </c>
      <c r="AR116" s="16">
        <f>AVERAGE(Tabla4[[#This Row],[Creación y captura Feb/2025]:[Compartición e Interoperabilidad Feb/2025]])</f>
        <v>0.5</v>
      </c>
      <c r="AS116" s="14"/>
      <c r="AT116" s="14"/>
      <c r="AU116" s="15"/>
      <c r="AV116" s="15">
        <f>Tabla13[[#This Row],[Uso y acceso Mar/2025]]</f>
        <v>1</v>
      </c>
      <c r="AW116" s="15">
        <f>Tabla58[[#This Row],[Integración Mar/2025]]</f>
        <v>0</v>
      </c>
      <c r="AX116" s="16">
        <f>AVERAGE(Tabla4[[#This Row],[Creación y captura Mar/2025]:[Compartición e Interoperabilidad Mar/2025]])</f>
        <v>0.5</v>
      </c>
      <c r="AY116" s="14"/>
      <c r="AZ116" s="14"/>
      <c r="BA116" s="15"/>
      <c r="BB116" s="15">
        <f>Tabla13[[#This Row],[Uso y acceso Abr/2025]]</f>
        <v>1</v>
      </c>
      <c r="BC116" s="15">
        <f>Tabla58[[#This Row],[Integración Abr/2025]]</f>
        <v>0</v>
      </c>
      <c r="BD116" s="16">
        <f>AVERAGE(Tabla4[[#This Row],[Creación y captura Abr/2025]:[Compartición e Interoperabilidad Abr/2025]])</f>
        <v>0.5</v>
      </c>
      <c r="BE116" s="14">
        <v>0.8</v>
      </c>
      <c r="BF116" s="14">
        <v>0.5</v>
      </c>
      <c r="BG116" s="17">
        <f>AVERAGE('Calidad de Datos'!AM120:AP120)</f>
        <v>1</v>
      </c>
      <c r="BH116" s="15">
        <f>Tabla13[[#This Row],[Uso y acceso May/2025]]</f>
        <v>1</v>
      </c>
      <c r="BI116" s="15">
        <f>Tabla58[[#This Row],[Integración May/2025]]</f>
        <v>0.3</v>
      </c>
      <c r="BJ116" s="16">
        <f>AVERAGE(Tabla4[[#This Row],[Creación y captura May/2025]:[Compartición e Interoperabilidad May/2025]])</f>
        <v>0.72</v>
      </c>
      <c r="BK116" s="14">
        <v>0.8</v>
      </c>
      <c r="BL116" s="14">
        <v>0.5</v>
      </c>
      <c r="BM116" s="14">
        <f>AVERAGE('Calidad de Datos'!AQ120:AT120)</f>
        <v>1</v>
      </c>
      <c r="BN116" s="14">
        <f>Tabla13[[#This Row],[Uso y acceso Dic/2025]]</f>
        <v>1</v>
      </c>
      <c r="BO116" s="14">
        <f>Tabla58[[#This Row],[Integración Dic/2025]]</f>
        <v>0.6</v>
      </c>
      <c r="BP116" s="16">
        <f>AVERAGE(Tabla4[[#This Row],[Creación y captura Dic/2025]:[Compartición e Interoperabilidad Dic/2025]])</f>
        <v>0.78</v>
      </c>
    </row>
    <row r="117" spans="2:68" x14ac:dyDescent="0.4">
      <c r="B117" s="1" t="s">
        <v>168</v>
      </c>
      <c r="C117" s="14"/>
      <c r="D117" s="14"/>
      <c r="E117" s="14"/>
      <c r="F117" s="14">
        <f>Tabla13[[#This Row],[Uso y acceso Ago/2024]]</f>
        <v>0.8</v>
      </c>
      <c r="G117" s="15">
        <f>Tabla58[[#This Row],[Integración Ago/2024]]</f>
        <v>0</v>
      </c>
      <c r="H117" s="16">
        <f>AVERAGE(Tabla4[[#This Row],[Creación y captura Ago/2024]:[Compartición e Interoperabilidad Ago/2024]])</f>
        <v>0.4</v>
      </c>
      <c r="I117" s="14"/>
      <c r="J117" s="14"/>
      <c r="K117" s="15"/>
      <c r="L117" s="15">
        <f>Tabla13[[#This Row],[Uso y acceso Sep/2024]]</f>
        <v>0.8</v>
      </c>
      <c r="M117" s="15">
        <f>Tabla58[[#This Row],[Integración Sep/2024]]</f>
        <v>0</v>
      </c>
      <c r="N117" s="16">
        <f>AVERAGE(Tabla4[[#This Row],[Creación y captura Sep/2024]:[Compartición e Interoperabilidad Sep/2024]])</f>
        <v>0.4</v>
      </c>
      <c r="O117" s="14"/>
      <c r="P117" s="14"/>
      <c r="Q117" s="15"/>
      <c r="R117" s="15">
        <f>Tabla13[[#This Row],[Uso y acceso Oct/2024]]</f>
        <v>1</v>
      </c>
      <c r="S117" s="15">
        <f>Tabla58[[#This Row],[Integración Oct/2024]]</f>
        <v>0</v>
      </c>
      <c r="T117" s="16">
        <f>AVERAGE(Tabla4[[#This Row],[Creación y captura Oct/2024]:[Compartición e Interoperabilidad Oct/2024]])</f>
        <v>0.5</v>
      </c>
      <c r="U117" s="14"/>
      <c r="V117" s="14"/>
      <c r="W117" s="15"/>
      <c r="X117" s="15">
        <f>Tabla13[[#This Row],[Uso y acceso Nov/2024]]</f>
        <v>1</v>
      </c>
      <c r="Y117" s="15">
        <f>Tabla58[[#This Row],[Integración Nov/2024]]</f>
        <v>0</v>
      </c>
      <c r="Z117" s="16">
        <f>AVERAGE(Tabla4[[#This Row],[Creación y captura Nov/2024]:[Compartición e Interoperabilidad Nov/2024]])</f>
        <v>0.5</v>
      </c>
      <c r="AA117" s="14"/>
      <c r="AB117" s="14"/>
      <c r="AC117" s="15"/>
      <c r="AD117" s="15">
        <f>Tabla13[[#This Row],[Uso y acceso Dic/2024]]</f>
        <v>1</v>
      </c>
      <c r="AE117" s="15">
        <f>Tabla58[[#This Row],[Integración Dic/2024]]</f>
        <v>0</v>
      </c>
      <c r="AF117" s="16">
        <f>AVERAGE(Tabla4[[#This Row],[Creación y captura Dic/2024]:[Compartición e Interoperabilidad Dic/2024]])</f>
        <v>0.5</v>
      </c>
      <c r="AG117" s="14"/>
      <c r="AH117" s="14"/>
      <c r="AI117" s="15"/>
      <c r="AJ117" s="15">
        <f>Tabla13[[#This Row],[Uso y acceso Ene/2025]]</f>
        <v>1</v>
      </c>
      <c r="AK117" s="15">
        <f>Tabla58[[#This Row],[Integración Ene/2025]]</f>
        <v>0</v>
      </c>
      <c r="AL117" s="16">
        <f>AVERAGE(Tabla4[[#This Row],[Creación y captura Ene/2025]:[Compartición e Interoperabilidad Ene/2025]])</f>
        <v>0.5</v>
      </c>
      <c r="AM117" s="14"/>
      <c r="AN117" s="14"/>
      <c r="AO117" s="15"/>
      <c r="AP117" s="15">
        <f>Tabla13[[#This Row],[Uso y acceso Feb/2025]]</f>
        <v>1</v>
      </c>
      <c r="AQ117" s="15">
        <f>Tabla58[[#This Row],[Integración Feb/2025]]</f>
        <v>0</v>
      </c>
      <c r="AR117" s="16">
        <f>AVERAGE(Tabla4[[#This Row],[Creación y captura Feb/2025]:[Compartición e Interoperabilidad Feb/2025]])</f>
        <v>0.5</v>
      </c>
      <c r="AS117" s="14"/>
      <c r="AT117" s="14"/>
      <c r="AU117" s="15"/>
      <c r="AV117" s="15">
        <f>Tabla13[[#This Row],[Uso y acceso Mar/2025]]</f>
        <v>1</v>
      </c>
      <c r="AW117" s="15">
        <f>Tabla58[[#This Row],[Integración Mar/2025]]</f>
        <v>0</v>
      </c>
      <c r="AX117" s="16">
        <f>AVERAGE(Tabla4[[#This Row],[Creación y captura Mar/2025]:[Compartición e Interoperabilidad Mar/2025]])</f>
        <v>0.5</v>
      </c>
      <c r="AY117" s="14"/>
      <c r="AZ117" s="14"/>
      <c r="BA117" s="15"/>
      <c r="BB117" s="15">
        <f>Tabla13[[#This Row],[Uso y acceso Abr/2025]]</f>
        <v>1</v>
      </c>
      <c r="BC117" s="15">
        <f>Tabla58[[#This Row],[Integración Abr/2025]]</f>
        <v>0</v>
      </c>
      <c r="BD117" s="16">
        <f>AVERAGE(Tabla4[[#This Row],[Creación y captura Abr/2025]:[Compartición e Interoperabilidad Abr/2025]])</f>
        <v>0.5</v>
      </c>
      <c r="BE117" s="14"/>
      <c r="BF117" s="14"/>
      <c r="BG117" s="15"/>
      <c r="BH117" s="15">
        <f>Tabla13[[#This Row],[Uso y acceso May/2025]]</f>
        <v>1</v>
      </c>
      <c r="BI117" s="15">
        <f>Tabla58[[#This Row],[Integración May/2025]]</f>
        <v>0</v>
      </c>
      <c r="BJ117" s="16">
        <f>AVERAGE(Tabla4[[#This Row],[Creación y captura May/2025]:[Compartición e Interoperabilidad May/2025]])</f>
        <v>0.5</v>
      </c>
      <c r="BK117" s="14"/>
      <c r="BL117" s="14"/>
      <c r="BM117" s="14">
        <f>AVERAGE('Calidad de Datos'!AQ121:AT121)</f>
        <v>0.85</v>
      </c>
      <c r="BN117" s="14">
        <f>Tabla13[[#This Row],[Uso y acceso Dic/2025]]</f>
        <v>1</v>
      </c>
      <c r="BO117" s="14">
        <f>Tabla58[[#This Row],[Integración Dic/2025]]</f>
        <v>0.6</v>
      </c>
      <c r="BP117" s="16">
        <f>AVERAGE(Tabla4[[#This Row],[Creación y captura Dic/2025]:[Compartición e Interoperabilidad Dic/2025]])</f>
        <v>0.81666666666666676</v>
      </c>
    </row>
    <row r="118" spans="2:68" x14ac:dyDescent="0.4">
      <c r="B118" s="1" t="s">
        <v>169</v>
      </c>
      <c r="C118" s="14"/>
      <c r="D118" s="14"/>
      <c r="E118" s="14"/>
      <c r="F118" s="14">
        <f>Tabla13[[#This Row],[Uso y acceso Ago/2024]]</f>
        <v>0.8</v>
      </c>
      <c r="G118" s="15">
        <f>Tabla58[[#This Row],[Integración Ago/2024]]</f>
        <v>0</v>
      </c>
      <c r="H118" s="16">
        <f>AVERAGE(Tabla4[[#This Row],[Creación y captura Ago/2024]:[Compartición e Interoperabilidad Ago/2024]])</f>
        <v>0.4</v>
      </c>
      <c r="I118" s="14"/>
      <c r="J118" s="14"/>
      <c r="K118" s="15"/>
      <c r="L118" s="15">
        <f>Tabla13[[#This Row],[Uso y acceso Sep/2024]]</f>
        <v>0.8</v>
      </c>
      <c r="M118" s="15">
        <f>Tabla58[[#This Row],[Integración Sep/2024]]</f>
        <v>0</v>
      </c>
      <c r="N118" s="16">
        <f>AVERAGE(Tabla4[[#This Row],[Creación y captura Sep/2024]:[Compartición e Interoperabilidad Sep/2024]])</f>
        <v>0.4</v>
      </c>
      <c r="O118" s="14"/>
      <c r="P118" s="14"/>
      <c r="Q118" s="15"/>
      <c r="R118" s="15">
        <f>Tabla13[[#This Row],[Uso y acceso Oct/2024]]</f>
        <v>1</v>
      </c>
      <c r="S118" s="15">
        <f>Tabla58[[#This Row],[Integración Oct/2024]]</f>
        <v>0</v>
      </c>
      <c r="T118" s="16">
        <f>AVERAGE(Tabla4[[#This Row],[Creación y captura Oct/2024]:[Compartición e Interoperabilidad Oct/2024]])</f>
        <v>0.5</v>
      </c>
      <c r="U118" s="14"/>
      <c r="V118" s="14"/>
      <c r="W118" s="15"/>
      <c r="X118" s="15">
        <f>Tabla13[[#This Row],[Uso y acceso Nov/2024]]</f>
        <v>1</v>
      </c>
      <c r="Y118" s="15">
        <f>Tabla58[[#This Row],[Integración Nov/2024]]</f>
        <v>0</v>
      </c>
      <c r="Z118" s="16">
        <f>AVERAGE(Tabla4[[#This Row],[Creación y captura Nov/2024]:[Compartición e Interoperabilidad Nov/2024]])</f>
        <v>0.5</v>
      </c>
      <c r="AA118" s="14"/>
      <c r="AB118" s="14"/>
      <c r="AC118" s="15"/>
      <c r="AD118" s="15">
        <f>Tabla13[[#This Row],[Uso y acceso Dic/2024]]</f>
        <v>1</v>
      </c>
      <c r="AE118" s="15">
        <f>Tabla58[[#This Row],[Integración Dic/2024]]</f>
        <v>0</v>
      </c>
      <c r="AF118" s="16">
        <f>AVERAGE(Tabla4[[#This Row],[Creación y captura Dic/2024]:[Compartición e Interoperabilidad Dic/2024]])</f>
        <v>0.5</v>
      </c>
      <c r="AG118" s="14"/>
      <c r="AH118" s="14"/>
      <c r="AI118" s="15"/>
      <c r="AJ118" s="15">
        <f>Tabla13[[#This Row],[Uso y acceso Ene/2025]]</f>
        <v>1</v>
      </c>
      <c r="AK118" s="15">
        <f>Tabla58[[#This Row],[Integración Ene/2025]]</f>
        <v>0</v>
      </c>
      <c r="AL118" s="16">
        <f>AVERAGE(Tabla4[[#This Row],[Creación y captura Ene/2025]:[Compartición e Interoperabilidad Ene/2025]])</f>
        <v>0.5</v>
      </c>
      <c r="AM118" s="14"/>
      <c r="AN118" s="14"/>
      <c r="AO118" s="15"/>
      <c r="AP118" s="15">
        <f>Tabla13[[#This Row],[Uso y acceso Feb/2025]]</f>
        <v>1</v>
      </c>
      <c r="AQ118" s="15">
        <f>Tabla58[[#This Row],[Integración Feb/2025]]</f>
        <v>0</v>
      </c>
      <c r="AR118" s="16">
        <f>AVERAGE(Tabla4[[#This Row],[Creación y captura Feb/2025]:[Compartición e Interoperabilidad Feb/2025]])</f>
        <v>0.5</v>
      </c>
      <c r="AS118" s="14"/>
      <c r="AT118" s="14"/>
      <c r="AU118" s="15"/>
      <c r="AV118" s="15">
        <f>Tabla13[[#This Row],[Uso y acceso Mar/2025]]</f>
        <v>1</v>
      </c>
      <c r="AW118" s="15">
        <f>Tabla58[[#This Row],[Integración Mar/2025]]</f>
        <v>0</v>
      </c>
      <c r="AX118" s="16">
        <f>AVERAGE(Tabla4[[#This Row],[Creación y captura Mar/2025]:[Compartición e Interoperabilidad Mar/2025]])</f>
        <v>0.5</v>
      </c>
      <c r="AY118" s="14"/>
      <c r="AZ118" s="14"/>
      <c r="BA118" s="15"/>
      <c r="BB118" s="15">
        <f>Tabla13[[#This Row],[Uso y acceso Abr/2025]]</f>
        <v>1</v>
      </c>
      <c r="BC118" s="15">
        <f>Tabla58[[#This Row],[Integración Abr/2025]]</f>
        <v>0</v>
      </c>
      <c r="BD118" s="16">
        <f>AVERAGE(Tabla4[[#This Row],[Creación y captura Abr/2025]:[Compartición e Interoperabilidad Abr/2025]])</f>
        <v>0.5</v>
      </c>
      <c r="BE118" s="14"/>
      <c r="BF118" s="14"/>
      <c r="BG118" s="15"/>
      <c r="BH118" s="15">
        <f>Tabla13[[#This Row],[Uso y acceso May/2025]]</f>
        <v>1</v>
      </c>
      <c r="BI118" s="15">
        <f>Tabla58[[#This Row],[Integración May/2025]]</f>
        <v>0</v>
      </c>
      <c r="BJ118" s="16">
        <f>AVERAGE(Tabla4[[#This Row],[Creación y captura May/2025]:[Compartición e Interoperabilidad May/2025]])</f>
        <v>0.5</v>
      </c>
      <c r="BK118" s="14"/>
      <c r="BL118" s="14"/>
      <c r="BM118" s="14">
        <f>AVERAGE('Calidad de Datos'!AQ122:AT122)</f>
        <v>0.85</v>
      </c>
      <c r="BN118" s="14">
        <f>Tabla13[[#This Row],[Uso y acceso Dic/2025]]</f>
        <v>1</v>
      </c>
      <c r="BO118" s="14">
        <f>Tabla58[[#This Row],[Integración Dic/2025]]</f>
        <v>0.6</v>
      </c>
      <c r="BP118" s="16">
        <f>AVERAGE(Tabla4[[#This Row],[Creación y captura Dic/2025]:[Compartición e Interoperabilidad Dic/2025]])</f>
        <v>0.81666666666666676</v>
      </c>
    </row>
    <row r="119" spans="2:68" x14ac:dyDescent="0.4">
      <c r="B119" s="1" t="s">
        <v>170</v>
      </c>
      <c r="C119" s="14"/>
      <c r="D119" s="14"/>
      <c r="E119" s="14"/>
      <c r="F119" s="14">
        <f>Tabla13[[#This Row],[Uso y acceso Ago/2024]]</f>
        <v>0.8</v>
      </c>
      <c r="G119" s="15">
        <f>Tabla58[[#This Row],[Integración Ago/2024]]</f>
        <v>0</v>
      </c>
      <c r="H119" s="16">
        <f>AVERAGE(Tabla4[[#This Row],[Creación y captura Ago/2024]:[Compartición e Interoperabilidad Ago/2024]])</f>
        <v>0.4</v>
      </c>
      <c r="I119" s="14"/>
      <c r="J119" s="14"/>
      <c r="K119" s="15"/>
      <c r="L119" s="15">
        <f>Tabla13[[#This Row],[Uso y acceso Sep/2024]]</f>
        <v>0.8</v>
      </c>
      <c r="M119" s="15">
        <f>Tabla58[[#This Row],[Integración Sep/2024]]</f>
        <v>0</v>
      </c>
      <c r="N119" s="16">
        <f>AVERAGE(Tabla4[[#This Row],[Creación y captura Sep/2024]:[Compartición e Interoperabilidad Sep/2024]])</f>
        <v>0.4</v>
      </c>
      <c r="O119" s="14"/>
      <c r="P119" s="14"/>
      <c r="Q119" s="15"/>
      <c r="R119" s="15">
        <f>Tabla13[[#This Row],[Uso y acceso Oct/2024]]</f>
        <v>1</v>
      </c>
      <c r="S119" s="15">
        <f>Tabla58[[#This Row],[Integración Oct/2024]]</f>
        <v>0</v>
      </c>
      <c r="T119" s="16">
        <f>AVERAGE(Tabla4[[#This Row],[Creación y captura Oct/2024]:[Compartición e Interoperabilidad Oct/2024]])</f>
        <v>0.5</v>
      </c>
      <c r="U119" s="14"/>
      <c r="V119" s="14"/>
      <c r="W119" s="15"/>
      <c r="X119" s="15">
        <f>Tabla13[[#This Row],[Uso y acceso Nov/2024]]</f>
        <v>1</v>
      </c>
      <c r="Y119" s="15">
        <f>Tabla58[[#This Row],[Integración Nov/2024]]</f>
        <v>0</v>
      </c>
      <c r="Z119" s="16">
        <f>AVERAGE(Tabla4[[#This Row],[Creación y captura Nov/2024]:[Compartición e Interoperabilidad Nov/2024]])</f>
        <v>0.5</v>
      </c>
      <c r="AA119" s="14"/>
      <c r="AB119" s="14"/>
      <c r="AC119" s="15"/>
      <c r="AD119" s="15">
        <f>Tabla13[[#This Row],[Uso y acceso Dic/2024]]</f>
        <v>1</v>
      </c>
      <c r="AE119" s="15">
        <f>Tabla58[[#This Row],[Integración Dic/2024]]</f>
        <v>0</v>
      </c>
      <c r="AF119" s="16">
        <f>AVERAGE(Tabla4[[#This Row],[Creación y captura Dic/2024]:[Compartición e Interoperabilidad Dic/2024]])</f>
        <v>0.5</v>
      </c>
      <c r="AG119" s="14"/>
      <c r="AH119" s="14"/>
      <c r="AI119" s="15"/>
      <c r="AJ119" s="15">
        <f>Tabla13[[#This Row],[Uso y acceso Ene/2025]]</f>
        <v>1</v>
      </c>
      <c r="AK119" s="15">
        <f>Tabla58[[#This Row],[Integración Ene/2025]]</f>
        <v>0</v>
      </c>
      <c r="AL119" s="16">
        <f>AVERAGE(Tabla4[[#This Row],[Creación y captura Ene/2025]:[Compartición e Interoperabilidad Ene/2025]])</f>
        <v>0.5</v>
      </c>
      <c r="AM119" s="14"/>
      <c r="AN119" s="14"/>
      <c r="AO119" s="15"/>
      <c r="AP119" s="15">
        <f>Tabla13[[#This Row],[Uso y acceso Feb/2025]]</f>
        <v>1</v>
      </c>
      <c r="AQ119" s="15">
        <f>Tabla58[[#This Row],[Integración Feb/2025]]</f>
        <v>0</v>
      </c>
      <c r="AR119" s="16">
        <f>AVERAGE(Tabla4[[#This Row],[Creación y captura Feb/2025]:[Compartición e Interoperabilidad Feb/2025]])</f>
        <v>0.5</v>
      </c>
      <c r="AS119" s="14"/>
      <c r="AT119" s="14"/>
      <c r="AU119" s="15"/>
      <c r="AV119" s="15">
        <f>Tabla13[[#This Row],[Uso y acceso Mar/2025]]</f>
        <v>1</v>
      </c>
      <c r="AW119" s="15">
        <f>Tabla58[[#This Row],[Integración Mar/2025]]</f>
        <v>0</v>
      </c>
      <c r="AX119" s="16">
        <f>AVERAGE(Tabla4[[#This Row],[Creación y captura Mar/2025]:[Compartición e Interoperabilidad Mar/2025]])</f>
        <v>0.5</v>
      </c>
      <c r="AY119" s="14"/>
      <c r="AZ119" s="14"/>
      <c r="BA119" s="15"/>
      <c r="BB119" s="15">
        <f>Tabla13[[#This Row],[Uso y acceso Abr/2025]]</f>
        <v>1</v>
      </c>
      <c r="BC119" s="15">
        <f>Tabla58[[#This Row],[Integración Abr/2025]]</f>
        <v>0</v>
      </c>
      <c r="BD119" s="16">
        <f>AVERAGE(Tabla4[[#This Row],[Creación y captura Abr/2025]:[Compartición e Interoperabilidad Abr/2025]])</f>
        <v>0.5</v>
      </c>
      <c r="BE119" s="14"/>
      <c r="BF119" s="14"/>
      <c r="BG119" s="15"/>
      <c r="BH119" s="15">
        <f>Tabla13[[#This Row],[Uso y acceso May/2025]]</f>
        <v>1</v>
      </c>
      <c r="BI119" s="15">
        <f>Tabla58[[#This Row],[Integración May/2025]]</f>
        <v>0</v>
      </c>
      <c r="BJ119" s="16">
        <f>AVERAGE(Tabla4[[#This Row],[Creación y captura May/2025]:[Compartición e Interoperabilidad May/2025]])</f>
        <v>0.5</v>
      </c>
      <c r="BK119" s="14">
        <v>1</v>
      </c>
      <c r="BL119" s="14">
        <v>1</v>
      </c>
      <c r="BM119" s="14">
        <f>AVERAGE('Calidad de Datos'!AQ123:AT123)</f>
        <v>0.95</v>
      </c>
      <c r="BN119" s="14">
        <f>Tabla13[[#This Row],[Uso y acceso Dic/2025]]</f>
        <v>1</v>
      </c>
      <c r="BO119" s="14">
        <f>Tabla58[[#This Row],[Integración Dic/2025]]</f>
        <v>1</v>
      </c>
      <c r="BP119" s="16">
        <f>AVERAGE(Tabla4[[#This Row],[Creación y captura Dic/2025]:[Compartición e Interoperabilidad Dic/2025]])</f>
        <v>0.99</v>
      </c>
    </row>
    <row r="120" spans="2:68" x14ac:dyDescent="0.4">
      <c r="B120" s="1" t="s">
        <v>171</v>
      </c>
      <c r="C120" s="14"/>
      <c r="D120" s="14"/>
      <c r="E120" s="14"/>
      <c r="F120" s="14">
        <f>Tabla13[[#This Row],[Uso y acceso Ago/2024]]</f>
        <v>0.8</v>
      </c>
      <c r="G120" s="15">
        <f>Tabla58[[#This Row],[Integración Ago/2024]]</f>
        <v>0</v>
      </c>
      <c r="H120" s="16">
        <f>AVERAGE(Tabla4[[#This Row],[Creación y captura Ago/2024]:[Compartición e Interoperabilidad Ago/2024]])</f>
        <v>0.4</v>
      </c>
      <c r="I120" s="14"/>
      <c r="J120" s="14"/>
      <c r="K120" s="15"/>
      <c r="L120" s="15">
        <f>Tabla13[[#This Row],[Uso y acceso Sep/2024]]</f>
        <v>0.8</v>
      </c>
      <c r="M120" s="15">
        <f>Tabla58[[#This Row],[Integración Sep/2024]]</f>
        <v>0</v>
      </c>
      <c r="N120" s="16">
        <f>AVERAGE(Tabla4[[#This Row],[Creación y captura Sep/2024]:[Compartición e Interoperabilidad Sep/2024]])</f>
        <v>0.4</v>
      </c>
      <c r="O120" s="14"/>
      <c r="P120" s="14"/>
      <c r="Q120" s="15"/>
      <c r="R120" s="15">
        <f>Tabla13[[#This Row],[Uso y acceso Oct/2024]]</f>
        <v>1</v>
      </c>
      <c r="S120" s="15">
        <f>Tabla58[[#This Row],[Integración Oct/2024]]</f>
        <v>0</v>
      </c>
      <c r="T120" s="16">
        <f>AVERAGE(Tabla4[[#This Row],[Creación y captura Oct/2024]:[Compartición e Interoperabilidad Oct/2024]])</f>
        <v>0.5</v>
      </c>
      <c r="U120" s="14"/>
      <c r="V120" s="14"/>
      <c r="W120" s="15"/>
      <c r="X120" s="15">
        <f>Tabla13[[#This Row],[Uso y acceso Nov/2024]]</f>
        <v>1</v>
      </c>
      <c r="Y120" s="15">
        <f>Tabla58[[#This Row],[Integración Nov/2024]]</f>
        <v>0</v>
      </c>
      <c r="Z120" s="16">
        <f>AVERAGE(Tabla4[[#This Row],[Creación y captura Nov/2024]:[Compartición e Interoperabilidad Nov/2024]])</f>
        <v>0.5</v>
      </c>
      <c r="AA120" s="14"/>
      <c r="AB120" s="14"/>
      <c r="AC120" s="15"/>
      <c r="AD120" s="15">
        <f>Tabla13[[#This Row],[Uso y acceso Dic/2024]]</f>
        <v>1</v>
      </c>
      <c r="AE120" s="15">
        <f>Tabla58[[#This Row],[Integración Dic/2024]]</f>
        <v>0</v>
      </c>
      <c r="AF120" s="16">
        <f>AVERAGE(Tabla4[[#This Row],[Creación y captura Dic/2024]:[Compartición e Interoperabilidad Dic/2024]])</f>
        <v>0.5</v>
      </c>
      <c r="AG120" s="14"/>
      <c r="AH120" s="14"/>
      <c r="AI120" s="15"/>
      <c r="AJ120" s="15">
        <f>Tabla13[[#This Row],[Uso y acceso Ene/2025]]</f>
        <v>1</v>
      </c>
      <c r="AK120" s="15">
        <f>Tabla58[[#This Row],[Integración Ene/2025]]</f>
        <v>0</v>
      </c>
      <c r="AL120" s="16">
        <f>AVERAGE(Tabla4[[#This Row],[Creación y captura Ene/2025]:[Compartición e Interoperabilidad Ene/2025]])</f>
        <v>0.5</v>
      </c>
      <c r="AM120" s="14"/>
      <c r="AN120" s="14"/>
      <c r="AO120" s="15"/>
      <c r="AP120" s="15">
        <f>Tabla13[[#This Row],[Uso y acceso Feb/2025]]</f>
        <v>1</v>
      </c>
      <c r="AQ120" s="15">
        <f>Tabla58[[#This Row],[Integración Feb/2025]]</f>
        <v>0</v>
      </c>
      <c r="AR120" s="16">
        <f>AVERAGE(Tabla4[[#This Row],[Creación y captura Feb/2025]:[Compartición e Interoperabilidad Feb/2025]])</f>
        <v>0.5</v>
      </c>
      <c r="AS120" s="14"/>
      <c r="AT120" s="14"/>
      <c r="AU120" s="15"/>
      <c r="AV120" s="15">
        <f>Tabla13[[#This Row],[Uso y acceso Mar/2025]]</f>
        <v>1</v>
      </c>
      <c r="AW120" s="15">
        <f>Tabla58[[#This Row],[Integración Mar/2025]]</f>
        <v>0</v>
      </c>
      <c r="AX120" s="16">
        <f>AVERAGE(Tabla4[[#This Row],[Creación y captura Mar/2025]:[Compartición e Interoperabilidad Mar/2025]])</f>
        <v>0.5</v>
      </c>
      <c r="AY120" s="14"/>
      <c r="AZ120" s="14"/>
      <c r="BA120" s="15"/>
      <c r="BB120" s="15">
        <f>Tabla13[[#This Row],[Uso y acceso Abr/2025]]</f>
        <v>1</v>
      </c>
      <c r="BC120" s="15">
        <f>Tabla58[[#This Row],[Integración Abr/2025]]</f>
        <v>0</v>
      </c>
      <c r="BD120" s="16">
        <f>AVERAGE(Tabla4[[#This Row],[Creación y captura Abr/2025]:[Compartición e Interoperabilidad Abr/2025]])</f>
        <v>0.5</v>
      </c>
      <c r="BE120" s="14">
        <v>0.8</v>
      </c>
      <c r="BF120" s="14">
        <v>0.5</v>
      </c>
      <c r="BG120" s="17">
        <f>AVERAGE('Calidad de Datos'!AM124:AP124)</f>
        <v>1</v>
      </c>
      <c r="BH120" s="15">
        <f>Tabla13[[#This Row],[Uso y acceso May/2025]]</f>
        <v>1</v>
      </c>
      <c r="BI120" s="15">
        <f>Tabla58[[#This Row],[Integración May/2025]]</f>
        <v>0.3</v>
      </c>
      <c r="BJ120" s="16">
        <f>AVERAGE(Tabla4[[#This Row],[Creación y captura May/2025]:[Compartición e Interoperabilidad May/2025]])</f>
        <v>0.72</v>
      </c>
      <c r="BK120" s="14">
        <v>0.8</v>
      </c>
      <c r="BL120" s="14">
        <v>0.5</v>
      </c>
      <c r="BM120" s="14">
        <f>AVERAGE('Calidad de Datos'!AQ124:AT124)</f>
        <v>1</v>
      </c>
      <c r="BN120" s="14">
        <f>Tabla13[[#This Row],[Uso y acceso Dic/2025]]</f>
        <v>1</v>
      </c>
      <c r="BO120" s="14">
        <f>Tabla58[[#This Row],[Integración Dic/2025]]</f>
        <v>0.6</v>
      </c>
      <c r="BP120" s="16">
        <f>AVERAGE(Tabla4[[#This Row],[Creación y captura Dic/2025]:[Compartición e Interoperabilidad Dic/2025]])</f>
        <v>0.78</v>
      </c>
    </row>
    <row r="121" spans="2:68" x14ac:dyDescent="0.4">
      <c r="B121" s="1" t="s">
        <v>172</v>
      </c>
      <c r="C121" s="14"/>
      <c r="D121" s="14"/>
      <c r="E121" s="14"/>
      <c r="F121" s="14">
        <f>Tabla13[[#This Row],[Uso y acceso Ago/2024]]</f>
        <v>1</v>
      </c>
      <c r="G121" s="15">
        <f>Tabla58[[#This Row],[Integración Ago/2024]]</f>
        <v>0</v>
      </c>
      <c r="H121" s="16">
        <f>AVERAGE(Tabla4[[#This Row],[Creación y captura Ago/2024]:[Compartición e Interoperabilidad Ago/2024]])</f>
        <v>0.5</v>
      </c>
      <c r="I121" s="14"/>
      <c r="J121" s="14"/>
      <c r="K121" s="15"/>
      <c r="L121" s="15">
        <f>Tabla13[[#This Row],[Uso y acceso Sep/2024]]</f>
        <v>1</v>
      </c>
      <c r="M121" s="15">
        <f>Tabla58[[#This Row],[Integración Sep/2024]]</f>
        <v>0</v>
      </c>
      <c r="N121" s="16">
        <f>AVERAGE(Tabla4[[#This Row],[Creación y captura Sep/2024]:[Compartición e Interoperabilidad Sep/2024]])</f>
        <v>0.5</v>
      </c>
      <c r="O121" s="14"/>
      <c r="P121" s="14"/>
      <c r="Q121" s="15"/>
      <c r="R121" s="15">
        <f>Tabla13[[#This Row],[Uso y acceso Oct/2024]]</f>
        <v>1</v>
      </c>
      <c r="S121" s="15">
        <f>Tabla58[[#This Row],[Integración Oct/2024]]</f>
        <v>0</v>
      </c>
      <c r="T121" s="16">
        <f>AVERAGE(Tabla4[[#This Row],[Creación y captura Oct/2024]:[Compartición e Interoperabilidad Oct/2024]])</f>
        <v>0.5</v>
      </c>
      <c r="U121" s="14"/>
      <c r="V121" s="14"/>
      <c r="W121" s="15"/>
      <c r="X121" s="15">
        <f>Tabla13[[#This Row],[Uso y acceso Nov/2024]]</f>
        <v>1</v>
      </c>
      <c r="Y121" s="15">
        <f>Tabla58[[#This Row],[Integración Nov/2024]]</f>
        <v>0</v>
      </c>
      <c r="Z121" s="16">
        <f>AVERAGE(Tabla4[[#This Row],[Creación y captura Nov/2024]:[Compartición e Interoperabilidad Nov/2024]])</f>
        <v>0.5</v>
      </c>
      <c r="AA121" s="14"/>
      <c r="AB121" s="14"/>
      <c r="AC121" s="15"/>
      <c r="AD121" s="15">
        <f>Tabla13[[#This Row],[Uso y acceso Dic/2024]]</f>
        <v>1</v>
      </c>
      <c r="AE121" s="15">
        <f>Tabla58[[#This Row],[Integración Dic/2024]]</f>
        <v>0</v>
      </c>
      <c r="AF121" s="16">
        <f>AVERAGE(Tabla4[[#This Row],[Creación y captura Dic/2024]:[Compartición e Interoperabilidad Dic/2024]])</f>
        <v>0.5</v>
      </c>
      <c r="AG121" s="14"/>
      <c r="AH121" s="14"/>
      <c r="AI121" s="15"/>
      <c r="AJ121" s="15">
        <f>Tabla13[[#This Row],[Uso y acceso Ene/2025]]</f>
        <v>1</v>
      </c>
      <c r="AK121" s="15">
        <f>Tabla58[[#This Row],[Integración Ene/2025]]</f>
        <v>0</v>
      </c>
      <c r="AL121" s="16">
        <f>AVERAGE(Tabla4[[#This Row],[Creación y captura Ene/2025]:[Compartición e Interoperabilidad Ene/2025]])</f>
        <v>0.5</v>
      </c>
      <c r="AM121" s="14"/>
      <c r="AN121" s="14"/>
      <c r="AO121" s="15"/>
      <c r="AP121" s="15">
        <f>Tabla13[[#This Row],[Uso y acceso Feb/2025]]</f>
        <v>1</v>
      </c>
      <c r="AQ121" s="15">
        <f>Tabla58[[#This Row],[Integración Feb/2025]]</f>
        <v>0</v>
      </c>
      <c r="AR121" s="16">
        <f>AVERAGE(Tabla4[[#This Row],[Creación y captura Feb/2025]:[Compartición e Interoperabilidad Feb/2025]])</f>
        <v>0.5</v>
      </c>
      <c r="AS121" s="14"/>
      <c r="AT121" s="14"/>
      <c r="AU121" s="15"/>
      <c r="AV121" s="15">
        <f>Tabla13[[#This Row],[Uso y acceso Mar/2025]]</f>
        <v>1</v>
      </c>
      <c r="AW121" s="15">
        <f>Tabla58[[#This Row],[Integración Mar/2025]]</f>
        <v>0</v>
      </c>
      <c r="AX121" s="16">
        <f>AVERAGE(Tabla4[[#This Row],[Creación y captura Mar/2025]:[Compartición e Interoperabilidad Mar/2025]])</f>
        <v>0.5</v>
      </c>
      <c r="AY121" s="14"/>
      <c r="AZ121" s="14"/>
      <c r="BA121" s="15"/>
      <c r="BB121" s="15">
        <f>Tabla13[[#This Row],[Uso y acceso Abr/2025]]</f>
        <v>1</v>
      </c>
      <c r="BC121" s="15">
        <f>Tabla58[[#This Row],[Integración Abr/2025]]</f>
        <v>0</v>
      </c>
      <c r="BD121" s="16">
        <f>AVERAGE(Tabla4[[#This Row],[Creación y captura Abr/2025]:[Compartición e Interoperabilidad Abr/2025]])</f>
        <v>0.5</v>
      </c>
      <c r="BE121" s="14">
        <v>0.8</v>
      </c>
      <c r="BF121" s="14">
        <v>0.5</v>
      </c>
      <c r="BG121" s="17">
        <f>AVERAGE('Calidad de Datos'!AM125:AP125)</f>
        <v>1</v>
      </c>
      <c r="BH121" s="15">
        <f>Tabla13[[#This Row],[Uso y acceso May/2025]]</f>
        <v>1</v>
      </c>
      <c r="BI121" s="15">
        <f>Tabla58[[#This Row],[Integración May/2025]]</f>
        <v>0.3</v>
      </c>
      <c r="BJ121" s="16">
        <f>AVERAGE(Tabla4[[#This Row],[Creación y captura May/2025]:[Compartición e Interoperabilidad May/2025]])</f>
        <v>0.72</v>
      </c>
      <c r="BK121" s="14">
        <v>0.8</v>
      </c>
      <c r="BL121" s="14">
        <v>0.5</v>
      </c>
      <c r="BM121" s="14">
        <f>AVERAGE('Calidad de Datos'!AQ125:AT125)</f>
        <v>1</v>
      </c>
      <c r="BN121" s="14">
        <f>Tabla13[[#This Row],[Uso y acceso Dic/2025]]</f>
        <v>1</v>
      </c>
      <c r="BO121" s="14">
        <f>Tabla58[[#This Row],[Integración Dic/2025]]</f>
        <v>0.6</v>
      </c>
      <c r="BP121" s="16">
        <f>AVERAGE(Tabla4[[#This Row],[Creación y captura Dic/2025]:[Compartición e Interoperabilidad Dic/2025]])</f>
        <v>0.78</v>
      </c>
    </row>
    <row r="122" spans="2:68" x14ac:dyDescent="0.4">
      <c r="B122" s="1" t="s">
        <v>173</v>
      </c>
      <c r="C122" s="14"/>
      <c r="D122" s="14"/>
      <c r="E122" s="14"/>
      <c r="F122" s="14">
        <f>Tabla13[[#This Row],[Uso y acceso Ago/2024]]</f>
        <v>0.8</v>
      </c>
      <c r="G122" s="15">
        <f>Tabla58[[#This Row],[Integración Ago/2024]]</f>
        <v>0</v>
      </c>
      <c r="H122" s="16">
        <f>AVERAGE(Tabla4[[#This Row],[Creación y captura Ago/2024]:[Compartición e Interoperabilidad Ago/2024]])</f>
        <v>0.4</v>
      </c>
      <c r="I122" s="14"/>
      <c r="J122" s="14"/>
      <c r="K122" s="15"/>
      <c r="L122" s="15">
        <f>Tabla13[[#This Row],[Uso y acceso Sep/2024]]</f>
        <v>0.8</v>
      </c>
      <c r="M122" s="15">
        <f>Tabla58[[#This Row],[Integración Sep/2024]]</f>
        <v>0</v>
      </c>
      <c r="N122" s="16">
        <f>AVERAGE(Tabla4[[#This Row],[Creación y captura Sep/2024]:[Compartición e Interoperabilidad Sep/2024]])</f>
        <v>0.4</v>
      </c>
      <c r="O122" s="14"/>
      <c r="P122" s="14"/>
      <c r="Q122" s="15"/>
      <c r="R122" s="15">
        <f>Tabla13[[#This Row],[Uso y acceso Oct/2024]]</f>
        <v>1</v>
      </c>
      <c r="S122" s="15">
        <f>Tabla58[[#This Row],[Integración Oct/2024]]</f>
        <v>0</v>
      </c>
      <c r="T122" s="16">
        <f>AVERAGE(Tabla4[[#This Row],[Creación y captura Oct/2024]:[Compartición e Interoperabilidad Oct/2024]])</f>
        <v>0.5</v>
      </c>
      <c r="U122" s="14"/>
      <c r="V122" s="14"/>
      <c r="W122" s="15"/>
      <c r="X122" s="15">
        <f>Tabla13[[#This Row],[Uso y acceso Nov/2024]]</f>
        <v>1</v>
      </c>
      <c r="Y122" s="15">
        <f>Tabla58[[#This Row],[Integración Nov/2024]]</f>
        <v>0</v>
      </c>
      <c r="Z122" s="16">
        <f>AVERAGE(Tabla4[[#This Row],[Creación y captura Nov/2024]:[Compartición e Interoperabilidad Nov/2024]])</f>
        <v>0.5</v>
      </c>
      <c r="AA122" s="14"/>
      <c r="AB122" s="14"/>
      <c r="AC122" s="15"/>
      <c r="AD122" s="15">
        <f>Tabla13[[#This Row],[Uso y acceso Dic/2024]]</f>
        <v>1</v>
      </c>
      <c r="AE122" s="15">
        <f>Tabla58[[#This Row],[Integración Dic/2024]]</f>
        <v>0</v>
      </c>
      <c r="AF122" s="16">
        <f>AVERAGE(Tabla4[[#This Row],[Creación y captura Dic/2024]:[Compartición e Interoperabilidad Dic/2024]])</f>
        <v>0.5</v>
      </c>
      <c r="AG122" s="14"/>
      <c r="AH122" s="14"/>
      <c r="AI122" s="15"/>
      <c r="AJ122" s="15">
        <f>Tabla13[[#This Row],[Uso y acceso Ene/2025]]</f>
        <v>1</v>
      </c>
      <c r="AK122" s="15">
        <f>Tabla58[[#This Row],[Integración Ene/2025]]</f>
        <v>0</v>
      </c>
      <c r="AL122" s="16">
        <f>AVERAGE(Tabla4[[#This Row],[Creación y captura Ene/2025]:[Compartición e Interoperabilidad Ene/2025]])</f>
        <v>0.5</v>
      </c>
      <c r="AM122" s="14"/>
      <c r="AN122" s="14"/>
      <c r="AO122" s="15"/>
      <c r="AP122" s="15">
        <f>Tabla13[[#This Row],[Uso y acceso Feb/2025]]</f>
        <v>1</v>
      </c>
      <c r="AQ122" s="15">
        <f>Tabla58[[#This Row],[Integración Feb/2025]]</f>
        <v>0</v>
      </c>
      <c r="AR122" s="16">
        <f>AVERAGE(Tabla4[[#This Row],[Creación y captura Feb/2025]:[Compartición e Interoperabilidad Feb/2025]])</f>
        <v>0.5</v>
      </c>
      <c r="AS122" s="14"/>
      <c r="AT122" s="14"/>
      <c r="AU122" s="15"/>
      <c r="AV122" s="15">
        <f>Tabla13[[#This Row],[Uso y acceso Mar/2025]]</f>
        <v>1</v>
      </c>
      <c r="AW122" s="15">
        <f>Tabla58[[#This Row],[Integración Mar/2025]]</f>
        <v>0</v>
      </c>
      <c r="AX122" s="16">
        <f>AVERAGE(Tabla4[[#This Row],[Creación y captura Mar/2025]:[Compartición e Interoperabilidad Mar/2025]])</f>
        <v>0.5</v>
      </c>
      <c r="AY122" s="14"/>
      <c r="AZ122" s="14"/>
      <c r="BA122" s="15"/>
      <c r="BB122" s="15">
        <f>Tabla13[[#This Row],[Uso y acceso Abr/2025]]</f>
        <v>1</v>
      </c>
      <c r="BC122" s="15">
        <f>Tabla58[[#This Row],[Integración Abr/2025]]</f>
        <v>0</v>
      </c>
      <c r="BD122" s="16">
        <f>AVERAGE(Tabla4[[#This Row],[Creación y captura Abr/2025]:[Compartición e Interoperabilidad Abr/2025]])</f>
        <v>0.5</v>
      </c>
      <c r="BE122" s="14">
        <v>0.8</v>
      </c>
      <c r="BF122" s="14">
        <v>0.5</v>
      </c>
      <c r="BG122" s="17">
        <f>AVERAGE('Calidad de Datos'!AM126:AP126)</f>
        <v>1</v>
      </c>
      <c r="BH122" s="15">
        <f>Tabla13[[#This Row],[Uso y acceso May/2025]]</f>
        <v>1</v>
      </c>
      <c r="BI122" s="15">
        <f>Tabla58[[#This Row],[Integración May/2025]]</f>
        <v>0.3</v>
      </c>
      <c r="BJ122" s="16">
        <f>AVERAGE(Tabla4[[#This Row],[Creación y captura May/2025]:[Compartición e Interoperabilidad May/2025]])</f>
        <v>0.72</v>
      </c>
      <c r="BK122" s="14">
        <v>0.8</v>
      </c>
      <c r="BL122" s="14">
        <v>0.5</v>
      </c>
      <c r="BM122" s="14">
        <f>AVERAGE('Calidad de Datos'!AQ126:AT126)</f>
        <v>1</v>
      </c>
      <c r="BN122" s="14">
        <f>Tabla13[[#This Row],[Uso y acceso Dic/2025]]</f>
        <v>1</v>
      </c>
      <c r="BO122" s="14">
        <f>Tabla58[[#This Row],[Integración Dic/2025]]</f>
        <v>0.6</v>
      </c>
      <c r="BP122" s="16">
        <f>AVERAGE(Tabla4[[#This Row],[Creación y captura Dic/2025]:[Compartición e Interoperabilidad Dic/2025]])</f>
        <v>0.78</v>
      </c>
    </row>
    <row r="123" spans="2:68" x14ac:dyDescent="0.4">
      <c r="B123" s="1" t="s">
        <v>174</v>
      </c>
      <c r="C123" s="14"/>
      <c r="D123" s="14"/>
      <c r="E123" s="14"/>
      <c r="F123" s="14">
        <f>Tabla13[[#This Row],[Uso y acceso Ago/2024]]</f>
        <v>1</v>
      </c>
      <c r="G123" s="15">
        <f>Tabla58[[#This Row],[Integración Ago/2024]]</f>
        <v>0</v>
      </c>
      <c r="H123" s="16">
        <f>AVERAGE(Tabla4[[#This Row],[Creación y captura Ago/2024]:[Compartición e Interoperabilidad Ago/2024]])</f>
        <v>0.5</v>
      </c>
      <c r="I123" s="14"/>
      <c r="J123" s="14"/>
      <c r="K123" s="15"/>
      <c r="L123" s="15">
        <f>Tabla13[[#This Row],[Uso y acceso Sep/2024]]</f>
        <v>1</v>
      </c>
      <c r="M123" s="15">
        <f>Tabla58[[#This Row],[Integración Sep/2024]]</f>
        <v>0</v>
      </c>
      <c r="N123" s="16">
        <f>AVERAGE(Tabla4[[#This Row],[Creación y captura Sep/2024]:[Compartición e Interoperabilidad Sep/2024]])</f>
        <v>0.5</v>
      </c>
      <c r="O123" s="14"/>
      <c r="P123" s="14"/>
      <c r="Q123" s="15"/>
      <c r="R123" s="15">
        <f>Tabla13[[#This Row],[Uso y acceso Oct/2024]]</f>
        <v>1</v>
      </c>
      <c r="S123" s="15">
        <f>Tabla58[[#This Row],[Integración Oct/2024]]</f>
        <v>0</v>
      </c>
      <c r="T123" s="16">
        <f>AVERAGE(Tabla4[[#This Row],[Creación y captura Oct/2024]:[Compartición e Interoperabilidad Oct/2024]])</f>
        <v>0.5</v>
      </c>
      <c r="U123" s="14"/>
      <c r="V123" s="14"/>
      <c r="W123" s="15"/>
      <c r="X123" s="15">
        <f>Tabla13[[#This Row],[Uso y acceso Nov/2024]]</f>
        <v>1</v>
      </c>
      <c r="Y123" s="15">
        <f>Tabla58[[#This Row],[Integración Nov/2024]]</f>
        <v>0</v>
      </c>
      <c r="Z123" s="16">
        <f>AVERAGE(Tabla4[[#This Row],[Creación y captura Nov/2024]:[Compartición e Interoperabilidad Nov/2024]])</f>
        <v>0.5</v>
      </c>
      <c r="AA123" s="14"/>
      <c r="AB123" s="14"/>
      <c r="AC123" s="15"/>
      <c r="AD123" s="15">
        <f>Tabla13[[#This Row],[Uso y acceso Dic/2024]]</f>
        <v>1</v>
      </c>
      <c r="AE123" s="15">
        <f>Tabla58[[#This Row],[Integración Dic/2024]]</f>
        <v>0</v>
      </c>
      <c r="AF123" s="16">
        <f>AVERAGE(Tabla4[[#This Row],[Creación y captura Dic/2024]:[Compartición e Interoperabilidad Dic/2024]])</f>
        <v>0.5</v>
      </c>
      <c r="AG123" s="14"/>
      <c r="AH123" s="14"/>
      <c r="AI123" s="15"/>
      <c r="AJ123" s="15">
        <f>Tabla13[[#This Row],[Uso y acceso Ene/2025]]</f>
        <v>1</v>
      </c>
      <c r="AK123" s="15">
        <f>Tabla58[[#This Row],[Integración Ene/2025]]</f>
        <v>0</v>
      </c>
      <c r="AL123" s="16">
        <f>AVERAGE(Tabla4[[#This Row],[Creación y captura Ene/2025]:[Compartición e Interoperabilidad Ene/2025]])</f>
        <v>0.5</v>
      </c>
      <c r="AM123" s="14"/>
      <c r="AN123" s="14"/>
      <c r="AO123" s="15"/>
      <c r="AP123" s="15">
        <f>Tabla13[[#This Row],[Uso y acceso Feb/2025]]</f>
        <v>1</v>
      </c>
      <c r="AQ123" s="15">
        <f>Tabla58[[#This Row],[Integración Feb/2025]]</f>
        <v>0</v>
      </c>
      <c r="AR123" s="16">
        <f>AVERAGE(Tabla4[[#This Row],[Creación y captura Feb/2025]:[Compartición e Interoperabilidad Feb/2025]])</f>
        <v>0.5</v>
      </c>
      <c r="AS123" s="14"/>
      <c r="AT123" s="14"/>
      <c r="AU123" s="15"/>
      <c r="AV123" s="15">
        <f>Tabla13[[#This Row],[Uso y acceso Mar/2025]]</f>
        <v>1</v>
      </c>
      <c r="AW123" s="15">
        <f>Tabla58[[#This Row],[Integración Mar/2025]]</f>
        <v>0</v>
      </c>
      <c r="AX123" s="16">
        <f>AVERAGE(Tabla4[[#This Row],[Creación y captura Mar/2025]:[Compartición e Interoperabilidad Mar/2025]])</f>
        <v>0.5</v>
      </c>
      <c r="AY123" s="14"/>
      <c r="AZ123" s="14"/>
      <c r="BA123" s="15"/>
      <c r="BB123" s="15">
        <f>Tabla13[[#This Row],[Uso y acceso Abr/2025]]</f>
        <v>1</v>
      </c>
      <c r="BC123" s="15">
        <f>Tabla58[[#This Row],[Integración Abr/2025]]</f>
        <v>0</v>
      </c>
      <c r="BD123" s="16">
        <f>AVERAGE(Tabla4[[#This Row],[Creación y captura Abr/2025]:[Compartición e Interoperabilidad Abr/2025]])</f>
        <v>0.5</v>
      </c>
      <c r="BE123" s="14">
        <v>0.8</v>
      </c>
      <c r="BF123" s="14">
        <v>0.5</v>
      </c>
      <c r="BG123" s="17">
        <f>AVERAGE('Calidad de Datos'!AM127:AP127)</f>
        <v>1</v>
      </c>
      <c r="BH123" s="15">
        <f>Tabla13[[#This Row],[Uso y acceso May/2025]]</f>
        <v>1</v>
      </c>
      <c r="BI123" s="15">
        <f>Tabla58[[#This Row],[Integración May/2025]]</f>
        <v>0.3</v>
      </c>
      <c r="BJ123" s="16">
        <f>AVERAGE(Tabla4[[#This Row],[Creación y captura May/2025]:[Compartición e Interoperabilidad May/2025]])</f>
        <v>0.72</v>
      </c>
      <c r="BK123" s="14">
        <v>0.8</v>
      </c>
      <c r="BL123" s="14">
        <v>0.5</v>
      </c>
      <c r="BM123" s="14">
        <f>AVERAGE('Calidad de Datos'!AQ127:AT127)</f>
        <v>1</v>
      </c>
      <c r="BN123" s="14">
        <f>Tabla13[[#This Row],[Uso y acceso Dic/2025]]</f>
        <v>1</v>
      </c>
      <c r="BO123" s="14">
        <f>Tabla58[[#This Row],[Integración Dic/2025]]</f>
        <v>0.6</v>
      </c>
      <c r="BP123" s="16">
        <f>AVERAGE(Tabla4[[#This Row],[Creación y captura Dic/2025]:[Compartición e Interoperabilidad Dic/2025]])</f>
        <v>0.78</v>
      </c>
    </row>
    <row r="124" spans="2:68" x14ac:dyDescent="0.4">
      <c r="B124" s="1" t="s">
        <v>175</v>
      </c>
      <c r="C124" s="14"/>
      <c r="D124" s="14"/>
      <c r="E124" s="14"/>
      <c r="F124" s="14">
        <f>Tabla13[[#This Row],[Uso y acceso Ago/2024]]</f>
        <v>0.8</v>
      </c>
      <c r="G124" s="15">
        <f>Tabla58[[#This Row],[Integración Ago/2024]]</f>
        <v>0</v>
      </c>
      <c r="H124" s="16">
        <f>AVERAGE(Tabla4[[#This Row],[Creación y captura Ago/2024]:[Compartición e Interoperabilidad Ago/2024]])</f>
        <v>0.4</v>
      </c>
      <c r="I124" s="14"/>
      <c r="J124" s="14"/>
      <c r="K124" s="15"/>
      <c r="L124" s="15">
        <f>Tabla13[[#This Row],[Uso y acceso Sep/2024]]</f>
        <v>0.8</v>
      </c>
      <c r="M124" s="15">
        <f>Tabla58[[#This Row],[Integración Sep/2024]]</f>
        <v>0</v>
      </c>
      <c r="N124" s="16">
        <f>AVERAGE(Tabla4[[#This Row],[Creación y captura Sep/2024]:[Compartición e Interoperabilidad Sep/2024]])</f>
        <v>0.4</v>
      </c>
      <c r="O124" s="14"/>
      <c r="P124" s="14"/>
      <c r="Q124" s="15"/>
      <c r="R124" s="15">
        <f>Tabla13[[#This Row],[Uso y acceso Oct/2024]]</f>
        <v>1</v>
      </c>
      <c r="S124" s="15">
        <f>Tabla58[[#This Row],[Integración Oct/2024]]</f>
        <v>0</v>
      </c>
      <c r="T124" s="16">
        <f>AVERAGE(Tabla4[[#This Row],[Creación y captura Oct/2024]:[Compartición e Interoperabilidad Oct/2024]])</f>
        <v>0.5</v>
      </c>
      <c r="U124" s="14"/>
      <c r="V124" s="14"/>
      <c r="W124" s="15"/>
      <c r="X124" s="15">
        <f>Tabla13[[#This Row],[Uso y acceso Nov/2024]]</f>
        <v>1</v>
      </c>
      <c r="Y124" s="15">
        <f>Tabla58[[#This Row],[Integración Nov/2024]]</f>
        <v>0</v>
      </c>
      <c r="Z124" s="16">
        <f>AVERAGE(Tabla4[[#This Row],[Creación y captura Nov/2024]:[Compartición e Interoperabilidad Nov/2024]])</f>
        <v>0.5</v>
      </c>
      <c r="AA124" s="14"/>
      <c r="AB124" s="14"/>
      <c r="AC124" s="15"/>
      <c r="AD124" s="15">
        <f>Tabla13[[#This Row],[Uso y acceso Dic/2024]]</f>
        <v>1</v>
      </c>
      <c r="AE124" s="15">
        <f>Tabla58[[#This Row],[Integración Dic/2024]]</f>
        <v>0</v>
      </c>
      <c r="AF124" s="16">
        <f>AVERAGE(Tabla4[[#This Row],[Creación y captura Dic/2024]:[Compartición e Interoperabilidad Dic/2024]])</f>
        <v>0.5</v>
      </c>
      <c r="AG124" s="14"/>
      <c r="AH124" s="14"/>
      <c r="AI124" s="15"/>
      <c r="AJ124" s="15">
        <f>Tabla13[[#This Row],[Uso y acceso Ene/2025]]</f>
        <v>1</v>
      </c>
      <c r="AK124" s="15">
        <f>Tabla58[[#This Row],[Integración Ene/2025]]</f>
        <v>0</v>
      </c>
      <c r="AL124" s="16">
        <f>AVERAGE(Tabla4[[#This Row],[Creación y captura Ene/2025]:[Compartición e Interoperabilidad Ene/2025]])</f>
        <v>0.5</v>
      </c>
      <c r="AM124" s="14"/>
      <c r="AN124" s="14"/>
      <c r="AO124" s="15"/>
      <c r="AP124" s="15">
        <f>Tabla13[[#This Row],[Uso y acceso Feb/2025]]</f>
        <v>1</v>
      </c>
      <c r="AQ124" s="15">
        <f>Tabla58[[#This Row],[Integración Feb/2025]]</f>
        <v>0</v>
      </c>
      <c r="AR124" s="16">
        <f>AVERAGE(Tabla4[[#This Row],[Creación y captura Feb/2025]:[Compartición e Interoperabilidad Feb/2025]])</f>
        <v>0.5</v>
      </c>
      <c r="AS124" s="14"/>
      <c r="AT124" s="14"/>
      <c r="AU124" s="15"/>
      <c r="AV124" s="15">
        <f>Tabla13[[#This Row],[Uso y acceso Mar/2025]]</f>
        <v>1</v>
      </c>
      <c r="AW124" s="15">
        <f>Tabla58[[#This Row],[Integración Mar/2025]]</f>
        <v>0</v>
      </c>
      <c r="AX124" s="16">
        <f>AVERAGE(Tabla4[[#This Row],[Creación y captura Mar/2025]:[Compartición e Interoperabilidad Mar/2025]])</f>
        <v>0.5</v>
      </c>
      <c r="AY124" s="14"/>
      <c r="AZ124" s="14"/>
      <c r="BA124" s="15"/>
      <c r="BB124" s="15">
        <f>Tabla13[[#This Row],[Uso y acceso Abr/2025]]</f>
        <v>1</v>
      </c>
      <c r="BC124" s="15">
        <f>Tabla58[[#This Row],[Integración Abr/2025]]</f>
        <v>0</v>
      </c>
      <c r="BD124" s="16">
        <f>AVERAGE(Tabla4[[#This Row],[Creación y captura Abr/2025]:[Compartición e Interoperabilidad Abr/2025]])</f>
        <v>0.5</v>
      </c>
      <c r="BE124" s="14"/>
      <c r="BF124" s="14"/>
      <c r="BG124" s="15"/>
      <c r="BH124" s="15">
        <f>Tabla13[[#This Row],[Uso y acceso May/2025]]</f>
        <v>1</v>
      </c>
      <c r="BI124" s="15">
        <f>Tabla58[[#This Row],[Integración May/2025]]</f>
        <v>0</v>
      </c>
      <c r="BJ124" s="16">
        <f>AVERAGE(Tabla4[[#This Row],[Creación y captura May/2025]:[Compartición e Interoperabilidad May/2025]])</f>
        <v>0.5</v>
      </c>
      <c r="BK124" s="14"/>
      <c r="BL124" s="14"/>
      <c r="BM124" s="14">
        <f>AVERAGE('Calidad de Datos'!AQ128:AT128)</f>
        <v>0.85</v>
      </c>
      <c r="BN124" s="14">
        <f>Tabla13[[#This Row],[Uso y acceso Dic/2025]]</f>
        <v>1</v>
      </c>
      <c r="BO124" s="14">
        <f>Tabla58[[#This Row],[Integración Dic/2025]]</f>
        <v>0.4</v>
      </c>
      <c r="BP124" s="16">
        <f>AVERAGE(Tabla4[[#This Row],[Creación y captura Dic/2025]:[Compartición e Interoperabilidad Dic/2025]])</f>
        <v>0.75</v>
      </c>
    </row>
    <row r="125" spans="2:68" x14ac:dyDescent="0.4">
      <c r="B125" s="1" t="s">
        <v>176</v>
      </c>
      <c r="C125" s="14"/>
      <c r="D125" s="14"/>
      <c r="E125" s="14"/>
      <c r="F125" s="14">
        <f>Tabla13[[#This Row],[Uso y acceso Ago/2024]]</f>
        <v>1</v>
      </c>
      <c r="G125" s="15">
        <f>Tabla58[[#This Row],[Integración Ago/2024]]</f>
        <v>0</v>
      </c>
      <c r="H125" s="16">
        <f>AVERAGE(Tabla4[[#This Row],[Creación y captura Ago/2024]:[Compartición e Interoperabilidad Ago/2024]])</f>
        <v>0.5</v>
      </c>
      <c r="I125" s="14"/>
      <c r="J125" s="14"/>
      <c r="K125" s="15"/>
      <c r="L125" s="15">
        <f>Tabla13[[#This Row],[Uso y acceso Sep/2024]]</f>
        <v>1</v>
      </c>
      <c r="M125" s="15">
        <f>Tabla58[[#This Row],[Integración Sep/2024]]</f>
        <v>0</v>
      </c>
      <c r="N125" s="16">
        <f>AVERAGE(Tabla4[[#This Row],[Creación y captura Sep/2024]:[Compartición e Interoperabilidad Sep/2024]])</f>
        <v>0.5</v>
      </c>
      <c r="O125" s="14"/>
      <c r="P125" s="14"/>
      <c r="Q125" s="15"/>
      <c r="R125" s="15">
        <f>Tabla13[[#This Row],[Uso y acceso Oct/2024]]</f>
        <v>1</v>
      </c>
      <c r="S125" s="15">
        <f>Tabla58[[#This Row],[Integración Oct/2024]]</f>
        <v>0</v>
      </c>
      <c r="T125" s="16">
        <f>AVERAGE(Tabla4[[#This Row],[Creación y captura Oct/2024]:[Compartición e Interoperabilidad Oct/2024]])</f>
        <v>0.5</v>
      </c>
      <c r="U125" s="14"/>
      <c r="V125" s="14"/>
      <c r="W125" s="15"/>
      <c r="X125" s="15">
        <f>Tabla13[[#This Row],[Uso y acceso Nov/2024]]</f>
        <v>1</v>
      </c>
      <c r="Y125" s="15">
        <f>Tabla58[[#This Row],[Integración Nov/2024]]</f>
        <v>0</v>
      </c>
      <c r="Z125" s="16">
        <f>AVERAGE(Tabla4[[#This Row],[Creación y captura Nov/2024]:[Compartición e Interoperabilidad Nov/2024]])</f>
        <v>0.5</v>
      </c>
      <c r="AA125" s="14"/>
      <c r="AB125" s="14"/>
      <c r="AC125" s="15"/>
      <c r="AD125" s="15">
        <f>Tabla13[[#This Row],[Uso y acceso Dic/2024]]</f>
        <v>1</v>
      </c>
      <c r="AE125" s="15">
        <f>Tabla58[[#This Row],[Integración Dic/2024]]</f>
        <v>0</v>
      </c>
      <c r="AF125" s="16">
        <f>AVERAGE(Tabla4[[#This Row],[Creación y captura Dic/2024]:[Compartición e Interoperabilidad Dic/2024]])</f>
        <v>0.5</v>
      </c>
      <c r="AG125" s="14"/>
      <c r="AH125" s="14"/>
      <c r="AI125" s="15"/>
      <c r="AJ125" s="15">
        <f>Tabla13[[#This Row],[Uso y acceso Ene/2025]]</f>
        <v>1</v>
      </c>
      <c r="AK125" s="15">
        <f>Tabla58[[#This Row],[Integración Ene/2025]]</f>
        <v>0</v>
      </c>
      <c r="AL125" s="16">
        <f>AVERAGE(Tabla4[[#This Row],[Creación y captura Ene/2025]:[Compartición e Interoperabilidad Ene/2025]])</f>
        <v>0.5</v>
      </c>
      <c r="AM125" s="14"/>
      <c r="AN125" s="14"/>
      <c r="AO125" s="15"/>
      <c r="AP125" s="15">
        <f>Tabla13[[#This Row],[Uso y acceso Feb/2025]]</f>
        <v>1</v>
      </c>
      <c r="AQ125" s="15">
        <f>Tabla58[[#This Row],[Integración Feb/2025]]</f>
        <v>0</v>
      </c>
      <c r="AR125" s="16">
        <f>AVERAGE(Tabla4[[#This Row],[Creación y captura Feb/2025]:[Compartición e Interoperabilidad Feb/2025]])</f>
        <v>0.5</v>
      </c>
      <c r="AS125" s="14"/>
      <c r="AT125" s="14"/>
      <c r="AU125" s="15"/>
      <c r="AV125" s="15">
        <f>Tabla13[[#This Row],[Uso y acceso Mar/2025]]</f>
        <v>1</v>
      </c>
      <c r="AW125" s="15">
        <f>Tabla58[[#This Row],[Integración Mar/2025]]</f>
        <v>0</v>
      </c>
      <c r="AX125" s="16">
        <f>AVERAGE(Tabla4[[#This Row],[Creación y captura Mar/2025]:[Compartición e Interoperabilidad Mar/2025]])</f>
        <v>0.5</v>
      </c>
      <c r="AY125" s="14">
        <v>0.8</v>
      </c>
      <c r="AZ125" s="14">
        <v>0.5</v>
      </c>
      <c r="BA125" s="17">
        <f>AVERAGE('Calidad de Datos'!AI129:AL129)</f>
        <v>0.54999999999999993</v>
      </c>
      <c r="BB125" s="15">
        <f>Tabla13[[#This Row],[Uso y acceso Abr/2025]]</f>
        <v>1</v>
      </c>
      <c r="BC125" s="15">
        <f>Tabla58[[#This Row],[Integración Abr/2025]]</f>
        <v>0.3</v>
      </c>
      <c r="BD125" s="16">
        <f>AVERAGE(Tabla4[[#This Row],[Creación y captura Abr/2025]:[Compartición e Interoperabilidad Abr/2025]])</f>
        <v>0.63</v>
      </c>
      <c r="BE125" s="14">
        <v>0.8</v>
      </c>
      <c r="BF125" s="14">
        <v>0.5</v>
      </c>
      <c r="BG125" s="17">
        <f>AVERAGE('Calidad de Datos'!AM129:AP129)</f>
        <v>1</v>
      </c>
      <c r="BH125" s="15">
        <f>Tabla13[[#This Row],[Uso y acceso May/2025]]</f>
        <v>1</v>
      </c>
      <c r="BI125" s="15">
        <f>Tabla58[[#This Row],[Integración May/2025]]</f>
        <v>0.3</v>
      </c>
      <c r="BJ125" s="16">
        <f>AVERAGE(Tabla4[[#This Row],[Creación y captura May/2025]:[Compartición e Interoperabilidad May/2025]])</f>
        <v>0.72</v>
      </c>
      <c r="BK125" s="14">
        <v>0.8</v>
      </c>
      <c r="BL125" s="14">
        <v>0.5</v>
      </c>
      <c r="BM125" s="14">
        <f>AVERAGE('Calidad de Datos'!AQ129:AT129)</f>
        <v>1</v>
      </c>
      <c r="BN125" s="14">
        <f>Tabla13[[#This Row],[Uso y acceso Dic/2025]]</f>
        <v>1</v>
      </c>
      <c r="BO125" s="14">
        <f>Tabla58[[#This Row],[Integración Dic/2025]]</f>
        <v>0.8</v>
      </c>
      <c r="BP125" s="16">
        <f>AVERAGE(Tabla4[[#This Row],[Creación y captura Dic/2025]:[Compartición e Interoperabilidad Dic/2025]])</f>
        <v>0.82</v>
      </c>
    </row>
    <row r="126" spans="2:68" x14ac:dyDescent="0.4">
      <c r="B126" s="1" t="s">
        <v>177</v>
      </c>
      <c r="C126" s="14"/>
      <c r="D126" s="14"/>
      <c r="E126" s="14"/>
      <c r="F126" s="14">
        <f>Tabla13[[#This Row],[Uso y acceso Ago/2024]]</f>
        <v>1</v>
      </c>
      <c r="G126" s="15">
        <f>Tabla58[[#This Row],[Integración Ago/2024]]</f>
        <v>0</v>
      </c>
      <c r="H126" s="16">
        <f>AVERAGE(Tabla4[[#This Row],[Creación y captura Ago/2024]:[Compartición e Interoperabilidad Ago/2024]])</f>
        <v>0.5</v>
      </c>
      <c r="I126" s="14"/>
      <c r="J126" s="14"/>
      <c r="K126" s="15"/>
      <c r="L126" s="15">
        <f>Tabla13[[#This Row],[Uso y acceso Sep/2024]]</f>
        <v>1</v>
      </c>
      <c r="M126" s="15">
        <f>Tabla58[[#This Row],[Integración Sep/2024]]</f>
        <v>0</v>
      </c>
      <c r="N126" s="16">
        <f>AVERAGE(Tabla4[[#This Row],[Creación y captura Sep/2024]:[Compartición e Interoperabilidad Sep/2024]])</f>
        <v>0.5</v>
      </c>
      <c r="O126" s="14"/>
      <c r="P126" s="14"/>
      <c r="Q126" s="15"/>
      <c r="R126" s="15">
        <f>Tabla13[[#This Row],[Uso y acceso Oct/2024]]</f>
        <v>1</v>
      </c>
      <c r="S126" s="15">
        <f>Tabla58[[#This Row],[Integración Oct/2024]]</f>
        <v>0</v>
      </c>
      <c r="T126" s="16">
        <f>AVERAGE(Tabla4[[#This Row],[Creación y captura Oct/2024]:[Compartición e Interoperabilidad Oct/2024]])</f>
        <v>0.5</v>
      </c>
      <c r="U126" s="14"/>
      <c r="V126" s="14"/>
      <c r="W126" s="15"/>
      <c r="X126" s="15">
        <f>Tabla13[[#This Row],[Uso y acceso Nov/2024]]</f>
        <v>1</v>
      </c>
      <c r="Y126" s="15">
        <f>Tabla58[[#This Row],[Integración Nov/2024]]</f>
        <v>0</v>
      </c>
      <c r="Z126" s="16">
        <f>AVERAGE(Tabla4[[#This Row],[Creación y captura Nov/2024]:[Compartición e Interoperabilidad Nov/2024]])</f>
        <v>0.5</v>
      </c>
      <c r="AA126" s="14"/>
      <c r="AB126" s="14"/>
      <c r="AC126" s="15"/>
      <c r="AD126" s="15">
        <f>Tabla13[[#This Row],[Uso y acceso Dic/2024]]</f>
        <v>1</v>
      </c>
      <c r="AE126" s="15">
        <f>Tabla58[[#This Row],[Integración Dic/2024]]</f>
        <v>0</v>
      </c>
      <c r="AF126" s="16">
        <f>AVERAGE(Tabla4[[#This Row],[Creación y captura Dic/2024]:[Compartición e Interoperabilidad Dic/2024]])</f>
        <v>0.5</v>
      </c>
      <c r="AG126" s="14"/>
      <c r="AH126" s="14"/>
      <c r="AI126" s="15"/>
      <c r="AJ126" s="15">
        <f>Tabla13[[#This Row],[Uso y acceso Ene/2025]]</f>
        <v>1</v>
      </c>
      <c r="AK126" s="15">
        <f>Tabla58[[#This Row],[Integración Ene/2025]]</f>
        <v>0</v>
      </c>
      <c r="AL126" s="16">
        <f>AVERAGE(Tabla4[[#This Row],[Creación y captura Ene/2025]:[Compartición e Interoperabilidad Ene/2025]])</f>
        <v>0.5</v>
      </c>
      <c r="AM126" s="14"/>
      <c r="AN126" s="14"/>
      <c r="AO126" s="15"/>
      <c r="AP126" s="15">
        <f>Tabla13[[#This Row],[Uso y acceso Feb/2025]]</f>
        <v>1</v>
      </c>
      <c r="AQ126" s="15">
        <f>Tabla58[[#This Row],[Integración Feb/2025]]</f>
        <v>0</v>
      </c>
      <c r="AR126" s="16">
        <f>AVERAGE(Tabla4[[#This Row],[Creación y captura Feb/2025]:[Compartición e Interoperabilidad Feb/2025]])</f>
        <v>0.5</v>
      </c>
      <c r="AS126" s="14"/>
      <c r="AT126" s="14"/>
      <c r="AU126" s="15"/>
      <c r="AV126" s="15">
        <f>Tabla13[[#This Row],[Uso y acceso Mar/2025]]</f>
        <v>1</v>
      </c>
      <c r="AW126" s="15">
        <f>Tabla58[[#This Row],[Integración Mar/2025]]</f>
        <v>0</v>
      </c>
      <c r="AX126" s="16">
        <f>AVERAGE(Tabla4[[#This Row],[Creación y captura Mar/2025]:[Compartición e Interoperabilidad Mar/2025]])</f>
        <v>0.5</v>
      </c>
      <c r="AY126" s="14">
        <v>0.8</v>
      </c>
      <c r="AZ126" s="14">
        <v>0.5</v>
      </c>
      <c r="BA126" s="17">
        <f>AVERAGE('Calidad de Datos'!AI130:AL130)</f>
        <v>0.54999999999999993</v>
      </c>
      <c r="BB126" s="15">
        <f>Tabla13[[#This Row],[Uso y acceso Abr/2025]]</f>
        <v>1</v>
      </c>
      <c r="BC126" s="15">
        <f>Tabla58[[#This Row],[Integración Abr/2025]]</f>
        <v>0.3</v>
      </c>
      <c r="BD126" s="16">
        <f>AVERAGE(Tabla4[[#This Row],[Creación y captura Abr/2025]:[Compartición e Interoperabilidad Abr/2025]])</f>
        <v>0.63</v>
      </c>
      <c r="BE126" s="14">
        <v>0.8</v>
      </c>
      <c r="BF126" s="14">
        <v>0.5</v>
      </c>
      <c r="BG126" s="17">
        <f>AVERAGE('Calidad de Datos'!AM130:AP130)</f>
        <v>1</v>
      </c>
      <c r="BH126" s="15">
        <f>Tabla13[[#This Row],[Uso y acceso May/2025]]</f>
        <v>1</v>
      </c>
      <c r="BI126" s="15">
        <f>Tabla58[[#This Row],[Integración May/2025]]</f>
        <v>0.3</v>
      </c>
      <c r="BJ126" s="16">
        <f>AVERAGE(Tabla4[[#This Row],[Creación y captura May/2025]:[Compartición e Interoperabilidad May/2025]])</f>
        <v>0.72</v>
      </c>
      <c r="BK126" s="14">
        <v>0.8</v>
      </c>
      <c r="BL126" s="14">
        <v>0.5</v>
      </c>
      <c r="BM126" s="14">
        <f>AVERAGE('Calidad de Datos'!AQ130:AT130)</f>
        <v>1</v>
      </c>
      <c r="BN126" s="14">
        <f>Tabla13[[#This Row],[Uso y acceso Dic/2025]]</f>
        <v>1</v>
      </c>
      <c r="BO126" s="14">
        <f>Tabla58[[#This Row],[Integración Dic/2025]]</f>
        <v>0.8</v>
      </c>
      <c r="BP126" s="16">
        <f>AVERAGE(Tabla4[[#This Row],[Creación y captura Dic/2025]:[Compartición e Interoperabilidad Dic/2025]])</f>
        <v>0.82</v>
      </c>
    </row>
    <row r="127" spans="2:68" x14ac:dyDescent="0.4">
      <c r="B127" s="1" t="s">
        <v>178</v>
      </c>
      <c r="C127" s="14"/>
      <c r="D127" s="14"/>
      <c r="E127" s="14"/>
      <c r="F127" s="14">
        <f>Tabla13[[#This Row],[Uso y acceso Ago/2024]]</f>
        <v>1</v>
      </c>
      <c r="G127" s="15">
        <f>Tabla58[[#This Row],[Integración Ago/2024]]</f>
        <v>0</v>
      </c>
      <c r="H127" s="16">
        <f>AVERAGE(Tabla4[[#This Row],[Creación y captura Ago/2024]:[Compartición e Interoperabilidad Ago/2024]])</f>
        <v>0.5</v>
      </c>
      <c r="I127" s="14"/>
      <c r="J127" s="14"/>
      <c r="K127" s="15"/>
      <c r="L127" s="15">
        <f>Tabla13[[#This Row],[Uso y acceso Sep/2024]]</f>
        <v>1</v>
      </c>
      <c r="M127" s="15">
        <f>Tabla58[[#This Row],[Integración Sep/2024]]</f>
        <v>0</v>
      </c>
      <c r="N127" s="16">
        <f>AVERAGE(Tabla4[[#This Row],[Creación y captura Sep/2024]:[Compartición e Interoperabilidad Sep/2024]])</f>
        <v>0.5</v>
      </c>
      <c r="O127" s="14"/>
      <c r="P127" s="14"/>
      <c r="Q127" s="15"/>
      <c r="R127" s="15">
        <f>Tabla13[[#This Row],[Uso y acceso Oct/2024]]</f>
        <v>1</v>
      </c>
      <c r="S127" s="15">
        <f>Tabla58[[#This Row],[Integración Oct/2024]]</f>
        <v>0</v>
      </c>
      <c r="T127" s="16">
        <f>AVERAGE(Tabla4[[#This Row],[Creación y captura Oct/2024]:[Compartición e Interoperabilidad Oct/2024]])</f>
        <v>0.5</v>
      </c>
      <c r="U127" s="14"/>
      <c r="V127" s="14"/>
      <c r="W127" s="15"/>
      <c r="X127" s="15">
        <f>Tabla13[[#This Row],[Uso y acceso Nov/2024]]</f>
        <v>1</v>
      </c>
      <c r="Y127" s="15">
        <f>Tabla58[[#This Row],[Integración Nov/2024]]</f>
        <v>0</v>
      </c>
      <c r="Z127" s="16">
        <f>AVERAGE(Tabla4[[#This Row],[Creación y captura Nov/2024]:[Compartición e Interoperabilidad Nov/2024]])</f>
        <v>0.5</v>
      </c>
      <c r="AA127" s="14"/>
      <c r="AB127" s="14"/>
      <c r="AC127" s="15"/>
      <c r="AD127" s="15">
        <f>Tabla13[[#This Row],[Uso y acceso Dic/2024]]</f>
        <v>1</v>
      </c>
      <c r="AE127" s="15">
        <f>Tabla58[[#This Row],[Integración Dic/2024]]</f>
        <v>0</v>
      </c>
      <c r="AF127" s="16">
        <f>AVERAGE(Tabla4[[#This Row],[Creación y captura Dic/2024]:[Compartición e Interoperabilidad Dic/2024]])</f>
        <v>0.5</v>
      </c>
      <c r="AG127" s="14"/>
      <c r="AH127" s="14"/>
      <c r="AI127" s="15"/>
      <c r="AJ127" s="15">
        <f>Tabla13[[#This Row],[Uso y acceso Ene/2025]]</f>
        <v>1</v>
      </c>
      <c r="AK127" s="15">
        <f>Tabla58[[#This Row],[Integración Ene/2025]]</f>
        <v>0</v>
      </c>
      <c r="AL127" s="16">
        <f>AVERAGE(Tabla4[[#This Row],[Creación y captura Ene/2025]:[Compartición e Interoperabilidad Ene/2025]])</f>
        <v>0.5</v>
      </c>
      <c r="AM127" s="14"/>
      <c r="AN127" s="14"/>
      <c r="AO127" s="15"/>
      <c r="AP127" s="15">
        <f>Tabla13[[#This Row],[Uso y acceso Feb/2025]]</f>
        <v>1</v>
      </c>
      <c r="AQ127" s="15">
        <f>Tabla58[[#This Row],[Integración Feb/2025]]</f>
        <v>0</v>
      </c>
      <c r="AR127" s="16">
        <f>AVERAGE(Tabla4[[#This Row],[Creación y captura Feb/2025]:[Compartición e Interoperabilidad Feb/2025]])</f>
        <v>0.5</v>
      </c>
      <c r="AS127" s="14"/>
      <c r="AT127" s="14"/>
      <c r="AU127" s="15"/>
      <c r="AV127" s="15">
        <f>Tabla13[[#This Row],[Uso y acceso Mar/2025]]</f>
        <v>1</v>
      </c>
      <c r="AW127" s="15">
        <f>Tabla58[[#This Row],[Integración Mar/2025]]</f>
        <v>0</v>
      </c>
      <c r="AX127" s="16">
        <f>AVERAGE(Tabla4[[#This Row],[Creación y captura Mar/2025]:[Compartición e Interoperabilidad Mar/2025]])</f>
        <v>0.5</v>
      </c>
      <c r="AY127" s="14"/>
      <c r="AZ127" s="14"/>
      <c r="BA127" s="15"/>
      <c r="BB127" s="15">
        <f>Tabla13[[#This Row],[Uso y acceso Abr/2025]]</f>
        <v>1</v>
      </c>
      <c r="BC127" s="15">
        <f>Tabla58[[#This Row],[Integración Abr/2025]]</f>
        <v>0</v>
      </c>
      <c r="BD127" s="16">
        <f>AVERAGE(Tabla4[[#This Row],[Creación y captura Abr/2025]:[Compartición e Interoperabilidad Abr/2025]])</f>
        <v>0.5</v>
      </c>
      <c r="BE127" s="14"/>
      <c r="BF127" s="14"/>
      <c r="BG127" s="15"/>
      <c r="BH127" s="15">
        <f>Tabla13[[#This Row],[Uso y acceso May/2025]]</f>
        <v>1</v>
      </c>
      <c r="BI127" s="15">
        <f>Tabla58[[#This Row],[Integración May/2025]]</f>
        <v>0</v>
      </c>
      <c r="BJ127" s="16">
        <f>AVERAGE(Tabla4[[#This Row],[Creación y captura May/2025]:[Compartición e Interoperabilidad May/2025]])</f>
        <v>0.5</v>
      </c>
      <c r="BK127" s="14"/>
      <c r="BL127" s="14"/>
      <c r="BM127" s="14">
        <f>AVERAGE('Calidad de Datos'!AQ131:AT131)</f>
        <v>1</v>
      </c>
      <c r="BN127" s="14">
        <f>Tabla13[[#This Row],[Uso y acceso Dic/2025]]</f>
        <v>1</v>
      </c>
      <c r="BO127" s="14">
        <f>Tabla58[[#This Row],[Integración Dic/2025]]</f>
        <v>0.8</v>
      </c>
      <c r="BP127" s="16">
        <f>AVERAGE(Tabla4[[#This Row],[Creación y captura Dic/2025]:[Compartición e Interoperabilidad Dic/2025]])</f>
        <v>0.93333333333333324</v>
      </c>
    </row>
    <row r="128" spans="2:68" x14ac:dyDescent="0.4">
      <c r="B128" s="1" t="s">
        <v>179</v>
      </c>
      <c r="C128" s="14"/>
      <c r="D128" s="14"/>
      <c r="E128" s="14"/>
      <c r="F128" s="14">
        <f>Tabla13[[#This Row],[Uso y acceso Ago/2024]]</f>
        <v>1</v>
      </c>
      <c r="G128" s="15">
        <f>Tabla58[[#This Row],[Integración Ago/2024]]</f>
        <v>0</v>
      </c>
      <c r="H128" s="16">
        <f>AVERAGE(Tabla4[[#This Row],[Creación y captura Ago/2024]:[Compartición e Interoperabilidad Ago/2024]])</f>
        <v>0.5</v>
      </c>
      <c r="I128" s="14"/>
      <c r="J128" s="14"/>
      <c r="K128" s="15"/>
      <c r="L128" s="15">
        <f>Tabla13[[#This Row],[Uso y acceso Sep/2024]]</f>
        <v>1</v>
      </c>
      <c r="M128" s="15">
        <f>Tabla58[[#This Row],[Integración Sep/2024]]</f>
        <v>0</v>
      </c>
      <c r="N128" s="16">
        <f>AVERAGE(Tabla4[[#This Row],[Creación y captura Sep/2024]:[Compartición e Interoperabilidad Sep/2024]])</f>
        <v>0.5</v>
      </c>
      <c r="O128" s="14"/>
      <c r="P128" s="14"/>
      <c r="Q128" s="15"/>
      <c r="R128" s="15">
        <f>Tabla13[[#This Row],[Uso y acceso Oct/2024]]</f>
        <v>1</v>
      </c>
      <c r="S128" s="15">
        <f>Tabla58[[#This Row],[Integración Oct/2024]]</f>
        <v>0</v>
      </c>
      <c r="T128" s="16">
        <f>AVERAGE(Tabla4[[#This Row],[Creación y captura Oct/2024]:[Compartición e Interoperabilidad Oct/2024]])</f>
        <v>0.5</v>
      </c>
      <c r="U128" s="14"/>
      <c r="V128" s="14"/>
      <c r="W128" s="15"/>
      <c r="X128" s="15">
        <f>Tabla13[[#This Row],[Uso y acceso Nov/2024]]</f>
        <v>1</v>
      </c>
      <c r="Y128" s="15">
        <f>Tabla58[[#This Row],[Integración Nov/2024]]</f>
        <v>0</v>
      </c>
      <c r="Z128" s="16">
        <f>AVERAGE(Tabla4[[#This Row],[Creación y captura Nov/2024]:[Compartición e Interoperabilidad Nov/2024]])</f>
        <v>0.5</v>
      </c>
      <c r="AA128" s="14"/>
      <c r="AB128" s="14"/>
      <c r="AC128" s="15"/>
      <c r="AD128" s="15">
        <f>Tabla13[[#This Row],[Uso y acceso Dic/2024]]</f>
        <v>1</v>
      </c>
      <c r="AE128" s="15">
        <f>Tabla58[[#This Row],[Integración Dic/2024]]</f>
        <v>0</v>
      </c>
      <c r="AF128" s="16">
        <f>AVERAGE(Tabla4[[#This Row],[Creación y captura Dic/2024]:[Compartición e Interoperabilidad Dic/2024]])</f>
        <v>0.5</v>
      </c>
      <c r="AG128" s="14"/>
      <c r="AH128" s="14"/>
      <c r="AI128" s="15"/>
      <c r="AJ128" s="15">
        <f>Tabla13[[#This Row],[Uso y acceso Ene/2025]]</f>
        <v>1</v>
      </c>
      <c r="AK128" s="15">
        <f>Tabla58[[#This Row],[Integración Ene/2025]]</f>
        <v>0</v>
      </c>
      <c r="AL128" s="16">
        <f>AVERAGE(Tabla4[[#This Row],[Creación y captura Ene/2025]:[Compartición e Interoperabilidad Ene/2025]])</f>
        <v>0.5</v>
      </c>
      <c r="AM128" s="14"/>
      <c r="AN128" s="14"/>
      <c r="AO128" s="15"/>
      <c r="AP128" s="15">
        <f>Tabla13[[#This Row],[Uso y acceso Feb/2025]]</f>
        <v>1</v>
      </c>
      <c r="AQ128" s="15">
        <f>Tabla58[[#This Row],[Integración Feb/2025]]</f>
        <v>0</v>
      </c>
      <c r="AR128" s="16">
        <f>AVERAGE(Tabla4[[#This Row],[Creación y captura Feb/2025]:[Compartición e Interoperabilidad Feb/2025]])</f>
        <v>0.5</v>
      </c>
      <c r="AS128" s="14"/>
      <c r="AT128" s="14"/>
      <c r="AU128" s="15"/>
      <c r="AV128" s="15">
        <f>Tabla13[[#This Row],[Uso y acceso Mar/2025]]</f>
        <v>1</v>
      </c>
      <c r="AW128" s="15">
        <f>Tabla58[[#This Row],[Integración Mar/2025]]</f>
        <v>0</v>
      </c>
      <c r="AX128" s="16">
        <f>AVERAGE(Tabla4[[#This Row],[Creación y captura Mar/2025]:[Compartición e Interoperabilidad Mar/2025]])</f>
        <v>0.5</v>
      </c>
      <c r="AY128" s="14"/>
      <c r="AZ128" s="14"/>
      <c r="BA128" s="15"/>
      <c r="BB128" s="15">
        <f>Tabla13[[#This Row],[Uso y acceso Abr/2025]]</f>
        <v>1</v>
      </c>
      <c r="BC128" s="15">
        <f>Tabla58[[#This Row],[Integración Abr/2025]]</f>
        <v>0</v>
      </c>
      <c r="BD128" s="16">
        <f>AVERAGE(Tabla4[[#This Row],[Creación y captura Abr/2025]:[Compartición e Interoperabilidad Abr/2025]])</f>
        <v>0.5</v>
      </c>
      <c r="BE128" s="14"/>
      <c r="BF128" s="14"/>
      <c r="BG128" s="15"/>
      <c r="BH128" s="15">
        <f>Tabla13[[#This Row],[Uso y acceso May/2025]]</f>
        <v>1</v>
      </c>
      <c r="BI128" s="15">
        <f>Tabla58[[#This Row],[Integración May/2025]]</f>
        <v>0</v>
      </c>
      <c r="BJ128" s="16">
        <f>AVERAGE(Tabla4[[#This Row],[Creación y captura May/2025]:[Compartición e Interoperabilidad May/2025]])</f>
        <v>0.5</v>
      </c>
      <c r="BK128" s="14">
        <v>1</v>
      </c>
      <c r="BL128" s="14">
        <v>1</v>
      </c>
      <c r="BM128" s="14">
        <f>AVERAGE('Calidad de Datos'!AQ132:AT132)</f>
        <v>1</v>
      </c>
      <c r="BN128" s="14">
        <f>Tabla13[[#This Row],[Uso y acceso Dic/2025]]</f>
        <v>1</v>
      </c>
      <c r="BO128" s="14">
        <f>Tabla58[[#This Row],[Integración Dic/2025]]</f>
        <v>1</v>
      </c>
      <c r="BP128" s="16">
        <f>AVERAGE(Tabla4[[#This Row],[Creación y captura Dic/2025]:[Compartición e Interoperabilidad Dic/2025]])</f>
        <v>1</v>
      </c>
    </row>
    <row r="129" spans="2:68" x14ac:dyDescent="0.4">
      <c r="B129" s="1" t="s">
        <v>180</v>
      </c>
      <c r="C129" s="14"/>
      <c r="D129" s="14"/>
      <c r="E129" s="14"/>
      <c r="F129" s="14">
        <f>Tabla13[[#This Row],[Uso y acceso Ago/2024]]</f>
        <v>1</v>
      </c>
      <c r="G129" s="15">
        <f>Tabla58[[#This Row],[Integración Ago/2024]]</f>
        <v>0</v>
      </c>
      <c r="H129" s="16">
        <f>AVERAGE(Tabla4[[#This Row],[Creación y captura Ago/2024]:[Compartición e Interoperabilidad Ago/2024]])</f>
        <v>0.5</v>
      </c>
      <c r="I129" s="14"/>
      <c r="J129" s="14"/>
      <c r="K129" s="15"/>
      <c r="L129" s="15">
        <f>Tabla13[[#This Row],[Uso y acceso Sep/2024]]</f>
        <v>1</v>
      </c>
      <c r="M129" s="15">
        <f>Tabla58[[#This Row],[Integración Sep/2024]]</f>
        <v>0</v>
      </c>
      <c r="N129" s="16">
        <f>AVERAGE(Tabla4[[#This Row],[Creación y captura Sep/2024]:[Compartición e Interoperabilidad Sep/2024]])</f>
        <v>0.5</v>
      </c>
      <c r="O129" s="14"/>
      <c r="P129" s="14"/>
      <c r="Q129" s="15"/>
      <c r="R129" s="15">
        <f>Tabla13[[#This Row],[Uso y acceso Oct/2024]]</f>
        <v>1</v>
      </c>
      <c r="S129" s="15">
        <f>Tabla58[[#This Row],[Integración Oct/2024]]</f>
        <v>0</v>
      </c>
      <c r="T129" s="16">
        <f>AVERAGE(Tabla4[[#This Row],[Creación y captura Oct/2024]:[Compartición e Interoperabilidad Oct/2024]])</f>
        <v>0.5</v>
      </c>
      <c r="U129" s="14"/>
      <c r="V129" s="14"/>
      <c r="W129" s="15"/>
      <c r="X129" s="15">
        <f>Tabla13[[#This Row],[Uso y acceso Nov/2024]]</f>
        <v>1</v>
      </c>
      <c r="Y129" s="15">
        <f>Tabla58[[#This Row],[Integración Nov/2024]]</f>
        <v>0</v>
      </c>
      <c r="Z129" s="16">
        <f>AVERAGE(Tabla4[[#This Row],[Creación y captura Nov/2024]:[Compartición e Interoperabilidad Nov/2024]])</f>
        <v>0.5</v>
      </c>
      <c r="AA129" s="14"/>
      <c r="AB129" s="14"/>
      <c r="AC129" s="15"/>
      <c r="AD129" s="15">
        <f>Tabla13[[#This Row],[Uso y acceso Dic/2024]]</f>
        <v>1</v>
      </c>
      <c r="AE129" s="15">
        <f>Tabla58[[#This Row],[Integración Dic/2024]]</f>
        <v>0</v>
      </c>
      <c r="AF129" s="16">
        <f>AVERAGE(Tabla4[[#This Row],[Creación y captura Dic/2024]:[Compartición e Interoperabilidad Dic/2024]])</f>
        <v>0.5</v>
      </c>
      <c r="AG129" s="14"/>
      <c r="AH129" s="14"/>
      <c r="AI129" s="15"/>
      <c r="AJ129" s="15">
        <f>Tabla13[[#This Row],[Uso y acceso Ene/2025]]</f>
        <v>1</v>
      </c>
      <c r="AK129" s="15">
        <f>Tabla58[[#This Row],[Integración Ene/2025]]</f>
        <v>0</v>
      </c>
      <c r="AL129" s="16">
        <f>AVERAGE(Tabla4[[#This Row],[Creación y captura Ene/2025]:[Compartición e Interoperabilidad Ene/2025]])</f>
        <v>0.5</v>
      </c>
      <c r="AM129" s="14"/>
      <c r="AN129" s="14"/>
      <c r="AO129" s="15"/>
      <c r="AP129" s="15">
        <f>Tabla13[[#This Row],[Uso y acceso Feb/2025]]</f>
        <v>1</v>
      </c>
      <c r="AQ129" s="15">
        <f>Tabla58[[#This Row],[Integración Feb/2025]]</f>
        <v>0</v>
      </c>
      <c r="AR129" s="16">
        <f>AVERAGE(Tabla4[[#This Row],[Creación y captura Feb/2025]:[Compartición e Interoperabilidad Feb/2025]])</f>
        <v>0.5</v>
      </c>
      <c r="AS129" s="14"/>
      <c r="AT129" s="14"/>
      <c r="AU129" s="15"/>
      <c r="AV129" s="15">
        <f>Tabla13[[#This Row],[Uso y acceso Mar/2025]]</f>
        <v>1</v>
      </c>
      <c r="AW129" s="15">
        <f>Tabla58[[#This Row],[Integración Mar/2025]]</f>
        <v>0</v>
      </c>
      <c r="AX129" s="16">
        <f>AVERAGE(Tabla4[[#This Row],[Creación y captura Mar/2025]:[Compartición e Interoperabilidad Mar/2025]])</f>
        <v>0.5</v>
      </c>
      <c r="AY129" s="14"/>
      <c r="AZ129" s="14"/>
      <c r="BA129" s="15"/>
      <c r="BB129" s="15">
        <f>Tabla13[[#This Row],[Uso y acceso Abr/2025]]</f>
        <v>1</v>
      </c>
      <c r="BC129" s="15">
        <f>Tabla58[[#This Row],[Integración Abr/2025]]</f>
        <v>0</v>
      </c>
      <c r="BD129" s="16">
        <f>AVERAGE(Tabla4[[#This Row],[Creación y captura Abr/2025]:[Compartición e Interoperabilidad Abr/2025]])</f>
        <v>0.5</v>
      </c>
      <c r="BE129" s="14">
        <v>0.8</v>
      </c>
      <c r="BF129" s="14">
        <v>0.5</v>
      </c>
      <c r="BG129" s="17">
        <f>AVERAGE('Calidad de Datos'!AM133:AP133)</f>
        <v>1</v>
      </c>
      <c r="BH129" s="15">
        <f>Tabla13[[#This Row],[Uso y acceso May/2025]]</f>
        <v>1</v>
      </c>
      <c r="BI129" s="15">
        <f>Tabla58[[#This Row],[Integración May/2025]]</f>
        <v>0.3</v>
      </c>
      <c r="BJ129" s="16">
        <f>AVERAGE(Tabla4[[#This Row],[Creación y captura May/2025]:[Compartición e Interoperabilidad May/2025]])</f>
        <v>0.72</v>
      </c>
      <c r="BK129" s="14">
        <v>0.8</v>
      </c>
      <c r="BL129" s="14">
        <v>0.5</v>
      </c>
      <c r="BM129" s="14">
        <f>AVERAGE('Calidad de Datos'!AQ133:AT133)</f>
        <v>1</v>
      </c>
      <c r="BN129" s="14">
        <f>Tabla13[[#This Row],[Uso y acceso Dic/2025]]</f>
        <v>1</v>
      </c>
      <c r="BO129" s="14">
        <f>Tabla58[[#This Row],[Integración Dic/2025]]</f>
        <v>0.8</v>
      </c>
      <c r="BP129" s="16">
        <f>AVERAGE(Tabla4[[#This Row],[Creación y captura Dic/2025]:[Compartición e Interoperabilidad Dic/2025]])</f>
        <v>0.82</v>
      </c>
    </row>
    <row r="130" spans="2:68" x14ac:dyDescent="0.4">
      <c r="B130" s="1" t="s">
        <v>181</v>
      </c>
      <c r="C130" s="14"/>
      <c r="D130" s="14"/>
      <c r="E130" s="14"/>
      <c r="F130" s="14">
        <f>Tabla13[[#This Row],[Uso y acceso Ago/2024]]</f>
        <v>0.8</v>
      </c>
      <c r="G130" s="15">
        <f>Tabla58[[#This Row],[Integración Ago/2024]]</f>
        <v>0</v>
      </c>
      <c r="H130" s="16">
        <f>AVERAGE(Tabla4[[#This Row],[Creación y captura Ago/2024]:[Compartición e Interoperabilidad Ago/2024]])</f>
        <v>0.4</v>
      </c>
      <c r="I130" s="14"/>
      <c r="J130" s="14"/>
      <c r="K130" s="15"/>
      <c r="L130" s="15">
        <f>Tabla13[[#This Row],[Uso y acceso Sep/2024]]</f>
        <v>0.8</v>
      </c>
      <c r="M130" s="15">
        <f>Tabla58[[#This Row],[Integración Sep/2024]]</f>
        <v>0</v>
      </c>
      <c r="N130" s="16">
        <f>AVERAGE(Tabla4[[#This Row],[Creación y captura Sep/2024]:[Compartición e Interoperabilidad Sep/2024]])</f>
        <v>0.4</v>
      </c>
      <c r="O130" s="14"/>
      <c r="P130" s="14"/>
      <c r="Q130" s="15"/>
      <c r="R130" s="15">
        <f>Tabla13[[#This Row],[Uso y acceso Oct/2024]]</f>
        <v>1</v>
      </c>
      <c r="S130" s="15">
        <f>Tabla58[[#This Row],[Integración Oct/2024]]</f>
        <v>0</v>
      </c>
      <c r="T130" s="16">
        <f>AVERAGE(Tabla4[[#This Row],[Creación y captura Oct/2024]:[Compartición e Interoperabilidad Oct/2024]])</f>
        <v>0.5</v>
      </c>
      <c r="U130" s="14"/>
      <c r="V130" s="14"/>
      <c r="W130" s="15"/>
      <c r="X130" s="15">
        <f>Tabla13[[#This Row],[Uso y acceso Nov/2024]]</f>
        <v>1</v>
      </c>
      <c r="Y130" s="15">
        <f>Tabla58[[#This Row],[Integración Nov/2024]]</f>
        <v>0</v>
      </c>
      <c r="Z130" s="16">
        <f>AVERAGE(Tabla4[[#This Row],[Creación y captura Nov/2024]:[Compartición e Interoperabilidad Nov/2024]])</f>
        <v>0.5</v>
      </c>
      <c r="AA130" s="14"/>
      <c r="AB130" s="14"/>
      <c r="AC130" s="15"/>
      <c r="AD130" s="15">
        <f>Tabla13[[#This Row],[Uso y acceso Dic/2024]]</f>
        <v>1</v>
      </c>
      <c r="AE130" s="15">
        <f>Tabla58[[#This Row],[Integración Dic/2024]]</f>
        <v>0</v>
      </c>
      <c r="AF130" s="16">
        <f>AVERAGE(Tabla4[[#This Row],[Creación y captura Dic/2024]:[Compartición e Interoperabilidad Dic/2024]])</f>
        <v>0.5</v>
      </c>
      <c r="AG130" s="14"/>
      <c r="AH130" s="14"/>
      <c r="AI130" s="15"/>
      <c r="AJ130" s="15">
        <f>Tabla13[[#This Row],[Uso y acceso Ene/2025]]</f>
        <v>1</v>
      </c>
      <c r="AK130" s="15">
        <f>Tabla58[[#This Row],[Integración Ene/2025]]</f>
        <v>0</v>
      </c>
      <c r="AL130" s="16">
        <f>AVERAGE(Tabla4[[#This Row],[Creación y captura Ene/2025]:[Compartición e Interoperabilidad Ene/2025]])</f>
        <v>0.5</v>
      </c>
      <c r="AM130" s="14"/>
      <c r="AN130" s="14"/>
      <c r="AO130" s="15"/>
      <c r="AP130" s="15">
        <f>Tabla13[[#This Row],[Uso y acceso Feb/2025]]</f>
        <v>1</v>
      </c>
      <c r="AQ130" s="15">
        <f>Tabla58[[#This Row],[Integración Feb/2025]]</f>
        <v>0</v>
      </c>
      <c r="AR130" s="16">
        <f>AVERAGE(Tabla4[[#This Row],[Creación y captura Feb/2025]:[Compartición e Interoperabilidad Feb/2025]])</f>
        <v>0.5</v>
      </c>
      <c r="AS130" s="14"/>
      <c r="AT130" s="14"/>
      <c r="AU130" s="15"/>
      <c r="AV130" s="15">
        <f>Tabla13[[#This Row],[Uso y acceso Mar/2025]]</f>
        <v>1</v>
      </c>
      <c r="AW130" s="15">
        <f>Tabla58[[#This Row],[Integración Mar/2025]]</f>
        <v>0</v>
      </c>
      <c r="AX130" s="16">
        <f>AVERAGE(Tabla4[[#This Row],[Creación y captura Mar/2025]:[Compartición e Interoperabilidad Mar/2025]])</f>
        <v>0.5</v>
      </c>
      <c r="AY130" s="14"/>
      <c r="AZ130" s="14"/>
      <c r="BA130" s="15"/>
      <c r="BB130" s="15">
        <f>Tabla13[[#This Row],[Uso y acceso Abr/2025]]</f>
        <v>1</v>
      </c>
      <c r="BC130" s="15">
        <f>Tabla58[[#This Row],[Integración Abr/2025]]</f>
        <v>0</v>
      </c>
      <c r="BD130" s="16">
        <f>AVERAGE(Tabla4[[#This Row],[Creación y captura Abr/2025]:[Compartición e Interoperabilidad Abr/2025]])</f>
        <v>0.5</v>
      </c>
      <c r="BE130" s="14"/>
      <c r="BF130" s="14"/>
      <c r="BG130" s="15"/>
      <c r="BH130" s="15">
        <f>Tabla13[[#This Row],[Uso y acceso May/2025]]</f>
        <v>1</v>
      </c>
      <c r="BI130" s="15">
        <f>Tabla58[[#This Row],[Integración May/2025]]</f>
        <v>0</v>
      </c>
      <c r="BJ130" s="16">
        <f>AVERAGE(Tabla4[[#This Row],[Creación y captura May/2025]:[Compartición e Interoperabilidad May/2025]])</f>
        <v>0.5</v>
      </c>
      <c r="BK130" s="14"/>
      <c r="BL130" s="14"/>
      <c r="BM130" s="14">
        <f>AVERAGE('Calidad de Datos'!AQ134:AT134)</f>
        <v>0.85</v>
      </c>
      <c r="BN130" s="14">
        <f>Tabla13[[#This Row],[Uso y acceso Dic/2025]]</f>
        <v>1</v>
      </c>
      <c r="BO130" s="14">
        <f>Tabla58[[#This Row],[Integración Dic/2025]]</f>
        <v>0.4</v>
      </c>
      <c r="BP130" s="16">
        <f>AVERAGE(Tabla4[[#This Row],[Creación y captura Dic/2025]:[Compartición e Interoperabilidad Dic/2025]])</f>
        <v>0.75</v>
      </c>
    </row>
    <row r="131" spans="2:68" x14ac:dyDescent="0.4">
      <c r="B131" s="1" t="s">
        <v>182</v>
      </c>
      <c r="C131" s="14"/>
      <c r="D131" s="14"/>
      <c r="E131" s="14"/>
      <c r="F131" s="14">
        <f>Tabla13[[#This Row],[Uso y acceso Ago/2024]]</f>
        <v>1</v>
      </c>
      <c r="G131" s="15">
        <f>Tabla58[[#This Row],[Integración Ago/2024]]</f>
        <v>0</v>
      </c>
      <c r="H131" s="16">
        <f>AVERAGE(Tabla4[[#This Row],[Creación y captura Ago/2024]:[Compartición e Interoperabilidad Ago/2024]])</f>
        <v>0.5</v>
      </c>
      <c r="I131" s="14"/>
      <c r="J131" s="14"/>
      <c r="K131" s="15"/>
      <c r="L131" s="15">
        <f>Tabla13[[#This Row],[Uso y acceso Sep/2024]]</f>
        <v>1</v>
      </c>
      <c r="M131" s="15">
        <f>Tabla58[[#This Row],[Integración Sep/2024]]</f>
        <v>0</v>
      </c>
      <c r="N131" s="16">
        <f>AVERAGE(Tabla4[[#This Row],[Creación y captura Sep/2024]:[Compartición e Interoperabilidad Sep/2024]])</f>
        <v>0.5</v>
      </c>
      <c r="O131" s="14"/>
      <c r="P131" s="14"/>
      <c r="Q131" s="15"/>
      <c r="R131" s="15">
        <f>Tabla13[[#This Row],[Uso y acceso Oct/2024]]</f>
        <v>1</v>
      </c>
      <c r="S131" s="15">
        <f>Tabla58[[#This Row],[Integración Oct/2024]]</f>
        <v>0</v>
      </c>
      <c r="T131" s="16">
        <f>AVERAGE(Tabla4[[#This Row],[Creación y captura Oct/2024]:[Compartición e Interoperabilidad Oct/2024]])</f>
        <v>0.5</v>
      </c>
      <c r="U131" s="14"/>
      <c r="V131" s="14"/>
      <c r="W131" s="15"/>
      <c r="X131" s="15">
        <f>Tabla13[[#This Row],[Uso y acceso Nov/2024]]</f>
        <v>1</v>
      </c>
      <c r="Y131" s="15">
        <f>Tabla58[[#This Row],[Integración Nov/2024]]</f>
        <v>0</v>
      </c>
      <c r="Z131" s="16">
        <f>AVERAGE(Tabla4[[#This Row],[Creación y captura Nov/2024]:[Compartición e Interoperabilidad Nov/2024]])</f>
        <v>0.5</v>
      </c>
      <c r="AA131" s="14"/>
      <c r="AB131" s="14"/>
      <c r="AC131" s="15"/>
      <c r="AD131" s="15">
        <f>Tabla13[[#This Row],[Uso y acceso Dic/2024]]</f>
        <v>1</v>
      </c>
      <c r="AE131" s="15">
        <f>Tabla58[[#This Row],[Integración Dic/2024]]</f>
        <v>0</v>
      </c>
      <c r="AF131" s="16">
        <f>AVERAGE(Tabla4[[#This Row],[Creación y captura Dic/2024]:[Compartición e Interoperabilidad Dic/2024]])</f>
        <v>0.5</v>
      </c>
      <c r="AG131" s="14"/>
      <c r="AH131" s="14"/>
      <c r="AI131" s="15"/>
      <c r="AJ131" s="15">
        <f>Tabla13[[#This Row],[Uso y acceso Ene/2025]]</f>
        <v>1</v>
      </c>
      <c r="AK131" s="15">
        <f>Tabla58[[#This Row],[Integración Ene/2025]]</f>
        <v>0</v>
      </c>
      <c r="AL131" s="16">
        <f>AVERAGE(Tabla4[[#This Row],[Creación y captura Ene/2025]:[Compartición e Interoperabilidad Ene/2025]])</f>
        <v>0.5</v>
      </c>
      <c r="AM131" s="14"/>
      <c r="AN131" s="14"/>
      <c r="AO131" s="15"/>
      <c r="AP131" s="15">
        <f>Tabla13[[#This Row],[Uso y acceso Feb/2025]]</f>
        <v>1</v>
      </c>
      <c r="AQ131" s="15">
        <f>Tabla58[[#This Row],[Integración Feb/2025]]</f>
        <v>0.3</v>
      </c>
      <c r="AR131" s="16">
        <f>AVERAGE(Tabla4[[#This Row],[Creación y captura Feb/2025]:[Compartición e Interoperabilidad Feb/2025]])</f>
        <v>0.65</v>
      </c>
      <c r="AS131" s="14"/>
      <c r="AT131" s="14"/>
      <c r="AU131" s="15"/>
      <c r="AV131" s="15">
        <f>Tabla13[[#This Row],[Uso y acceso Mar/2025]]</f>
        <v>1</v>
      </c>
      <c r="AW131" s="15">
        <f>Tabla58[[#This Row],[Integración Mar/2025]]</f>
        <v>0.3</v>
      </c>
      <c r="AX131" s="16">
        <f>AVERAGE(Tabla4[[#This Row],[Creación y captura Mar/2025]:[Compartición e Interoperabilidad Mar/2025]])</f>
        <v>0.65</v>
      </c>
      <c r="AY131" s="14"/>
      <c r="AZ131" s="14"/>
      <c r="BA131" s="15"/>
      <c r="BB131" s="15">
        <f>Tabla13[[#This Row],[Uso y acceso Abr/2025]]</f>
        <v>1</v>
      </c>
      <c r="BC131" s="15">
        <f>Tabla58[[#This Row],[Integración Abr/2025]]</f>
        <v>0.3</v>
      </c>
      <c r="BD131" s="16">
        <f>AVERAGE(Tabla4[[#This Row],[Creación y captura Abr/2025]:[Compartición e Interoperabilidad Abr/2025]])</f>
        <v>0.65</v>
      </c>
      <c r="BE131" s="14"/>
      <c r="BF131" s="14"/>
      <c r="BG131" s="15"/>
      <c r="BH131" s="15">
        <f>Tabla13[[#This Row],[Uso y acceso May/2025]]</f>
        <v>1</v>
      </c>
      <c r="BI131" s="15">
        <f>Tabla58[[#This Row],[Integración May/2025]]</f>
        <v>0</v>
      </c>
      <c r="BJ131" s="16">
        <f>AVERAGE(Tabla4[[#This Row],[Creación y captura May/2025]:[Compartición e Interoperabilidad May/2025]])</f>
        <v>0.5</v>
      </c>
      <c r="BK131" s="14"/>
      <c r="BL131" s="14"/>
      <c r="BM131" s="14">
        <f>AVERAGE('Calidad de Datos'!AQ135:AT135)</f>
        <v>1</v>
      </c>
      <c r="BN131" s="14">
        <f>Tabla13[[#This Row],[Uso y acceso Dic/2025]]</f>
        <v>1</v>
      </c>
      <c r="BO131" s="14">
        <f>Tabla58[[#This Row],[Integración Dic/2025]]</f>
        <v>0.7</v>
      </c>
      <c r="BP131" s="16">
        <f>AVERAGE(Tabla4[[#This Row],[Creación y captura Dic/2025]:[Compartición e Interoperabilidad Dic/2025]])</f>
        <v>0.9</v>
      </c>
    </row>
    <row r="132" spans="2:68" x14ac:dyDescent="0.4">
      <c r="B132" s="1" t="s">
        <v>183</v>
      </c>
      <c r="C132" s="14"/>
      <c r="D132" s="14"/>
      <c r="E132" s="14"/>
      <c r="F132" s="14">
        <f>Tabla13[[#This Row],[Uso y acceso Ago/2024]]</f>
        <v>1</v>
      </c>
      <c r="G132" s="15">
        <f>Tabla58[[#This Row],[Integración Ago/2024]]</f>
        <v>0</v>
      </c>
      <c r="H132" s="16">
        <f>AVERAGE(Tabla4[[#This Row],[Creación y captura Ago/2024]:[Compartición e Interoperabilidad Ago/2024]])</f>
        <v>0.5</v>
      </c>
      <c r="I132" s="14"/>
      <c r="J132" s="14"/>
      <c r="K132" s="15"/>
      <c r="L132" s="15">
        <f>Tabla13[[#This Row],[Uso y acceso Sep/2024]]</f>
        <v>1</v>
      </c>
      <c r="M132" s="15">
        <f>Tabla58[[#This Row],[Integración Sep/2024]]</f>
        <v>0</v>
      </c>
      <c r="N132" s="16">
        <f>AVERAGE(Tabla4[[#This Row],[Creación y captura Sep/2024]:[Compartición e Interoperabilidad Sep/2024]])</f>
        <v>0.5</v>
      </c>
      <c r="O132" s="14"/>
      <c r="P132" s="14"/>
      <c r="Q132" s="15"/>
      <c r="R132" s="15">
        <f>Tabla13[[#This Row],[Uso y acceso Oct/2024]]</f>
        <v>1</v>
      </c>
      <c r="S132" s="15">
        <f>Tabla58[[#This Row],[Integración Oct/2024]]</f>
        <v>0</v>
      </c>
      <c r="T132" s="16">
        <f>AVERAGE(Tabla4[[#This Row],[Creación y captura Oct/2024]:[Compartición e Interoperabilidad Oct/2024]])</f>
        <v>0.5</v>
      </c>
      <c r="U132" s="14"/>
      <c r="V132" s="14"/>
      <c r="W132" s="15"/>
      <c r="X132" s="15">
        <f>Tabla13[[#This Row],[Uso y acceso Nov/2024]]</f>
        <v>1</v>
      </c>
      <c r="Y132" s="15">
        <f>Tabla58[[#This Row],[Integración Nov/2024]]</f>
        <v>0</v>
      </c>
      <c r="Z132" s="16">
        <f>AVERAGE(Tabla4[[#This Row],[Creación y captura Nov/2024]:[Compartición e Interoperabilidad Nov/2024]])</f>
        <v>0.5</v>
      </c>
      <c r="AA132" s="14"/>
      <c r="AB132" s="14"/>
      <c r="AC132" s="15"/>
      <c r="AD132" s="15">
        <f>Tabla13[[#This Row],[Uso y acceso Dic/2024]]</f>
        <v>1</v>
      </c>
      <c r="AE132" s="15">
        <f>Tabla58[[#This Row],[Integración Dic/2024]]</f>
        <v>0</v>
      </c>
      <c r="AF132" s="16">
        <f>AVERAGE(Tabla4[[#This Row],[Creación y captura Dic/2024]:[Compartición e Interoperabilidad Dic/2024]])</f>
        <v>0.5</v>
      </c>
      <c r="AG132" s="14"/>
      <c r="AH132" s="14"/>
      <c r="AI132" s="15"/>
      <c r="AJ132" s="15">
        <f>Tabla13[[#This Row],[Uso y acceso Ene/2025]]</f>
        <v>1</v>
      </c>
      <c r="AK132" s="15">
        <f>Tabla58[[#This Row],[Integración Ene/2025]]</f>
        <v>0</v>
      </c>
      <c r="AL132" s="16">
        <f>AVERAGE(Tabla4[[#This Row],[Creación y captura Ene/2025]:[Compartición e Interoperabilidad Ene/2025]])</f>
        <v>0.5</v>
      </c>
      <c r="AM132" s="14"/>
      <c r="AN132" s="14"/>
      <c r="AO132" s="15"/>
      <c r="AP132" s="15">
        <f>Tabla13[[#This Row],[Uso y acceso Feb/2025]]</f>
        <v>1</v>
      </c>
      <c r="AQ132" s="15">
        <f>Tabla58[[#This Row],[Integración Feb/2025]]</f>
        <v>0</v>
      </c>
      <c r="AR132" s="16">
        <f>AVERAGE(Tabla4[[#This Row],[Creación y captura Feb/2025]:[Compartición e Interoperabilidad Feb/2025]])</f>
        <v>0.5</v>
      </c>
      <c r="AS132" s="14"/>
      <c r="AT132" s="14"/>
      <c r="AU132" s="15"/>
      <c r="AV132" s="15">
        <f>Tabla13[[#This Row],[Uso y acceso Mar/2025]]</f>
        <v>1</v>
      </c>
      <c r="AW132" s="15">
        <f>Tabla58[[#This Row],[Integración Mar/2025]]</f>
        <v>0</v>
      </c>
      <c r="AX132" s="16">
        <f>AVERAGE(Tabla4[[#This Row],[Creación y captura Mar/2025]:[Compartición e Interoperabilidad Mar/2025]])</f>
        <v>0.5</v>
      </c>
      <c r="AY132" s="14">
        <v>0.8</v>
      </c>
      <c r="AZ132" s="14">
        <v>0.5</v>
      </c>
      <c r="BA132" s="17">
        <f>AVERAGE('Calidad de Datos'!AI136:AL136)</f>
        <v>0.7</v>
      </c>
      <c r="BB132" s="15">
        <f>Tabla13[[#This Row],[Uso y acceso Abr/2025]]</f>
        <v>1</v>
      </c>
      <c r="BC132" s="15">
        <f>Tabla58[[#This Row],[Integración Abr/2025]]</f>
        <v>0.3</v>
      </c>
      <c r="BD132" s="16">
        <f>AVERAGE(Tabla4[[#This Row],[Creación y captura Abr/2025]:[Compartición e Interoperabilidad Abr/2025]])</f>
        <v>0.65999999999999992</v>
      </c>
      <c r="BE132" s="14">
        <v>0.8</v>
      </c>
      <c r="BF132" s="14">
        <v>0.5</v>
      </c>
      <c r="BG132" s="17">
        <f>AVERAGE('Calidad de Datos'!AM136:AP136)</f>
        <v>1</v>
      </c>
      <c r="BH132" s="15">
        <f>Tabla13[[#This Row],[Uso y acceso May/2025]]</f>
        <v>1</v>
      </c>
      <c r="BI132" s="15">
        <f>Tabla58[[#This Row],[Integración May/2025]]</f>
        <v>0.3</v>
      </c>
      <c r="BJ132" s="16">
        <f>AVERAGE(Tabla4[[#This Row],[Creación y captura May/2025]:[Compartición e Interoperabilidad May/2025]])</f>
        <v>0.72</v>
      </c>
      <c r="BK132" s="14">
        <v>0.8</v>
      </c>
      <c r="BL132" s="14">
        <v>0.5</v>
      </c>
      <c r="BM132" s="14">
        <f>AVERAGE('Calidad de Datos'!AQ136:AT136)</f>
        <v>1</v>
      </c>
      <c r="BN132" s="14">
        <f>Tabla13[[#This Row],[Uso y acceso Dic/2025]]</f>
        <v>1</v>
      </c>
      <c r="BO132" s="14">
        <f>Tabla58[[#This Row],[Integración Dic/2025]]</f>
        <v>0.6</v>
      </c>
      <c r="BP132" s="16">
        <f>AVERAGE(Tabla4[[#This Row],[Creación y captura Dic/2025]:[Compartición e Interoperabilidad Dic/2025]])</f>
        <v>0.78</v>
      </c>
    </row>
    <row r="133" spans="2:68" x14ac:dyDescent="0.4">
      <c r="B133" s="1" t="s">
        <v>184</v>
      </c>
      <c r="C133" s="14"/>
      <c r="D133" s="14"/>
      <c r="E133" s="14"/>
      <c r="F133" s="14">
        <f>Tabla13[[#This Row],[Uso y acceso Ago/2024]]</f>
        <v>1</v>
      </c>
      <c r="G133" s="15">
        <f>Tabla58[[#This Row],[Integración Ago/2024]]</f>
        <v>0</v>
      </c>
      <c r="H133" s="16">
        <f>AVERAGE(Tabla4[[#This Row],[Creación y captura Ago/2024]:[Compartición e Interoperabilidad Ago/2024]])</f>
        <v>0.5</v>
      </c>
      <c r="I133" s="14"/>
      <c r="J133" s="14"/>
      <c r="K133" s="15"/>
      <c r="L133" s="15">
        <f>Tabla13[[#This Row],[Uso y acceso Sep/2024]]</f>
        <v>1</v>
      </c>
      <c r="M133" s="15">
        <f>Tabla58[[#This Row],[Integración Sep/2024]]</f>
        <v>0</v>
      </c>
      <c r="N133" s="16">
        <f>AVERAGE(Tabla4[[#This Row],[Creación y captura Sep/2024]:[Compartición e Interoperabilidad Sep/2024]])</f>
        <v>0.5</v>
      </c>
      <c r="O133" s="14"/>
      <c r="P133" s="14"/>
      <c r="Q133" s="15"/>
      <c r="R133" s="15">
        <f>Tabla13[[#This Row],[Uso y acceso Oct/2024]]</f>
        <v>1</v>
      </c>
      <c r="S133" s="15">
        <f>Tabla58[[#This Row],[Integración Oct/2024]]</f>
        <v>0</v>
      </c>
      <c r="T133" s="16">
        <f>AVERAGE(Tabla4[[#This Row],[Creación y captura Oct/2024]:[Compartición e Interoperabilidad Oct/2024]])</f>
        <v>0.5</v>
      </c>
      <c r="U133" s="14"/>
      <c r="V133" s="14"/>
      <c r="W133" s="15"/>
      <c r="X133" s="15">
        <f>Tabla13[[#This Row],[Uso y acceso Nov/2024]]</f>
        <v>1</v>
      </c>
      <c r="Y133" s="15">
        <f>Tabla58[[#This Row],[Integración Nov/2024]]</f>
        <v>0</v>
      </c>
      <c r="Z133" s="16">
        <f>AVERAGE(Tabla4[[#This Row],[Creación y captura Nov/2024]:[Compartición e Interoperabilidad Nov/2024]])</f>
        <v>0.5</v>
      </c>
      <c r="AA133" s="14"/>
      <c r="AB133" s="14"/>
      <c r="AC133" s="15"/>
      <c r="AD133" s="15">
        <f>Tabla13[[#This Row],[Uso y acceso Dic/2024]]</f>
        <v>1</v>
      </c>
      <c r="AE133" s="15">
        <f>Tabla58[[#This Row],[Integración Dic/2024]]</f>
        <v>0</v>
      </c>
      <c r="AF133" s="16">
        <f>AVERAGE(Tabla4[[#This Row],[Creación y captura Dic/2024]:[Compartición e Interoperabilidad Dic/2024]])</f>
        <v>0.5</v>
      </c>
      <c r="AG133" s="14"/>
      <c r="AH133" s="14"/>
      <c r="AI133" s="15"/>
      <c r="AJ133" s="15">
        <f>Tabla13[[#This Row],[Uso y acceso Ene/2025]]</f>
        <v>1</v>
      </c>
      <c r="AK133" s="15">
        <f>Tabla58[[#This Row],[Integración Ene/2025]]</f>
        <v>0</v>
      </c>
      <c r="AL133" s="16">
        <f>AVERAGE(Tabla4[[#This Row],[Creación y captura Ene/2025]:[Compartición e Interoperabilidad Ene/2025]])</f>
        <v>0.5</v>
      </c>
      <c r="AM133" s="14"/>
      <c r="AN133" s="14"/>
      <c r="AO133" s="15"/>
      <c r="AP133" s="15">
        <f>Tabla13[[#This Row],[Uso y acceso Feb/2025]]</f>
        <v>1</v>
      </c>
      <c r="AQ133" s="15">
        <f>Tabla58[[#This Row],[Integración Feb/2025]]</f>
        <v>0</v>
      </c>
      <c r="AR133" s="16">
        <f>AVERAGE(Tabla4[[#This Row],[Creación y captura Feb/2025]:[Compartición e Interoperabilidad Feb/2025]])</f>
        <v>0.5</v>
      </c>
      <c r="AS133" s="14"/>
      <c r="AT133" s="14"/>
      <c r="AU133" s="15"/>
      <c r="AV133" s="15">
        <f>Tabla13[[#This Row],[Uso y acceso Mar/2025]]</f>
        <v>1</v>
      </c>
      <c r="AW133" s="15">
        <f>Tabla58[[#This Row],[Integración Mar/2025]]</f>
        <v>0</v>
      </c>
      <c r="AX133" s="16">
        <f>AVERAGE(Tabla4[[#This Row],[Creación y captura Mar/2025]:[Compartición e Interoperabilidad Mar/2025]])</f>
        <v>0.5</v>
      </c>
      <c r="AY133" s="14"/>
      <c r="AZ133" s="14"/>
      <c r="BA133" s="15"/>
      <c r="BB133" s="15">
        <f>Tabla13[[#This Row],[Uso y acceso Abr/2025]]</f>
        <v>1</v>
      </c>
      <c r="BC133" s="15">
        <f>Tabla58[[#This Row],[Integración Abr/2025]]</f>
        <v>0</v>
      </c>
      <c r="BD133" s="16">
        <f>AVERAGE(Tabla4[[#This Row],[Creación y captura Abr/2025]:[Compartición e Interoperabilidad Abr/2025]])</f>
        <v>0.5</v>
      </c>
      <c r="BE133" s="14"/>
      <c r="BF133" s="14"/>
      <c r="BG133" s="15"/>
      <c r="BH133" s="15">
        <f>Tabla13[[#This Row],[Uso y acceso May/2025]]</f>
        <v>1</v>
      </c>
      <c r="BI133" s="15">
        <f>Tabla58[[#This Row],[Integración May/2025]]</f>
        <v>0</v>
      </c>
      <c r="BJ133" s="16">
        <f>AVERAGE(Tabla4[[#This Row],[Creación y captura May/2025]:[Compartición e Interoperabilidad May/2025]])</f>
        <v>0.5</v>
      </c>
      <c r="BK133" s="14"/>
      <c r="BL133" s="14"/>
      <c r="BM133" s="14">
        <f>AVERAGE('Calidad de Datos'!AQ137:AT137)</f>
        <v>0.8</v>
      </c>
      <c r="BN133" s="14">
        <f>Tabla13[[#This Row],[Uso y acceso Dic/2025]]</f>
        <v>1</v>
      </c>
      <c r="BO133" s="14">
        <f>Tabla58[[#This Row],[Integración Dic/2025]]</f>
        <v>0.6</v>
      </c>
      <c r="BP133" s="16">
        <f>AVERAGE(Tabla4[[#This Row],[Creación y captura Dic/2025]:[Compartición e Interoperabilidad Dic/2025]])</f>
        <v>0.79999999999999993</v>
      </c>
    </row>
    <row r="134" spans="2:68" x14ac:dyDescent="0.4">
      <c r="B134" s="1" t="s">
        <v>185</v>
      </c>
      <c r="C134" s="14"/>
      <c r="D134" s="14"/>
      <c r="E134" s="14"/>
      <c r="F134" s="14">
        <f>Tabla13[[#This Row],[Uso y acceso Ago/2024]]</f>
        <v>1</v>
      </c>
      <c r="G134" s="15">
        <f>Tabla58[[#This Row],[Integración Ago/2024]]</f>
        <v>0</v>
      </c>
      <c r="H134" s="16">
        <f>AVERAGE(Tabla4[[#This Row],[Creación y captura Ago/2024]:[Compartición e Interoperabilidad Ago/2024]])</f>
        <v>0.5</v>
      </c>
      <c r="I134" s="14"/>
      <c r="J134" s="14"/>
      <c r="K134" s="15"/>
      <c r="L134" s="15">
        <f>Tabla13[[#This Row],[Uso y acceso Sep/2024]]</f>
        <v>1</v>
      </c>
      <c r="M134" s="15">
        <f>Tabla58[[#This Row],[Integración Sep/2024]]</f>
        <v>0</v>
      </c>
      <c r="N134" s="16">
        <f>AVERAGE(Tabla4[[#This Row],[Creación y captura Sep/2024]:[Compartición e Interoperabilidad Sep/2024]])</f>
        <v>0.5</v>
      </c>
      <c r="O134" s="14"/>
      <c r="P134" s="14"/>
      <c r="Q134" s="15"/>
      <c r="R134" s="15">
        <f>Tabla13[[#This Row],[Uso y acceso Oct/2024]]</f>
        <v>1</v>
      </c>
      <c r="S134" s="15">
        <f>Tabla58[[#This Row],[Integración Oct/2024]]</f>
        <v>0</v>
      </c>
      <c r="T134" s="16">
        <f>AVERAGE(Tabla4[[#This Row],[Creación y captura Oct/2024]:[Compartición e Interoperabilidad Oct/2024]])</f>
        <v>0.5</v>
      </c>
      <c r="U134" s="14"/>
      <c r="V134" s="14"/>
      <c r="W134" s="15"/>
      <c r="X134" s="15">
        <f>Tabla13[[#This Row],[Uso y acceso Nov/2024]]</f>
        <v>1</v>
      </c>
      <c r="Y134" s="15">
        <f>Tabla58[[#This Row],[Integración Nov/2024]]</f>
        <v>0</v>
      </c>
      <c r="Z134" s="16">
        <f>AVERAGE(Tabla4[[#This Row],[Creación y captura Nov/2024]:[Compartición e Interoperabilidad Nov/2024]])</f>
        <v>0.5</v>
      </c>
      <c r="AA134" s="14"/>
      <c r="AB134" s="14"/>
      <c r="AC134" s="15"/>
      <c r="AD134" s="15">
        <f>Tabla13[[#This Row],[Uso y acceso Dic/2024]]</f>
        <v>1</v>
      </c>
      <c r="AE134" s="15">
        <f>Tabla58[[#This Row],[Integración Dic/2024]]</f>
        <v>0</v>
      </c>
      <c r="AF134" s="16">
        <f>AVERAGE(Tabla4[[#This Row],[Creación y captura Dic/2024]:[Compartición e Interoperabilidad Dic/2024]])</f>
        <v>0.5</v>
      </c>
      <c r="AG134" s="14"/>
      <c r="AH134" s="14"/>
      <c r="AI134" s="15"/>
      <c r="AJ134" s="15">
        <f>Tabla13[[#This Row],[Uso y acceso Ene/2025]]</f>
        <v>1</v>
      </c>
      <c r="AK134" s="15">
        <f>Tabla58[[#This Row],[Integración Ene/2025]]</f>
        <v>0</v>
      </c>
      <c r="AL134" s="16">
        <f>AVERAGE(Tabla4[[#This Row],[Creación y captura Ene/2025]:[Compartición e Interoperabilidad Ene/2025]])</f>
        <v>0.5</v>
      </c>
      <c r="AM134" s="14"/>
      <c r="AN134" s="14"/>
      <c r="AO134" s="15"/>
      <c r="AP134" s="15">
        <f>Tabla13[[#This Row],[Uso y acceso Feb/2025]]</f>
        <v>1</v>
      </c>
      <c r="AQ134" s="15">
        <f>Tabla58[[#This Row],[Integración Feb/2025]]</f>
        <v>0</v>
      </c>
      <c r="AR134" s="16">
        <f>AVERAGE(Tabla4[[#This Row],[Creación y captura Feb/2025]:[Compartición e Interoperabilidad Feb/2025]])</f>
        <v>0.5</v>
      </c>
      <c r="AS134" s="14"/>
      <c r="AT134" s="14"/>
      <c r="AU134" s="15"/>
      <c r="AV134" s="15">
        <f>Tabla13[[#This Row],[Uso y acceso Mar/2025]]</f>
        <v>1</v>
      </c>
      <c r="AW134" s="15">
        <f>Tabla58[[#This Row],[Integración Mar/2025]]</f>
        <v>0</v>
      </c>
      <c r="AX134" s="16">
        <f>AVERAGE(Tabla4[[#This Row],[Creación y captura Mar/2025]:[Compartición e Interoperabilidad Mar/2025]])</f>
        <v>0.5</v>
      </c>
      <c r="AY134" s="14"/>
      <c r="AZ134" s="14"/>
      <c r="BA134" s="15"/>
      <c r="BB134" s="15">
        <f>Tabla13[[#This Row],[Uso y acceso Abr/2025]]</f>
        <v>1</v>
      </c>
      <c r="BC134" s="15">
        <f>Tabla58[[#This Row],[Integración Abr/2025]]</f>
        <v>0</v>
      </c>
      <c r="BD134" s="16">
        <f>AVERAGE(Tabla4[[#This Row],[Creación y captura Abr/2025]:[Compartición e Interoperabilidad Abr/2025]])</f>
        <v>0.5</v>
      </c>
      <c r="BE134" s="14"/>
      <c r="BF134" s="14"/>
      <c r="BG134" s="15"/>
      <c r="BH134" s="15">
        <f>Tabla13[[#This Row],[Uso y acceso May/2025]]</f>
        <v>1</v>
      </c>
      <c r="BI134" s="15">
        <f>Tabla58[[#This Row],[Integración May/2025]]</f>
        <v>0</v>
      </c>
      <c r="BJ134" s="16">
        <f>AVERAGE(Tabla4[[#This Row],[Creación y captura May/2025]:[Compartición e Interoperabilidad May/2025]])</f>
        <v>0.5</v>
      </c>
      <c r="BK134" s="14"/>
      <c r="BL134" s="14"/>
      <c r="BM134" s="14">
        <f>AVERAGE('Calidad de Datos'!AQ138:AT138)</f>
        <v>0.92500000000000004</v>
      </c>
      <c r="BN134" s="14">
        <f>Tabla13[[#This Row],[Uso y acceso Dic/2025]]</f>
        <v>1</v>
      </c>
      <c r="BO134" s="14">
        <f>Tabla58[[#This Row],[Integración Dic/2025]]</f>
        <v>0.8</v>
      </c>
      <c r="BP134" s="16">
        <f>AVERAGE(Tabla4[[#This Row],[Creación y captura Dic/2025]:[Compartición e Interoperabilidad Dic/2025]])</f>
        <v>0.90833333333333333</v>
      </c>
    </row>
    <row r="135" spans="2:68" x14ac:dyDescent="0.4">
      <c r="B135" s="1" t="s">
        <v>186</v>
      </c>
      <c r="C135" s="14"/>
      <c r="D135" s="14"/>
      <c r="E135" s="14"/>
      <c r="F135" s="14">
        <f>Tabla13[[#This Row],[Uso y acceso Ago/2024]]</f>
        <v>1</v>
      </c>
      <c r="G135" s="15">
        <f>Tabla58[[#This Row],[Integración Ago/2024]]</f>
        <v>0</v>
      </c>
      <c r="H135" s="16">
        <f>AVERAGE(Tabla4[[#This Row],[Creación y captura Ago/2024]:[Compartición e Interoperabilidad Ago/2024]])</f>
        <v>0.5</v>
      </c>
      <c r="I135" s="14"/>
      <c r="J135" s="14"/>
      <c r="K135" s="15"/>
      <c r="L135" s="15">
        <f>Tabla13[[#This Row],[Uso y acceso Sep/2024]]</f>
        <v>1</v>
      </c>
      <c r="M135" s="15">
        <f>Tabla58[[#This Row],[Integración Sep/2024]]</f>
        <v>0</v>
      </c>
      <c r="N135" s="16">
        <f>AVERAGE(Tabla4[[#This Row],[Creación y captura Sep/2024]:[Compartición e Interoperabilidad Sep/2024]])</f>
        <v>0.5</v>
      </c>
      <c r="O135" s="14"/>
      <c r="P135" s="14"/>
      <c r="Q135" s="15"/>
      <c r="R135" s="15">
        <f>Tabla13[[#This Row],[Uso y acceso Oct/2024]]</f>
        <v>1</v>
      </c>
      <c r="S135" s="15">
        <f>Tabla58[[#This Row],[Integración Oct/2024]]</f>
        <v>0</v>
      </c>
      <c r="T135" s="16">
        <f>AVERAGE(Tabla4[[#This Row],[Creación y captura Oct/2024]:[Compartición e Interoperabilidad Oct/2024]])</f>
        <v>0.5</v>
      </c>
      <c r="U135" s="14"/>
      <c r="V135" s="14"/>
      <c r="W135" s="15"/>
      <c r="X135" s="15">
        <f>Tabla13[[#This Row],[Uso y acceso Nov/2024]]</f>
        <v>1</v>
      </c>
      <c r="Y135" s="15">
        <f>Tabla58[[#This Row],[Integración Nov/2024]]</f>
        <v>0</v>
      </c>
      <c r="Z135" s="16">
        <f>AVERAGE(Tabla4[[#This Row],[Creación y captura Nov/2024]:[Compartición e Interoperabilidad Nov/2024]])</f>
        <v>0.5</v>
      </c>
      <c r="AA135" s="14"/>
      <c r="AB135" s="14"/>
      <c r="AC135" s="15"/>
      <c r="AD135" s="15">
        <f>Tabla13[[#This Row],[Uso y acceso Dic/2024]]</f>
        <v>1</v>
      </c>
      <c r="AE135" s="15">
        <f>Tabla58[[#This Row],[Integración Dic/2024]]</f>
        <v>0</v>
      </c>
      <c r="AF135" s="16">
        <f>AVERAGE(Tabla4[[#This Row],[Creación y captura Dic/2024]:[Compartición e Interoperabilidad Dic/2024]])</f>
        <v>0.5</v>
      </c>
      <c r="AG135" s="14"/>
      <c r="AH135" s="14"/>
      <c r="AI135" s="15"/>
      <c r="AJ135" s="15">
        <f>Tabla13[[#This Row],[Uso y acceso Ene/2025]]</f>
        <v>1</v>
      </c>
      <c r="AK135" s="15">
        <f>Tabla58[[#This Row],[Integración Ene/2025]]</f>
        <v>0</v>
      </c>
      <c r="AL135" s="16">
        <f>AVERAGE(Tabla4[[#This Row],[Creación y captura Ene/2025]:[Compartición e Interoperabilidad Ene/2025]])</f>
        <v>0.5</v>
      </c>
      <c r="AM135" s="14"/>
      <c r="AN135" s="14"/>
      <c r="AO135" s="15"/>
      <c r="AP135" s="15">
        <f>Tabla13[[#This Row],[Uso y acceso Feb/2025]]</f>
        <v>1</v>
      </c>
      <c r="AQ135" s="15">
        <f>Tabla58[[#This Row],[Integración Feb/2025]]</f>
        <v>0.3</v>
      </c>
      <c r="AR135" s="16">
        <f>AVERAGE(Tabla4[[#This Row],[Creación y captura Feb/2025]:[Compartición e Interoperabilidad Feb/2025]])</f>
        <v>0.65</v>
      </c>
      <c r="AS135" s="14"/>
      <c r="AT135" s="14"/>
      <c r="AU135" s="15"/>
      <c r="AV135" s="15">
        <f>Tabla13[[#This Row],[Uso y acceso Mar/2025]]</f>
        <v>1</v>
      </c>
      <c r="AW135" s="15">
        <f>Tabla58[[#This Row],[Integración Mar/2025]]</f>
        <v>0.3</v>
      </c>
      <c r="AX135" s="16">
        <f>AVERAGE(Tabla4[[#This Row],[Creación y captura Mar/2025]:[Compartición e Interoperabilidad Mar/2025]])</f>
        <v>0.65</v>
      </c>
      <c r="AY135" s="14"/>
      <c r="AZ135" s="14"/>
      <c r="BA135" s="15"/>
      <c r="BB135" s="15">
        <f>Tabla13[[#This Row],[Uso y acceso Abr/2025]]</f>
        <v>1</v>
      </c>
      <c r="BC135" s="15">
        <f>Tabla58[[#This Row],[Integración Abr/2025]]</f>
        <v>0.3</v>
      </c>
      <c r="BD135" s="16">
        <f>AVERAGE(Tabla4[[#This Row],[Creación y captura Abr/2025]:[Compartición e Interoperabilidad Abr/2025]])</f>
        <v>0.65</v>
      </c>
      <c r="BE135" s="14"/>
      <c r="BF135" s="14"/>
      <c r="BG135" s="15"/>
      <c r="BH135" s="15">
        <f>Tabla13[[#This Row],[Uso y acceso May/2025]]</f>
        <v>1</v>
      </c>
      <c r="BI135" s="15">
        <f>Tabla58[[#This Row],[Integración May/2025]]</f>
        <v>0</v>
      </c>
      <c r="BJ135" s="16">
        <f>AVERAGE(Tabla4[[#This Row],[Creación y captura May/2025]:[Compartición e Interoperabilidad May/2025]])</f>
        <v>0.5</v>
      </c>
      <c r="BK135" s="14"/>
      <c r="BL135" s="14"/>
      <c r="BM135" s="14">
        <f>AVERAGE('Calidad de Datos'!AQ139:AT139)</f>
        <v>0.92500000000000004</v>
      </c>
      <c r="BN135" s="14">
        <f>Tabla13[[#This Row],[Uso y acceso Dic/2025]]</f>
        <v>1</v>
      </c>
      <c r="BO135" s="14">
        <f>Tabla58[[#This Row],[Integración Dic/2025]]</f>
        <v>0.7</v>
      </c>
      <c r="BP135" s="16">
        <f>AVERAGE(Tabla4[[#This Row],[Creación y captura Dic/2025]:[Compartición e Interoperabilidad Dic/2025]])</f>
        <v>0.875</v>
      </c>
    </row>
    <row r="136" spans="2:68" x14ac:dyDescent="0.4">
      <c r="B136" s="1" t="s">
        <v>187</v>
      </c>
      <c r="C136" s="14"/>
      <c r="D136" s="14"/>
      <c r="E136" s="14"/>
      <c r="F136" s="14">
        <f>Tabla13[[#This Row],[Uso y acceso Ago/2024]]</f>
        <v>1</v>
      </c>
      <c r="G136" s="15">
        <f>Tabla58[[#This Row],[Integración Ago/2024]]</f>
        <v>0</v>
      </c>
      <c r="H136" s="16">
        <f>AVERAGE(Tabla4[[#This Row],[Creación y captura Ago/2024]:[Compartición e Interoperabilidad Ago/2024]])</f>
        <v>0.5</v>
      </c>
      <c r="I136" s="14"/>
      <c r="J136" s="14"/>
      <c r="K136" s="15"/>
      <c r="L136" s="15">
        <f>Tabla13[[#This Row],[Uso y acceso Sep/2024]]</f>
        <v>1</v>
      </c>
      <c r="M136" s="15">
        <f>Tabla58[[#This Row],[Integración Sep/2024]]</f>
        <v>0</v>
      </c>
      <c r="N136" s="16">
        <f>AVERAGE(Tabla4[[#This Row],[Creación y captura Sep/2024]:[Compartición e Interoperabilidad Sep/2024]])</f>
        <v>0.5</v>
      </c>
      <c r="O136" s="14"/>
      <c r="P136" s="14"/>
      <c r="Q136" s="15"/>
      <c r="R136" s="15">
        <f>Tabla13[[#This Row],[Uso y acceso Oct/2024]]</f>
        <v>1</v>
      </c>
      <c r="S136" s="15">
        <f>Tabla58[[#This Row],[Integración Oct/2024]]</f>
        <v>0</v>
      </c>
      <c r="T136" s="16">
        <f>AVERAGE(Tabla4[[#This Row],[Creación y captura Oct/2024]:[Compartición e Interoperabilidad Oct/2024]])</f>
        <v>0.5</v>
      </c>
      <c r="U136" s="14"/>
      <c r="V136" s="14"/>
      <c r="W136" s="15"/>
      <c r="X136" s="15">
        <f>Tabla13[[#This Row],[Uso y acceso Nov/2024]]</f>
        <v>1</v>
      </c>
      <c r="Y136" s="15">
        <f>Tabla58[[#This Row],[Integración Nov/2024]]</f>
        <v>0</v>
      </c>
      <c r="Z136" s="16">
        <f>AVERAGE(Tabla4[[#This Row],[Creación y captura Nov/2024]:[Compartición e Interoperabilidad Nov/2024]])</f>
        <v>0.5</v>
      </c>
      <c r="AA136" s="14"/>
      <c r="AB136" s="14"/>
      <c r="AC136" s="15"/>
      <c r="AD136" s="15">
        <f>Tabla13[[#This Row],[Uso y acceso Dic/2024]]</f>
        <v>1</v>
      </c>
      <c r="AE136" s="15">
        <f>Tabla58[[#This Row],[Integración Dic/2024]]</f>
        <v>0</v>
      </c>
      <c r="AF136" s="16">
        <f>AVERAGE(Tabla4[[#This Row],[Creación y captura Dic/2024]:[Compartición e Interoperabilidad Dic/2024]])</f>
        <v>0.5</v>
      </c>
      <c r="AG136" s="14"/>
      <c r="AH136" s="14"/>
      <c r="AI136" s="15"/>
      <c r="AJ136" s="15">
        <f>Tabla13[[#This Row],[Uso y acceso Ene/2025]]</f>
        <v>1</v>
      </c>
      <c r="AK136" s="15">
        <f>Tabla58[[#This Row],[Integración Ene/2025]]</f>
        <v>0</v>
      </c>
      <c r="AL136" s="16">
        <f>AVERAGE(Tabla4[[#This Row],[Creación y captura Ene/2025]:[Compartición e Interoperabilidad Ene/2025]])</f>
        <v>0.5</v>
      </c>
      <c r="AM136" s="14"/>
      <c r="AN136" s="14"/>
      <c r="AO136" s="15"/>
      <c r="AP136" s="15">
        <f>Tabla13[[#This Row],[Uso y acceso Feb/2025]]</f>
        <v>1</v>
      </c>
      <c r="AQ136" s="15">
        <f>Tabla58[[#This Row],[Integración Feb/2025]]</f>
        <v>0</v>
      </c>
      <c r="AR136" s="16">
        <f>AVERAGE(Tabla4[[#This Row],[Creación y captura Feb/2025]:[Compartición e Interoperabilidad Feb/2025]])</f>
        <v>0.5</v>
      </c>
      <c r="AS136" s="14"/>
      <c r="AT136" s="14"/>
      <c r="AU136" s="15"/>
      <c r="AV136" s="15">
        <f>Tabla13[[#This Row],[Uso y acceso Mar/2025]]</f>
        <v>1</v>
      </c>
      <c r="AW136" s="15">
        <f>Tabla58[[#This Row],[Integración Mar/2025]]</f>
        <v>0</v>
      </c>
      <c r="AX136" s="16">
        <f>AVERAGE(Tabla4[[#This Row],[Creación y captura Mar/2025]:[Compartición e Interoperabilidad Mar/2025]])</f>
        <v>0.5</v>
      </c>
      <c r="AY136" s="14"/>
      <c r="AZ136" s="14"/>
      <c r="BA136" s="15"/>
      <c r="BB136" s="15">
        <f>Tabla13[[#This Row],[Uso y acceso Abr/2025]]</f>
        <v>1</v>
      </c>
      <c r="BC136" s="15">
        <f>Tabla58[[#This Row],[Integración Abr/2025]]</f>
        <v>0</v>
      </c>
      <c r="BD136" s="16">
        <f>AVERAGE(Tabla4[[#This Row],[Creación y captura Abr/2025]:[Compartición e Interoperabilidad Abr/2025]])</f>
        <v>0.5</v>
      </c>
      <c r="BE136" s="14"/>
      <c r="BF136" s="14"/>
      <c r="BG136" s="15"/>
      <c r="BH136" s="15">
        <f>Tabla13[[#This Row],[Uso y acceso May/2025]]</f>
        <v>1</v>
      </c>
      <c r="BI136" s="15">
        <f>Tabla58[[#This Row],[Integración May/2025]]</f>
        <v>0</v>
      </c>
      <c r="BJ136" s="16">
        <f>AVERAGE(Tabla4[[#This Row],[Creación y captura May/2025]:[Compartición e Interoperabilidad May/2025]])</f>
        <v>0.5</v>
      </c>
      <c r="BK136" s="14"/>
      <c r="BL136" s="14"/>
      <c r="BM136" s="14">
        <f>AVERAGE('Calidad de Datos'!AQ140:AT140)</f>
        <v>0.6</v>
      </c>
      <c r="BN136" s="14">
        <f>Tabla13[[#This Row],[Uso y acceso Dic/2025]]</f>
        <v>1</v>
      </c>
      <c r="BO136" s="14">
        <f>Tabla58[[#This Row],[Integración Dic/2025]]</f>
        <v>0.4</v>
      </c>
      <c r="BP136" s="16">
        <f>AVERAGE(Tabla4[[#This Row],[Creación y captura Dic/2025]:[Compartición e Interoperabilidad Dic/2025]])</f>
        <v>0.66666666666666663</v>
      </c>
    </row>
    <row r="137" spans="2:68" x14ac:dyDescent="0.4">
      <c r="B137" s="1" t="s">
        <v>188</v>
      </c>
      <c r="C137" s="14"/>
      <c r="D137" s="14"/>
      <c r="E137" s="14"/>
      <c r="F137" s="14">
        <f>Tabla13[[#This Row],[Uso y acceso Ago/2024]]</f>
        <v>0.8</v>
      </c>
      <c r="G137" s="15">
        <f>Tabla58[[#This Row],[Integración Ago/2024]]</f>
        <v>0</v>
      </c>
      <c r="H137" s="16">
        <f>AVERAGE(Tabla4[[#This Row],[Creación y captura Ago/2024]:[Compartición e Interoperabilidad Ago/2024]])</f>
        <v>0.4</v>
      </c>
      <c r="I137" s="14"/>
      <c r="J137" s="14"/>
      <c r="K137" s="15"/>
      <c r="L137" s="15">
        <f>Tabla13[[#This Row],[Uso y acceso Sep/2024]]</f>
        <v>0.8</v>
      </c>
      <c r="M137" s="15">
        <f>Tabla58[[#This Row],[Integración Sep/2024]]</f>
        <v>0</v>
      </c>
      <c r="N137" s="16">
        <f>AVERAGE(Tabla4[[#This Row],[Creación y captura Sep/2024]:[Compartición e Interoperabilidad Sep/2024]])</f>
        <v>0.4</v>
      </c>
      <c r="O137" s="14"/>
      <c r="P137" s="14"/>
      <c r="Q137" s="15"/>
      <c r="R137" s="15">
        <f>Tabla13[[#This Row],[Uso y acceso Oct/2024]]</f>
        <v>1</v>
      </c>
      <c r="S137" s="15">
        <f>Tabla58[[#This Row],[Integración Oct/2024]]</f>
        <v>0</v>
      </c>
      <c r="T137" s="16">
        <f>AVERAGE(Tabla4[[#This Row],[Creación y captura Oct/2024]:[Compartición e Interoperabilidad Oct/2024]])</f>
        <v>0.5</v>
      </c>
      <c r="U137" s="14"/>
      <c r="V137" s="14"/>
      <c r="W137" s="15"/>
      <c r="X137" s="15">
        <f>Tabla13[[#This Row],[Uso y acceso Nov/2024]]</f>
        <v>1</v>
      </c>
      <c r="Y137" s="15">
        <f>Tabla58[[#This Row],[Integración Nov/2024]]</f>
        <v>0</v>
      </c>
      <c r="Z137" s="16">
        <f>AVERAGE(Tabla4[[#This Row],[Creación y captura Nov/2024]:[Compartición e Interoperabilidad Nov/2024]])</f>
        <v>0.5</v>
      </c>
      <c r="AA137" s="14"/>
      <c r="AB137" s="14"/>
      <c r="AC137" s="15"/>
      <c r="AD137" s="15">
        <f>Tabla13[[#This Row],[Uso y acceso Dic/2024]]</f>
        <v>1</v>
      </c>
      <c r="AE137" s="15">
        <f>Tabla58[[#This Row],[Integración Dic/2024]]</f>
        <v>0</v>
      </c>
      <c r="AF137" s="16">
        <f>AVERAGE(Tabla4[[#This Row],[Creación y captura Dic/2024]:[Compartición e Interoperabilidad Dic/2024]])</f>
        <v>0.5</v>
      </c>
      <c r="AG137" s="14"/>
      <c r="AH137" s="14"/>
      <c r="AI137" s="15"/>
      <c r="AJ137" s="15">
        <f>Tabla13[[#This Row],[Uso y acceso Ene/2025]]</f>
        <v>1</v>
      </c>
      <c r="AK137" s="15">
        <f>Tabla58[[#This Row],[Integración Ene/2025]]</f>
        <v>0</v>
      </c>
      <c r="AL137" s="16">
        <f>AVERAGE(Tabla4[[#This Row],[Creación y captura Ene/2025]:[Compartición e Interoperabilidad Ene/2025]])</f>
        <v>0.5</v>
      </c>
      <c r="AM137" s="14"/>
      <c r="AN137" s="14"/>
      <c r="AO137" s="15"/>
      <c r="AP137" s="15">
        <f>Tabla13[[#This Row],[Uso y acceso Feb/2025]]</f>
        <v>1</v>
      </c>
      <c r="AQ137" s="15">
        <f>Tabla58[[#This Row],[Integración Feb/2025]]</f>
        <v>0</v>
      </c>
      <c r="AR137" s="16">
        <f>AVERAGE(Tabla4[[#This Row],[Creación y captura Feb/2025]:[Compartición e Interoperabilidad Feb/2025]])</f>
        <v>0.5</v>
      </c>
      <c r="AS137" s="14"/>
      <c r="AT137" s="14"/>
      <c r="AU137" s="15"/>
      <c r="AV137" s="15">
        <f>Tabla13[[#This Row],[Uso y acceso Mar/2025]]</f>
        <v>1</v>
      </c>
      <c r="AW137" s="15">
        <f>Tabla58[[#This Row],[Integración Mar/2025]]</f>
        <v>0</v>
      </c>
      <c r="AX137" s="16">
        <f>AVERAGE(Tabla4[[#This Row],[Creación y captura Mar/2025]:[Compartición e Interoperabilidad Mar/2025]])</f>
        <v>0.5</v>
      </c>
      <c r="AY137" s="14"/>
      <c r="AZ137" s="14"/>
      <c r="BA137" s="15"/>
      <c r="BB137" s="15">
        <f>Tabla13[[#This Row],[Uso y acceso Abr/2025]]</f>
        <v>1</v>
      </c>
      <c r="BC137" s="15">
        <f>Tabla58[[#This Row],[Integración Abr/2025]]</f>
        <v>0</v>
      </c>
      <c r="BD137" s="16">
        <f>AVERAGE(Tabla4[[#This Row],[Creación y captura Abr/2025]:[Compartición e Interoperabilidad Abr/2025]])</f>
        <v>0.5</v>
      </c>
      <c r="BE137" s="14"/>
      <c r="BF137" s="14"/>
      <c r="BG137" s="15"/>
      <c r="BH137" s="15">
        <f>Tabla13[[#This Row],[Uso y acceso May/2025]]</f>
        <v>1</v>
      </c>
      <c r="BI137" s="15">
        <f>Tabla58[[#This Row],[Integración May/2025]]</f>
        <v>0</v>
      </c>
      <c r="BJ137" s="16">
        <f>AVERAGE(Tabla4[[#This Row],[Creación y captura May/2025]:[Compartición e Interoperabilidad May/2025]])</f>
        <v>0.5</v>
      </c>
      <c r="BK137" s="14"/>
      <c r="BL137" s="14"/>
      <c r="BM137" s="14">
        <f>AVERAGE('Calidad de Datos'!AQ141:AT141)</f>
        <v>0.92500000000000004</v>
      </c>
      <c r="BN137" s="14">
        <f>Tabla13[[#This Row],[Uso y acceso Dic/2025]]</f>
        <v>1</v>
      </c>
      <c r="BO137" s="14">
        <f>Tabla58[[#This Row],[Integración Dic/2025]]</f>
        <v>0.7</v>
      </c>
      <c r="BP137" s="16">
        <f>AVERAGE(Tabla4[[#This Row],[Creación y captura Dic/2025]:[Compartición e Interoperabilidad Dic/2025]])</f>
        <v>0.875</v>
      </c>
    </row>
    <row r="138" spans="2:68" x14ac:dyDescent="0.4">
      <c r="B138" s="1" t="s">
        <v>189</v>
      </c>
      <c r="C138" s="14"/>
      <c r="D138" s="14"/>
      <c r="E138" s="14"/>
      <c r="F138" s="14">
        <f>Tabla13[[#This Row],[Uso y acceso Ago/2024]]</f>
        <v>0.8</v>
      </c>
      <c r="G138" s="15">
        <f>Tabla58[[#This Row],[Integración Ago/2024]]</f>
        <v>0</v>
      </c>
      <c r="H138" s="16">
        <f>AVERAGE(Tabla4[[#This Row],[Creación y captura Ago/2024]:[Compartición e Interoperabilidad Ago/2024]])</f>
        <v>0.4</v>
      </c>
      <c r="I138" s="14"/>
      <c r="J138" s="14"/>
      <c r="K138" s="15"/>
      <c r="L138" s="15">
        <f>Tabla13[[#This Row],[Uso y acceso Sep/2024]]</f>
        <v>0.8</v>
      </c>
      <c r="M138" s="15">
        <f>Tabla58[[#This Row],[Integración Sep/2024]]</f>
        <v>0</v>
      </c>
      <c r="N138" s="16">
        <f>AVERAGE(Tabla4[[#This Row],[Creación y captura Sep/2024]:[Compartición e Interoperabilidad Sep/2024]])</f>
        <v>0.4</v>
      </c>
      <c r="O138" s="14"/>
      <c r="P138" s="14"/>
      <c r="Q138" s="15"/>
      <c r="R138" s="15">
        <f>Tabla13[[#This Row],[Uso y acceso Oct/2024]]</f>
        <v>1</v>
      </c>
      <c r="S138" s="15">
        <f>Tabla58[[#This Row],[Integración Oct/2024]]</f>
        <v>0</v>
      </c>
      <c r="T138" s="16">
        <f>AVERAGE(Tabla4[[#This Row],[Creación y captura Oct/2024]:[Compartición e Interoperabilidad Oct/2024]])</f>
        <v>0.5</v>
      </c>
      <c r="U138" s="14"/>
      <c r="V138" s="14"/>
      <c r="W138" s="15"/>
      <c r="X138" s="15">
        <f>Tabla13[[#This Row],[Uso y acceso Nov/2024]]</f>
        <v>1</v>
      </c>
      <c r="Y138" s="15">
        <f>Tabla58[[#This Row],[Integración Nov/2024]]</f>
        <v>0</v>
      </c>
      <c r="Z138" s="16">
        <f>AVERAGE(Tabla4[[#This Row],[Creación y captura Nov/2024]:[Compartición e Interoperabilidad Nov/2024]])</f>
        <v>0.5</v>
      </c>
      <c r="AA138" s="14"/>
      <c r="AB138" s="14"/>
      <c r="AC138" s="15"/>
      <c r="AD138" s="15">
        <f>Tabla13[[#This Row],[Uso y acceso Dic/2024]]</f>
        <v>1</v>
      </c>
      <c r="AE138" s="15">
        <f>Tabla58[[#This Row],[Integración Dic/2024]]</f>
        <v>0</v>
      </c>
      <c r="AF138" s="16">
        <f>AVERAGE(Tabla4[[#This Row],[Creación y captura Dic/2024]:[Compartición e Interoperabilidad Dic/2024]])</f>
        <v>0.5</v>
      </c>
      <c r="AG138" s="14"/>
      <c r="AH138" s="14"/>
      <c r="AI138" s="15"/>
      <c r="AJ138" s="15">
        <f>Tabla13[[#This Row],[Uso y acceso Ene/2025]]</f>
        <v>1</v>
      </c>
      <c r="AK138" s="15">
        <f>Tabla58[[#This Row],[Integración Ene/2025]]</f>
        <v>0</v>
      </c>
      <c r="AL138" s="16">
        <f>AVERAGE(Tabla4[[#This Row],[Creación y captura Ene/2025]:[Compartición e Interoperabilidad Ene/2025]])</f>
        <v>0.5</v>
      </c>
      <c r="AM138" s="14"/>
      <c r="AN138" s="14"/>
      <c r="AO138" s="15"/>
      <c r="AP138" s="15">
        <f>Tabla13[[#This Row],[Uso y acceso Feb/2025]]</f>
        <v>1</v>
      </c>
      <c r="AQ138" s="15">
        <f>Tabla58[[#This Row],[Integración Feb/2025]]</f>
        <v>0.3</v>
      </c>
      <c r="AR138" s="16">
        <f>AVERAGE(Tabla4[[#This Row],[Creación y captura Feb/2025]:[Compartición e Interoperabilidad Feb/2025]])</f>
        <v>0.65</v>
      </c>
      <c r="AS138" s="14"/>
      <c r="AT138" s="14"/>
      <c r="AU138" s="15"/>
      <c r="AV138" s="15">
        <f>Tabla13[[#This Row],[Uso y acceso Mar/2025]]</f>
        <v>1</v>
      </c>
      <c r="AW138" s="15">
        <f>Tabla58[[#This Row],[Integración Mar/2025]]</f>
        <v>0.3</v>
      </c>
      <c r="AX138" s="16">
        <f>AVERAGE(Tabla4[[#This Row],[Creación y captura Mar/2025]:[Compartición e Interoperabilidad Mar/2025]])</f>
        <v>0.65</v>
      </c>
      <c r="AY138" s="14"/>
      <c r="AZ138" s="14"/>
      <c r="BA138" s="15"/>
      <c r="BB138" s="15">
        <f>Tabla13[[#This Row],[Uso y acceso Abr/2025]]</f>
        <v>1</v>
      </c>
      <c r="BC138" s="15">
        <f>Tabla58[[#This Row],[Integración Abr/2025]]</f>
        <v>0.3</v>
      </c>
      <c r="BD138" s="16">
        <f>AVERAGE(Tabla4[[#This Row],[Creación y captura Abr/2025]:[Compartición e Interoperabilidad Abr/2025]])</f>
        <v>0.65</v>
      </c>
      <c r="BE138" s="14"/>
      <c r="BF138" s="14"/>
      <c r="BG138" s="15"/>
      <c r="BH138" s="15">
        <f>Tabla13[[#This Row],[Uso y acceso May/2025]]</f>
        <v>1</v>
      </c>
      <c r="BI138" s="15">
        <f>Tabla58[[#This Row],[Integración May/2025]]</f>
        <v>0</v>
      </c>
      <c r="BJ138" s="16">
        <f>AVERAGE(Tabla4[[#This Row],[Creación y captura May/2025]:[Compartición e Interoperabilidad May/2025]])</f>
        <v>0.5</v>
      </c>
      <c r="BK138" s="14"/>
      <c r="BL138" s="14"/>
      <c r="BM138" s="14">
        <f>AVERAGE('Calidad de Datos'!AQ142:AT142)</f>
        <v>0.95</v>
      </c>
      <c r="BN138" s="14">
        <f>Tabla13[[#This Row],[Uso y acceso Dic/2025]]</f>
        <v>1</v>
      </c>
      <c r="BO138" s="14">
        <f>Tabla58[[#This Row],[Integración Dic/2025]]</f>
        <v>0.8</v>
      </c>
      <c r="BP138" s="16">
        <f>AVERAGE(Tabla4[[#This Row],[Creación y captura Dic/2025]:[Compartición e Interoperabilidad Dic/2025]])</f>
        <v>0.91666666666666663</v>
      </c>
    </row>
    <row r="139" spans="2:68" x14ac:dyDescent="0.4">
      <c r="B139" s="1" t="s">
        <v>190</v>
      </c>
      <c r="C139" s="14"/>
      <c r="D139" s="14"/>
      <c r="E139" s="14"/>
      <c r="F139" s="14">
        <f>Tabla13[[#This Row],[Uso y acceso Ago/2024]]</f>
        <v>0.8</v>
      </c>
      <c r="G139" s="15">
        <f>Tabla58[[#This Row],[Integración Ago/2024]]</f>
        <v>0</v>
      </c>
      <c r="H139" s="16">
        <f>AVERAGE(Tabla4[[#This Row],[Creación y captura Ago/2024]:[Compartición e Interoperabilidad Ago/2024]])</f>
        <v>0.4</v>
      </c>
      <c r="I139" s="14"/>
      <c r="J139" s="14"/>
      <c r="K139" s="15"/>
      <c r="L139" s="15">
        <f>Tabla13[[#This Row],[Uso y acceso Sep/2024]]</f>
        <v>0.8</v>
      </c>
      <c r="M139" s="15">
        <f>Tabla58[[#This Row],[Integración Sep/2024]]</f>
        <v>0</v>
      </c>
      <c r="N139" s="16">
        <f>AVERAGE(Tabla4[[#This Row],[Creación y captura Sep/2024]:[Compartición e Interoperabilidad Sep/2024]])</f>
        <v>0.4</v>
      </c>
      <c r="O139" s="14"/>
      <c r="P139" s="14"/>
      <c r="Q139" s="15"/>
      <c r="R139" s="15">
        <f>Tabla13[[#This Row],[Uso y acceso Oct/2024]]</f>
        <v>1</v>
      </c>
      <c r="S139" s="15">
        <f>Tabla58[[#This Row],[Integración Oct/2024]]</f>
        <v>0</v>
      </c>
      <c r="T139" s="16">
        <f>AVERAGE(Tabla4[[#This Row],[Creación y captura Oct/2024]:[Compartición e Interoperabilidad Oct/2024]])</f>
        <v>0.5</v>
      </c>
      <c r="U139" s="14"/>
      <c r="V139" s="14"/>
      <c r="W139" s="15"/>
      <c r="X139" s="15">
        <f>Tabla13[[#This Row],[Uso y acceso Nov/2024]]</f>
        <v>1</v>
      </c>
      <c r="Y139" s="15">
        <f>Tabla58[[#This Row],[Integración Nov/2024]]</f>
        <v>0</v>
      </c>
      <c r="Z139" s="16">
        <f>AVERAGE(Tabla4[[#This Row],[Creación y captura Nov/2024]:[Compartición e Interoperabilidad Nov/2024]])</f>
        <v>0.5</v>
      </c>
      <c r="AA139" s="14"/>
      <c r="AB139" s="14"/>
      <c r="AC139" s="15"/>
      <c r="AD139" s="15">
        <f>Tabla13[[#This Row],[Uso y acceso Dic/2024]]</f>
        <v>1</v>
      </c>
      <c r="AE139" s="15">
        <f>Tabla58[[#This Row],[Integración Dic/2024]]</f>
        <v>0</v>
      </c>
      <c r="AF139" s="16">
        <f>AVERAGE(Tabla4[[#This Row],[Creación y captura Dic/2024]:[Compartición e Interoperabilidad Dic/2024]])</f>
        <v>0.5</v>
      </c>
      <c r="AG139" s="14"/>
      <c r="AH139" s="14"/>
      <c r="AI139" s="15"/>
      <c r="AJ139" s="15">
        <f>Tabla13[[#This Row],[Uso y acceso Ene/2025]]</f>
        <v>1</v>
      </c>
      <c r="AK139" s="15">
        <f>Tabla58[[#This Row],[Integración Ene/2025]]</f>
        <v>0</v>
      </c>
      <c r="AL139" s="16">
        <f>AVERAGE(Tabla4[[#This Row],[Creación y captura Ene/2025]:[Compartición e Interoperabilidad Ene/2025]])</f>
        <v>0.5</v>
      </c>
      <c r="AM139" s="14"/>
      <c r="AN139" s="14"/>
      <c r="AO139" s="15"/>
      <c r="AP139" s="15">
        <f>Tabla13[[#This Row],[Uso y acceso Feb/2025]]</f>
        <v>1</v>
      </c>
      <c r="AQ139" s="15">
        <f>Tabla58[[#This Row],[Integración Feb/2025]]</f>
        <v>0</v>
      </c>
      <c r="AR139" s="16">
        <f>AVERAGE(Tabla4[[#This Row],[Creación y captura Feb/2025]:[Compartición e Interoperabilidad Feb/2025]])</f>
        <v>0.5</v>
      </c>
      <c r="AS139" s="14"/>
      <c r="AT139" s="14"/>
      <c r="AU139" s="15"/>
      <c r="AV139" s="15">
        <f>Tabla13[[#This Row],[Uso y acceso Mar/2025]]</f>
        <v>1</v>
      </c>
      <c r="AW139" s="15">
        <f>Tabla58[[#This Row],[Integración Mar/2025]]</f>
        <v>0</v>
      </c>
      <c r="AX139" s="16">
        <f>AVERAGE(Tabla4[[#This Row],[Creación y captura Mar/2025]:[Compartición e Interoperabilidad Mar/2025]])</f>
        <v>0.5</v>
      </c>
      <c r="AY139" s="14"/>
      <c r="AZ139" s="14"/>
      <c r="BA139" s="15"/>
      <c r="BB139" s="15">
        <f>Tabla13[[#This Row],[Uso y acceso Abr/2025]]</f>
        <v>1</v>
      </c>
      <c r="BC139" s="15">
        <f>Tabla58[[#This Row],[Integración Abr/2025]]</f>
        <v>0</v>
      </c>
      <c r="BD139" s="16">
        <f>AVERAGE(Tabla4[[#This Row],[Creación y captura Abr/2025]:[Compartición e Interoperabilidad Abr/2025]])</f>
        <v>0.5</v>
      </c>
      <c r="BE139" s="14"/>
      <c r="BF139" s="14"/>
      <c r="BG139" s="15"/>
      <c r="BH139" s="15">
        <f>Tabla13[[#This Row],[Uso y acceso May/2025]]</f>
        <v>1</v>
      </c>
      <c r="BI139" s="15">
        <f>Tabla58[[#This Row],[Integración May/2025]]</f>
        <v>0</v>
      </c>
      <c r="BJ139" s="16">
        <f>AVERAGE(Tabla4[[#This Row],[Creación y captura May/2025]:[Compartición e Interoperabilidad May/2025]])</f>
        <v>0.5</v>
      </c>
      <c r="BK139" s="14">
        <v>1</v>
      </c>
      <c r="BL139" s="14">
        <v>1</v>
      </c>
      <c r="BM139" s="14">
        <f>AVERAGE('Calidad de Datos'!AQ143:AT143)</f>
        <v>0.95</v>
      </c>
      <c r="BN139" s="14">
        <f>Tabla13[[#This Row],[Uso y acceso Dic/2025]]</f>
        <v>1</v>
      </c>
      <c r="BO139" s="14">
        <f>Tabla58[[#This Row],[Integración Dic/2025]]</f>
        <v>1</v>
      </c>
      <c r="BP139" s="16">
        <f>AVERAGE(Tabla4[[#This Row],[Creación y captura Dic/2025]:[Compartición e Interoperabilidad Dic/2025]])</f>
        <v>0.99</v>
      </c>
    </row>
    <row r="140" spans="2:68" x14ac:dyDescent="0.4">
      <c r="B140" s="1" t="s">
        <v>191</v>
      </c>
      <c r="C140" s="14"/>
      <c r="D140" s="14"/>
      <c r="E140" s="14"/>
      <c r="F140" s="14">
        <f>Tabla13[[#This Row],[Uso y acceso Ago/2024]]</f>
        <v>1</v>
      </c>
      <c r="G140" s="15">
        <f>Tabla58[[#This Row],[Integración Ago/2024]]</f>
        <v>0</v>
      </c>
      <c r="H140" s="16">
        <f>AVERAGE(Tabla4[[#This Row],[Creación y captura Ago/2024]:[Compartición e Interoperabilidad Ago/2024]])</f>
        <v>0.5</v>
      </c>
      <c r="I140" s="14"/>
      <c r="J140" s="14"/>
      <c r="K140" s="15"/>
      <c r="L140" s="15">
        <f>Tabla13[[#This Row],[Uso y acceso Sep/2024]]</f>
        <v>1</v>
      </c>
      <c r="M140" s="15">
        <f>Tabla58[[#This Row],[Integración Sep/2024]]</f>
        <v>0</v>
      </c>
      <c r="N140" s="16">
        <f>AVERAGE(Tabla4[[#This Row],[Creación y captura Sep/2024]:[Compartición e Interoperabilidad Sep/2024]])</f>
        <v>0.5</v>
      </c>
      <c r="O140" s="14"/>
      <c r="P140" s="14"/>
      <c r="Q140" s="15"/>
      <c r="R140" s="15">
        <f>Tabla13[[#This Row],[Uso y acceso Oct/2024]]</f>
        <v>1</v>
      </c>
      <c r="S140" s="15">
        <f>Tabla58[[#This Row],[Integración Oct/2024]]</f>
        <v>0</v>
      </c>
      <c r="T140" s="16">
        <f>AVERAGE(Tabla4[[#This Row],[Creación y captura Oct/2024]:[Compartición e Interoperabilidad Oct/2024]])</f>
        <v>0.5</v>
      </c>
      <c r="U140" s="14"/>
      <c r="V140" s="14"/>
      <c r="W140" s="15"/>
      <c r="X140" s="15">
        <f>Tabla13[[#This Row],[Uso y acceso Nov/2024]]</f>
        <v>1</v>
      </c>
      <c r="Y140" s="15">
        <f>Tabla58[[#This Row],[Integración Nov/2024]]</f>
        <v>0</v>
      </c>
      <c r="Z140" s="16">
        <f>AVERAGE(Tabla4[[#This Row],[Creación y captura Nov/2024]:[Compartición e Interoperabilidad Nov/2024]])</f>
        <v>0.5</v>
      </c>
      <c r="AA140" s="14"/>
      <c r="AB140" s="14"/>
      <c r="AC140" s="15"/>
      <c r="AD140" s="15">
        <f>Tabla13[[#This Row],[Uso y acceso Dic/2024]]</f>
        <v>1</v>
      </c>
      <c r="AE140" s="15">
        <f>Tabla58[[#This Row],[Integración Dic/2024]]</f>
        <v>0</v>
      </c>
      <c r="AF140" s="16">
        <f>AVERAGE(Tabla4[[#This Row],[Creación y captura Dic/2024]:[Compartición e Interoperabilidad Dic/2024]])</f>
        <v>0.5</v>
      </c>
      <c r="AG140" s="14"/>
      <c r="AH140" s="14"/>
      <c r="AI140" s="15"/>
      <c r="AJ140" s="15">
        <f>Tabla13[[#This Row],[Uso y acceso Ene/2025]]</f>
        <v>1</v>
      </c>
      <c r="AK140" s="15">
        <f>Tabla58[[#This Row],[Integración Ene/2025]]</f>
        <v>0</v>
      </c>
      <c r="AL140" s="16">
        <f>AVERAGE(Tabla4[[#This Row],[Creación y captura Ene/2025]:[Compartición e Interoperabilidad Ene/2025]])</f>
        <v>0.5</v>
      </c>
      <c r="AM140" s="14"/>
      <c r="AN140" s="14"/>
      <c r="AO140" s="15"/>
      <c r="AP140" s="15">
        <f>Tabla13[[#This Row],[Uso y acceso Feb/2025]]</f>
        <v>1</v>
      </c>
      <c r="AQ140" s="15">
        <f>Tabla58[[#This Row],[Integración Feb/2025]]</f>
        <v>0</v>
      </c>
      <c r="AR140" s="16">
        <f>AVERAGE(Tabla4[[#This Row],[Creación y captura Feb/2025]:[Compartición e Interoperabilidad Feb/2025]])</f>
        <v>0.5</v>
      </c>
      <c r="AS140" s="14"/>
      <c r="AT140" s="14"/>
      <c r="AU140" s="15"/>
      <c r="AV140" s="15">
        <f>Tabla13[[#This Row],[Uso y acceso Mar/2025]]</f>
        <v>1</v>
      </c>
      <c r="AW140" s="15">
        <f>Tabla58[[#This Row],[Integración Mar/2025]]</f>
        <v>0</v>
      </c>
      <c r="AX140" s="16">
        <f>AVERAGE(Tabla4[[#This Row],[Creación y captura Mar/2025]:[Compartición e Interoperabilidad Mar/2025]])</f>
        <v>0.5</v>
      </c>
      <c r="AY140" s="14"/>
      <c r="AZ140" s="14"/>
      <c r="BA140" s="15"/>
      <c r="BB140" s="15">
        <f>Tabla13[[#This Row],[Uso y acceso Abr/2025]]</f>
        <v>1</v>
      </c>
      <c r="BC140" s="15">
        <f>Tabla58[[#This Row],[Integración Abr/2025]]</f>
        <v>0</v>
      </c>
      <c r="BD140" s="16">
        <f>AVERAGE(Tabla4[[#This Row],[Creación y captura Abr/2025]:[Compartición e Interoperabilidad Abr/2025]])</f>
        <v>0.5</v>
      </c>
      <c r="BE140" s="14"/>
      <c r="BF140" s="14"/>
      <c r="BG140" s="15"/>
      <c r="BH140" s="15">
        <f>Tabla13[[#This Row],[Uso y acceso May/2025]]</f>
        <v>1</v>
      </c>
      <c r="BI140" s="15">
        <f>Tabla58[[#This Row],[Integración May/2025]]</f>
        <v>0</v>
      </c>
      <c r="BJ140" s="16">
        <f>AVERAGE(Tabla4[[#This Row],[Creación y captura May/2025]:[Compartición e Interoperabilidad May/2025]])</f>
        <v>0.5</v>
      </c>
      <c r="BK140" s="14">
        <v>1</v>
      </c>
      <c r="BL140" s="14">
        <v>1</v>
      </c>
      <c r="BM140" s="14">
        <f>AVERAGE('Calidad de Datos'!AQ144:AT144)</f>
        <v>0.95</v>
      </c>
      <c r="BN140" s="14">
        <f>Tabla13[[#This Row],[Uso y acceso Dic/2025]]</f>
        <v>1</v>
      </c>
      <c r="BO140" s="14">
        <f>Tabla58[[#This Row],[Integración Dic/2025]]</f>
        <v>1</v>
      </c>
      <c r="BP140" s="16">
        <f>AVERAGE(Tabla4[[#This Row],[Creación y captura Dic/2025]:[Compartición e Interoperabilidad Dic/2025]])</f>
        <v>0.99</v>
      </c>
    </row>
    <row r="141" spans="2:68" x14ac:dyDescent="0.4">
      <c r="B141" s="1" t="s">
        <v>192</v>
      </c>
      <c r="C141" s="14"/>
      <c r="D141" s="14"/>
      <c r="E141" s="14"/>
      <c r="F141" s="14">
        <f>Tabla13[[#This Row],[Uso y acceso Ago/2024]]</f>
        <v>1</v>
      </c>
      <c r="G141" s="15">
        <f>Tabla58[[#This Row],[Integración Ago/2024]]</f>
        <v>0</v>
      </c>
      <c r="H141" s="16">
        <f>AVERAGE(Tabla4[[#This Row],[Creación y captura Ago/2024]:[Compartición e Interoperabilidad Ago/2024]])</f>
        <v>0.5</v>
      </c>
      <c r="I141" s="14"/>
      <c r="J141" s="14"/>
      <c r="K141" s="15"/>
      <c r="L141" s="15">
        <f>Tabla13[[#This Row],[Uso y acceso Sep/2024]]</f>
        <v>1</v>
      </c>
      <c r="M141" s="15">
        <f>Tabla58[[#This Row],[Integración Sep/2024]]</f>
        <v>0</v>
      </c>
      <c r="N141" s="16">
        <f>AVERAGE(Tabla4[[#This Row],[Creación y captura Sep/2024]:[Compartición e Interoperabilidad Sep/2024]])</f>
        <v>0.5</v>
      </c>
      <c r="O141" s="14"/>
      <c r="P141" s="14"/>
      <c r="Q141" s="15"/>
      <c r="R141" s="15">
        <f>Tabla13[[#This Row],[Uso y acceso Oct/2024]]</f>
        <v>1</v>
      </c>
      <c r="S141" s="15">
        <f>Tabla58[[#This Row],[Integración Oct/2024]]</f>
        <v>0</v>
      </c>
      <c r="T141" s="16">
        <f>AVERAGE(Tabla4[[#This Row],[Creación y captura Oct/2024]:[Compartición e Interoperabilidad Oct/2024]])</f>
        <v>0.5</v>
      </c>
      <c r="U141" s="14"/>
      <c r="V141" s="14"/>
      <c r="W141" s="15"/>
      <c r="X141" s="15">
        <f>Tabla13[[#This Row],[Uso y acceso Nov/2024]]</f>
        <v>1</v>
      </c>
      <c r="Y141" s="15">
        <f>Tabla58[[#This Row],[Integración Nov/2024]]</f>
        <v>0</v>
      </c>
      <c r="Z141" s="16">
        <f>AVERAGE(Tabla4[[#This Row],[Creación y captura Nov/2024]:[Compartición e Interoperabilidad Nov/2024]])</f>
        <v>0.5</v>
      </c>
      <c r="AA141" s="14"/>
      <c r="AB141" s="14"/>
      <c r="AC141" s="15"/>
      <c r="AD141" s="15">
        <f>Tabla13[[#This Row],[Uso y acceso Dic/2024]]</f>
        <v>1</v>
      </c>
      <c r="AE141" s="15">
        <f>Tabla58[[#This Row],[Integración Dic/2024]]</f>
        <v>0</v>
      </c>
      <c r="AF141" s="16">
        <f>AVERAGE(Tabla4[[#This Row],[Creación y captura Dic/2024]:[Compartición e Interoperabilidad Dic/2024]])</f>
        <v>0.5</v>
      </c>
      <c r="AG141" s="14"/>
      <c r="AH141" s="14"/>
      <c r="AI141" s="15"/>
      <c r="AJ141" s="15">
        <f>Tabla13[[#This Row],[Uso y acceso Ene/2025]]</f>
        <v>1</v>
      </c>
      <c r="AK141" s="15">
        <f>Tabla58[[#This Row],[Integración Ene/2025]]</f>
        <v>0</v>
      </c>
      <c r="AL141" s="16">
        <f>AVERAGE(Tabla4[[#This Row],[Creación y captura Ene/2025]:[Compartición e Interoperabilidad Ene/2025]])</f>
        <v>0.5</v>
      </c>
      <c r="AM141" s="14"/>
      <c r="AN141" s="14"/>
      <c r="AO141" s="15"/>
      <c r="AP141" s="15">
        <f>Tabla13[[#This Row],[Uso y acceso Feb/2025]]</f>
        <v>1</v>
      </c>
      <c r="AQ141" s="15">
        <f>Tabla58[[#This Row],[Integración Feb/2025]]</f>
        <v>0</v>
      </c>
      <c r="AR141" s="16">
        <f>AVERAGE(Tabla4[[#This Row],[Creación y captura Feb/2025]:[Compartición e Interoperabilidad Feb/2025]])</f>
        <v>0.5</v>
      </c>
      <c r="AS141" s="14"/>
      <c r="AT141" s="14"/>
      <c r="AU141" s="15"/>
      <c r="AV141" s="15">
        <f>Tabla13[[#This Row],[Uso y acceso Mar/2025]]</f>
        <v>1</v>
      </c>
      <c r="AW141" s="15">
        <f>Tabla58[[#This Row],[Integración Mar/2025]]</f>
        <v>0</v>
      </c>
      <c r="AX141" s="16">
        <f>AVERAGE(Tabla4[[#This Row],[Creación y captura Mar/2025]:[Compartición e Interoperabilidad Mar/2025]])</f>
        <v>0.5</v>
      </c>
      <c r="AY141" s="14"/>
      <c r="AZ141" s="14"/>
      <c r="BA141" s="15"/>
      <c r="BB141" s="15">
        <f>Tabla13[[#This Row],[Uso y acceso Abr/2025]]</f>
        <v>1</v>
      </c>
      <c r="BC141" s="15">
        <f>Tabla58[[#This Row],[Integración Abr/2025]]</f>
        <v>0</v>
      </c>
      <c r="BD141" s="16">
        <f>AVERAGE(Tabla4[[#This Row],[Creación y captura Abr/2025]:[Compartición e Interoperabilidad Abr/2025]])</f>
        <v>0.5</v>
      </c>
      <c r="BE141" s="14"/>
      <c r="BF141" s="14"/>
      <c r="BG141" s="15"/>
      <c r="BH141" s="15">
        <f>Tabla13[[#This Row],[Uso y acceso May/2025]]</f>
        <v>1</v>
      </c>
      <c r="BI141" s="15">
        <f>Tabla58[[#This Row],[Integración May/2025]]</f>
        <v>0</v>
      </c>
      <c r="BJ141" s="16">
        <f>AVERAGE(Tabla4[[#This Row],[Creación y captura May/2025]:[Compartición e Interoperabilidad May/2025]])</f>
        <v>0.5</v>
      </c>
      <c r="BK141" s="14"/>
      <c r="BL141" s="14"/>
      <c r="BM141" s="14">
        <f>AVERAGE('Calidad de Datos'!AQ145:AT145)</f>
        <v>0.95</v>
      </c>
      <c r="BN141" s="14">
        <f>Tabla13[[#This Row],[Uso y acceso Dic/2025]]</f>
        <v>1</v>
      </c>
      <c r="BO141" s="14">
        <f>Tabla58[[#This Row],[Integración Dic/2025]]</f>
        <v>0.8</v>
      </c>
      <c r="BP141" s="16">
        <f>AVERAGE(Tabla4[[#This Row],[Creación y captura Dic/2025]:[Compartición e Interoperabilidad Dic/2025]])</f>
        <v>0.91666666666666663</v>
      </c>
    </row>
    <row r="142" spans="2:68" x14ac:dyDescent="0.4">
      <c r="B142" s="1" t="s">
        <v>193</v>
      </c>
      <c r="C142" s="14"/>
      <c r="D142" s="14"/>
      <c r="E142" s="14"/>
      <c r="F142" s="14">
        <f>Tabla13[[#This Row],[Uso y acceso Ago/2024]]</f>
        <v>1</v>
      </c>
      <c r="G142" s="15">
        <f>Tabla58[[#This Row],[Integración Ago/2024]]</f>
        <v>0</v>
      </c>
      <c r="H142" s="16">
        <f>AVERAGE(Tabla4[[#This Row],[Creación y captura Ago/2024]:[Compartición e Interoperabilidad Ago/2024]])</f>
        <v>0.5</v>
      </c>
      <c r="I142" s="14"/>
      <c r="J142" s="14"/>
      <c r="K142" s="15"/>
      <c r="L142" s="15">
        <f>Tabla13[[#This Row],[Uso y acceso Sep/2024]]</f>
        <v>1</v>
      </c>
      <c r="M142" s="15">
        <f>Tabla58[[#This Row],[Integración Sep/2024]]</f>
        <v>0</v>
      </c>
      <c r="N142" s="16">
        <f>AVERAGE(Tabla4[[#This Row],[Creación y captura Sep/2024]:[Compartición e Interoperabilidad Sep/2024]])</f>
        <v>0.5</v>
      </c>
      <c r="O142" s="14"/>
      <c r="P142" s="14"/>
      <c r="Q142" s="15"/>
      <c r="R142" s="15">
        <f>Tabla13[[#This Row],[Uso y acceso Oct/2024]]</f>
        <v>1</v>
      </c>
      <c r="S142" s="15">
        <f>Tabla58[[#This Row],[Integración Oct/2024]]</f>
        <v>0</v>
      </c>
      <c r="T142" s="16">
        <f>AVERAGE(Tabla4[[#This Row],[Creación y captura Oct/2024]:[Compartición e Interoperabilidad Oct/2024]])</f>
        <v>0.5</v>
      </c>
      <c r="U142" s="14"/>
      <c r="V142" s="14"/>
      <c r="W142" s="15"/>
      <c r="X142" s="15">
        <f>Tabla13[[#This Row],[Uso y acceso Nov/2024]]</f>
        <v>1</v>
      </c>
      <c r="Y142" s="15">
        <f>Tabla58[[#This Row],[Integración Nov/2024]]</f>
        <v>0</v>
      </c>
      <c r="Z142" s="16">
        <f>AVERAGE(Tabla4[[#This Row],[Creación y captura Nov/2024]:[Compartición e Interoperabilidad Nov/2024]])</f>
        <v>0.5</v>
      </c>
      <c r="AA142" s="14"/>
      <c r="AB142" s="14"/>
      <c r="AC142" s="15"/>
      <c r="AD142" s="15">
        <f>Tabla13[[#This Row],[Uso y acceso Dic/2024]]</f>
        <v>1</v>
      </c>
      <c r="AE142" s="15">
        <f>Tabla58[[#This Row],[Integración Dic/2024]]</f>
        <v>0</v>
      </c>
      <c r="AF142" s="16">
        <f>AVERAGE(Tabla4[[#This Row],[Creación y captura Dic/2024]:[Compartición e Interoperabilidad Dic/2024]])</f>
        <v>0.5</v>
      </c>
      <c r="AG142" s="14"/>
      <c r="AH142" s="14"/>
      <c r="AI142" s="15"/>
      <c r="AJ142" s="15">
        <f>Tabla13[[#This Row],[Uso y acceso Ene/2025]]</f>
        <v>1</v>
      </c>
      <c r="AK142" s="15">
        <f>Tabla58[[#This Row],[Integración Ene/2025]]</f>
        <v>0</v>
      </c>
      <c r="AL142" s="16">
        <f>AVERAGE(Tabla4[[#This Row],[Creación y captura Ene/2025]:[Compartición e Interoperabilidad Ene/2025]])</f>
        <v>0.5</v>
      </c>
      <c r="AM142" s="14"/>
      <c r="AN142" s="14"/>
      <c r="AO142" s="15"/>
      <c r="AP142" s="15">
        <f>Tabla13[[#This Row],[Uso y acceso Feb/2025]]</f>
        <v>1</v>
      </c>
      <c r="AQ142" s="15">
        <f>Tabla58[[#This Row],[Integración Feb/2025]]</f>
        <v>0</v>
      </c>
      <c r="AR142" s="16">
        <f>AVERAGE(Tabla4[[#This Row],[Creación y captura Feb/2025]:[Compartición e Interoperabilidad Feb/2025]])</f>
        <v>0.5</v>
      </c>
      <c r="AS142" s="14"/>
      <c r="AT142" s="14"/>
      <c r="AU142" s="15"/>
      <c r="AV142" s="15">
        <f>Tabla13[[#This Row],[Uso y acceso Mar/2025]]</f>
        <v>1</v>
      </c>
      <c r="AW142" s="15">
        <f>Tabla58[[#This Row],[Integración Mar/2025]]</f>
        <v>0</v>
      </c>
      <c r="AX142" s="16">
        <f>AVERAGE(Tabla4[[#This Row],[Creación y captura Mar/2025]:[Compartición e Interoperabilidad Mar/2025]])</f>
        <v>0.5</v>
      </c>
      <c r="AY142" s="14"/>
      <c r="AZ142" s="14"/>
      <c r="BA142" s="15"/>
      <c r="BB142" s="15">
        <f>Tabla13[[#This Row],[Uso y acceso Abr/2025]]</f>
        <v>1</v>
      </c>
      <c r="BC142" s="15">
        <f>Tabla58[[#This Row],[Integración Abr/2025]]</f>
        <v>0</v>
      </c>
      <c r="BD142" s="16">
        <f>AVERAGE(Tabla4[[#This Row],[Creación y captura Abr/2025]:[Compartición e Interoperabilidad Abr/2025]])</f>
        <v>0.5</v>
      </c>
      <c r="BE142" s="14"/>
      <c r="BF142" s="14"/>
      <c r="BG142" s="15"/>
      <c r="BH142" s="15">
        <f>Tabla13[[#This Row],[Uso y acceso May/2025]]</f>
        <v>1</v>
      </c>
      <c r="BI142" s="15">
        <f>Tabla58[[#This Row],[Integración May/2025]]</f>
        <v>0</v>
      </c>
      <c r="BJ142" s="16">
        <f>AVERAGE(Tabla4[[#This Row],[Creación y captura May/2025]:[Compartición e Interoperabilidad May/2025]])</f>
        <v>0.5</v>
      </c>
      <c r="BK142" s="14"/>
      <c r="BL142" s="14"/>
      <c r="BM142" s="14">
        <f>AVERAGE('Calidad de Datos'!AQ146:AT146)</f>
        <v>0.6</v>
      </c>
      <c r="BN142" s="14">
        <f>Tabla13[[#This Row],[Uso y acceso Dic/2025]]</f>
        <v>1</v>
      </c>
      <c r="BO142" s="14">
        <f>Tabla58[[#This Row],[Integración Dic/2025]]</f>
        <v>0.4</v>
      </c>
      <c r="BP142" s="16">
        <f>AVERAGE(Tabla4[[#This Row],[Creación y captura Dic/2025]:[Compartición e Interoperabilidad Dic/2025]])</f>
        <v>0.66666666666666663</v>
      </c>
    </row>
    <row r="143" spans="2:68" x14ac:dyDescent="0.4">
      <c r="B143" s="1" t="s">
        <v>194</v>
      </c>
      <c r="C143" s="14"/>
      <c r="D143" s="14"/>
      <c r="E143" s="14"/>
      <c r="F143" s="14">
        <f>Tabla13[[#This Row],[Uso y acceso Ago/2024]]</f>
        <v>1</v>
      </c>
      <c r="G143" s="15">
        <f>Tabla58[[#This Row],[Integración Ago/2024]]</f>
        <v>0</v>
      </c>
      <c r="H143" s="16">
        <f>AVERAGE(Tabla4[[#This Row],[Creación y captura Ago/2024]:[Compartición e Interoperabilidad Ago/2024]])</f>
        <v>0.5</v>
      </c>
      <c r="I143" s="14"/>
      <c r="J143" s="14"/>
      <c r="K143" s="15"/>
      <c r="L143" s="15">
        <f>Tabla13[[#This Row],[Uso y acceso Sep/2024]]</f>
        <v>1</v>
      </c>
      <c r="M143" s="15">
        <f>Tabla58[[#This Row],[Integración Sep/2024]]</f>
        <v>0</v>
      </c>
      <c r="N143" s="16">
        <f>AVERAGE(Tabla4[[#This Row],[Creación y captura Sep/2024]:[Compartición e Interoperabilidad Sep/2024]])</f>
        <v>0.5</v>
      </c>
      <c r="O143" s="14"/>
      <c r="P143" s="14"/>
      <c r="Q143" s="15"/>
      <c r="R143" s="15">
        <f>Tabla13[[#This Row],[Uso y acceso Oct/2024]]</f>
        <v>1</v>
      </c>
      <c r="S143" s="15">
        <f>Tabla58[[#This Row],[Integración Oct/2024]]</f>
        <v>0</v>
      </c>
      <c r="T143" s="16">
        <f>AVERAGE(Tabla4[[#This Row],[Creación y captura Oct/2024]:[Compartición e Interoperabilidad Oct/2024]])</f>
        <v>0.5</v>
      </c>
      <c r="U143" s="14"/>
      <c r="V143" s="14"/>
      <c r="W143" s="15"/>
      <c r="X143" s="15">
        <f>Tabla13[[#This Row],[Uso y acceso Nov/2024]]</f>
        <v>1</v>
      </c>
      <c r="Y143" s="15">
        <f>Tabla58[[#This Row],[Integración Nov/2024]]</f>
        <v>0</v>
      </c>
      <c r="Z143" s="16">
        <f>AVERAGE(Tabla4[[#This Row],[Creación y captura Nov/2024]:[Compartición e Interoperabilidad Nov/2024]])</f>
        <v>0.5</v>
      </c>
      <c r="AA143" s="14"/>
      <c r="AB143" s="14"/>
      <c r="AC143" s="15"/>
      <c r="AD143" s="15">
        <f>Tabla13[[#This Row],[Uso y acceso Dic/2024]]</f>
        <v>1</v>
      </c>
      <c r="AE143" s="15">
        <f>Tabla58[[#This Row],[Integración Dic/2024]]</f>
        <v>0</v>
      </c>
      <c r="AF143" s="16">
        <f>AVERAGE(Tabla4[[#This Row],[Creación y captura Dic/2024]:[Compartición e Interoperabilidad Dic/2024]])</f>
        <v>0.5</v>
      </c>
      <c r="AG143" s="14"/>
      <c r="AH143" s="14"/>
      <c r="AI143" s="15"/>
      <c r="AJ143" s="15">
        <f>Tabla13[[#This Row],[Uso y acceso Ene/2025]]</f>
        <v>1</v>
      </c>
      <c r="AK143" s="15">
        <f>Tabla58[[#This Row],[Integración Ene/2025]]</f>
        <v>0</v>
      </c>
      <c r="AL143" s="16">
        <f>AVERAGE(Tabla4[[#This Row],[Creación y captura Ene/2025]:[Compartición e Interoperabilidad Ene/2025]])</f>
        <v>0.5</v>
      </c>
      <c r="AM143" s="14"/>
      <c r="AN143" s="14"/>
      <c r="AO143" s="15"/>
      <c r="AP143" s="15">
        <f>Tabla13[[#This Row],[Uso y acceso Feb/2025]]</f>
        <v>1</v>
      </c>
      <c r="AQ143" s="15">
        <f>Tabla58[[#This Row],[Integración Feb/2025]]</f>
        <v>0</v>
      </c>
      <c r="AR143" s="16">
        <f>AVERAGE(Tabla4[[#This Row],[Creación y captura Feb/2025]:[Compartición e Interoperabilidad Feb/2025]])</f>
        <v>0.5</v>
      </c>
      <c r="AS143" s="14"/>
      <c r="AT143" s="14"/>
      <c r="AU143" s="15"/>
      <c r="AV143" s="15">
        <f>Tabla13[[#This Row],[Uso y acceso Mar/2025]]</f>
        <v>1</v>
      </c>
      <c r="AW143" s="15">
        <f>Tabla58[[#This Row],[Integración Mar/2025]]</f>
        <v>0</v>
      </c>
      <c r="AX143" s="16">
        <f>AVERAGE(Tabla4[[#This Row],[Creación y captura Mar/2025]:[Compartición e Interoperabilidad Mar/2025]])</f>
        <v>0.5</v>
      </c>
      <c r="AY143" s="14"/>
      <c r="AZ143" s="14"/>
      <c r="BA143" s="15"/>
      <c r="BB143" s="15">
        <f>Tabla13[[#This Row],[Uso y acceso Abr/2025]]</f>
        <v>1</v>
      </c>
      <c r="BC143" s="15">
        <f>Tabla58[[#This Row],[Integración Abr/2025]]</f>
        <v>0</v>
      </c>
      <c r="BD143" s="16">
        <f>AVERAGE(Tabla4[[#This Row],[Creación y captura Abr/2025]:[Compartición e Interoperabilidad Abr/2025]])</f>
        <v>0.5</v>
      </c>
      <c r="BE143" s="14"/>
      <c r="BF143" s="14"/>
      <c r="BG143" s="15"/>
      <c r="BH143" s="15">
        <f>Tabla13[[#This Row],[Uso y acceso May/2025]]</f>
        <v>1</v>
      </c>
      <c r="BI143" s="15">
        <f>Tabla58[[#This Row],[Integración May/2025]]</f>
        <v>0</v>
      </c>
      <c r="BJ143" s="16">
        <f>AVERAGE(Tabla4[[#This Row],[Creación y captura May/2025]:[Compartición e Interoperabilidad May/2025]])</f>
        <v>0.5</v>
      </c>
      <c r="BK143" s="14"/>
      <c r="BL143" s="14"/>
      <c r="BM143" s="14">
        <f>AVERAGE('Calidad de Datos'!AQ147:AT147)</f>
        <v>0.6</v>
      </c>
      <c r="BN143" s="14">
        <f>Tabla13[[#This Row],[Uso y acceso Dic/2025]]</f>
        <v>1</v>
      </c>
      <c r="BO143" s="14">
        <f>Tabla58[[#This Row],[Integración Dic/2025]]</f>
        <v>0.4</v>
      </c>
      <c r="BP143" s="16">
        <f>AVERAGE(Tabla4[[#This Row],[Creación y captura Dic/2025]:[Compartición e Interoperabilidad Dic/2025]])</f>
        <v>0.66666666666666663</v>
      </c>
    </row>
    <row r="144" spans="2:68" x14ac:dyDescent="0.4">
      <c r="B144" s="1" t="s">
        <v>195</v>
      </c>
      <c r="C144" s="14"/>
      <c r="D144" s="14"/>
      <c r="E144" s="14"/>
      <c r="F144" s="14">
        <f>Tabla13[[#This Row],[Uso y acceso Ago/2024]]</f>
        <v>1</v>
      </c>
      <c r="G144" s="15">
        <f>Tabla58[[#This Row],[Integración Ago/2024]]</f>
        <v>0</v>
      </c>
      <c r="H144" s="16">
        <f>AVERAGE(Tabla4[[#This Row],[Creación y captura Ago/2024]:[Compartición e Interoperabilidad Ago/2024]])</f>
        <v>0.5</v>
      </c>
      <c r="I144" s="14"/>
      <c r="J144" s="14"/>
      <c r="K144" s="15"/>
      <c r="L144" s="15">
        <f>Tabla13[[#This Row],[Uso y acceso Sep/2024]]</f>
        <v>1</v>
      </c>
      <c r="M144" s="15">
        <f>Tabla58[[#This Row],[Integración Sep/2024]]</f>
        <v>0</v>
      </c>
      <c r="N144" s="16">
        <f>AVERAGE(Tabla4[[#This Row],[Creación y captura Sep/2024]:[Compartición e Interoperabilidad Sep/2024]])</f>
        <v>0.5</v>
      </c>
      <c r="O144" s="14"/>
      <c r="P144" s="14"/>
      <c r="Q144" s="15"/>
      <c r="R144" s="15">
        <f>Tabla13[[#This Row],[Uso y acceso Oct/2024]]</f>
        <v>1</v>
      </c>
      <c r="S144" s="15">
        <f>Tabla58[[#This Row],[Integración Oct/2024]]</f>
        <v>0</v>
      </c>
      <c r="T144" s="16">
        <f>AVERAGE(Tabla4[[#This Row],[Creación y captura Oct/2024]:[Compartición e Interoperabilidad Oct/2024]])</f>
        <v>0.5</v>
      </c>
      <c r="U144" s="14"/>
      <c r="V144" s="14"/>
      <c r="W144" s="15"/>
      <c r="X144" s="15">
        <f>Tabla13[[#This Row],[Uso y acceso Nov/2024]]</f>
        <v>1</v>
      </c>
      <c r="Y144" s="15">
        <f>Tabla58[[#This Row],[Integración Nov/2024]]</f>
        <v>0</v>
      </c>
      <c r="Z144" s="16">
        <f>AVERAGE(Tabla4[[#This Row],[Creación y captura Nov/2024]:[Compartición e Interoperabilidad Nov/2024]])</f>
        <v>0.5</v>
      </c>
      <c r="AA144" s="14"/>
      <c r="AB144" s="14"/>
      <c r="AC144" s="15"/>
      <c r="AD144" s="15">
        <f>Tabla13[[#This Row],[Uso y acceso Dic/2024]]</f>
        <v>1</v>
      </c>
      <c r="AE144" s="15">
        <f>Tabla58[[#This Row],[Integración Dic/2024]]</f>
        <v>0</v>
      </c>
      <c r="AF144" s="16">
        <f>AVERAGE(Tabla4[[#This Row],[Creación y captura Dic/2024]:[Compartición e Interoperabilidad Dic/2024]])</f>
        <v>0.5</v>
      </c>
      <c r="AG144" s="14"/>
      <c r="AH144" s="14"/>
      <c r="AI144" s="15"/>
      <c r="AJ144" s="15">
        <f>Tabla13[[#This Row],[Uso y acceso Ene/2025]]</f>
        <v>1</v>
      </c>
      <c r="AK144" s="15">
        <f>Tabla58[[#This Row],[Integración Ene/2025]]</f>
        <v>0</v>
      </c>
      <c r="AL144" s="16">
        <f>AVERAGE(Tabla4[[#This Row],[Creación y captura Ene/2025]:[Compartición e Interoperabilidad Ene/2025]])</f>
        <v>0.5</v>
      </c>
      <c r="AM144" s="14"/>
      <c r="AN144" s="14"/>
      <c r="AO144" s="15"/>
      <c r="AP144" s="15">
        <f>Tabla13[[#This Row],[Uso y acceso Feb/2025]]</f>
        <v>1</v>
      </c>
      <c r="AQ144" s="15">
        <f>Tabla58[[#This Row],[Integración Feb/2025]]</f>
        <v>0</v>
      </c>
      <c r="AR144" s="16">
        <f>AVERAGE(Tabla4[[#This Row],[Creación y captura Feb/2025]:[Compartición e Interoperabilidad Feb/2025]])</f>
        <v>0.5</v>
      </c>
      <c r="AS144" s="14"/>
      <c r="AT144" s="14"/>
      <c r="AU144" s="15"/>
      <c r="AV144" s="15">
        <f>Tabla13[[#This Row],[Uso y acceso Mar/2025]]</f>
        <v>1</v>
      </c>
      <c r="AW144" s="15">
        <f>Tabla58[[#This Row],[Integración Mar/2025]]</f>
        <v>0</v>
      </c>
      <c r="AX144" s="16">
        <f>AVERAGE(Tabla4[[#This Row],[Creación y captura Mar/2025]:[Compartición e Interoperabilidad Mar/2025]])</f>
        <v>0.5</v>
      </c>
      <c r="AY144" s="14"/>
      <c r="AZ144" s="14"/>
      <c r="BA144" s="15"/>
      <c r="BB144" s="15">
        <f>Tabla13[[#This Row],[Uso y acceso Abr/2025]]</f>
        <v>1</v>
      </c>
      <c r="BC144" s="15">
        <f>Tabla58[[#This Row],[Integración Abr/2025]]</f>
        <v>0</v>
      </c>
      <c r="BD144" s="16">
        <f>AVERAGE(Tabla4[[#This Row],[Creación y captura Abr/2025]:[Compartición e Interoperabilidad Abr/2025]])</f>
        <v>0.5</v>
      </c>
      <c r="BE144" s="14"/>
      <c r="BF144" s="14"/>
      <c r="BG144" s="15"/>
      <c r="BH144" s="15">
        <f>Tabla13[[#This Row],[Uso y acceso May/2025]]</f>
        <v>1</v>
      </c>
      <c r="BI144" s="15">
        <f>Tabla58[[#This Row],[Integración May/2025]]</f>
        <v>0</v>
      </c>
      <c r="BJ144" s="16">
        <f>AVERAGE(Tabla4[[#This Row],[Creación y captura May/2025]:[Compartición e Interoperabilidad May/2025]])</f>
        <v>0.5</v>
      </c>
      <c r="BK144" s="14"/>
      <c r="BL144" s="14"/>
      <c r="BM144" s="14">
        <f>AVERAGE('Calidad de Datos'!AQ148:AT148)</f>
        <v>0.6</v>
      </c>
      <c r="BN144" s="14">
        <f>Tabla13[[#This Row],[Uso y acceso Dic/2025]]</f>
        <v>1</v>
      </c>
      <c r="BO144" s="14">
        <f>Tabla58[[#This Row],[Integración Dic/2025]]</f>
        <v>0.4</v>
      </c>
      <c r="BP144" s="16">
        <f>AVERAGE(Tabla4[[#This Row],[Creación y captura Dic/2025]:[Compartición e Interoperabilidad Dic/2025]])</f>
        <v>0.66666666666666663</v>
      </c>
    </row>
    <row r="145" spans="2:68" x14ac:dyDescent="0.4">
      <c r="B145" s="1" t="s">
        <v>196</v>
      </c>
      <c r="C145" s="14"/>
      <c r="D145" s="14"/>
      <c r="E145" s="14"/>
      <c r="F145" s="14">
        <f>Tabla13[[#This Row],[Uso y acceso Ago/2024]]</f>
        <v>1</v>
      </c>
      <c r="G145" s="15">
        <f>Tabla58[[#This Row],[Integración Ago/2024]]</f>
        <v>0</v>
      </c>
      <c r="H145" s="16">
        <f>AVERAGE(Tabla4[[#This Row],[Creación y captura Ago/2024]:[Compartición e Interoperabilidad Ago/2024]])</f>
        <v>0.5</v>
      </c>
      <c r="I145" s="14"/>
      <c r="J145" s="14"/>
      <c r="K145" s="15"/>
      <c r="L145" s="15">
        <f>Tabla13[[#This Row],[Uso y acceso Sep/2024]]</f>
        <v>1</v>
      </c>
      <c r="M145" s="15">
        <f>Tabla58[[#This Row],[Integración Sep/2024]]</f>
        <v>0</v>
      </c>
      <c r="N145" s="16">
        <f>AVERAGE(Tabla4[[#This Row],[Creación y captura Sep/2024]:[Compartición e Interoperabilidad Sep/2024]])</f>
        <v>0.5</v>
      </c>
      <c r="O145" s="14"/>
      <c r="P145" s="14"/>
      <c r="Q145" s="15"/>
      <c r="R145" s="15">
        <f>Tabla13[[#This Row],[Uso y acceso Oct/2024]]</f>
        <v>1</v>
      </c>
      <c r="S145" s="15">
        <f>Tabla58[[#This Row],[Integración Oct/2024]]</f>
        <v>0</v>
      </c>
      <c r="T145" s="16">
        <f>AVERAGE(Tabla4[[#This Row],[Creación y captura Oct/2024]:[Compartición e Interoperabilidad Oct/2024]])</f>
        <v>0.5</v>
      </c>
      <c r="U145" s="14"/>
      <c r="V145" s="14"/>
      <c r="W145" s="15"/>
      <c r="X145" s="15">
        <f>Tabla13[[#This Row],[Uso y acceso Nov/2024]]</f>
        <v>1</v>
      </c>
      <c r="Y145" s="15">
        <f>Tabla58[[#This Row],[Integración Nov/2024]]</f>
        <v>0</v>
      </c>
      <c r="Z145" s="16">
        <f>AVERAGE(Tabla4[[#This Row],[Creación y captura Nov/2024]:[Compartición e Interoperabilidad Nov/2024]])</f>
        <v>0.5</v>
      </c>
      <c r="AA145" s="14"/>
      <c r="AB145" s="14"/>
      <c r="AC145" s="15"/>
      <c r="AD145" s="15">
        <f>Tabla13[[#This Row],[Uso y acceso Dic/2024]]</f>
        <v>1</v>
      </c>
      <c r="AE145" s="15">
        <f>Tabla58[[#This Row],[Integración Dic/2024]]</f>
        <v>0</v>
      </c>
      <c r="AF145" s="16">
        <f>AVERAGE(Tabla4[[#This Row],[Creación y captura Dic/2024]:[Compartición e Interoperabilidad Dic/2024]])</f>
        <v>0.5</v>
      </c>
      <c r="AG145" s="14"/>
      <c r="AH145" s="14"/>
      <c r="AI145" s="15"/>
      <c r="AJ145" s="15">
        <f>Tabla13[[#This Row],[Uso y acceso Ene/2025]]</f>
        <v>1</v>
      </c>
      <c r="AK145" s="15">
        <f>Tabla58[[#This Row],[Integración Ene/2025]]</f>
        <v>0</v>
      </c>
      <c r="AL145" s="16">
        <f>AVERAGE(Tabla4[[#This Row],[Creación y captura Ene/2025]:[Compartición e Interoperabilidad Ene/2025]])</f>
        <v>0.5</v>
      </c>
      <c r="AM145" s="14"/>
      <c r="AN145" s="14"/>
      <c r="AO145" s="15"/>
      <c r="AP145" s="15">
        <f>Tabla13[[#This Row],[Uso y acceso Feb/2025]]</f>
        <v>1</v>
      </c>
      <c r="AQ145" s="15">
        <f>Tabla58[[#This Row],[Integración Feb/2025]]</f>
        <v>0</v>
      </c>
      <c r="AR145" s="16">
        <f>AVERAGE(Tabla4[[#This Row],[Creación y captura Feb/2025]:[Compartición e Interoperabilidad Feb/2025]])</f>
        <v>0.5</v>
      </c>
      <c r="AS145" s="14"/>
      <c r="AT145" s="14"/>
      <c r="AU145" s="15"/>
      <c r="AV145" s="15">
        <f>Tabla13[[#This Row],[Uso y acceso Mar/2025]]</f>
        <v>1</v>
      </c>
      <c r="AW145" s="15">
        <f>Tabla58[[#This Row],[Integración Mar/2025]]</f>
        <v>0</v>
      </c>
      <c r="AX145" s="16">
        <f>AVERAGE(Tabla4[[#This Row],[Creación y captura Mar/2025]:[Compartición e Interoperabilidad Mar/2025]])</f>
        <v>0.5</v>
      </c>
      <c r="AY145" s="14"/>
      <c r="AZ145" s="14"/>
      <c r="BA145" s="15"/>
      <c r="BB145" s="15">
        <f>Tabla13[[#This Row],[Uso y acceso Abr/2025]]</f>
        <v>1</v>
      </c>
      <c r="BC145" s="15">
        <f>Tabla58[[#This Row],[Integración Abr/2025]]</f>
        <v>0</v>
      </c>
      <c r="BD145" s="16">
        <f>AVERAGE(Tabla4[[#This Row],[Creación y captura Abr/2025]:[Compartición e Interoperabilidad Abr/2025]])</f>
        <v>0.5</v>
      </c>
      <c r="BE145" s="14"/>
      <c r="BF145" s="14"/>
      <c r="BG145" s="15"/>
      <c r="BH145" s="15">
        <f>Tabla13[[#This Row],[Uso y acceso May/2025]]</f>
        <v>1</v>
      </c>
      <c r="BI145" s="15">
        <f>Tabla58[[#This Row],[Integración May/2025]]</f>
        <v>0</v>
      </c>
      <c r="BJ145" s="16">
        <f>AVERAGE(Tabla4[[#This Row],[Creación y captura May/2025]:[Compartición e Interoperabilidad May/2025]])</f>
        <v>0.5</v>
      </c>
      <c r="BK145" s="14">
        <v>1</v>
      </c>
      <c r="BL145" s="14">
        <v>1</v>
      </c>
      <c r="BM145" s="14">
        <f>AVERAGE('Calidad de Datos'!AQ149:AT149)</f>
        <v>0.95</v>
      </c>
      <c r="BN145" s="14">
        <f>Tabla13[[#This Row],[Uso y acceso Dic/2025]]</f>
        <v>1</v>
      </c>
      <c r="BO145" s="14">
        <f>Tabla58[[#This Row],[Integración Dic/2025]]</f>
        <v>1</v>
      </c>
      <c r="BP145" s="16">
        <f>AVERAGE(Tabla4[[#This Row],[Creación y captura Dic/2025]:[Compartición e Interoperabilidad Dic/2025]])</f>
        <v>0.99</v>
      </c>
    </row>
    <row r="146" spans="2:68" x14ac:dyDescent="0.4">
      <c r="B146" s="1" t="s">
        <v>197</v>
      </c>
      <c r="C146" s="14"/>
      <c r="D146" s="14"/>
      <c r="E146" s="14"/>
      <c r="F146" s="14">
        <f>Tabla13[[#This Row],[Uso y acceso Ago/2024]]</f>
        <v>1</v>
      </c>
      <c r="G146" s="15">
        <f>Tabla58[[#This Row],[Integración Ago/2024]]</f>
        <v>0</v>
      </c>
      <c r="H146" s="16">
        <f>AVERAGE(Tabla4[[#This Row],[Creación y captura Ago/2024]:[Compartición e Interoperabilidad Ago/2024]])</f>
        <v>0.5</v>
      </c>
      <c r="I146" s="14"/>
      <c r="J146" s="14"/>
      <c r="K146" s="15"/>
      <c r="L146" s="15">
        <f>Tabla13[[#This Row],[Uso y acceso Sep/2024]]</f>
        <v>1</v>
      </c>
      <c r="M146" s="15">
        <f>Tabla58[[#This Row],[Integración Sep/2024]]</f>
        <v>0</v>
      </c>
      <c r="N146" s="16">
        <f>AVERAGE(Tabla4[[#This Row],[Creación y captura Sep/2024]:[Compartición e Interoperabilidad Sep/2024]])</f>
        <v>0.5</v>
      </c>
      <c r="O146" s="14"/>
      <c r="P146" s="14"/>
      <c r="Q146" s="15"/>
      <c r="R146" s="15">
        <f>Tabla13[[#This Row],[Uso y acceso Oct/2024]]</f>
        <v>1</v>
      </c>
      <c r="S146" s="15">
        <f>Tabla58[[#This Row],[Integración Oct/2024]]</f>
        <v>0</v>
      </c>
      <c r="T146" s="16">
        <f>AVERAGE(Tabla4[[#This Row],[Creación y captura Oct/2024]:[Compartición e Interoperabilidad Oct/2024]])</f>
        <v>0.5</v>
      </c>
      <c r="U146" s="14"/>
      <c r="V146" s="14"/>
      <c r="W146" s="15"/>
      <c r="X146" s="15">
        <f>Tabla13[[#This Row],[Uso y acceso Nov/2024]]</f>
        <v>1</v>
      </c>
      <c r="Y146" s="15">
        <f>Tabla58[[#This Row],[Integración Nov/2024]]</f>
        <v>0</v>
      </c>
      <c r="Z146" s="16">
        <f>AVERAGE(Tabla4[[#This Row],[Creación y captura Nov/2024]:[Compartición e Interoperabilidad Nov/2024]])</f>
        <v>0.5</v>
      </c>
      <c r="AA146" s="14"/>
      <c r="AB146" s="14"/>
      <c r="AC146" s="15"/>
      <c r="AD146" s="15">
        <f>Tabla13[[#This Row],[Uso y acceso Dic/2024]]</f>
        <v>1</v>
      </c>
      <c r="AE146" s="15">
        <f>Tabla58[[#This Row],[Integración Dic/2024]]</f>
        <v>0</v>
      </c>
      <c r="AF146" s="16">
        <f>AVERAGE(Tabla4[[#This Row],[Creación y captura Dic/2024]:[Compartición e Interoperabilidad Dic/2024]])</f>
        <v>0.5</v>
      </c>
      <c r="AG146" s="14"/>
      <c r="AH146" s="14"/>
      <c r="AI146" s="15"/>
      <c r="AJ146" s="15">
        <f>Tabla13[[#This Row],[Uso y acceso Ene/2025]]</f>
        <v>1</v>
      </c>
      <c r="AK146" s="15">
        <f>Tabla58[[#This Row],[Integración Ene/2025]]</f>
        <v>0</v>
      </c>
      <c r="AL146" s="16">
        <f>AVERAGE(Tabla4[[#This Row],[Creación y captura Ene/2025]:[Compartición e Interoperabilidad Ene/2025]])</f>
        <v>0.5</v>
      </c>
      <c r="AM146" s="14"/>
      <c r="AN146" s="14"/>
      <c r="AO146" s="15"/>
      <c r="AP146" s="15">
        <f>Tabla13[[#This Row],[Uso y acceso Feb/2025]]</f>
        <v>1</v>
      </c>
      <c r="AQ146" s="15">
        <f>Tabla58[[#This Row],[Integración Feb/2025]]</f>
        <v>0</v>
      </c>
      <c r="AR146" s="16">
        <f>AVERAGE(Tabla4[[#This Row],[Creación y captura Feb/2025]:[Compartición e Interoperabilidad Feb/2025]])</f>
        <v>0.5</v>
      </c>
      <c r="AS146" s="14"/>
      <c r="AT146" s="14"/>
      <c r="AU146" s="15"/>
      <c r="AV146" s="15">
        <f>Tabla13[[#This Row],[Uso y acceso Mar/2025]]</f>
        <v>1</v>
      </c>
      <c r="AW146" s="15">
        <f>Tabla58[[#This Row],[Integración Mar/2025]]</f>
        <v>0</v>
      </c>
      <c r="AX146" s="16">
        <f>AVERAGE(Tabla4[[#This Row],[Creación y captura Mar/2025]:[Compartición e Interoperabilidad Mar/2025]])</f>
        <v>0.5</v>
      </c>
      <c r="AY146" s="14"/>
      <c r="AZ146" s="14"/>
      <c r="BA146" s="15"/>
      <c r="BB146" s="15">
        <f>Tabla13[[#This Row],[Uso y acceso Abr/2025]]</f>
        <v>1</v>
      </c>
      <c r="BC146" s="15">
        <f>Tabla58[[#This Row],[Integración Abr/2025]]</f>
        <v>0</v>
      </c>
      <c r="BD146" s="16">
        <f>AVERAGE(Tabla4[[#This Row],[Creación y captura Abr/2025]:[Compartición e Interoperabilidad Abr/2025]])</f>
        <v>0.5</v>
      </c>
      <c r="BE146" s="14"/>
      <c r="BF146" s="14"/>
      <c r="BG146" s="15"/>
      <c r="BH146" s="15">
        <f>Tabla13[[#This Row],[Uso y acceso May/2025]]</f>
        <v>1</v>
      </c>
      <c r="BI146" s="15">
        <f>Tabla58[[#This Row],[Integración May/2025]]</f>
        <v>0</v>
      </c>
      <c r="BJ146" s="16">
        <f>AVERAGE(Tabla4[[#This Row],[Creación y captura May/2025]:[Compartición e Interoperabilidad May/2025]])</f>
        <v>0.5</v>
      </c>
      <c r="BK146" s="14"/>
      <c r="BL146" s="14"/>
      <c r="BM146" s="14">
        <f>AVERAGE('Calidad de Datos'!AQ150:AT150)</f>
        <v>0.9</v>
      </c>
      <c r="BN146" s="14">
        <f>Tabla13[[#This Row],[Uso y acceso Dic/2025]]</f>
        <v>1</v>
      </c>
      <c r="BO146" s="14">
        <f>Tabla58[[#This Row],[Integración Dic/2025]]</f>
        <v>0.6</v>
      </c>
      <c r="BP146" s="16">
        <f>AVERAGE(Tabla4[[#This Row],[Creación y captura Dic/2025]:[Compartición e Interoperabilidad Dic/2025]])</f>
        <v>0.83333333333333337</v>
      </c>
    </row>
    <row r="147" spans="2:68" x14ac:dyDescent="0.4">
      <c r="B147" s="1" t="s">
        <v>198</v>
      </c>
      <c r="C147" s="14"/>
      <c r="D147" s="14"/>
      <c r="E147" s="14"/>
      <c r="F147" s="14">
        <f>Tabla13[[#This Row],[Uso y acceso Ago/2024]]</f>
        <v>1</v>
      </c>
      <c r="G147" s="15">
        <f>Tabla58[[#This Row],[Integración Ago/2024]]</f>
        <v>0</v>
      </c>
      <c r="H147" s="16">
        <f>AVERAGE(Tabla4[[#This Row],[Creación y captura Ago/2024]:[Compartición e Interoperabilidad Ago/2024]])</f>
        <v>0.5</v>
      </c>
      <c r="I147" s="14"/>
      <c r="J147" s="14"/>
      <c r="K147" s="15"/>
      <c r="L147" s="15">
        <f>Tabla13[[#This Row],[Uso y acceso Sep/2024]]</f>
        <v>1</v>
      </c>
      <c r="M147" s="15">
        <f>Tabla58[[#This Row],[Integración Sep/2024]]</f>
        <v>0</v>
      </c>
      <c r="N147" s="16">
        <f>AVERAGE(Tabla4[[#This Row],[Creación y captura Sep/2024]:[Compartición e Interoperabilidad Sep/2024]])</f>
        <v>0.5</v>
      </c>
      <c r="O147" s="14"/>
      <c r="P147" s="14"/>
      <c r="Q147" s="15"/>
      <c r="R147" s="15">
        <f>Tabla13[[#This Row],[Uso y acceso Oct/2024]]</f>
        <v>1</v>
      </c>
      <c r="S147" s="15">
        <f>Tabla58[[#This Row],[Integración Oct/2024]]</f>
        <v>0</v>
      </c>
      <c r="T147" s="16">
        <f>AVERAGE(Tabla4[[#This Row],[Creación y captura Oct/2024]:[Compartición e Interoperabilidad Oct/2024]])</f>
        <v>0.5</v>
      </c>
      <c r="U147" s="14"/>
      <c r="V147" s="14"/>
      <c r="W147" s="15"/>
      <c r="X147" s="15">
        <f>Tabla13[[#This Row],[Uso y acceso Nov/2024]]</f>
        <v>1</v>
      </c>
      <c r="Y147" s="15">
        <f>Tabla58[[#This Row],[Integración Nov/2024]]</f>
        <v>0</v>
      </c>
      <c r="Z147" s="16">
        <f>AVERAGE(Tabla4[[#This Row],[Creación y captura Nov/2024]:[Compartición e Interoperabilidad Nov/2024]])</f>
        <v>0.5</v>
      </c>
      <c r="AA147" s="14"/>
      <c r="AB147" s="14"/>
      <c r="AC147" s="15"/>
      <c r="AD147" s="15">
        <f>Tabla13[[#This Row],[Uso y acceso Dic/2024]]</f>
        <v>1</v>
      </c>
      <c r="AE147" s="15">
        <f>Tabla58[[#This Row],[Integración Dic/2024]]</f>
        <v>0</v>
      </c>
      <c r="AF147" s="16">
        <f>AVERAGE(Tabla4[[#This Row],[Creación y captura Dic/2024]:[Compartición e Interoperabilidad Dic/2024]])</f>
        <v>0.5</v>
      </c>
      <c r="AG147" s="14"/>
      <c r="AH147" s="14"/>
      <c r="AI147" s="15"/>
      <c r="AJ147" s="15">
        <f>Tabla13[[#This Row],[Uso y acceso Ene/2025]]</f>
        <v>1</v>
      </c>
      <c r="AK147" s="15">
        <f>Tabla58[[#This Row],[Integración Ene/2025]]</f>
        <v>0</v>
      </c>
      <c r="AL147" s="16">
        <f>AVERAGE(Tabla4[[#This Row],[Creación y captura Ene/2025]:[Compartición e Interoperabilidad Ene/2025]])</f>
        <v>0.5</v>
      </c>
      <c r="AM147" s="14"/>
      <c r="AN147" s="14"/>
      <c r="AO147" s="15"/>
      <c r="AP147" s="15">
        <f>Tabla13[[#This Row],[Uso y acceso Feb/2025]]</f>
        <v>1</v>
      </c>
      <c r="AQ147" s="15">
        <f>Tabla58[[#This Row],[Integración Feb/2025]]</f>
        <v>0</v>
      </c>
      <c r="AR147" s="16">
        <f>AVERAGE(Tabla4[[#This Row],[Creación y captura Feb/2025]:[Compartición e Interoperabilidad Feb/2025]])</f>
        <v>0.5</v>
      </c>
      <c r="AS147" s="14"/>
      <c r="AT147" s="14"/>
      <c r="AU147" s="15"/>
      <c r="AV147" s="15">
        <f>Tabla13[[#This Row],[Uso y acceso Mar/2025]]</f>
        <v>1</v>
      </c>
      <c r="AW147" s="15">
        <f>Tabla58[[#This Row],[Integración Mar/2025]]</f>
        <v>0</v>
      </c>
      <c r="AX147" s="16">
        <f>AVERAGE(Tabla4[[#This Row],[Creación y captura Mar/2025]:[Compartición e Interoperabilidad Mar/2025]])</f>
        <v>0.5</v>
      </c>
      <c r="AY147" s="14"/>
      <c r="AZ147" s="14"/>
      <c r="BA147" s="15"/>
      <c r="BB147" s="15">
        <f>Tabla13[[#This Row],[Uso y acceso Abr/2025]]</f>
        <v>1</v>
      </c>
      <c r="BC147" s="15">
        <f>Tabla58[[#This Row],[Integración Abr/2025]]</f>
        <v>0</v>
      </c>
      <c r="BD147" s="16">
        <f>AVERAGE(Tabla4[[#This Row],[Creación y captura Abr/2025]:[Compartición e Interoperabilidad Abr/2025]])</f>
        <v>0.5</v>
      </c>
      <c r="BE147" s="14"/>
      <c r="BF147" s="14"/>
      <c r="BG147" s="15"/>
      <c r="BH147" s="15">
        <f>Tabla13[[#This Row],[Uso y acceso May/2025]]</f>
        <v>1</v>
      </c>
      <c r="BI147" s="15">
        <f>Tabla58[[#This Row],[Integración May/2025]]</f>
        <v>0</v>
      </c>
      <c r="BJ147" s="16">
        <f>AVERAGE(Tabla4[[#This Row],[Creación y captura May/2025]:[Compartición e Interoperabilidad May/2025]])</f>
        <v>0.5</v>
      </c>
      <c r="BK147" s="14"/>
      <c r="BL147" s="14"/>
      <c r="BM147" s="14">
        <f>AVERAGE('Calidad de Datos'!AQ151:AT151)</f>
        <v>0.6</v>
      </c>
      <c r="BN147" s="14">
        <f>Tabla13[[#This Row],[Uso y acceso Dic/2025]]</f>
        <v>1</v>
      </c>
      <c r="BO147" s="14">
        <f>Tabla58[[#This Row],[Integración Dic/2025]]</f>
        <v>0.4</v>
      </c>
      <c r="BP147" s="16">
        <f>AVERAGE(Tabla4[[#This Row],[Creación y captura Dic/2025]:[Compartición e Interoperabilidad Dic/2025]])</f>
        <v>0.66666666666666663</v>
      </c>
    </row>
    <row r="148" spans="2:68" x14ac:dyDescent="0.4">
      <c r="B148" s="1" t="s">
        <v>199</v>
      </c>
      <c r="C148" s="14"/>
      <c r="D148" s="14"/>
      <c r="E148" s="14"/>
      <c r="F148" s="14">
        <f>Tabla13[[#This Row],[Uso y acceso Ago/2024]]</f>
        <v>0.8</v>
      </c>
      <c r="G148" s="15">
        <f>Tabla58[[#This Row],[Integración Ago/2024]]</f>
        <v>0</v>
      </c>
      <c r="H148" s="16">
        <f>AVERAGE(Tabla4[[#This Row],[Creación y captura Ago/2024]:[Compartición e Interoperabilidad Ago/2024]])</f>
        <v>0.4</v>
      </c>
      <c r="I148" s="14"/>
      <c r="J148" s="14"/>
      <c r="K148" s="15"/>
      <c r="L148" s="15">
        <f>Tabla13[[#This Row],[Uso y acceso Sep/2024]]</f>
        <v>0.8</v>
      </c>
      <c r="M148" s="15">
        <f>Tabla58[[#This Row],[Integración Sep/2024]]</f>
        <v>0</v>
      </c>
      <c r="N148" s="16">
        <f>AVERAGE(Tabla4[[#This Row],[Creación y captura Sep/2024]:[Compartición e Interoperabilidad Sep/2024]])</f>
        <v>0.4</v>
      </c>
      <c r="O148" s="14"/>
      <c r="P148" s="14"/>
      <c r="Q148" s="15"/>
      <c r="R148" s="15">
        <f>Tabla13[[#This Row],[Uso y acceso Oct/2024]]</f>
        <v>1</v>
      </c>
      <c r="S148" s="15">
        <f>Tabla58[[#This Row],[Integración Oct/2024]]</f>
        <v>0</v>
      </c>
      <c r="T148" s="16">
        <f>AVERAGE(Tabla4[[#This Row],[Creación y captura Oct/2024]:[Compartición e Interoperabilidad Oct/2024]])</f>
        <v>0.5</v>
      </c>
      <c r="U148" s="14"/>
      <c r="V148" s="14"/>
      <c r="W148" s="15"/>
      <c r="X148" s="15">
        <f>Tabla13[[#This Row],[Uso y acceso Nov/2024]]</f>
        <v>1</v>
      </c>
      <c r="Y148" s="15">
        <f>Tabla58[[#This Row],[Integración Nov/2024]]</f>
        <v>0</v>
      </c>
      <c r="Z148" s="16">
        <f>AVERAGE(Tabla4[[#This Row],[Creación y captura Nov/2024]:[Compartición e Interoperabilidad Nov/2024]])</f>
        <v>0.5</v>
      </c>
      <c r="AA148" s="14"/>
      <c r="AB148" s="14"/>
      <c r="AC148" s="15"/>
      <c r="AD148" s="15">
        <f>Tabla13[[#This Row],[Uso y acceso Dic/2024]]</f>
        <v>1</v>
      </c>
      <c r="AE148" s="15">
        <f>Tabla58[[#This Row],[Integración Dic/2024]]</f>
        <v>0</v>
      </c>
      <c r="AF148" s="16">
        <f>AVERAGE(Tabla4[[#This Row],[Creación y captura Dic/2024]:[Compartición e Interoperabilidad Dic/2024]])</f>
        <v>0.5</v>
      </c>
      <c r="AG148" s="14"/>
      <c r="AH148" s="14"/>
      <c r="AI148" s="15"/>
      <c r="AJ148" s="15">
        <f>Tabla13[[#This Row],[Uso y acceso Ene/2025]]</f>
        <v>1</v>
      </c>
      <c r="AK148" s="15">
        <f>Tabla58[[#This Row],[Integración Ene/2025]]</f>
        <v>0</v>
      </c>
      <c r="AL148" s="16">
        <f>AVERAGE(Tabla4[[#This Row],[Creación y captura Ene/2025]:[Compartición e Interoperabilidad Ene/2025]])</f>
        <v>0.5</v>
      </c>
      <c r="AM148" s="14"/>
      <c r="AN148" s="14"/>
      <c r="AO148" s="15"/>
      <c r="AP148" s="15">
        <f>Tabla13[[#This Row],[Uso y acceso Feb/2025]]</f>
        <v>1</v>
      </c>
      <c r="AQ148" s="15">
        <f>Tabla58[[#This Row],[Integración Feb/2025]]</f>
        <v>0</v>
      </c>
      <c r="AR148" s="16">
        <f>AVERAGE(Tabla4[[#This Row],[Creación y captura Feb/2025]:[Compartición e Interoperabilidad Feb/2025]])</f>
        <v>0.5</v>
      </c>
      <c r="AS148" s="14"/>
      <c r="AT148" s="14"/>
      <c r="AU148" s="15"/>
      <c r="AV148" s="15">
        <f>Tabla13[[#This Row],[Uso y acceso Mar/2025]]</f>
        <v>1</v>
      </c>
      <c r="AW148" s="15">
        <f>Tabla58[[#This Row],[Integración Mar/2025]]</f>
        <v>0</v>
      </c>
      <c r="AX148" s="16">
        <f>AVERAGE(Tabla4[[#This Row],[Creación y captura Mar/2025]:[Compartición e Interoperabilidad Mar/2025]])</f>
        <v>0.5</v>
      </c>
      <c r="AY148" s="14"/>
      <c r="AZ148" s="14"/>
      <c r="BA148" s="15"/>
      <c r="BB148" s="15">
        <f>Tabla13[[#This Row],[Uso y acceso Abr/2025]]</f>
        <v>1</v>
      </c>
      <c r="BC148" s="15">
        <f>Tabla58[[#This Row],[Integración Abr/2025]]</f>
        <v>0</v>
      </c>
      <c r="BD148" s="16">
        <f>AVERAGE(Tabla4[[#This Row],[Creación y captura Abr/2025]:[Compartición e Interoperabilidad Abr/2025]])</f>
        <v>0.5</v>
      </c>
      <c r="BE148" s="14"/>
      <c r="BF148" s="14"/>
      <c r="BG148" s="15"/>
      <c r="BH148" s="15">
        <f>Tabla13[[#This Row],[Uso y acceso May/2025]]</f>
        <v>1</v>
      </c>
      <c r="BI148" s="15">
        <f>Tabla58[[#This Row],[Integración May/2025]]</f>
        <v>0</v>
      </c>
      <c r="BJ148" s="16">
        <f>AVERAGE(Tabla4[[#This Row],[Creación y captura May/2025]:[Compartición e Interoperabilidad May/2025]])</f>
        <v>0.5</v>
      </c>
      <c r="BK148" s="14">
        <v>1</v>
      </c>
      <c r="BL148" s="14">
        <v>1</v>
      </c>
      <c r="BM148" s="14">
        <f>AVERAGE('Calidad de Datos'!AQ152:AT152)</f>
        <v>1</v>
      </c>
      <c r="BN148" s="14">
        <f>Tabla13[[#This Row],[Uso y acceso Dic/2025]]</f>
        <v>1</v>
      </c>
      <c r="BO148" s="14">
        <f>Tabla58[[#This Row],[Integración Dic/2025]]</f>
        <v>1</v>
      </c>
      <c r="BP148" s="16">
        <f>AVERAGE(Tabla4[[#This Row],[Creación y captura Dic/2025]:[Compartición e Interoperabilidad Dic/2025]])</f>
        <v>1</v>
      </c>
    </row>
    <row r="149" spans="2:68" x14ac:dyDescent="0.4">
      <c r="B149" s="1" t="s">
        <v>200</v>
      </c>
      <c r="C149" s="14"/>
      <c r="D149" s="14"/>
      <c r="E149" s="14"/>
      <c r="F149" s="14">
        <f>Tabla13[[#This Row],[Uso y acceso Ago/2024]]</f>
        <v>1</v>
      </c>
      <c r="G149" s="15">
        <f>Tabla58[[#This Row],[Integración Ago/2024]]</f>
        <v>0</v>
      </c>
      <c r="H149" s="16">
        <f>AVERAGE(Tabla4[[#This Row],[Creación y captura Ago/2024]:[Compartición e Interoperabilidad Ago/2024]])</f>
        <v>0.5</v>
      </c>
      <c r="I149" s="14"/>
      <c r="J149" s="14"/>
      <c r="K149" s="15"/>
      <c r="L149" s="15">
        <f>Tabla13[[#This Row],[Uso y acceso Sep/2024]]</f>
        <v>1</v>
      </c>
      <c r="M149" s="15">
        <f>Tabla58[[#This Row],[Integración Sep/2024]]</f>
        <v>0</v>
      </c>
      <c r="N149" s="16">
        <f>AVERAGE(Tabla4[[#This Row],[Creación y captura Sep/2024]:[Compartición e Interoperabilidad Sep/2024]])</f>
        <v>0.5</v>
      </c>
      <c r="O149" s="14"/>
      <c r="P149" s="14"/>
      <c r="Q149" s="15"/>
      <c r="R149" s="15">
        <f>Tabla13[[#This Row],[Uso y acceso Oct/2024]]</f>
        <v>1</v>
      </c>
      <c r="S149" s="15">
        <f>Tabla58[[#This Row],[Integración Oct/2024]]</f>
        <v>0</v>
      </c>
      <c r="T149" s="16">
        <f>AVERAGE(Tabla4[[#This Row],[Creación y captura Oct/2024]:[Compartición e Interoperabilidad Oct/2024]])</f>
        <v>0.5</v>
      </c>
      <c r="U149" s="14"/>
      <c r="V149" s="14"/>
      <c r="W149" s="15"/>
      <c r="X149" s="15">
        <f>Tabla13[[#This Row],[Uso y acceso Nov/2024]]</f>
        <v>1</v>
      </c>
      <c r="Y149" s="15">
        <f>Tabla58[[#This Row],[Integración Nov/2024]]</f>
        <v>0</v>
      </c>
      <c r="Z149" s="16">
        <f>AVERAGE(Tabla4[[#This Row],[Creación y captura Nov/2024]:[Compartición e Interoperabilidad Nov/2024]])</f>
        <v>0.5</v>
      </c>
      <c r="AA149" s="14"/>
      <c r="AB149" s="14"/>
      <c r="AC149" s="15"/>
      <c r="AD149" s="15">
        <f>Tabla13[[#This Row],[Uso y acceso Dic/2024]]</f>
        <v>1</v>
      </c>
      <c r="AE149" s="15">
        <f>Tabla58[[#This Row],[Integración Dic/2024]]</f>
        <v>0</v>
      </c>
      <c r="AF149" s="16">
        <f>AVERAGE(Tabla4[[#This Row],[Creación y captura Dic/2024]:[Compartición e Interoperabilidad Dic/2024]])</f>
        <v>0.5</v>
      </c>
      <c r="AG149" s="14"/>
      <c r="AH149" s="14"/>
      <c r="AI149" s="15"/>
      <c r="AJ149" s="15">
        <f>Tabla13[[#This Row],[Uso y acceso Ene/2025]]</f>
        <v>1</v>
      </c>
      <c r="AK149" s="15">
        <f>Tabla58[[#This Row],[Integración Ene/2025]]</f>
        <v>0</v>
      </c>
      <c r="AL149" s="16">
        <f>AVERAGE(Tabla4[[#This Row],[Creación y captura Ene/2025]:[Compartición e Interoperabilidad Ene/2025]])</f>
        <v>0.5</v>
      </c>
      <c r="AM149" s="14"/>
      <c r="AN149" s="14"/>
      <c r="AO149" s="15"/>
      <c r="AP149" s="15">
        <f>Tabla13[[#This Row],[Uso y acceso Feb/2025]]</f>
        <v>1</v>
      </c>
      <c r="AQ149" s="15">
        <f>Tabla58[[#This Row],[Integración Feb/2025]]</f>
        <v>0</v>
      </c>
      <c r="AR149" s="16">
        <f>AVERAGE(Tabla4[[#This Row],[Creación y captura Feb/2025]:[Compartición e Interoperabilidad Feb/2025]])</f>
        <v>0.5</v>
      </c>
      <c r="AS149" s="14"/>
      <c r="AT149" s="14"/>
      <c r="AU149" s="15"/>
      <c r="AV149" s="15">
        <f>Tabla13[[#This Row],[Uso y acceso Mar/2025]]</f>
        <v>1</v>
      </c>
      <c r="AW149" s="15">
        <f>Tabla58[[#This Row],[Integración Mar/2025]]</f>
        <v>0</v>
      </c>
      <c r="AX149" s="16">
        <f>AVERAGE(Tabla4[[#This Row],[Creación y captura Mar/2025]:[Compartición e Interoperabilidad Mar/2025]])</f>
        <v>0.5</v>
      </c>
      <c r="AY149" s="14"/>
      <c r="AZ149" s="14"/>
      <c r="BA149" s="15"/>
      <c r="BB149" s="15">
        <f>Tabla13[[#This Row],[Uso y acceso Abr/2025]]</f>
        <v>1</v>
      </c>
      <c r="BC149" s="15">
        <f>Tabla58[[#This Row],[Integración Abr/2025]]</f>
        <v>0</v>
      </c>
      <c r="BD149" s="16">
        <f>AVERAGE(Tabla4[[#This Row],[Creación y captura Abr/2025]:[Compartición e Interoperabilidad Abr/2025]])</f>
        <v>0.5</v>
      </c>
      <c r="BE149" s="14"/>
      <c r="BF149" s="14"/>
      <c r="BG149" s="15"/>
      <c r="BH149" s="15">
        <f>Tabla13[[#This Row],[Uso y acceso May/2025]]</f>
        <v>1</v>
      </c>
      <c r="BI149" s="15">
        <f>Tabla58[[#This Row],[Integración May/2025]]</f>
        <v>0</v>
      </c>
      <c r="BJ149" s="16">
        <f>AVERAGE(Tabla4[[#This Row],[Creación y captura May/2025]:[Compartición e Interoperabilidad May/2025]])</f>
        <v>0.5</v>
      </c>
      <c r="BK149" s="14"/>
      <c r="BL149" s="14"/>
      <c r="BM149" s="14">
        <f>AVERAGE('Calidad de Datos'!AQ153:AT153)</f>
        <v>0.95</v>
      </c>
      <c r="BN149" s="14">
        <f>Tabla13[[#This Row],[Uso y acceso Dic/2025]]</f>
        <v>1</v>
      </c>
      <c r="BO149" s="14">
        <f>Tabla58[[#This Row],[Integración Dic/2025]]</f>
        <v>0.8</v>
      </c>
      <c r="BP149" s="16">
        <f>AVERAGE(Tabla4[[#This Row],[Creación y captura Dic/2025]:[Compartición e Interoperabilidad Dic/2025]])</f>
        <v>0.91666666666666663</v>
      </c>
    </row>
    <row r="150" spans="2:68" x14ac:dyDescent="0.4">
      <c r="B150" s="1" t="s">
        <v>201</v>
      </c>
      <c r="C150" s="14"/>
      <c r="D150" s="14"/>
      <c r="E150" s="14"/>
      <c r="F150" s="14">
        <f>Tabla13[[#This Row],[Uso y acceso Ago/2024]]</f>
        <v>1</v>
      </c>
      <c r="G150" s="15">
        <f>Tabla58[[#This Row],[Integración Ago/2024]]</f>
        <v>0</v>
      </c>
      <c r="H150" s="16">
        <f>AVERAGE(Tabla4[[#This Row],[Creación y captura Ago/2024]:[Compartición e Interoperabilidad Ago/2024]])</f>
        <v>0.5</v>
      </c>
      <c r="I150" s="14"/>
      <c r="J150" s="14"/>
      <c r="K150" s="15"/>
      <c r="L150" s="15">
        <f>Tabla13[[#This Row],[Uso y acceso Sep/2024]]</f>
        <v>1</v>
      </c>
      <c r="M150" s="15">
        <f>Tabla58[[#This Row],[Integración Sep/2024]]</f>
        <v>0</v>
      </c>
      <c r="N150" s="16">
        <f>AVERAGE(Tabla4[[#This Row],[Creación y captura Sep/2024]:[Compartición e Interoperabilidad Sep/2024]])</f>
        <v>0.5</v>
      </c>
      <c r="O150" s="14"/>
      <c r="P150" s="14"/>
      <c r="Q150" s="15"/>
      <c r="R150" s="15">
        <f>Tabla13[[#This Row],[Uso y acceso Oct/2024]]</f>
        <v>1</v>
      </c>
      <c r="S150" s="15">
        <f>Tabla58[[#This Row],[Integración Oct/2024]]</f>
        <v>0</v>
      </c>
      <c r="T150" s="16">
        <f>AVERAGE(Tabla4[[#This Row],[Creación y captura Oct/2024]:[Compartición e Interoperabilidad Oct/2024]])</f>
        <v>0.5</v>
      </c>
      <c r="U150" s="14"/>
      <c r="V150" s="14"/>
      <c r="W150" s="15"/>
      <c r="X150" s="15">
        <f>Tabla13[[#This Row],[Uso y acceso Nov/2024]]</f>
        <v>1</v>
      </c>
      <c r="Y150" s="15">
        <f>Tabla58[[#This Row],[Integración Nov/2024]]</f>
        <v>0</v>
      </c>
      <c r="Z150" s="16">
        <f>AVERAGE(Tabla4[[#This Row],[Creación y captura Nov/2024]:[Compartición e Interoperabilidad Nov/2024]])</f>
        <v>0.5</v>
      </c>
      <c r="AA150" s="14"/>
      <c r="AB150" s="14"/>
      <c r="AC150" s="15"/>
      <c r="AD150" s="15">
        <f>Tabla13[[#This Row],[Uso y acceso Dic/2024]]</f>
        <v>1</v>
      </c>
      <c r="AE150" s="15">
        <f>Tabla58[[#This Row],[Integración Dic/2024]]</f>
        <v>0</v>
      </c>
      <c r="AF150" s="16">
        <f>AVERAGE(Tabla4[[#This Row],[Creación y captura Dic/2024]:[Compartición e Interoperabilidad Dic/2024]])</f>
        <v>0.5</v>
      </c>
      <c r="AG150" s="14"/>
      <c r="AH150" s="14"/>
      <c r="AI150" s="15"/>
      <c r="AJ150" s="15">
        <f>Tabla13[[#This Row],[Uso y acceso Ene/2025]]</f>
        <v>1</v>
      </c>
      <c r="AK150" s="15">
        <f>Tabla58[[#This Row],[Integración Ene/2025]]</f>
        <v>0</v>
      </c>
      <c r="AL150" s="16">
        <f>AVERAGE(Tabla4[[#This Row],[Creación y captura Ene/2025]:[Compartición e Interoperabilidad Ene/2025]])</f>
        <v>0.5</v>
      </c>
      <c r="AM150" s="14"/>
      <c r="AN150" s="14"/>
      <c r="AO150" s="15"/>
      <c r="AP150" s="15">
        <f>Tabla13[[#This Row],[Uso y acceso Feb/2025]]</f>
        <v>1</v>
      </c>
      <c r="AQ150" s="15">
        <f>Tabla58[[#This Row],[Integración Feb/2025]]</f>
        <v>0</v>
      </c>
      <c r="AR150" s="16">
        <f>AVERAGE(Tabla4[[#This Row],[Creación y captura Feb/2025]:[Compartición e Interoperabilidad Feb/2025]])</f>
        <v>0.5</v>
      </c>
      <c r="AS150" s="14"/>
      <c r="AT150" s="14"/>
      <c r="AU150" s="15"/>
      <c r="AV150" s="15">
        <f>Tabla13[[#This Row],[Uso y acceso Mar/2025]]</f>
        <v>1</v>
      </c>
      <c r="AW150" s="15">
        <f>Tabla58[[#This Row],[Integración Mar/2025]]</f>
        <v>0</v>
      </c>
      <c r="AX150" s="16">
        <f>AVERAGE(Tabla4[[#This Row],[Creación y captura Mar/2025]:[Compartición e Interoperabilidad Mar/2025]])</f>
        <v>0.5</v>
      </c>
      <c r="AY150" s="14"/>
      <c r="AZ150" s="14"/>
      <c r="BA150" s="15"/>
      <c r="BB150" s="15">
        <f>Tabla13[[#This Row],[Uso y acceso Abr/2025]]</f>
        <v>1</v>
      </c>
      <c r="BC150" s="15">
        <f>Tabla58[[#This Row],[Integración Abr/2025]]</f>
        <v>0</v>
      </c>
      <c r="BD150" s="16">
        <f>AVERAGE(Tabla4[[#This Row],[Creación y captura Abr/2025]:[Compartición e Interoperabilidad Abr/2025]])</f>
        <v>0.5</v>
      </c>
      <c r="BE150" s="14"/>
      <c r="BF150" s="14"/>
      <c r="BG150" s="15"/>
      <c r="BH150" s="15">
        <f>Tabla13[[#This Row],[Uso y acceso May/2025]]</f>
        <v>1</v>
      </c>
      <c r="BI150" s="15">
        <f>Tabla58[[#This Row],[Integración May/2025]]</f>
        <v>0</v>
      </c>
      <c r="BJ150" s="16">
        <f>AVERAGE(Tabla4[[#This Row],[Creación y captura May/2025]:[Compartición e Interoperabilidad May/2025]])</f>
        <v>0.5</v>
      </c>
      <c r="BK150" s="14"/>
      <c r="BL150" s="14"/>
      <c r="BM150" s="14">
        <f>AVERAGE('Calidad de Datos'!AQ154:AT154)</f>
        <v>0.7</v>
      </c>
      <c r="BN150" s="14">
        <f>Tabla13[[#This Row],[Uso y acceso Dic/2025]]</f>
        <v>1</v>
      </c>
      <c r="BO150" s="14">
        <f>Tabla58[[#This Row],[Integración Dic/2025]]</f>
        <v>0.4</v>
      </c>
      <c r="BP150" s="16">
        <f>AVERAGE(Tabla4[[#This Row],[Creación y captura Dic/2025]:[Compartición e Interoperabilidad Dic/2025]])</f>
        <v>0.70000000000000007</v>
      </c>
    </row>
    <row r="151" spans="2:68" x14ac:dyDescent="0.4">
      <c r="B151" s="1" t="s">
        <v>202</v>
      </c>
      <c r="C151" s="14"/>
      <c r="D151" s="14"/>
      <c r="E151" s="14"/>
      <c r="F151" s="14">
        <f>Tabla13[[#This Row],[Uso y acceso Ago/2024]]</f>
        <v>1</v>
      </c>
      <c r="G151" s="15">
        <f>Tabla58[[#This Row],[Integración Ago/2024]]</f>
        <v>0</v>
      </c>
      <c r="H151" s="16">
        <f>AVERAGE(Tabla4[[#This Row],[Creación y captura Ago/2024]:[Compartición e Interoperabilidad Ago/2024]])</f>
        <v>0.5</v>
      </c>
      <c r="I151" s="14"/>
      <c r="J151" s="14"/>
      <c r="K151" s="15"/>
      <c r="L151" s="15">
        <f>Tabla13[[#This Row],[Uso y acceso Sep/2024]]</f>
        <v>1</v>
      </c>
      <c r="M151" s="15">
        <f>Tabla58[[#This Row],[Integración Sep/2024]]</f>
        <v>0</v>
      </c>
      <c r="N151" s="16">
        <f>AVERAGE(Tabla4[[#This Row],[Creación y captura Sep/2024]:[Compartición e Interoperabilidad Sep/2024]])</f>
        <v>0.5</v>
      </c>
      <c r="O151" s="14"/>
      <c r="P151" s="14"/>
      <c r="Q151" s="15"/>
      <c r="R151" s="15">
        <f>Tabla13[[#This Row],[Uso y acceso Oct/2024]]</f>
        <v>1</v>
      </c>
      <c r="S151" s="15">
        <f>Tabla58[[#This Row],[Integración Oct/2024]]</f>
        <v>0</v>
      </c>
      <c r="T151" s="16">
        <f>AVERAGE(Tabla4[[#This Row],[Creación y captura Oct/2024]:[Compartición e Interoperabilidad Oct/2024]])</f>
        <v>0.5</v>
      </c>
      <c r="U151" s="14"/>
      <c r="V151" s="14"/>
      <c r="W151" s="15"/>
      <c r="X151" s="15">
        <f>Tabla13[[#This Row],[Uso y acceso Nov/2024]]</f>
        <v>1</v>
      </c>
      <c r="Y151" s="15">
        <f>Tabla58[[#This Row],[Integración Nov/2024]]</f>
        <v>0</v>
      </c>
      <c r="Z151" s="16">
        <f>AVERAGE(Tabla4[[#This Row],[Creación y captura Nov/2024]:[Compartición e Interoperabilidad Nov/2024]])</f>
        <v>0.5</v>
      </c>
      <c r="AA151" s="14"/>
      <c r="AB151" s="14"/>
      <c r="AC151" s="15"/>
      <c r="AD151" s="15">
        <f>Tabla13[[#This Row],[Uso y acceso Dic/2024]]</f>
        <v>1</v>
      </c>
      <c r="AE151" s="15">
        <f>Tabla58[[#This Row],[Integración Dic/2024]]</f>
        <v>0</v>
      </c>
      <c r="AF151" s="16">
        <f>AVERAGE(Tabla4[[#This Row],[Creación y captura Dic/2024]:[Compartición e Interoperabilidad Dic/2024]])</f>
        <v>0.5</v>
      </c>
      <c r="AG151" s="14"/>
      <c r="AH151" s="14"/>
      <c r="AI151" s="15"/>
      <c r="AJ151" s="15">
        <f>Tabla13[[#This Row],[Uso y acceso Ene/2025]]</f>
        <v>1</v>
      </c>
      <c r="AK151" s="15">
        <f>Tabla58[[#This Row],[Integración Ene/2025]]</f>
        <v>0</v>
      </c>
      <c r="AL151" s="16">
        <f>AVERAGE(Tabla4[[#This Row],[Creación y captura Ene/2025]:[Compartición e Interoperabilidad Ene/2025]])</f>
        <v>0.5</v>
      </c>
      <c r="AM151" s="14"/>
      <c r="AN151" s="14"/>
      <c r="AO151" s="15"/>
      <c r="AP151" s="15">
        <f>Tabla13[[#This Row],[Uso y acceso Feb/2025]]</f>
        <v>1</v>
      </c>
      <c r="AQ151" s="15">
        <f>Tabla58[[#This Row],[Integración Feb/2025]]</f>
        <v>0</v>
      </c>
      <c r="AR151" s="16">
        <f>AVERAGE(Tabla4[[#This Row],[Creación y captura Feb/2025]:[Compartición e Interoperabilidad Feb/2025]])</f>
        <v>0.5</v>
      </c>
      <c r="AS151" s="14"/>
      <c r="AT151" s="14"/>
      <c r="AU151" s="15"/>
      <c r="AV151" s="15">
        <f>Tabla13[[#This Row],[Uso y acceso Mar/2025]]</f>
        <v>1</v>
      </c>
      <c r="AW151" s="15">
        <f>Tabla58[[#This Row],[Integración Mar/2025]]</f>
        <v>0</v>
      </c>
      <c r="AX151" s="16">
        <f>AVERAGE(Tabla4[[#This Row],[Creación y captura Mar/2025]:[Compartición e Interoperabilidad Mar/2025]])</f>
        <v>0.5</v>
      </c>
      <c r="AY151" s="14"/>
      <c r="AZ151" s="14"/>
      <c r="BA151" s="15"/>
      <c r="BB151" s="15">
        <f>Tabla13[[#This Row],[Uso y acceso Abr/2025]]</f>
        <v>1</v>
      </c>
      <c r="BC151" s="15">
        <f>Tabla58[[#This Row],[Integración Abr/2025]]</f>
        <v>0</v>
      </c>
      <c r="BD151" s="16">
        <f>AVERAGE(Tabla4[[#This Row],[Creación y captura Abr/2025]:[Compartición e Interoperabilidad Abr/2025]])</f>
        <v>0.5</v>
      </c>
      <c r="BE151" s="14"/>
      <c r="BF151" s="14"/>
      <c r="BG151" s="15"/>
      <c r="BH151" s="15">
        <f>Tabla13[[#This Row],[Uso y acceso May/2025]]</f>
        <v>1</v>
      </c>
      <c r="BI151" s="15">
        <f>Tabla58[[#This Row],[Integración May/2025]]</f>
        <v>0</v>
      </c>
      <c r="BJ151" s="16">
        <f>AVERAGE(Tabla4[[#This Row],[Creación y captura May/2025]:[Compartición e Interoperabilidad May/2025]])</f>
        <v>0.5</v>
      </c>
      <c r="BK151" s="14">
        <v>1</v>
      </c>
      <c r="BL151" s="14">
        <v>1</v>
      </c>
      <c r="BM151" s="14">
        <f>AVERAGE('Calidad de Datos'!AQ155:AT155)</f>
        <v>1</v>
      </c>
      <c r="BN151" s="14">
        <f>Tabla13[[#This Row],[Uso y acceso Dic/2025]]</f>
        <v>1</v>
      </c>
      <c r="BO151" s="14">
        <f>Tabla58[[#This Row],[Integración Dic/2025]]</f>
        <v>1</v>
      </c>
      <c r="BP151" s="16">
        <f>AVERAGE(Tabla4[[#This Row],[Creación y captura Dic/2025]:[Compartición e Interoperabilidad Dic/2025]])</f>
        <v>1</v>
      </c>
    </row>
    <row r="152" spans="2:68" x14ac:dyDescent="0.4">
      <c r="B152" s="1" t="s">
        <v>203</v>
      </c>
      <c r="C152" s="14"/>
      <c r="D152" s="14"/>
      <c r="E152" s="14"/>
      <c r="F152" s="14">
        <f>Tabla13[[#This Row],[Uso y acceso Ago/2024]]</f>
        <v>1</v>
      </c>
      <c r="G152" s="15">
        <f>Tabla58[[#This Row],[Integración Ago/2024]]</f>
        <v>0</v>
      </c>
      <c r="H152" s="16">
        <f>AVERAGE(Tabla4[[#This Row],[Creación y captura Ago/2024]:[Compartición e Interoperabilidad Ago/2024]])</f>
        <v>0.5</v>
      </c>
      <c r="I152" s="14"/>
      <c r="J152" s="14"/>
      <c r="K152" s="15"/>
      <c r="L152" s="15">
        <f>Tabla13[[#This Row],[Uso y acceso Sep/2024]]</f>
        <v>1</v>
      </c>
      <c r="M152" s="15">
        <f>Tabla58[[#This Row],[Integración Sep/2024]]</f>
        <v>0</v>
      </c>
      <c r="N152" s="16">
        <f>AVERAGE(Tabla4[[#This Row],[Creación y captura Sep/2024]:[Compartición e Interoperabilidad Sep/2024]])</f>
        <v>0.5</v>
      </c>
      <c r="O152" s="14"/>
      <c r="P152" s="14"/>
      <c r="Q152" s="15"/>
      <c r="R152" s="15">
        <f>Tabla13[[#This Row],[Uso y acceso Oct/2024]]</f>
        <v>1</v>
      </c>
      <c r="S152" s="15">
        <f>Tabla58[[#This Row],[Integración Oct/2024]]</f>
        <v>0</v>
      </c>
      <c r="T152" s="16">
        <f>AVERAGE(Tabla4[[#This Row],[Creación y captura Oct/2024]:[Compartición e Interoperabilidad Oct/2024]])</f>
        <v>0.5</v>
      </c>
      <c r="U152" s="14"/>
      <c r="V152" s="14"/>
      <c r="W152" s="15"/>
      <c r="X152" s="15">
        <f>Tabla13[[#This Row],[Uso y acceso Nov/2024]]</f>
        <v>1</v>
      </c>
      <c r="Y152" s="15">
        <f>Tabla58[[#This Row],[Integración Nov/2024]]</f>
        <v>0</v>
      </c>
      <c r="Z152" s="16">
        <f>AVERAGE(Tabla4[[#This Row],[Creación y captura Nov/2024]:[Compartición e Interoperabilidad Nov/2024]])</f>
        <v>0.5</v>
      </c>
      <c r="AA152" s="14"/>
      <c r="AB152" s="14"/>
      <c r="AC152" s="15"/>
      <c r="AD152" s="15">
        <f>Tabla13[[#This Row],[Uso y acceso Dic/2024]]</f>
        <v>1</v>
      </c>
      <c r="AE152" s="15">
        <f>Tabla58[[#This Row],[Integración Dic/2024]]</f>
        <v>0</v>
      </c>
      <c r="AF152" s="16">
        <f>AVERAGE(Tabla4[[#This Row],[Creación y captura Dic/2024]:[Compartición e Interoperabilidad Dic/2024]])</f>
        <v>0.5</v>
      </c>
      <c r="AG152" s="14"/>
      <c r="AH152" s="14"/>
      <c r="AI152" s="15"/>
      <c r="AJ152" s="15">
        <f>Tabla13[[#This Row],[Uso y acceso Ene/2025]]</f>
        <v>1</v>
      </c>
      <c r="AK152" s="15">
        <f>Tabla58[[#This Row],[Integración Ene/2025]]</f>
        <v>0</v>
      </c>
      <c r="AL152" s="16">
        <f>AVERAGE(Tabla4[[#This Row],[Creación y captura Ene/2025]:[Compartición e Interoperabilidad Ene/2025]])</f>
        <v>0.5</v>
      </c>
      <c r="AM152" s="14"/>
      <c r="AN152" s="14"/>
      <c r="AO152" s="15"/>
      <c r="AP152" s="15">
        <f>Tabla13[[#This Row],[Uso y acceso Feb/2025]]</f>
        <v>1</v>
      </c>
      <c r="AQ152" s="15">
        <f>Tabla58[[#This Row],[Integración Feb/2025]]</f>
        <v>0</v>
      </c>
      <c r="AR152" s="16">
        <f>AVERAGE(Tabla4[[#This Row],[Creación y captura Feb/2025]:[Compartición e Interoperabilidad Feb/2025]])</f>
        <v>0.5</v>
      </c>
      <c r="AS152" s="14"/>
      <c r="AT152" s="14"/>
      <c r="AU152" s="15"/>
      <c r="AV152" s="15">
        <f>Tabla13[[#This Row],[Uso y acceso Mar/2025]]</f>
        <v>1</v>
      </c>
      <c r="AW152" s="15">
        <f>Tabla58[[#This Row],[Integración Mar/2025]]</f>
        <v>0</v>
      </c>
      <c r="AX152" s="16">
        <f>AVERAGE(Tabla4[[#This Row],[Creación y captura Mar/2025]:[Compartición e Interoperabilidad Mar/2025]])</f>
        <v>0.5</v>
      </c>
      <c r="AY152" s="14"/>
      <c r="AZ152" s="14"/>
      <c r="BA152" s="15"/>
      <c r="BB152" s="15">
        <f>Tabla13[[#This Row],[Uso y acceso Abr/2025]]</f>
        <v>1</v>
      </c>
      <c r="BC152" s="15">
        <f>Tabla58[[#This Row],[Integración Abr/2025]]</f>
        <v>0</v>
      </c>
      <c r="BD152" s="16">
        <f>AVERAGE(Tabla4[[#This Row],[Creación y captura Abr/2025]:[Compartición e Interoperabilidad Abr/2025]])</f>
        <v>0.5</v>
      </c>
      <c r="BE152" s="14"/>
      <c r="BF152" s="14"/>
      <c r="BG152" s="15"/>
      <c r="BH152" s="15">
        <f>Tabla13[[#This Row],[Uso y acceso May/2025]]</f>
        <v>1</v>
      </c>
      <c r="BI152" s="15">
        <f>Tabla58[[#This Row],[Integración May/2025]]</f>
        <v>0</v>
      </c>
      <c r="BJ152" s="16">
        <f>AVERAGE(Tabla4[[#This Row],[Creación y captura May/2025]:[Compartición e Interoperabilidad May/2025]])</f>
        <v>0.5</v>
      </c>
      <c r="BK152" s="14">
        <v>1</v>
      </c>
      <c r="BL152" s="14">
        <v>1</v>
      </c>
      <c r="BM152" s="14">
        <f>AVERAGE('Calidad de Datos'!AQ156:AT156)</f>
        <v>1</v>
      </c>
      <c r="BN152" s="14">
        <f>Tabla13[[#This Row],[Uso y acceso Dic/2025]]</f>
        <v>1</v>
      </c>
      <c r="BO152" s="14">
        <f>Tabla58[[#This Row],[Integración Dic/2025]]</f>
        <v>1</v>
      </c>
      <c r="BP152" s="16">
        <f>AVERAGE(Tabla4[[#This Row],[Creación y captura Dic/2025]:[Compartición e Interoperabilidad Dic/2025]])</f>
        <v>1</v>
      </c>
    </row>
    <row r="153" spans="2:68" x14ac:dyDescent="0.4">
      <c r="B153" s="1" t="s">
        <v>204</v>
      </c>
      <c r="C153" s="14"/>
      <c r="D153" s="14"/>
      <c r="E153" s="14"/>
      <c r="F153" s="14">
        <f>Tabla13[[#This Row],[Uso y acceso Ago/2024]]</f>
        <v>1</v>
      </c>
      <c r="G153" s="15">
        <f>Tabla58[[#This Row],[Integración Ago/2024]]</f>
        <v>0</v>
      </c>
      <c r="H153" s="16">
        <f>AVERAGE(Tabla4[[#This Row],[Creación y captura Ago/2024]:[Compartición e Interoperabilidad Ago/2024]])</f>
        <v>0.5</v>
      </c>
      <c r="I153" s="14"/>
      <c r="J153" s="14"/>
      <c r="K153" s="15"/>
      <c r="L153" s="15">
        <f>Tabla13[[#This Row],[Uso y acceso Sep/2024]]</f>
        <v>1</v>
      </c>
      <c r="M153" s="15">
        <f>Tabla58[[#This Row],[Integración Sep/2024]]</f>
        <v>0</v>
      </c>
      <c r="N153" s="16">
        <f>AVERAGE(Tabla4[[#This Row],[Creación y captura Sep/2024]:[Compartición e Interoperabilidad Sep/2024]])</f>
        <v>0.5</v>
      </c>
      <c r="O153" s="14"/>
      <c r="P153" s="14"/>
      <c r="Q153" s="15"/>
      <c r="R153" s="15">
        <f>Tabla13[[#This Row],[Uso y acceso Oct/2024]]</f>
        <v>1</v>
      </c>
      <c r="S153" s="15">
        <f>Tabla58[[#This Row],[Integración Oct/2024]]</f>
        <v>0</v>
      </c>
      <c r="T153" s="16">
        <f>AVERAGE(Tabla4[[#This Row],[Creación y captura Oct/2024]:[Compartición e Interoperabilidad Oct/2024]])</f>
        <v>0.5</v>
      </c>
      <c r="U153" s="14"/>
      <c r="V153" s="14"/>
      <c r="W153" s="15"/>
      <c r="X153" s="15">
        <f>Tabla13[[#This Row],[Uso y acceso Nov/2024]]</f>
        <v>1</v>
      </c>
      <c r="Y153" s="15">
        <f>Tabla58[[#This Row],[Integración Nov/2024]]</f>
        <v>0</v>
      </c>
      <c r="Z153" s="16">
        <f>AVERAGE(Tabla4[[#This Row],[Creación y captura Nov/2024]:[Compartición e Interoperabilidad Nov/2024]])</f>
        <v>0.5</v>
      </c>
      <c r="AA153" s="14"/>
      <c r="AB153" s="14"/>
      <c r="AC153" s="15"/>
      <c r="AD153" s="15">
        <f>Tabla13[[#This Row],[Uso y acceso Dic/2024]]</f>
        <v>1</v>
      </c>
      <c r="AE153" s="15">
        <f>Tabla58[[#This Row],[Integración Dic/2024]]</f>
        <v>0</v>
      </c>
      <c r="AF153" s="16">
        <f>AVERAGE(Tabla4[[#This Row],[Creación y captura Dic/2024]:[Compartición e Interoperabilidad Dic/2024]])</f>
        <v>0.5</v>
      </c>
      <c r="AG153" s="14"/>
      <c r="AH153" s="14"/>
      <c r="AI153" s="15"/>
      <c r="AJ153" s="15">
        <f>Tabla13[[#This Row],[Uso y acceso Ene/2025]]</f>
        <v>1</v>
      </c>
      <c r="AK153" s="15">
        <f>Tabla58[[#This Row],[Integración Ene/2025]]</f>
        <v>0</v>
      </c>
      <c r="AL153" s="16">
        <f>AVERAGE(Tabla4[[#This Row],[Creación y captura Ene/2025]:[Compartición e Interoperabilidad Ene/2025]])</f>
        <v>0.5</v>
      </c>
      <c r="AM153" s="14"/>
      <c r="AN153" s="14"/>
      <c r="AO153" s="15"/>
      <c r="AP153" s="15">
        <f>Tabla13[[#This Row],[Uso y acceso Feb/2025]]</f>
        <v>1</v>
      </c>
      <c r="AQ153" s="15">
        <f>Tabla58[[#This Row],[Integración Feb/2025]]</f>
        <v>0</v>
      </c>
      <c r="AR153" s="16">
        <f>AVERAGE(Tabla4[[#This Row],[Creación y captura Feb/2025]:[Compartición e Interoperabilidad Feb/2025]])</f>
        <v>0.5</v>
      </c>
      <c r="AS153" s="14"/>
      <c r="AT153" s="14"/>
      <c r="AU153" s="15"/>
      <c r="AV153" s="15">
        <f>Tabla13[[#This Row],[Uso y acceso Mar/2025]]</f>
        <v>1</v>
      </c>
      <c r="AW153" s="15">
        <f>Tabla58[[#This Row],[Integración Mar/2025]]</f>
        <v>0</v>
      </c>
      <c r="AX153" s="16">
        <f>AVERAGE(Tabla4[[#This Row],[Creación y captura Mar/2025]:[Compartición e Interoperabilidad Mar/2025]])</f>
        <v>0.5</v>
      </c>
      <c r="AY153" s="14"/>
      <c r="AZ153" s="14"/>
      <c r="BA153" s="15"/>
      <c r="BB153" s="15">
        <f>Tabla13[[#This Row],[Uso y acceso Abr/2025]]</f>
        <v>1</v>
      </c>
      <c r="BC153" s="15">
        <f>Tabla58[[#This Row],[Integración Abr/2025]]</f>
        <v>0</v>
      </c>
      <c r="BD153" s="16">
        <f>AVERAGE(Tabla4[[#This Row],[Creación y captura Abr/2025]:[Compartición e Interoperabilidad Abr/2025]])</f>
        <v>0.5</v>
      </c>
      <c r="BE153" s="14"/>
      <c r="BF153" s="14"/>
      <c r="BG153" s="15"/>
      <c r="BH153" s="15">
        <f>Tabla13[[#This Row],[Uso y acceso May/2025]]</f>
        <v>1</v>
      </c>
      <c r="BI153" s="15">
        <f>Tabla58[[#This Row],[Integración May/2025]]</f>
        <v>0</v>
      </c>
      <c r="BJ153" s="16">
        <f>AVERAGE(Tabla4[[#This Row],[Creación y captura May/2025]:[Compartición e Interoperabilidad May/2025]])</f>
        <v>0.5</v>
      </c>
      <c r="BK153" s="14">
        <v>1</v>
      </c>
      <c r="BL153" s="14">
        <v>1</v>
      </c>
      <c r="BM153" s="14">
        <f>AVERAGE('Calidad de Datos'!AQ157:AT157)</f>
        <v>1</v>
      </c>
      <c r="BN153" s="14">
        <f>Tabla13[[#This Row],[Uso y acceso Dic/2025]]</f>
        <v>1</v>
      </c>
      <c r="BO153" s="14">
        <f>Tabla58[[#This Row],[Integración Dic/2025]]</f>
        <v>1</v>
      </c>
      <c r="BP153" s="16">
        <f>AVERAGE(Tabla4[[#This Row],[Creación y captura Dic/2025]:[Compartición e Interoperabilidad Dic/2025]])</f>
        <v>1</v>
      </c>
    </row>
    <row r="154" spans="2:68" x14ac:dyDescent="0.4">
      <c r="B154" s="4" t="s">
        <v>205</v>
      </c>
      <c r="C154" s="14"/>
      <c r="D154" s="14"/>
      <c r="E154" s="14"/>
      <c r="F154" s="14">
        <f>Tabla13[[#This Row],[Uso y acceso Ago/2024]]</f>
        <v>1</v>
      </c>
      <c r="G154" s="15">
        <f>Tabla58[[#This Row],[Integración Ago/2024]]</f>
        <v>0</v>
      </c>
      <c r="H154" s="16">
        <f>AVERAGE(Tabla4[[#This Row],[Creación y captura Ago/2024]:[Compartición e Interoperabilidad Ago/2024]])</f>
        <v>0.5</v>
      </c>
      <c r="I154" s="14"/>
      <c r="J154" s="14"/>
      <c r="K154" s="15"/>
      <c r="L154" s="15">
        <f>Tabla13[[#This Row],[Uso y acceso Sep/2024]]</f>
        <v>1</v>
      </c>
      <c r="M154" s="15">
        <f>Tabla58[[#This Row],[Integración Sep/2024]]</f>
        <v>0</v>
      </c>
      <c r="N154" s="16">
        <f>AVERAGE(Tabla4[[#This Row],[Creación y captura Sep/2024]:[Compartición e Interoperabilidad Sep/2024]])</f>
        <v>0.5</v>
      </c>
      <c r="O154" s="14"/>
      <c r="P154" s="14"/>
      <c r="Q154" s="15"/>
      <c r="R154" s="15">
        <f>Tabla13[[#This Row],[Uso y acceso Oct/2024]]</f>
        <v>1</v>
      </c>
      <c r="S154" s="15">
        <f>Tabla58[[#This Row],[Integración Oct/2024]]</f>
        <v>0</v>
      </c>
      <c r="T154" s="16">
        <f>AVERAGE(Tabla4[[#This Row],[Creación y captura Oct/2024]:[Compartición e Interoperabilidad Oct/2024]])</f>
        <v>0.5</v>
      </c>
      <c r="U154" s="14"/>
      <c r="V154" s="14"/>
      <c r="W154" s="15"/>
      <c r="X154" s="15">
        <f>Tabla13[[#This Row],[Uso y acceso Nov/2024]]</f>
        <v>1</v>
      </c>
      <c r="Y154" s="15">
        <f>Tabla58[[#This Row],[Integración Nov/2024]]</f>
        <v>0</v>
      </c>
      <c r="Z154" s="16">
        <f>AVERAGE(Tabla4[[#This Row],[Creación y captura Nov/2024]:[Compartición e Interoperabilidad Nov/2024]])</f>
        <v>0.5</v>
      </c>
      <c r="AA154" s="14"/>
      <c r="AB154" s="14"/>
      <c r="AC154" s="15"/>
      <c r="AD154" s="15">
        <f>Tabla13[[#This Row],[Uso y acceso Dic/2024]]</f>
        <v>1</v>
      </c>
      <c r="AE154" s="15">
        <f>Tabla58[[#This Row],[Integración Dic/2024]]</f>
        <v>0</v>
      </c>
      <c r="AF154" s="16">
        <f>AVERAGE(Tabla4[[#This Row],[Creación y captura Dic/2024]:[Compartición e Interoperabilidad Dic/2024]])</f>
        <v>0.5</v>
      </c>
      <c r="AG154" s="14"/>
      <c r="AH154" s="14"/>
      <c r="AI154" s="15"/>
      <c r="AJ154" s="15">
        <f>Tabla13[[#This Row],[Uso y acceso Ene/2025]]</f>
        <v>1</v>
      </c>
      <c r="AK154" s="15">
        <f>Tabla58[[#This Row],[Integración Ene/2025]]</f>
        <v>0</v>
      </c>
      <c r="AL154" s="16">
        <f>AVERAGE(Tabla4[[#This Row],[Creación y captura Ene/2025]:[Compartición e Interoperabilidad Ene/2025]])</f>
        <v>0.5</v>
      </c>
      <c r="AM154" s="14"/>
      <c r="AN154" s="14"/>
      <c r="AO154" s="15"/>
      <c r="AP154" s="15">
        <f>Tabla13[[#This Row],[Uso y acceso Feb/2025]]</f>
        <v>1</v>
      </c>
      <c r="AQ154" s="15">
        <f>Tabla58[[#This Row],[Integración Feb/2025]]</f>
        <v>0</v>
      </c>
      <c r="AR154" s="16">
        <f>AVERAGE(Tabla4[[#This Row],[Creación y captura Feb/2025]:[Compartición e Interoperabilidad Feb/2025]])</f>
        <v>0.5</v>
      </c>
      <c r="AS154" s="14"/>
      <c r="AT154" s="14"/>
      <c r="AU154" s="15"/>
      <c r="AV154" s="15">
        <f>Tabla13[[#This Row],[Uso y acceso Mar/2025]]</f>
        <v>1</v>
      </c>
      <c r="AW154" s="15">
        <f>Tabla58[[#This Row],[Integración Mar/2025]]</f>
        <v>0</v>
      </c>
      <c r="AX154" s="16">
        <f>AVERAGE(Tabla4[[#This Row],[Creación y captura Mar/2025]:[Compartición e Interoperabilidad Mar/2025]])</f>
        <v>0.5</v>
      </c>
      <c r="AY154" s="14"/>
      <c r="AZ154" s="14"/>
      <c r="BA154" s="15"/>
      <c r="BB154" s="15">
        <f>Tabla13[[#This Row],[Uso y acceso Abr/2025]]</f>
        <v>1</v>
      </c>
      <c r="BC154" s="15">
        <f>Tabla58[[#This Row],[Integración Abr/2025]]</f>
        <v>0</v>
      </c>
      <c r="BD154" s="16">
        <f>AVERAGE(Tabla4[[#This Row],[Creación y captura Abr/2025]:[Compartición e Interoperabilidad Abr/2025]])</f>
        <v>0.5</v>
      </c>
      <c r="BE154" s="14"/>
      <c r="BF154" s="14"/>
      <c r="BG154" s="15"/>
      <c r="BH154" s="15">
        <f>Tabla13[[#This Row],[Uso y acceso May/2025]]</f>
        <v>1</v>
      </c>
      <c r="BI154" s="15">
        <f>Tabla58[[#This Row],[Integración May/2025]]</f>
        <v>0</v>
      </c>
      <c r="BJ154" s="16">
        <f>AVERAGE(Tabla4[[#This Row],[Creación y captura May/2025]:[Compartición e Interoperabilidad May/2025]])</f>
        <v>0.5</v>
      </c>
      <c r="BK154" s="14"/>
      <c r="BL154" s="14"/>
      <c r="BM154" s="14">
        <f>AVERAGE('Calidad de Datos'!AQ158:AT158)</f>
        <v>0.9</v>
      </c>
      <c r="BN154" s="14">
        <f>Tabla13[[#This Row],[Uso y acceso Dic/2025]]</f>
        <v>1</v>
      </c>
      <c r="BO154" s="14">
        <f>Tabla58[[#This Row],[Integración Dic/2025]]</f>
        <v>0.6</v>
      </c>
      <c r="BP154" s="16">
        <f>AVERAGE(Tabla4[[#This Row],[Creación y captura Dic/2025]:[Compartición e Interoperabilidad Dic/2025]])</f>
        <v>0.83333333333333337</v>
      </c>
    </row>
    <row r="155" spans="2:68" x14ac:dyDescent="0.4">
      <c r="B155" s="1" t="s">
        <v>206</v>
      </c>
      <c r="C155" s="14"/>
      <c r="D155" s="14"/>
      <c r="E155" s="14"/>
      <c r="F155" s="14">
        <f>Tabla13[[#This Row],[Uso y acceso Ago/2024]]</f>
        <v>0.8</v>
      </c>
      <c r="G155" s="15">
        <f>Tabla58[[#This Row],[Integración Ago/2024]]</f>
        <v>0</v>
      </c>
      <c r="H155" s="16">
        <f>AVERAGE(Tabla4[[#This Row],[Creación y captura Ago/2024]:[Compartición e Interoperabilidad Ago/2024]])</f>
        <v>0.4</v>
      </c>
      <c r="I155" s="14"/>
      <c r="J155" s="14"/>
      <c r="K155" s="15"/>
      <c r="L155" s="15">
        <f>Tabla13[[#This Row],[Uso y acceso Sep/2024]]</f>
        <v>0.8</v>
      </c>
      <c r="M155" s="15">
        <f>Tabla58[[#This Row],[Integración Sep/2024]]</f>
        <v>0</v>
      </c>
      <c r="N155" s="16">
        <f>AVERAGE(Tabla4[[#This Row],[Creación y captura Sep/2024]:[Compartición e Interoperabilidad Sep/2024]])</f>
        <v>0.4</v>
      </c>
      <c r="O155" s="14"/>
      <c r="P155" s="14"/>
      <c r="Q155" s="15"/>
      <c r="R155" s="15">
        <f>Tabla13[[#This Row],[Uso y acceso Oct/2024]]</f>
        <v>0.8</v>
      </c>
      <c r="S155" s="15">
        <f>Tabla58[[#This Row],[Integración Oct/2024]]</f>
        <v>0</v>
      </c>
      <c r="T155" s="16">
        <f>AVERAGE(Tabla4[[#This Row],[Creación y captura Oct/2024]:[Compartición e Interoperabilidad Oct/2024]])</f>
        <v>0.4</v>
      </c>
      <c r="U155" s="14"/>
      <c r="V155" s="14"/>
      <c r="W155" s="15"/>
      <c r="X155" s="15">
        <f>Tabla13[[#This Row],[Uso y acceso Nov/2024]]</f>
        <v>0.8</v>
      </c>
      <c r="Y155" s="15">
        <f>Tabla58[[#This Row],[Integración Nov/2024]]</f>
        <v>0</v>
      </c>
      <c r="Z155" s="16">
        <f>AVERAGE(Tabla4[[#This Row],[Creación y captura Nov/2024]:[Compartición e Interoperabilidad Nov/2024]])</f>
        <v>0.4</v>
      </c>
      <c r="AA155" s="14"/>
      <c r="AB155" s="14"/>
      <c r="AC155" s="15"/>
      <c r="AD155" s="15">
        <f>Tabla13[[#This Row],[Uso y acceso Dic/2024]]</f>
        <v>0.8</v>
      </c>
      <c r="AE155" s="15">
        <f>Tabla58[[#This Row],[Integración Dic/2024]]</f>
        <v>0</v>
      </c>
      <c r="AF155" s="16">
        <f>AVERAGE(Tabla4[[#This Row],[Creación y captura Dic/2024]:[Compartición e Interoperabilidad Dic/2024]])</f>
        <v>0.4</v>
      </c>
      <c r="AG155" s="14"/>
      <c r="AH155" s="14"/>
      <c r="AI155" s="15"/>
      <c r="AJ155" s="15">
        <f>Tabla13[[#This Row],[Uso y acceso Ene/2025]]</f>
        <v>0.8</v>
      </c>
      <c r="AK155" s="15">
        <f>Tabla58[[#This Row],[Integración Ene/2025]]</f>
        <v>0</v>
      </c>
      <c r="AL155" s="16">
        <f>AVERAGE(Tabla4[[#This Row],[Creación y captura Ene/2025]:[Compartición e Interoperabilidad Ene/2025]])</f>
        <v>0.4</v>
      </c>
      <c r="AM155" s="14"/>
      <c r="AN155" s="14"/>
      <c r="AO155" s="15"/>
      <c r="AP155" s="15">
        <f>Tabla13[[#This Row],[Uso y acceso Feb/2025]]</f>
        <v>0.8</v>
      </c>
      <c r="AQ155" s="15">
        <f>Tabla58[[#This Row],[Integración Feb/2025]]</f>
        <v>0</v>
      </c>
      <c r="AR155" s="16">
        <f>AVERAGE(Tabla4[[#This Row],[Creación y captura Feb/2025]:[Compartición e Interoperabilidad Feb/2025]])</f>
        <v>0.4</v>
      </c>
      <c r="AS155" s="14"/>
      <c r="AT155" s="14"/>
      <c r="AU155" s="15"/>
      <c r="AV155" s="15">
        <f>Tabla13[[#This Row],[Uso y acceso Mar/2025]]</f>
        <v>0.8</v>
      </c>
      <c r="AW155" s="15">
        <f>Tabla58[[#This Row],[Integración Mar/2025]]</f>
        <v>0</v>
      </c>
      <c r="AX155" s="16">
        <f>AVERAGE(Tabla4[[#This Row],[Creación y captura Mar/2025]:[Compartición e Interoperabilidad Mar/2025]])</f>
        <v>0.4</v>
      </c>
      <c r="AY155" s="14"/>
      <c r="AZ155" s="14"/>
      <c r="BA155" s="15"/>
      <c r="BB155" s="15">
        <f>Tabla13[[#This Row],[Uso y acceso Abr/2025]]</f>
        <v>0.8</v>
      </c>
      <c r="BC155" s="15">
        <f>Tabla58[[#This Row],[Integración Abr/2025]]</f>
        <v>0</v>
      </c>
      <c r="BD155" s="16">
        <f>AVERAGE(Tabla4[[#This Row],[Creación y captura Abr/2025]:[Compartición e Interoperabilidad Abr/2025]])</f>
        <v>0.4</v>
      </c>
      <c r="BE155" s="14">
        <v>0.8</v>
      </c>
      <c r="BF155" s="14">
        <v>0.5</v>
      </c>
      <c r="BG155" s="17">
        <f>AVERAGE('Calidad de Datos'!AM159:AP159)</f>
        <v>1</v>
      </c>
      <c r="BH155" s="15">
        <f>Tabla13[[#This Row],[Uso y acceso May/2025]]</f>
        <v>0.8</v>
      </c>
      <c r="BI155" s="15">
        <f>Tabla58[[#This Row],[Integración May/2025]]</f>
        <v>0.3</v>
      </c>
      <c r="BJ155" s="16">
        <f>AVERAGE(Tabla4[[#This Row],[Creación y captura May/2025]:[Compartición e Interoperabilidad May/2025]])</f>
        <v>0.67999999999999994</v>
      </c>
      <c r="BK155" s="14">
        <v>1</v>
      </c>
      <c r="BL155" s="14">
        <v>1</v>
      </c>
      <c r="BM155" s="14">
        <f>AVERAGE('Calidad de Datos'!AQ159:AT159)</f>
        <v>1</v>
      </c>
      <c r="BN155" s="14">
        <f>Tabla13[[#This Row],[Uso y acceso Dic/2025]]</f>
        <v>1</v>
      </c>
      <c r="BO155" s="14">
        <f>Tabla58[[#This Row],[Integración Dic/2025]]</f>
        <v>1</v>
      </c>
      <c r="BP155" s="16">
        <f>AVERAGE(Tabla4[[#This Row],[Creación y captura Dic/2025]:[Compartición e Interoperabilidad Dic/2025]])</f>
        <v>1</v>
      </c>
    </row>
    <row r="156" spans="2:68" x14ac:dyDescent="0.4">
      <c r="B156" s="1" t="s">
        <v>207</v>
      </c>
      <c r="C156" s="14"/>
      <c r="D156" s="14"/>
      <c r="E156" s="14"/>
      <c r="F156" s="14">
        <f>Tabla13[[#This Row],[Uso y acceso Ago/2024]]</f>
        <v>0.8</v>
      </c>
      <c r="G156" s="15">
        <f>Tabla58[[#This Row],[Integración Ago/2024]]</f>
        <v>0</v>
      </c>
      <c r="H156" s="16">
        <f>AVERAGE(Tabla4[[#This Row],[Creación y captura Ago/2024]:[Compartición e Interoperabilidad Ago/2024]])</f>
        <v>0.4</v>
      </c>
      <c r="I156" s="14"/>
      <c r="J156" s="14"/>
      <c r="K156" s="15"/>
      <c r="L156" s="15">
        <f>Tabla13[[#This Row],[Uso y acceso Sep/2024]]</f>
        <v>0.8</v>
      </c>
      <c r="M156" s="15">
        <f>Tabla58[[#This Row],[Integración Sep/2024]]</f>
        <v>0</v>
      </c>
      <c r="N156" s="16">
        <f>AVERAGE(Tabla4[[#This Row],[Creación y captura Sep/2024]:[Compartición e Interoperabilidad Sep/2024]])</f>
        <v>0.4</v>
      </c>
      <c r="O156" s="14"/>
      <c r="P156" s="14"/>
      <c r="Q156" s="15"/>
      <c r="R156" s="15">
        <f>Tabla13[[#This Row],[Uso y acceso Oct/2024]]</f>
        <v>0.8</v>
      </c>
      <c r="S156" s="15">
        <f>Tabla58[[#This Row],[Integración Oct/2024]]</f>
        <v>0</v>
      </c>
      <c r="T156" s="16">
        <f>AVERAGE(Tabla4[[#This Row],[Creación y captura Oct/2024]:[Compartición e Interoperabilidad Oct/2024]])</f>
        <v>0.4</v>
      </c>
      <c r="U156" s="14"/>
      <c r="V156" s="14"/>
      <c r="W156" s="15"/>
      <c r="X156" s="15">
        <f>Tabla13[[#This Row],[Uso y acceso Nov/2024]]</f>
        <v>0.8</v>
      </c>
      <c r="Y156" s="15">
        <f>Tabla58[[#This Row],[Integración Nov/2024]]</f>
        <v>0</v>
      </c>
      <c r="Z156" s="16">
        <f>AVERAGE(Tabla4[[#This Row],[Creación y captura Nov/2024]:[Compartición e Interoperabilidad Nov/2024]])</f>
        <v>0.4</v>
      </c>
      <c r="AA156" s="14"/>
      <c r="AB156" s="14"/>
      <c r="AC156" s="15"/>
      <c r="AD156" s="15">
        <f>Tabla13[[#This Row],[Uso y acceso Dic/2024]]</f>
        <v>0.8</v>
      </c>
      <c r="AE156" s="15">
        <f>Tabla58[[#This Row],[Integración Dic/2024]]</f>
        <v>0</v>
      </c>
      <c r="AF156" s="16">
        <f>AVERAGE(Tabla4[[#This Row],[Creación y captura Dic/2024]:[Compartición e Interoperabilidad Dic/2024]])</f>
        <v>0.4</v>
      </c>
      <c r="AG156" s="14"/>
      <c r="AH156" s="14"/>
      <c r="AI156" s="15"/>
      <c r="AJ156" s="15">
        <f>Tabla13[[#This Row],[Uso y acceso Ene/2025]]</f>
        <v>0.8</v>
      </c>
      <c r="AK156" s="15">
        <f>Tabla58[[#This Row],[Integración Ene/2025]]</f>
        <v>0</v>
      </c>
      <c r="AL156" s="16">
        <f>AVERAGE(Tabla4[[#This Row],[Creación y captura Ene/2025]:[Compartición e Interoperabilidad Ene/2025]])</f>
        <v>0.4</v>
      </c>
      <c r="AM156" s="14"/>
      <c r="AN156" s="14"/>
      <c r="AO156" s="15"/>
      <c r="AP156" s="15">
        <f>Tabla13[[#This Row],[Uso y acceso Feb/2025]]</f>
        <v>0.8</v>
      </c>
      <c r="AQ156" s="15">
        <f>Tabla58[[#This Row],[Integración Feb/2025]]</f>
        <v>0</v>
      </c>
      <c r="AR156" s="16">
        <f>AVERAGE(Tabla4[[#This Row],[Creación y captura Feb/2025]:[Compartición e Interoperabilidad Feb/2025]])</f>
        <v>0.4</v>
      </c>
      <c r="AS156" s="14"/>
      <c r="AT156" s="14"/>
      <c r="AU156" s="15"/>
      <c r="AV156" s="15">
        <f>Tabla13[[#This Row],[Uso y acceso Mar/2025]]</f>
        <v>0.8</v>
      </c>
      <c r="AW156" s="15">
        <f>Tabla58[[#This Row],[Integración Mar/2025]]</f>
        <v>0</v>
      </c>
      <c r="AX156" s="16">
        <f>AVERAGE(Tabla4[[#This Row],[Creación y captura Mar/2025]:[Compartición e Interoperabilidad Mar/2025]])</f>
        <v>0.4</v>
      </c>
      <c r="AY156" s="14"/>
      <c r="AZ156" s="14"/>
      <c r="BA156" s="15"/>
      <c r="BB156" s="15">
        <f>Tabla13[[#This Row],[Uso y acceso Abr/2025]]</f>
        <v>0.8</v>
      </c>
      <c r="BC156" s="15">
        <f>Tabla58[[#This Row],[Integración Abr/2025]]</f>
        <v>0</v>
      </c>
      <c r="BD156" s="16">
        <f>AVERAGE(Tabla4[[#This Row],[Creación y captura Abr/2025]:[Compartición e Interoperabilidad Abr/2025]])</f>
        <v>0.4</v>
      </c>
      <c r="BE156" s="14">
        <v>0.8</v>
      </c>
      <c r="BF156" s="14">
        <v>0.5</v>
      </c>
      <c r="BG156" s="17">
        <f>AVERAGE('Calidad de Datos'!AM160:AP160)</f>
        <v>1</v>
      </c>
      <c r="BH156" s="15">
        <f>Tabla13[[#This Row],[Uso y acceso May/2025]]</f>
        <v>0.8</v>
      </c>
      <c r="BI156" s="15">
        <f>Tabla58[[#This Row],[Integración May/2025]]</f>
        <v>0.3</v>
      </c>
      <c r="BJ156" s="16">
        <f>AVERAGE(Tabla4[[#This Row],[Creación y captura May/2025]:[Compartición e Interoperabilidad May/2025]])</f>
        <v>0.67999999999999994</v>
      </c>
      <c r="BK156" s="14">
        <v>0.8</v>
      </c>
      <c r="BL156" s="14">
        <v>0.5</v>
      </c>
      <c r="BM156" s="14">
        <f>AVERAGE('Calidad de Datos'!AQ160:AT160)</f>
        <v>1</v>
      </c>
      <c r="BN156" s="14">
        <f>Tabla13[[#This Row],[Uso y acceso Dic/2025]]</f>
        <v>1</v>
      </c>
      <c r="BO156" s="14">
        <f>Tabla58[[#This Row],[Integración Dic/2025]]</f>
        <v>0.6</v>
      </c>
      <c r="BP156" s="16">
        <f>AVERAGE(Tabla4[[#This Row],[Creación y captura Dic/2025]:[Compartición e Interoperabilidad Dic/2025]])</f>
        <v>0.78</v>
      </c>
    </row>
    <row r="157" spans="2:68" x14ac:dyDescent="0.4">
      <c r="B157" s="1" t="s">
        <v>208</v>
      </c>
      <c r="C157" s="14"/>
      <c r="D157" s="14"/>
      <c r="E157" s="14"/>
      <c r="F157" s="14">
        <f>Tabla13[[#This Row],[Uso y acceso Ago/2024]]</f>
        <v>0.8</v>
      </c>
      <c r="G157" s="15">
        <f>Tabla58[[#This Row],[Integración Ago/2024]]</f>
        <v>0</v>
      </c>
      <c r="H157" s="16">
        <f>AVERAGE(Tabla4[[#This Row],[Creación y captura Ago/2024]:[Compartición e Interoperabilidad Ago/2024]])</f>
        <v>0.4</v>
      </c>
      <c r="I157" s="14"/>
      <c r="J157" s="14"/>
      <c r="K157" s="15"/>
      <c r="L157" s="15">
        <f>Tabla13[[#This Row],[Uso y acceso Sep/2024]]</f>
        <v>0.8</v>
      </c>
      <c r="M157" s="15">
        <f>Tabla58[[#This Row],[Integración Sep/2024]]</f>
        <v>0</v>
      </c>
      <c r="N157" s="16">
        <f>AVERAGE(Tabla4[[#This Row],[Creación y captura Sep/2024]:[Compartición e Interoperabilidad Sep/2024]])</f>
        <v>0.4</v>
      </c>
      <c r="O157" s="14"/>
      <c r="P157" s="14"/>
      <c r="Q157" s="15"/>
      <c r="R157" s="15">
        <f>Tabla13[[#This Row],[Uso y acceso Oct/2024]]</f>
        <v>0.8</v>
      </c>
      <c r="S157" s="15">
        <f>Tabla58[[#This Row],[Integración Oct/2024]]</f>
        <v>0</v>
      </c>
      <c r="T157" s="16">
        <f>AVERAGE(Tabla4[[#This Row],[Creación y captura Oct/2024]:[Compartición e Interoperabilidad Oct/2024]])</f>
        <v>0.4</v>
      </c>
      <c r="U157" s="14"/>
      <c r="V157" s="14"/>
      <c r="W157" s="15"/>
      <c r="X157" s="15">
        <f>Tabla13[[#This Row],[Uso y acceso Nov/2024]]</f>
        <v>0.8</v>
      </c>
      <c r="Y157" s="15">
        <f>Tabla58[[#This Row],[Integración Nov/2024]]</f>
        <v>0</v>
      </c>
      <c r="Z157" s="16">
        <f>AVERAGE(Tabla4[[#This Row],[Creación y captura Nov/2024]:[Compartición e Interoperabilidad Nov/2024]])</f>
        <v>0.4</v>
      </c>
      <c r="AA157" s="14"/>
      <c r="AB157" s="14"/>
      <c r="AC157" s="15"/>
      <c r="AD157" s="15">
        <f>Tabla13[[#This Row],[Uso y acceso Dic/2024]]</f>
        <v>0.8</v>
      </c>
      <c r="AE157" s="15">
        <f>Tabla58[[#This Row],[Integración Dic/2024]]</f>
        <v>0</v>
      </c>
      <c r="AF157" s="16">
        <f>AVERAGE(Tabla4[[#This Row],[Creación y captura Dic/2024]:[Compartición e Interoperabilidad Dic/2024]])</f>
        <v>0.4</v>
      </c>
      <c r="AG157" s="14"/>
      <c r="AH157" s="14"/>
      <c r="AI157" s="15"/>
      <c r="AJ157" s="15">
        <f>Tabla13[[#This Row],[Uso y acceso Ene/2025]]</f>
        <v>0.8</v>
      </c>
      <c r="AK157" s="15">
        <f>Tabla58[[#This Row],[Integración Ene/2025]]</f>
        <v>0</v>
      </c>
      <c r="AL157" s="16">
        <f>AVERAGE(Tabla4[[#This Row],[Creación y captura Ene/2025]:[Compartición e Interoperabilidad Ene/2025]])</f>
        <v>0.4</v>
      </c>
      <c r="AM157" s="14"/>
      <c r="AN157" s="14"/>
      <c r="AO157" s="15"/>
      <c r="AP157" s="15">
        <f>Tabla13[[#This Row],[Uso y acceso Feb/2025]]</f>
        <v>0.8</v>
      </c>
      <c r="AQ157" s="15">
        <f>Tabla58[[#This Row],[Integración Feb/2025]]</f>
        <v>0</v>
      </c>
      <c r="AR157" s="16">
        <f>AVERAGE(Tabla4[[#This Row],[Creación y captura Feb/2025]:[Compartición e Interoperabilidad Feb/2025]])</f>
        <v>0.4</v>
      </c>
      <c r="AS157" s="14"/>
      <c r="AT157" s="14"/>
      <c r="AU157" s="15"/>
      <c r="AV157" s="15">
        <f>Tabla13[[#This Row],[Uso y acceso Mar/2025]]</f>
        <v>0.8</v>
      </c>
      <c r="AW157" s="15">
        <f>Tabla58[[#This Row],[Integración Mar/2025]]</f>
        <v>0</v>
      </c>
      <c r="AX157" s="16">
        <f>AVERAGE(Tabla4[[#This Row],[Creación y captura Mar/2025]:[Compartición e Interoperabilidad Mar/2025]])</f>
        <v>0.4</v>
      </c>
      <c r="AY157" s="14"/>
      <c r="AZ157" s="14"/>
      <c r="BA157" s="15"/>
      <c r="BB157" s="15">
        <f>Tabla13[[#This Row],[Uso y acceso Abr/2025]]</f>
        <v>0.8</v>
      </c>
      <c r="BC157" s="15">
        <f>Tabla58[[#This Row],[Integración Abr/2025]]</f>
        <v>0</v>
      </c>
      <c r="BD157" s="16">
        <f>AVERAGE(Tabla4[[#This Row],[Creación y captura Abr/2025]:[Compartición e Interoperabilidad Abr/2025]])</f>
        <v>0.4</v>
      </c>
      <c r="BE157" s="14"/>
      <c r="BF157" s="14"/>
      <c r="BG157" s="15"/>
      <c r="BH157" s="15">
        <f>Tabla13[[#This Row],[Uso y acceso May/2025]]</f>
        <v>0.8</v>
      </c>
      <c r="BI157" s="15">
        <f>Tabla58[[#This Row],[Integración May/2025]]</f>
        <v>0</v>
      </c>
      <c r="BJ157" s="16">
        <f>AVERAGE(Tabla4[[#This Row],[Creación y captura May/2025]:[Compartición e Interoperabilidad May/2025]])</f>
        <v>0.4</v>
      </c>
      <c r="BK157" s="14"/>
      <c r="BL157" s="14"/>
      <c r="BM157" s="14">
        <f>AVERAGE('Calidad de Datos'!AQ161:AT161)</f>
        <v>0.6</v>
      </c>
      <c r="BN157" s="14">
        <f>Tabla13[[#This Row],[Uso y acceso Dic/2025]]</f>
        <v>0.9</v>
      </c>
      <c r="BO157" s="14">
        <f>Tabla58[[#This Row],[Integración Dic/2025]]</f>
        <v>0.4</v>
      </c>
      <c r="BP157" s="16">
        <f>AVERAGE(Tabla4[[#This Row],[Creación y captura Dic/2025]:[Compartición e Interoperabilidad Dic/2025]])</f>
        <v>0.6333333333333333</v>
      </c>
    </row>
    <row r="158" spans="2:68" x14ac:dyDescent="0.4">
      <c r="B158" s="1" t="s">
        <v>209</v>
      </c>
      <c r="C158" s="14"/>
      <c r="D158" s="14"/>
      <c r="E158" s="14"/>
      <c r="F158" s="14">
        <f>Tabla13[[#This Row],[Uso y acceso Ago/2024]]</f>
        <v>1</v>
      </c>
      <c r="G158" s="15">
        <f>Tabla58[[#This Row],[Integración Ago/2024]]</f>
        <v>0</v>
      </c>
      <c r="H158" s="16">
        <f>AVERAGE(Tabla4[[#This Row],[Creación y captura Ago/2024]:[Compartición e Interoperabilidad Ago/2024]])</f>
        <v>0.5</v>
      </c>
      <c r="I158" s="14"/>
      <c r="J158" s="14"/>
      <c r="K158" s="15"/>
      <c r="L158" s="15">
        <f>Tabla13[[#This Row],[Uso y acceso Sep/2024]]</f>
        <v>1</v>
      </c>
      <c r="M158" s="15">
        <f>Tabla58[[#This Row],[Integración Sep/2024]]</f>
        <v>0</v>
      </c>
      <c r="N158" s="16">
        <f>AVERAGE(Tabla4[[#This Row],[Creación y captura Sep/2024]:[Compartición e Interoperabilidad Sep/2024]])</f>
        <v>0.5</v>
      </c>
      <c r="O158" s="14"/>
      <c r="P158" s="14"/>
      <c r="Q158" s="15"/>
      <c r="R158" s="15">
        <f>Tabla13[[#This Row],[Uso y acceso Oct/2024]]</f>
        <v>1</v>
      </c>
      <c r="S158" s="15">
        <f>Tabla58[[#This Row],[Integración Oct/2024]]</f>
        <v>0</v>
      </c>
      <c r="T158" s="16">
        <f>AVERAGE(Tabla4[[#This Row],[Creación y captura Oct/2024]:[Compartición e Interoperabilidad Oct/2024]])</f>
        <v>0.5</v>
      </c>
      <c r="U158" s="14"/>
      <c r="V158" s="14"/>
      <c r="W158" s="15"/>
      <c r="X158" s="15">
        <f>Tabla13[[#This Row],[Uso y acceso Nov/2024]]</f>
        <v>1</v>
      </c>
      <c r="Y158" s="15">
        <f>Tabla58[[#This Row],[Integración Nov/2024]]</f>
        <v>0</v>
      </c>
      <c r="Z158" s="16">
        <f>AVERAGE(Tabla4[[#This Row],[Creación y captura Nov/2024]:[Compartición e Interoperabilidad Nov/2024]])</f>
        <v>0.5</v>
      </c>
      <c r="AA158" s="14"/>
      <c r="AB158" s="14"/>
      <c r="AC158" s="15"/>
      <c r="AD158" s="15">
        <f>Tabla13[[#This Row],[Uso y acceso Dic/2024]]</f>
        <v>1</v>
      </c>
      <c r="AE158" s="15">
        <f>Tabla58[[#This Row],[Integración Dic/2024]]</f>
        <v>0</v>
      </c>
      <c r="AF158" s="16">
        <f>AVERAGE(Tabla4[[#This Row],[Creación y captura Dic/2024]:[Compartición e Interoperabilidad Dic/2024]])</f>
        <v>0.5</v>
      </c>
      <c r="AG158" s="14"/>
      <c r="AH158" s="14"/>
      <c r="AI158" s="15"/>
      <c r="AJ158" s="15">
        <f>Tabla13[[#This Row],[Uso y acceso Ene/2025]]</f>
        <v>1</v>
      </c>
      <c r="AK158" s="15">
        <f>Tabla58[[#This Row],[Integración Ene/2025]]</f>
        <v>0</v>
      </c>
      <c r="AL158" s="16">
        <f>AVERAGE(Tabla4[[#This Row],[Creación y captura Ene/2025]:[Compartición e Interoperabilidad Ene/2025]])</f>
        <v>0.5</v>
      </c>
      <c r="AM158" s="14"/>
      <c r="AN158" s="14"/>
      <c r="AO158" s="15"/>
      <c r="AP158" s="15">
        <f>Tabla13[[#This Row],[Uso y acceso Feb/2025]]</f>
        <v>1</v>
      </c>
      <c r="AQ158" s="15">
        <f>Tabla58[[#This Row],[Integración Feb/2025]]</f>
        <v>0</v>
      </c>
      <c r="AR158" s="16">
        <f>AVERAGE(Tabla4[[#This Row],[Creación y captura Feb/2025]:[Compartición e Interoperabilidad Feb/2025]])</f>
        <v>0.5</v>
      </c>
      <c r="AS158" s="14"/>
      <c r="AT158" s="14"/>
      <c r="AU158" s="15"/>
      <c r="AV158" s="15">
        <f>Tabla13[[#This Row],[Uso y acceso Mar/2025]]</f>
        <v>1</v>
      </c>
      <c r="AW158" s="15">
        <f>Tabla58[[#This Row],[Integración Mar/2025]]</f>
        <v>0</v>
      </c>
      <c r="AX158" s="16">
        <f>AVERAGE(Tabla4[[#This Row],[Creación y captura Mar/2025]:[Compartición e Interoperabilidad Mar/2025]])</f>
        <v>0.5</v>
      </c>
      <c r="AY158" s="14"/>
      <c r="AZ158" s="14"/>
      <c r="BA158" s="15"/>
      <c r="BB158" s="15">
        <f>Tabla13[[#This Row],[Uso y acceso Abr/2025]]</f>
        <v>1</v>
      </c>
      <c r="BC158" s="15">
        <f>Tabla58[[#This Row],[Integración Abr/2025]]</f>
        <v>0</v>
      </c>
      <c r="BD158" s="16">
        <f>AVERAGE(Tabla4[[#This Row],[Creación y captura Abr/2025]:[Compartición e Interoperabilidad Abr/2025]])</f>
        <v>0.5</v>
      </c>
      <c r="BE158" s="14"/>
      <c r="BF158" s="14"/>
      <c r="BG158" s="15"/>
      <c r="BH158" s="15">
        <f>Tabla13[[#This Row],[Uso y acceso May/2025]]</f>
        <v>1</v>
      </c>
      <c r="BI158" s="15">
        <f>Tabla58[[#This Row],[Integración May/2025]]</f>
        <v>0</v>
      </c>
      <c r="BJ158" s="16">
        <f>AVERAGE(Tabla4[[#This Row],[Creación y captura May/2025]:[Compartición e Interoperabilidad May/2025]])</f>
        <v>0.5</v>
      </c>
      <c r="BK158" s="14">
        <v>1</v>
      </c>
      <c r="BL158" s="14">
        <v>1</v>
      </c>
      <c r="BM158" s="14">
        <f>AVERAGE('Calidad de Datos'!AQ162:AT162)</f>
        <v>1</v>
      </c>
      <c r="BN158" s="14">
        <f>Tabla13[[#This Row],[Uso y acceso Dic/2025]]</f>
        <v>1</v>
      </c>
      <c r="BO158" s="14">
        <f>Tabla58[[#This Row],[Integración Dic/2025]]</f>
        <v>1</v>
      </c>
      <c r="BP158" s="16">
        <f>AVERAGE(Tabla4[[#This Row],[Creación y captura Dic/2025]:[Compartición e Interoperabilidad Dic/2025]])</f>
        <v>1</v>
      </c>
    </row>
    <row r="159" spans="2:68" x14ac:dyDescent="0.4">
      <c r="B159" s="1" t="s">
        <v>210</v>
      </c>
      <c r="C159" s="14"/>
      <c r="D159" s="14"/>
      <c r="E159" s="14"/>
      <c r="F159" s="14">
        <f>Tabla13[[#This Row],[Uso y acceso Ago/2024]]</f>
        <v>1</v>
      </c>
      <c r="G159" s="15">
        <f>Tabla58[[#This Row],[Integración Ago/2024]]</f>
        <v>0</v>
      </c>
      <c r="H159" s="16">
        <f>AVERAGE(Tabla4[[#This Row],[Creación y captura Ago/2024]:[Compartición e Interoperabilidad Ago/2024]])</f>
        <v>0.5</v>
      </c>
      <c r="I159" s="14"/>
      <c r="J159" s="14"/>
      <c r="K159" s="15"/>
      <c r="L159" s="15">
        <f>Tabla13[[#This Row],[Uso y acceso Sep/2024]]</f>
        <v>1</v>
      </c>
      <c r="M159" s="15">
        <f>Tabla58[[#This Row],[Integración Sep/2024]]</f>
        <v>0</v>
      </c>
      <c r="N159" s="16">
        <f>AVERAGE(Tabla4[[#This Row],[Creación y captura Sep/2024]:[Compartición e Interoperabilidad Sep/2024]])</f>
        <v>0.5</v>
      </c>
      <c r="O159" s="14"/>
      <c r="P159" s="14"/>
      <c r="Q159" s="15"/>
      <c r="R159" s="15">
        <f>Tabla13[[#This Row],[Uso y acceso Oct/2024]]</f>
        <v>1</v>
      </c>
      <c r="S159" s="15">
        <f>Tabla58[[#This Row],[Integración Oct/2024]]</f>
        <v>0</v>
      </c>
      <c r="T159" s="16">
        <f>AVERAGE(Tabla4[[#This Row],[Creación y captura Oct/2024]:[Compartición e Interoperabilidad Oct/2024]])</f>
        <v>0.5</v>
      </c>
      <c r="U159" s="14"/>
      <c r="V159" s="14"/>
      <c r="W159" s="15"/>
      <c r="X159" s="15">
        <f>Tabla13[[#This Row],[Uso y acceso Nov/2024]]</f>
        <v>1</v>
      </c>
      <c r="Y159" s="15">
        <f>Tabla58[[#This Row],[Integración Nov/2024]]</f>
        <v>0</v>
      </c>
      <c r="Z159" s="16">
        <f>AVERAGE(Tabla4[[#This Row],[Creación y captura Nov/2024]:[Compartición e Interoperabilidad Nov/2024]])</f>
        <v>0.5</v>
      </c>
      <c r="AA159" s="14"/>
      <c r="AB159" s="14"/>
      <c r="AC159" s="15"/>
      <c r="AD159" s="15">
        <f>Tabla13[[#This Row],[Uso y acceso Dic/2024]]</f>
        <v>1</v>
      </c>
      <c r="AE159" s="15">
        <f>Tabla58[[#This Row],[Integración Dic/2024]]</f>
        <v>0</v>
      </c>
      <c r="AF159" s="16">
        <f>AVERAGE(Tabla4[[#This Row],[Creación y captura Dic/2024]:[Compartición e Interoperabilidad Dic/2024]])</f>
        <v>0.5</v>
      </c>
      <c r="AG159" s="14"/>
      <c r="AH159" s="14"/>
      <c r="AI159" s="15"/>
      <c r="AJ159" s="15">
        <f>Tabla13[[#This Row],[Uso y acceso Ene/2025]]</f>
        <v>1</v>
      </c>
      <c r="AK159" s="15">
        <f>Tabla58[[#This Row],[Integración Ene/2025]]</f>
        <v>0</v>
      </c>
      <c r="AL159" s="16">
        <f>AVERAGE(Tabla4[[#This Row],[Creación y captura Ene/2025]:[Compartición e Interoperabilidad Ene/2025]])</f>
        <v>0.5</v>
      </c>
      <c r="AM159" s="14"/>
      <c r="AN159" s="14"/>
      <c r="AO159" s="15"/>
      <c r="AP159" s="15">
        <f>Tabla13[[#This Row],[Uso y acceso Feb/2025]]</f>
        <v>1</v>
      </c>
      <c r="AQ159" s="15">
        <f>Tabla58[[#This Row],[Integración Feb/2025]]</f>
        <v>0</v>
      </c>
      <c r="AR159" s="16">
        <f>AVERAGE(Tabla4[[#This Row],[Creación y captura Feb/2025]:[Compartición e Interoperabilidad Feb/2025]])</f>
        <v>0.5</v>
      </c>
      <c r="AS159" s="14"/>
      <c r="AT159" s="14"/>
      <c r="AU159" s="15"/>
      <c r="AV159" s="15">
        <f>Tabla13[[#This Row],[Uso y acceso Mar/2025]]</f>
        <v>1</v>
      </c>
      <c r="AW159" s="15">
        <f>Tabla58[[#This Row],[Integración Mar/2025]]</f>
        <v>0</v>
      </c>
      <c r="AX159" s="16">
        <f>AVERAGE(Tabla4[[#This Row],[Creación y captura Mar/2025]:[Compartición e Interoperabilidad Mar/2025]])</f>
        <v>0.5</v>
      </c>
      <c r="AY159" s="14"/>
      <c r="AZ159" s="14"/>
      <c r="BA159" s="15"/>
      <c r="BB159" s="15">
        <f>Tabla13[[#This Row],[Uso y acceso Abr/2025]]</f>
        <v>1</v>
      </c>
      <c r="BC159" s="15">
        <f>Tabla58[[#This Row],[Integración Abr/2025]]</f>
        <v>0</v>
      </c>
      <c r="BD159" s="16">
        <f>AVERAGE(Tabla4[[#This Row],[Creación y captura Abr/2025]:[Compartición e Interoperabilidad Abr/2025]])</f>
        <v>0.5</v>
      </c>
      <c r="BE159" s="14"/>
      <c r="BF159" s="14"/>
      <c r="BG159" s="15"/>
      <c r="BH159" s="15">
        <f>Tabla13[[#This Row],[Uso y acceso May/2025]]</f>
        <v>1</v>
      </c>
      <c r="BI159" s="15">
        <f>Tabla58[[#This Row],[Integración May/2025]]</f>
        <v>0</v>
      </c>
      <c r="BJ159" s="16">
        <f>AVERAGE(Tabla4[[#This Row],[Creación y captura May/2025]:[Compartición e Interoperabilidad May/2025]])</f>
        <v>0.5</v>
      </c>
      <c r="BK159" s="14">
        <v>1</v>
      </c>
      <c r="BL159" s="14">
        <v>1</v>
      </c>
      <c r="BM159" s="14">
        <f>AVERAGE('Calidad de Datos'!AQ163:AT163)</f>
        <v>1</v>
      </c>
      <c r="BN159" s="14">
        <f>Tabla13[[#This Row],[Uso y acceso Dic/2025]]</f>
        <v>1</v>
      </c>
      <c r="BO159" s="14">
        <f>Tabla58[[#This Row],[Integración Dic/2025]]</f>
        <v>1</v>
      </c>
      <c r="BP159" s="16">
        <f>AVERAGE(Tabla4[[#This Row],[Creación y captura Dic/2025]:[Compartición e Interoperabilidad Dic/2025]])</f>
        <v>1</v>
      </c>
    </row>
    <row r="160" spans="2:68" x14ac:dyDescent="0.4">
      <c r="B160" s="1" t="s">
        <v>211</v>
      </c>
      <c r="C160" s="14"/>
      <c r="D160" s="14"/>
      <c r="E160" s="14"/>
      <c r="F160" s="14">
        <f>Tabla13[[#This Row],[Uso y acceso Ago/2024]]</f>
        <v>1</v>
      </c>
      <c r="G160" s="15">
        <f>Tabla58[[#This Row],[Integración Ago/2024]]</f>
        <v>0</v>
      </c>
      <c r="H160" s="16">
        <f>AVERAGE(Tabla4[[#This Row],[Creación y captura Ago/2024]:[Compartición e Interoperabilidad Ago/2024]])</f>
        <v>0.5</v>
      </c>
      <c r="I160" s="14"/>
      <c r="J160" s="14"/>
      <c r="K160" s="15"/>
      <c r="L160" s="15">
        <f>Tabla13[[#This Row],[Uso y acceso Sep/2024]]</f>
        <v>1</v>
      </c>
      <c r="M160" s="15">
        <f>Tabla58[[#This Row],[Integración Sep/2024]]</f>
        <v>0</v>
      </c>
      <c r="N160" s="16">
        <f>AVERAGE(Tabla4[[#This Row],[Creación y captura Sep/2024]:[Compartición e Interoperabilidad Sep/2024]])</f>
        <v>0.5</v>
      </c>
      <c r="O160" s="14"/>
      <c r="P160" s="14"/>
      <c r="Q160" s="15"/>
      <c r="R160" s="15">
        <f>Tabla13[[#This Row],[Uso y acceso Oct/2024]]</f>
        <v>1</v>
      </c>
      <c r="S160" s="15">
        <f>Tabla58[[#This Row],[Integración Oct/2024]]</f>
        <v>0</v>
      </c>
      <c r="T160" s="16">
        <f>AVERAGE(Tabla4[[#This Row],[Creación y captura Oct/2024]:[Compartición e Interoperabilidad Oct/2024]])</f>
        <v>0.5</v>
      </c>
      <c r="U160" s="14"/>
      <c r="V160" s="14"/>
      <c r="W160" s="15"/>
      <c r="X160" s="15">
        <f>Tabla13[[#This Row],[Uso y acceso Nov/2024]]</f>
        <v>1</v>
      </c>
      <c r="Y160" s="15">
        <f>Tabla58[[#This Row],[Integración Nov/2024]]</f>
        <v>0</v>
      </c>
      <c r="Z160" s="16">
        <f>AVERAGE(Tabla4[[#This Row],[Creación y captura Nov/2024]:[Compartición e Interoperabilidad Nov/2024]])</f>
        <v>0.5</v>
      </c>
      <c r="AA160" s="14"/>
      <c r="AB160" s="14"/>
      <c r="AC160" s="15"/>
      <c r="AD160" s="15">
        <f>Tabla13[[#This Row],[Uso y acceso Dic/2024]]</f>
        <v>1</v>
      </c>
      <c r="AE160" s="15">
        <f>Tabla58[[#This Row],[Integración Dic/2024]]</f>
        <v>0</v>
      </c>
      <c r="AF160" s="16">
        <f>AVERAGE(Tabla4[[#This Row],[Creación y captura Dic/2024]:[Compartición e Interoperabilidad Dic/2024]])</f>
        <v>0.5</v>
      </c>
      <c r="AG160" s="14"/>
      <c r="AH160" s="14"/>
      <c r="AI160" s="15"/>
      <c r="AJ160" s="15">
        <f>Tabla13[[#This Row],[Uso y acceso Ene/2025]]</f>
        <v>1</v>
      </c>
      <c r="AK160" s="15">
        <f>Tabla58[[#This Row],[Integración Ene/2025]]</f>
        <v>0</v>
      </c>
      <c r="AL160" s="16">
        <f>AVERAGE(Tabla4[[#This Row],[Creación y captura Ene/2025]:[Compartición e Interoperabilidad Ene/2025]])</f>
        <v>0.5</v>
      </c>
      <c r="AM160" s="14"/>
      <c r="AN160" s="14"/>
      <c r="AO160" s="15"/>
      <c r="AP160" s="15">
        <f>Tabla13[[#This Row],[Uso y acceso Feb/2025]]</f>
        <v>1</v>
      </c>
      <c r="AQ160" s="15">
        <f>Tabla58[[#This Row],[Integración Feb/2025]]</f>
        <v>0</v>
      </c>
      <c r="AR160" s="16">
        <f>AVERAGE(Tabla4[[#This Row],[Creación y captura Feb/2025]:[Compartición e Interoperabilidad Feb/2025]])</f>
        <v>0.5</v>
      </c>
      <c r="AS160" s="14"/>
      <c r="AT160" s="14"/>
      <c r="AU160" s="15"/>
      <c r="AV160" s="15">
        <f>Tabla13[[#This Row],[Uso y acceso Mar/2025]]</f>
        <v>1</v>
      </c>
      <c r="AW160" s="15">
        <f>Tabla58[[#This Row],[Integración Mar/2025]]</f>
        <v>0</v>
      </c>
      <c r="AX160" s="16">
        <f>AVERAGE(Tabla4[[#This Row],[Creación y captura Mar/2025]:[Compartición e Interoperabilidad Mar/2025]])</f>
        <v>0.5</v>
      </c>
      <c r="AY160" s="14"/>
      <c r="AZ160" s="14"/>
      <c r="BA160" s="15"/>
      <c r="BB160" s="15">
        <f>Tabla13[[#This Row],[Uso y acceso Abr/2025]]</f>
        <v>1</v>
      </c>
      <c r="BC160" s="15">
        <f>Tabla58[[#This Row],[Integración Abr/2025]]</f>
        <v>0</v>
      </c>
      <c r="BD160" s="16">
        <f>AVERAGE(Tabla4[[#This Row],[Creación y captura Abr/2025]:[Compartición e Interoperabilidad Abr/2025]])</f>
        <v>0.5</v>
      </c>
      <c r="BE160" s="14"/>
      <c r="BF160" s="14"/>
      <c r="BG160" s="15"/>
      <c r="BH160" s="15">
        <f>Tabla13[[#This Row],[Uso y acceso May/2025]]</f>
        <v>1</v>
      </c>
      <c r="BI160" s="15">
        <f>Tabla58[[#This Row],[Integración May/2025]]</f>
        <v>0</v>
      </c>
      <c r="BJ160" s="16">
        <f>AVERAGE(Tabla4[[#This Row],[Creación y captura May/2025]:[Compartición e Interoperabilidad May/2025]])</f>
        <v>0.5</v>
      </c>
      <c r="BK160" s="14">
        <v>1</v>
      </c>
      <c r="BL160" s="14">
        <v>1</v>
      </c>
      <c r="BM160" s="14">
        <f>AVERAGE('Calidad de Datos'!AQ164:AT164)</f>
        <v>1</v>
      </c>
      <c r="BN160" s="14">
        <f>Tabla13[[#This Row],[Uso y acceso Dic/2025]]</f>
        <v>1</v>
      </c>
      <c r="BO160" s="14">
        <f>Tabla58[[#This Row],[Integración Dic/2025]]</f>
        <v>1</v>
      </c>
      <c r="BP160" s="16">
        <f>AVERAGE(Tabla4[[#This Row],[Creación y captura Dic/2025]:[Compartición e Interoperabilidad Dic/2025]])</f>
        <v>1</v>
      </c>
    </row>
    <row r="161" spans="2:68" x14ac:dyDescent="0.4">
      <c r="B161" s="1" t="s">
        <v>212</v>
      </c>
      <c r="C161" s="14"/>
      <c r="D161" s="14"/>
      <c r="E161" s="14"/>
      <c r="F161" s="14">
        <f>Tabla13[[#This Row],[Uso y acceso Ago/2024]]</f>
        <v>1</v>
      </c>
      <c r="G161" s="15">
        <f>Tabla58[[#This Row],[Integración Ago/2024]]</f>
        <v>0</v>
      </c>
      <c r="H161" s="16">
        <f>AVERAGE(Tabla4[[#This Row],[Creación y captura Ago/2024]:[Compartición e Interoperabilidad Ago/2024]])</f>
        <v>0.5</v>
      </c>
      <c r="I161" s="14"/>
      <c r="J161" s="14"/>
      <c r="K161" s="15"/>
      <c r="L161" s="15">
        <f>Tabla13[[#This Row],[Uso y acceso Sep/2024]]</f>
        <v>1</v>
      </c>
      <c r="M161" s="15">
        <f>Tabla58[[#This Row],[Integración Sep/2024]]</f>
        <v>0</v>
      </c>
      <c r="N161" s="16">
        <f>AVERAGE(Tabla4[[#This Row],[Creación y captura Sep/2024]:[Compartición e Interoperabilidad Sep/2024]])</f>
        <v>0.5</v>
      </c>
      <c r="O161" s="14"/>
      <c r="P161" s="14"/>
      <c r="Q161" s="15"/>
      <c r="R161" s="15">
        <f>Tabla13[[#This Row],[Uso y acceso Oct/2024]]</f>
        <v>1</v>
      </c>
      <c r="S161" s="15">
        <f>Tabla58[[#This Row],[Integración Oct/2024]]</f>
        <v>0</v>
      </c>
      <c r="T161" s="16">
        <f>AVERAGE(Tabla4[[#This Row],[Creación y captura Oct/2024]:[Compartición e Interoperabilidad Oct/2024]])</f>
        <v>0.5</v>
      </c>
      <c r="U161" s="14"/>
      <c r="V161" s="14"/>
      <c r="W161" s="15"/>
      <c r="X161" s="15">
        <f>Tabla13[[#This Row],[Uso y acceso Nov/2024]]</f>
        <v>1</v>
      </c>
      <c r="Y161" s="15">
        <f>Tabla58[[#This Row],[Integración Nov/2024]]</f>
        <v>0</v>
      </c>
      <c r="Z161" s="16">
        <f>AVERAGE(Tabla4[[#This Row],[Creación y captura Nov/2024]:[Compartición e Interoperabilidad Nov/2024]])</f>
        <v>0.5</v>
      </c>
      <c r="AA161" s="14"/>
      <c r="AB161" s="14"/>
      <c r="AC161" s="15"/>
      <c r="AD161" s="15">
        <f>Tabla13[[#This Row],[Uso y acceso Dic/2024]]</f>
        <v>1</v>
      </c>
      <c r="AE161" s="15">
        <f>Tabla58[[#This Row],[Integración Dic/2024]]</f>
        <v>0</v>
      </c>
      <c r="AF161" s="16">
        <f>AVERAGE(Tabla4[[#This Row],[Creación y captura Dic/2024]:[Compartición e Interoperabilidad Dic/2024]])</f>
        <v>0.5</v>
      </c>
      <c r="AG161" s="14"/>
      <c r="AH161" s="14"/>
      <c r="AI161" s="15"/>
      <c r="AJ161" s="15">
        <f>Tabla13[[#This Row],[Uso y acceso Ene/2025]]</f>
        <v>1</v>
      </c>
      <c r="AK161" s="15">
        <f>Tabla58[[#This Row],[Integración Ene/2025]]</f>
        <v>0</v>
      </c>
      <c r="AL161" s="16">
        <f>AVERAGE(Tabla4[[#This Row],[Creación y captura Ene/2025]:[Compartición e Interoperabilidad Ene/2025]])</f>
        <v>0.5</v>
      </c>
      <c r="AM161" s="14"/>
      <c r="AN161" s="14"/>
      <c r="AO161" s="15"/>
      <c r="AP161" s="15">
        <f>Tabla13[[#This Row],[Uso y acceso Feb/2025]]</f>
        <v>1</v>
      </c>
      <c r="AQ161" s="15">
        <f>Tabla58[[#This Row],[Integración Feb/2025]]</f>
        <v>0</v>
      </c>
      <c r="AR161" s="16">
        <f>AVERAGE(Tabla4[[#This Row],[Creación y captura Feb/2025]:[Compartición e Interoperabilidad Feb/2025]])</f>
        <v>0.5</v>
      </c>
      <c r="AS161" s="14"/>
      <c r="AT161" s="14"/>
      <c r="AU161" s="15"/>
      <c r="AV161" s="15">
        <f>Tabla13[[#This Row],[Uso y acceso Mar/2025]]</f>
        <v>1</v>
      </c>
      <c r="AW161" s="15">
        <f>Tabla58[[#This Row],[Integración Mar/2025]]</f>
        <v>0</v>
      </c>
      <c r="AX161" s="16">
        <f>AVERAGE(Tabla4[[#This Row],[Creación y captura Mar/2025]:[Compartición e Interoperabilidad Mar/2025]])</f>
        <v>0.5</v>
      </c>
      <c r="AY161" s="14"/>
      <c r="AZ161" s="14"/>
      <c r="BA161" s="15"/>
      <c r="BB161" s="15">
        <f>Tabla13[[#This Row],[Uso y acceso Abr/2025]]</f>
        <v>1</v>
      </c>
      <c r="BC161" s="15">
        <f>Tabla58[[#This Row],[Integración Abr/2025]]</f>
        <v>0</v>
      </c>
      <c r="BD161" s="16">
        <f>AVERAGE(Tabla4[[#This Row],[Creación y captura Abr/2025]:[Compartición e Interoperabilidad Abr/2025]])</f>
        <v>0.5</v>
      </c>
      <c r="BE161" s="14"/>
      <c r="BF161" s="14"/>
      <c r="BG161" s="15"/>
      <c r="BH161" s="15">
        <f>Tabla13[[#This Row],[Uso y acceso May/2025]]</f>
        <v>1</v>
      </c>
      <c r="BI161" s="15">
        <f>Tabla58[[#This Row],[Integración May/2025]]</f>
        <v>0</v>
      </c>
      <c r="BJ161" s="16">
        <f>AVERAGE(Tabla4[[#This Row],[Creación y captura May/2025]:[Compartición e Interoperabilidad May/2025]])</f>
        <v>0.5</v>
      </c>
      <c r="BK161" s="14">
        <v>1</v>
      </c>
      <c r="BL161" s="14">
        <v>1</v>
      </c>
      <c r="BM161" s="14">
        <f>AVERAGE('Calidad de Datos'!AQ165:AT165)</f>
        <v>1</v>
      </c>
      <c r="BN161" s="14">
        <f>Tabla13[[#This Row],[Uso y acceso Dic/2025]]</f>
        <v>1</v>
      </c>
      <c r="BO161" s="14">
        <f>Tabla58[[#This Row],[Integración Dic/2025]]</f>
        <v>1</v>
      </c>
      <c r="BP161" s="16">
        <f>AVERAGE(Tabla4[[#This Row],[Creación y captura Dic/2025]:[Compartición e Interoperabilidad Dic/2025]])</f>
        <v>1</v>
      </c>
    </row>
    <row r="162" spans="2:68" x14ac:dyDescent="0.4">
      <c r="B162" s="1" t="s">
        <v>213</v>
      </c>
      <c r="C162" s="14"/>
      <c r="D162" s="14"/>
      <c r="E162" s="14"/>
      <c r="F162" s="14">
        <f>Tabla13[[#This Row],[Uso y acceso Ago/2024]]</f>
        <v>0.7</v>
      </c>
      <c r="G162" s="15">
        <f>Tabla58[[#This Row],[Integración Ago/2024]]</f>
        <v>0</v>
      </c>
      <c r="H162" s="16">
        <f>AVERAGE(Tabla4[[#This Row],[Creación y captura Ago/2024]:[Compartición e Interoperabilidad Ago/2024]])</f>
        <v>0.35</v>
      </c>
      <c r="I162" s="14"/>
      <c r="J162" s="14"/>
      <c r="K162" s="15"/>
      <c r="L162" s="15">
        <f>Tabla13[[#This Row],[Uso y acceso Sep/2024]]</f>
        <v>0.7</v>
      </c>
      <c r="M162" s="15">
        <f>Tabla58[[#This Row],[Integración Sep/2024]]</f>
        <v>0</v>
      </c>
      <c r="N162" s="16">
        <f>AVERAGE(Tabla4[[#This Row],[Creación y captura Sep/2024]:[Compartición e Interoperabilidad Sep/2024]])</f>
        <v>0.35</v>
      </c>
      <c r="O162" s="14"/>
      <c r="P162" s="14"/>
      <c r="Q162" s="15"/>
      <c r="R162" s="15">
        <f>Tabla13[[#This Row],[Uso y acceso Oct/2024]]</f>
        <v>0.7</v>
      </c>
      <c r="S162" s="15">
        <f>Tabla58[[#This Row],[Integración Oct/2024]]</f>
        <v>0</v>
      </c>
      <c r="T162" s="16">
        <f>AVERAGE(Tabla4[[#This Row],[Creación y captura Oct/2024]:[Compartición e Interoperabilidad Oct/2024]])</f>
        <v>0.35</v>
      </c>
      <c r="U162" s="14"/>
      <c r="V162" s="14"/>
      <c r="W162" s="15"/>
      <c r="X162" s="15">
        <f>Tabla13[[#This Row],[Uso y acceso Nov/2024]]</f>
        <v>0.7</v>
      </c>
      <c r="Y162" s="15">
        <f>Tabla58[[#This Row],[Integración Nov/2024]]</f>
        <v>0</v>
      </c>
      <c r="Z162" s="16">
        <f>AVERAGE(Tabla4[[#This Row],[Creación y captura Nov/2024]:[Compartición e Interoperabilidad Nov/2024]])</f>
        <v>0.35</v>
      </c>
      <c r="AA162" s="14"/>
      <c r="AB162" s="14"/>
      <c r="AC162" s="15"/>
      <c r="AD162" s="15">
        <f>Tabla13[[#This Row],[Uso y acceso Dic/2024]]</f>
        <v>0.7</v>
      </c>
      <c r="AE162" s="15">
        <f>Tabla58[[#This Row],[Integración Dic/2024]]</f>
        <v>0</v>
      </c>
      <c r="AF162" s="16">
        <f>AVERAGE(Tabla4[[#This Row],[Creación y captura Dic/2024]:[Compartición e Interoperabilidad Dic/2024]])</f>
        <v>0.35</v>
      </c>
      <c r="AG162" s="14"/>
      <c r="AH162" s="14"/>
      <c r="AI162" s="15"/>
      <c r="AJ162" s="15">
        <f>Tabla13[[#This Row],[Uso y acceso Ene/2025]]</f>
        <v>0.7</v>
      </c>
      <c r="AK162" s="15">
        <f>Tabla58[[#This Row],[Integración Ene/2025]]</f>
        <v>0</v>
      </c>
      <c r="AL162" s="16">
        <f>AVERAGE(Tabla4[[#This Row],[Creación y captura Ene/2025]:[Compartición e Interoperabilidad Ene/2025]])</f>
        <v>0.35</v>
      </c>
      <c r="AM162" s="14"/>
      <c r="AN162" s="14"/>
      <c r="AO162" s="15"/>
      <c r="AP162" s="15">
        <f>Tabla13[[#This Row],[Uso y acceso Feb/2025]]</f>
        <v>0.7</v>
      </c>
      <c r="AQ162" s="15">
        <f>Tabla58[[#This Row],[Integración Feb/2025]]</f>
        <v>0</v>
      </c>
      <c r="AR162" s="16">
        <f>AVERAGE(Tabla4[[#This Row],[Creación y captura Feb/2025]:[Compartición e Interoperabilidad Feb/2025]])</f>
        <v>0.35</v>
      </c>
      <c r="AS162" s="14"/>
      <c r="AT162" s="14"/>
      <c r="AU162" s="15"/>
      <c r="AV162" s="15">
        <f>Tabla13[[#This Row],[Uso y acceso Mar/2025]]</f>
        <v>0.7</v>
      </c>
      <c r="AW162" s="15">
        <f>Tabla58[[#This Row],[Integración Mar/2025]]</f>
        <v>0</v>
      </c>
      <c r="AX162" s="16">
        <f>AVERAGE(Tabla4[[#This Row],[Creación y captura Mar/2025]:[Compartición e Interoperabilidad Mar/2025]])</f>
        <v>0.35</v>
      </c>
      <c r="AY162" s="14"/>
      <c r="AZ162" s="14"/>
      <c r="BA162" s="15"/>
      <c r="BB162" s="15">
        <f>Tabla13[[#This Row],[Uso y acceso Abr/2025]]</f>
        <v>0.7</v>
      </c>
      <c r="BC162" s="15">
        <f>Tabla58[[#This Row],[Integración Abr/2025]]</f>
        <v>0</v>
      </c>
      <c r="BD162" s="16">
        <f>AVERAGE(Tabla4[[#This Row],[Creación y captura Abr/2025]:[Compartición e Interoperabilidad Abr/2025]])</f>
        <v>0.35</v>
      </c>
      <c r="BE162" s="14"/>
      <c r="BF162" s="14"/>
      <c r="BG162" s="15"/>
      <c r="BH162" s="15">
        <f>Tabla13[[#This Row],[Uso y acceso May/2025]]</f>
        <v>0.7</v>
      </c>
      <c r="BI162" s="15">
        <f>Tabla58[[#This Row],[Integración May/2025]]</f>
        <v>0</v>
      </c>
      <c r="BJ162" s="16">
        <f>AVERAGE(Tabla4[[#This Row],[Creación y captura May/2025]:[Compartición e Interoperabilidad May/2025]])</f>
        <v>0.35</v>
      </c>
      <c r="BK162" s="14"/>
      <c r="BL162" s="14"/>
      <c r="BM162" s="14">
        <f>AVERAGE('Calidad de Datos'!AQ166:AT166)</f>
        <v>0.5</v>
      </c>
      <c r="BN162" s="14">
        <f>Tabla13[[#This Row],[Uso y acceso Dic/2025]]</f>
        <v>0.7</v>
      </c>
      <c r="BO162" s="14">
        <f>Tabla58[[#This Row],[Integración Dic/2025]]</f>
        <v>0.4</v>
      </c>
      <c r="BP162" s="16">
        <f>AVERAGE(Tabla4[[#This Row],[Creación y captura Dic/2025]:[Compartición e Interoperabilidad Dic/2025]])</f>
        <v>0.53333333333333333</v>
      </c>
    </row>
    <row r="163" spans="2:68" x14ac:dyDescent="0.4">
      <c r="B163" s="1" t="s">
        <v>214</v>
      </c>
      <c r="C163" s="14"/>
      <c r="D163" s="14"/>
      <c r="E163" s="14"/>
      <c r="F163" s="14">
        <f>Tabla13[[#This Row],[Uso y acceso Ago/2024]]</f>
        <v>0.8</v>
      </c>
      <c r="G163" s="15">
        <f>Tabla58[[#This Row],[Integración Ago/2024]]</f>
        <v>0</v>
      </c>
      <c r="H163" s="16">
        <f>AVERAGE(Tabla4[[#This Row],[Creación y captura Ago/2024]:[Compartición e Interoperabilidad Ago/2024]])</f>
        <v>0.4</v>
      </c>
      <c r="I163" s="14"/>
      <c r="J163" s="14"/>
      <c r="K163" s="15"/>
      <c r="L163" s="15">
        <f>Tabla13[[#This Row],[Uso y acceso Sep/2024]]</f>
        <v>0.8</v>
      </c>
      <c r="M163" s="15">
        <f>Tabla58[[#This Row],[Integración Sep/2024]]</f>
        <v>0</v>
      </c>
      <c r="N163" s="16">
        <f>AVERAGE(Tabla4[[#This Row],[Creación y captura Sep/2024]:[Compartición e Interoperabilidad Sep/2024]])</f>
        <v>0.4</v>
      </c>
      <c r="O163" s="14"/>
      <c r="P163" s="14"/>
      <c r="Q163" s="15"/>
      <c r="R163" s="15">
        <f>Tabla13[[#This Row],[Uso y acceso Oct/2024]]</f>
        <v>1</v>
      </c>
      <c r="S163" s="15">
        <f>Tabla58[[#This Row],[Integración Oct/2024]]</f>
        <v>0</v>
      </c>
      <c r="T163" s="16">
        <f>AVERAGE(Tabla4[[#This Row],[Creación y captura Oct/2024]:[Compartición e Interoperabilidad Oct/2024]])</f>
        <v>0.5</v>
      </c>
      <c r="U163" s="14"/>
      <c r="V163" s="14"/>
      <c r="W163" s="15"/>
      <c r="X163" s="15">
        <f>Tabla13[[#This Row],[Uso y acceso Nov/2024]]</f>
        <v>1</v>
      </c>
      <c r="Y163" s="15">
        <f>Tabla58[[#This Row],[Integración Nov/2024]]</f>
        <v>0</v>
      </c>
      <c r="Z163" s="16">
        <f>AVERAGE(Tabla4[[#This Row],[Creación y captura Nov/2024]:[Compartición e Interoperabilidad Nov/2024]])</f>
        <v>0.5</v>
      </c>
      <c r="AA163" s="14"/>
      <c r="AB163" s="14"/>
      <c r="AC163" s="15"/>
      <c r="AD163" s="15">
        <f>Tabla13[[#This Row],[Uso y acceso Dic/2024]]</f>
        <v>1</v>
      </c>
      <c r="AE163" s="15">
        <f>Tabla58[[#This Row],[Integración Dic/2024]]</f>
        <v>0</v>
      </c>
      <c r="AF163" s="16">
        <f>AVERAGE(Tabla4[[#This Row],[Creación y captura Dic/2024]:[Compartición e Interoperabilidad Dic/2024]])</f>
        <v>0.5</v>
      </c>
      <c r="AG163" s="14"/>
      <c r="AH163" s="14"/>
      <c r="AI163" s="15"/>
      <c r="AJ163" s="15">
        <f>Tabla13[[#This Row],[Uso y acceso Ene/2025]]</f>
        <v>1</v>
      </c>
      <c r="AK163" s="15">
        <f>Tabla58[[#This Row],[Integración Ene/2025]]</f>
        <v>0</v>
      </c>
      <c r="AL163" s="16">
        <f>AVERAGE(Tabla4[[#This Row],[Creación y captura Ene/2025]:[Compartición e Interoperabilidad Ene/2025]])</f>
        <v>0.5</v>
      </c>
      <c r="AM163" s="14"/>
      <c r="AN163" s="14"/>
      <c r="AO163" s="15"/>
      <c r="AP163" s="15">
        <f>Tabla13[[#This Row],[Uso y acceso Feb/2025]]</f>
        <v>1</v>
      </c>
      <c r="AQ163" s="15">
        <f>Tabla58[[#This Row],[Integración Feb/2025]]</f>
        <v>0</v>
      </c>
      <c r="AR163" s="16">
        <f>AVERAGE(Tabla4[[#This Row],[Creación y captura Feb/2025]:[Compartición e Interoperabilidad Feb/2025]])</f>
        <v>0.5</v>
      </c>
      <c r="AS163" s="14"/>
      <c r="AT163" s="14"/>
      <c r="AU163" s="15"/>
      <c r="AV163" s="15">
        <f>Tabla13[[#This Row],[Uso y acceso Mar/2025]]</f>
        <v>1</v>
      </c>
      <c r="AW163" s="15">
        <f>Tabla58[[#This Row],[Integración Mar/2025]]</f>
        <v>0</v>
      </c>
      <c r="AX163" s="16">
        <f>AVERAGE(Tabla4[[#This Row],[Creación y captura Mar/2025]:[Compartición e Interoperabilidad Mar/2025]])</f>
        <v>0.5</v>
      </c>
      <c r="AY163" s="14"/>
      <c r="AZ163" s="14"/>
      <c r="BA163" s="15"/>
      <c r="BB163" s="15">
        <f>Tabla13[[#This Row],[Uso y acceso Abr/2025]]</f>
        <v>1</v>
      </c>
      <c r="BC163" s="15">
        <f>Tabla58[[#This Row],[Integración Abr/2025]]</f>
        <v>0</v>
      </c>
      <c r="BD163" s="16">
        <f>AVERAGE(Tabla4[[#This Row],[Creación y captura Abr/2025]:[Compartición e Interoperabilidad Abr/2025]])</f>
        <v>0.5</v>
      </c>
      <c r="BE163" s="14"/>
      <c r="BF163" s="14"/>
      <c r="BG163" s="15"/>
      <c r="BH163" s="15">
        <f>Tabla13[[#This Row],[Uso y acceso May/2025]]</f>
        <v>1</v>
      </c>
      <c r="BI163" s="15">
        <f>Tabla58[[#This Row],[Integración May/2025]]</f>
        <v>0</v>
      </c>
      <c r="BJ163" s="16">
        <f>AVERAGE(Tabla4[[#This Row],[Creación y captura May/2025]:[Compartición e Interoperabilidad May/2025]])</f>
        <v>0.5</v>
      </c>
      <c r="BK163" s="14">
        <v>1</v>
      </c>
      <c r="BL163" s="14">
        <v>1</v>
      </c>
      <c r="BM163" s="14">
        <f>AVERAGE('Calidad de Datos'!AQ167:AT167)</f>
        <v>0.95</v>
      </c>
      <c r="BN163" s="14">
        <f>Tabla13[[#This Row],[Uso y acceso Dic/2025]]</f>
        <v>1</v>
      </c>
      <c r="BO163" s="14">
        <f>Tabla58[[#This Row],[Integración Dic/2025]]</f>
        <v>1</v>
      </c>
      <c r="BP163" s="16">
        <f>AVERAGE(Tabla4[[#This Row],[Creación y captura Dic/2025]:[Compartición e Interoperabilidad Dic/2025]])</f>
        <v>0.99</v>
      </c>
    </row>
    <row r="164" spans="2:68" x14ac:dyDescent="0.4">
      <c r="B164" s="1" t="s">
        <v>215</v>
      </c>
      <c r="C164" s="14"/>
      <c r="D164" s="14"/>
      <c r="E164" s="14"/>
      <c r="F164" s="14">
        <f>Tabla13[[#This Row],[Uso y acceso Ago/2024]]</f>
        <v>0.7</v>
      </c>
      <c r="G164" s="15">
        <f>Tabla58[[#This Row],[Integración Ago/2024]]</f>
        <v>0</v>
      </c>
      <c r="H164" s="16">
        <f>AVERAGE(Tabla4[[#This Row],[Creación y captura Ago/2024]:[Compartición e Interoperabilidad Ago/2024]])</f>
        <v>0.35</v>
      </c>
      <c r="I164" s="14"/>
      <c r="J164" s="14"/>
      <c r="K164" s="15"/>
      <c r="L164" s="15">
        <f>Tabla13[[#This Row],[Uso y acceso Sep/2024]]</f>
        <v>0.7</v>
      </c>
      <c r="M164" s="15">
        <f>Tabla58[[#This Row],[Integración Sep/2024]]</f>
        <v>0</v>
      </c>
      <c r="N164" s="16">
        <f>AVERAGE(Tabla4[[#This Row],[Creación y captura Sep/2024]:[Compartición e Interoperabilidad Sep/2024]])</f>
        <v>0.35</v>
      </c>
      <c r="O164" s="14"/>
      <c r="P164" s="14"/>
      <c r="Q164" s="15"/>
      <c r="R164" s="15">
        <f>Tabla13[[#This Row],[Uso y acceso Oct/2024]]</f>
        <v>0.7</v>
      </c>
      <c r="S164" s="15">
        <f>Tabla58[[#This Row],[Integración Oct/2024]]</f>
        <v>0</v>
      </c>
      <c r="T164" s="16">
        <f>AVERAGE(Tabla4[[#This Row],[Creación y captura Oct/2024]:[Compartición e Interoperabilidad Oct/2024]])</f>
        <v>0.35</v>
      </c>
      <c r="U164" s="14"/>
      <c r="V164" s="14"/>
      <c r="W164" s="15"/>
      <c r="X164" s="15">
        <f>Tabla13[[#This Row],[Uso y acceso Nov/2024]]</f>
        <v>0.7</v>
      </c>
      <c r="Y164" s="15">
        <f>Tabla58[[#This Row],[Integración Nov/2024]]</f>
        <v>0</v>
      </c>
      <c r="Z164" s="16">
        <f>AVERAGE(Tabla4[[#This Row],[Creación y captura Nov/2024]:[Compartición e Interoperabilidad Nov/2024]])</f>
        <v>0.35</v>
      </c>
      <c r="AA164" s="14"/>
      <c r="AB164" s="14"/>
      <c r="AC164" s="15"/>
      <c r="AD164" s="15">
        <f>Tabla13[[#This Row],[Uso y acceso Dic/2024]]</f>
        <v>0.7</v>
      </c>
      <c r="AE164" s="15">
        <f>Tabla58[[#This Row],[Integración Dic/2024]]</f>
        <v>0</v>
      </c>
      <c r="AF164" s="16">
        <f>AVERAGE(Tabla4[[#This Row],[Creación y captura Dic/2024]:[Compartición e Interoperabilidad Dic/2024]])</f>
        <v>0.35</v>
      </c>
      <c r="AG164" s="14"/>
      <c r="AH164" s="14"/>
      <c r="AI164" s="15"/>
      <c r="AJ164" s="15">
        <f>Tabla13[[#This Row],[Uso y acceso Ene/2025]]</f>
        <v>0.7</v>
      </c>
      <c r="AK164" s="15">
        <f>Tabla58[[#This Row],[Integración Ene/2025]]</f>
        <v>0</v>
      </c>
      <c r="AL164" s="16">
        <f>AVERAGE(Tabla4[[#This Row],[Creación y captura Ene/2025]:[Compartición e Interoperabilidad Ene/2025]])</f>
        <v>0.35</v>
      </c>
      <c r="AM164" s="14"/>
      <c r="AN164" s="14"/>
      <c r="AO164" s="15"/>
      <c r="AP164" s="15">
        <f>Tabla13[[#This Row],[Uso y acceso Feb/2025]]</f>
        <v>0.7</v>
      </c>
      <c r="AQ164" s="15">
        <f>Tabla58[[#This Row],[Integración Feb/2025]]</f>
        <v>0</v>
      </c>
      <c r="AR164" s="16">
        <f>AVERAGE(Tabla4[[#This Row],[Creación y captura Feb/2025]:[Compartición e Interoperabilidad Feb/2025]])</f>
        <v>0.35</v>
      </c>
      <c r="AS164" s="14"/>
      <c r="AT164" s="14"/>
      <c r="AU164" s="15"/>
      <c r="AV164" s="15">
        <f>Tabla13[[#This Row],[Uso y acceso Mar/2025]]</f>
        <v>0.7</v>
      </c>
      <c r="AW164" s="15">
        <f>Tabla58[[#This Row],[Integración Mar/2025]]</f>
        <v>0</v>
      </c>
      <c r="AX164" s="16">
        <f>AVERAGE(Tabla4[[#This Row],[Creación y captura Mar/2025]:[Compartición e Interoperabilidad Mar/2025]])</f>
        <v>0.35</v>
      </c>
      <c r="AY164" s="14"/>
      <c r="AZ164" s="14"/>
      <c r="BA164" s="15"/>
      <c r="BB164" s="15">
        <f>Tabla13[[#This Row],[Uso y acceso Abr/2025]]</f>
        <v>0.7</v>
      </c>
      <c r="BC164" s="15">
        <f>Tabla58[[#This Row],[Integración Abr/2025]]</f>
        <v>0</v>
      </c>
      <c r="BD164" s="16">
        <f>AVERAGE(Tabla4[[#This Row],[Creación y captura Abr/2025]:[Compartición e Interoperabilidad Abr/2025]])</f>
        <v>0.35</v>
      </c>
      <c r="BE164" s="14">
        <v>0.8</v>
      </c>
      <c r="BF164" s="14">
        <v>0.5</v>
      </c>
      <c r="BG164" s="17">
        <f>AVERAGE('Calidad de Datos'!AM168:AP168)</f>
        <v>1</v>
      </c>
      <c r="BH164" s="15">
        <f>Tabla13[[#This Row],[Uso y acceso May/2025]]</f>
        <v>0.7</v>
      </c>
      <c r="BI164" s="15">
        <f>Tabla58[[#This Row],[Integración May/2025]]</f>
        <v>0.3</v>
      </c>
      <c r="BJ164" s="16">
        <f>AVERAGE(Tabla4[[#This Row],[Creación y captura May/2025]:[Compartición e Interoperabilidad May/2025]])</f>
        <v>0.65999999999999992</v>
      </c>
      <c r="BK164" s="14">
        <v>0.8</v>
      </c>
      <c r="BL164" s="14">
        <v>0.5</v>
      </c>
      <c r="BM164" s="14">
        <f>AVERAGE('Calidad de Datos'!AQ168:AT168)</f>
        <v>1</v>
      </c>
      <c r="BN164" s="14">
        <f>Tabla13[[#This Row],[Uso y acceso Dic/2025]]</f>
        <v>0.7</v>
      </c>
      <c r="BO164" s="14">
        <f>Tabla58[[#This Row],[Integración Dic/2025]]</f>
        <v>0.6</v>
      </c>
      <c r="BP164" s="16">
        <f>AVERAGE(Tabla4[[#This Row],[Creación y captura Dic/2025]:[Compartición e Interoperabilidad Dic/2025]])</f>
        <v>0.72</v>
      </c>
    </row>
    <row r="165" spans="2:68" x14ac:dyDescent="0.4">
      <c r="B165" s="1" t="s">
        <v>216</v>
      </c>
      <c r="C165" s="14"/>
      <c r="D165" s="14"/>
      <c r="E165" s="14"/>
      <c r="F165" s="14">
        <f>Tabla13[[#This Row],[Uso y acceso Ago/2024]]</f>
        <v>0.7</v>
      </c>
      <c r="G165" s="15">
        <f>Tabla58[[#This Row],[Integración Ago/2024]]</f>
        <v>0</v>
      </c>
      <c r="H165" s="16">
        <f>AVERAGE(Tabla4[[#This Row],[Creación y captura Ago/2024]:[Compartición e Interoperabilidad Ago/2024]])</f>
        <v>0.35</v>
      </c>
      <c r="I165" s="14"/>
      <c r="J165" s="14"/>
      <c r="K165" s="15"/>
      <c r="L165" s="15">
        <f>Tabla13[[#This Row],[Uso y acceso Sep/2024]]</f>
        <v>0.7</v>
      </c>
      <c r="M165" s="15">
        <f>Tabla58[[#This Row],[Integración Sep/2024]]</f>
        <v>0</v>
      </c>
      <c r="N165" s="16">
        <f>AVERAGE(Tabla4[[#This Row],[Creación y captura Sep/2024]:[Compartición e Interoperabilidad Sep/2024]])</f>
        <v>0.35</v>
      </c>
      <c r="O165" s="14"/>
      <c r="P165" s="14"/>
      <c r="Q165" s="15"/>
      <c r="R165" s="15">
        <f>Tabla13[[#This Row],[Uso y acceso Oct/2024]]</f>
        <v>0.7</v>
      </c>
      <c r="S165" s="15">
        <f>Tabla58[[#This Row],[Integración Oct/2024]]</f>
        <v>0</v>
      </c>
      <c r="T165" s="16">
        <f>AVERAGE(Tabla4[[#This Row],[Creación y captura Oct/2024]:[Compartición e Interoperabilidad Oct/2024]])</f>
        <v>0.35</v>
      </c>
      <c r="U165" s="14"/>
      <c r="V165" s="14"/>
      <c r="W165" s="15"/>
      <c r="X165" s="15">
        <f>Tabla13[[#This Row],[Uso y acceso Nov/2024]]</f>
        <v>0.7</v>
      </c>
      <c r="Y165" s="15">
        <f>Tabla58[[#This Row],[Integración Nov/2024]]</f>
        <v>0</v>
      </c>
      <c r="Z165" s="16">
        <f>AVERAGE(Tabla4[[#This Row],[Creación y captura Nov/2024]:[Compartición e Interoperabilidad Nov/2024]])</f>
        <v>0.35</v>
      </c>
      <c r="AA165" s="14"/>
      <c r="AB165" s="14"/>
      <c r="AC165" s="15"/>
      <c r="AD165" s="15">
        <f>Tabla13[[#This Row],[Uso y acceso Dic/2024]]</f>
        <v>0.7</v>
      </c>
      <c r="AE165" s="15">
        <f>Tabla58[[#This Row],[Integración Dic/2024]]</f>
        <v>0</v>
      </c>
      <c r="AF165" s="16">
        <f>AVERAGE(Tabla4[[#This Row],[Creación y captura Dic/2024]:[Compartición e Interoperabilidad Dic/2024]])</f>
        <v>0.35</v>
      </c>
      <c r="AG165" s="14"/>
      <c r="AH165" s="14"/>
      <c r="AI165" s="15"/>
      <c r="AJ165" s="15">
        <f>Tabla13[[#This Row],[Uso y acceso Ene/2025]]</f>
        <v>0.7</v>
      </c>
      <c r="AK165" s="15">
        <f>Tabla58[[#This Row],[Integración Ene/2025]]</f>
        <v>0</v>
      </c>
      <c r="AL165" s="16">
        <f>AVERAGE(Tabla4[[#This Row],[Creación y captura Ene/2025]:[Compartición e Interoperabilidad Ene/2025]])</f>
        <v>0.35</v>
      </c>
      <c r="AM165" s="14"/>
      <c r="AN165" s="14"/>
      <c r="AO165" s="15"/>
      <c r="AP165" s="15">
        <f>Tabla13[[#This Row],[Uso y acceso Feb/2025]]</f>
        <v>0.7</v>
      </c>
      <c r="AQ165" s="15">
        <f>Tabla58[[#This Row],[Integración Feb/2025]]</f>
        <v>0</v>
      </c>
      <c r="AR165" s="16">
        <f>AVERAGE(Tabla4[[#This Row],[Creación y captura Feb/2025]:[Compartición e Interoperabilidad Feb/2025]])</f>
        <v>0.35</v>
      </c>
      <c r="AS165" s="14"/>
      <c r="AT165" s="14"/>
      <c r="AU165" s="15"/>
      <c r="AV165" s="15">
        <f>Tabla13[[#This Row],[Uso y acceso Mar/2025]]</f>
        <v>0.7</v>
      </c>
      <c r="AW165" s="15">
        <f>Tabla58[[#This Row],[Integración Mar/2025]]</f>
        <v>0</v>
      </c>
      <c r="AX165" s="16">
        <f>AVERAGE(Tabla4[[#This Row],[Creación y captura Mar/2025]:[Compartición e Interoperabilidad Mar/2025]])</f>
        <v>0.35</v>
      </c>
      <c r="AY165" s="14"/>
      <c r="AZ165" s="14"/>
      <c r="BA165" s="15"/>
      <c r="BB165" s="15">
        <f>Tabla13[[#This Row],[Uso y acceso Abr/2025]]</f>
        <v>0.7</v>
      </c>
      <c r="BC165" s="15">
        <f>Tabla58[[#This Row],[Integración Abr/2025]]</f>
        <v>0</v>
      </c>
      <c r="BD165" s="16">
        <f>AVERAGE(Tabla4[[#This Row],[Creación y captura Abr/2025]:[Compartición e Interoperabilidad Abr/2025]])</f>
        <v>0.35</v>
      </c>
      <c r="BE165" s="14">
        <v>0.8</v>
      </c>
      <c r="BF165" s="14">
        <v>0.5</v>
      </c>
      <c r="BG165" s="17">
        <f>AVERAGE('Calidad de Datos'!AM169:AP169)</f>
        <v>1</v>
      </c>
      <c r="BH165" s="15">
        <f>Tabla13[[#This Row],[Uso y acceso May/2025]]</f>
        <v>0.7</v>
      </c>
      <c r="BI165" s="15">
        <f>Tabla58[[#This Row],[Integración May/2025]]</f>
        <v>0.3</v>
      </c>
      <c r="BJ165" s="16">
        <f>AVERAGE(Tabla4[[#This Row],[Creación y captura May/2025]:[Compartición e Interoperabilidad May/2025]])</f>
        <v>0.65999999999999992</v>
      </c>
      <c r="BK165" s="14">
        <v>0.8</v>
      </c>
      <c r="BL165" s="14">
        <v>0.5</v>
      </c>
      <c r="BM165" s="14">
        <f>AVERAGE('Calidad de Datos'!AQ169:AT169)</f>
        <v>1</v>
      </c>
      <c r="BN165" s="14">
        <f>Tabla13[[#This Row],[Uso y acceso Dic/2025]]</f>
        <v>0.7</v>
      </c>
      <c r="BO165" s="14">
        <f>Tabla58[[#This Row],[Integración Dic/2025]]</f>
        <v>0.6</v>
      </c>
      <c r="BP165" s="16">
        <f>AVERAGE(Tabla4[[#This Row],[Creación y captura Dic/2025]:[Compartición e Interoperabilidad Dic/2025]])</f>
        <v>0.72</v>
      </c>
    </row>
    <row r="166" spans="2:68" x14ac:dyDescent="0.4">
      <c r="B166" s="1" t="s">
        <v>217</v>
      </c>
      <c r="C166" s="14"/>
      <c r="D166" s="14"/>
      <c r="E166" s="14"/>
      <c r="F166" s="14">
        <f>Tabla13[[#This Row],[Uso y acceso Ago/2024]]</f>
        <v>0.5</v>
      </c>
      <c r="G166" s="15">
        <f>Tabla58[[#This Row],[Integración Ago/2024]]</f>
        <v>0</v>
      </c>
      <c r="H166" s="16">
        <f>AVERAGE(Tabla4[[#This Row],[Creación y captura Ago/2024]:[Compartición e Interoperabilidad Ago/2024]])</f>
        <v>0.25</v>
      </c>
      <c r="I166" s="14"/>
      <c r="J166" s="14"/>
      <c r="K166" s="15"/>
      <c r="L166" s="15">
        <f>Tabla13[[#This Row],[Uso y acceso Sep/2024]]</f>
        <v>0.5</v>
      </c>
      <c r="M166" s="15">
        <f>Tabla58[[#This Row],[Integración Sep/2024]]</f>
        <v>0</v>
      </c>
      <c r="N166" s="16">
        <f>AVERAGE(Tabla4[[#This Row],[Creación y captura Sep/2024]:[Compartición e Interoperabilidad Sep/2024]])</f>
        <v>0.25</v>
      </c>
      <c r="O166" s="14"/>
      <c r="P166" s="14"/>
      <c r="Q166" s="15"/>
      <c r="R166" s="15">
        <f>Tabla13[[#This Row],[Uso y acceso Oct/2024]]</f>
        <v>0.5</v>
      </c>
      <c r="S166" s="15">
        <f>Tabla58[[#This Row],[Integración Oct/2024]]</f>
        <v>0</v>
      </c>
      <c r="T166" s="16">
        <f>AVERAGE(Tabla4[[#This Row],[Creación y captura Oct/2024]:[Compartición e Interoperabilidad Oct/2024]])</f>
        <v>0.25</v>
      </c>
      <c r="U166" s="14"/>
      <c r="V166" s="14"/>
      <c r="W166" s="15"/>
      <c r="X166" s="15">
        <f>Tabla13[[#This Row],[Uso y acceso Nov/2024]]</f>
        <v>0.5</v>
      </c>
      <c r="Y166" s="15">
        <f>Tabla58[[#This Row],[Integración Nov/2024]]</f>
        <v>0</v>
      </c>
      <c r="Z166" s="16">
        <f>AVERAGE(Tabla4[[#This Row],[Creación y captura Nov/2024]:[Compartición e Interoperabilidad Nov/2024]])</f>
        <v>0.25</v>
      </c>
      <c r="AA166" s="14"/>
      <c r="AB166" s="14"/>
      <c r="AC166" s="15"/>
      <c r="AD166" s="15">
        <f>Tabla13[[#This Row],[Uso y acceso Dic/2024]]</f>
        <v>0.5</v>
      </c>
      <c r="AE166" s="15">
        <f>Tabla58[[#This Row],[Integración Dic/2024]]</f>
        <v>0</v>
      </c>
      <c r="AF166" s="16">
        <f>AVERAGE(Tabla4[[#This Row],[Creación y captura Dic/2024]:[Compartición e Interoperabilidad Dic/2024]])</f>
        <v>0.25</v>
      </c>
      <c r="AG166" s="14"/>
      <c r="AH166" s="14"/>
      <c r="AI166" s="15"/>
      <c r="AJ166" s="15">
        <f>Tabla13[[#This Row],[Uso y acceso Ene/2025]]</f>
        <v>0.5</v>
      </c>
      <c r="AK166" s="15">
        <f>Tabla58[[#This Row],[Integración Ene/2025]]</f>
        <v>0</v>
      </c>
      <c r="AL166" s="16">
        <f>AVERAGE(Tabla4[[#This Row],[Creación y captura Ene/2025]:[Compartición e Interoperabilidad Ene/2025]])</f>
        <v>0.25</v>
      </c>
      <c r="AM166" s="14"/>
      <c r="AN166" s="14"/>
      <c r="AO166" s="15"/>
      <c r="AP166" s="15">
        <f>Tabla13[[#This Row],[Uso y acceso Feb/2025]]</f>
        <v>0.5</v>
      </c>
      <c r="AQ166" s="15">
        <f>Tabla58[[#This Row],[Integración Feb/2025]]</f>
        <v>0</v>
      </c>
      <c r="AR166" s="16">
        <f>AVERAGE(Tabla4[[#This Row],[Creación y captura Feb/2025]:[Compartición e Interoperabilidad Feb/2025]])</f>
        <v>0.25</v>
      </c>
      <c r="AS166" s="14"/>
      <c r="AT166" s="14"/>
      <c r="AU166" s="15"/>
      <c r="AV166" s="15">
        <f>Tabla13[[#This Row],[Uso y acceso Mar/2025]]</f>
        <v>0.5</v>
      </c>
      <c r="AW166" s="15">
        <f>Tabla58[[#This Row],[Integración Mar/2025]]</f>
        <v>0</v>
      </c>
      <c r="AX166" s="16">
        <f>AVERAGE(Tabla4[[#This Row],[Creación y captura Mar/2025]:[Compartición e Interoperabilidad Mar/2025]])</f>
        <v>0.25</v>
      </c>
      <c r="AY166" s="14"/>
      <c r="AZ166" s="14"/>
      <c r="BA166" s="15"/>
      <c r="BB166" s="15">
        <f>Tabla13[[#This Row],[Uso y acceso Abr/2025]]</f>
        <v>0.5</v>
      </c>
      <c r="BC166" s="15">
        <f>Tabla58[[#This Row],[Integración Abr/2025]]</f>
        <v>0</v>
      </c>
      <c r="BD166" s="16">
        <f>AVERAGE(Tabla4[[#This Row],[Creación y captura Abr/2025]:[Compartición e Interoperabilidad Abr/2025]])</f>
        <v>0.25</v>
      </c>
      <c r="BE166" s="14"/>
      <c r="BF166" s="14"/>
      <c r="BG166" s="15"/>
      <c r="BH166" s="15">
        <f>Tabla13[[#This Row],[Uso y acceso May/2025]]</f>
        <v>0.5</v>
      </c>
      <c r="BI166" s="15">
        <f>Tabla58[[#This Row],[Integración May/2025]]</f>
        <v>0</v>
      </c>
      <c r="BJ166" s="16">
        <f>AVERAGE(Tabla4[[#This Row],[Creación y captura May/2025]:[Compartición e Interoperabilidad May/2025]])</f>
        <v>0.25</v>
      </c>
      <c r="BK166" s="14"/>
      <c r="BL166" s="14"/>
      <c r="BM166" s="14">
        <f>AVERAGE('Calidad de Datos'!AQ170:AT170)</f>
        <v>0.75</v>
      </c>
      <c r="BN166" s="14">
        <f>Tabla13[[#This Row],[Uso y acceso Dic/2025]]</f>
        <v>0.5</v>
      </c>
      <c r="BO166" s="14">
        <f>Tabla58[[#This Row],[Integración Dic/2025]]</f>
        <v>0.4</v>
      </c>
      <c r="BP166" s="16">
        <f>AVERAGE(Tabla4[[#This Row],[Creación y captura Dic/2025]:[Compartición e Interoperabilidad Dic/2025]])</f>
        <v>0.54999999999999993</v>
      </c>
    </row>
    <row r="167" spans="2:68" x14ac:dyDescent="0.4">
      <c r="B167" s="1" t="s">
        <v>218</v>
      </c>
      <c r="C167" s="14"/>
      <c r="D167" s="14"/>
      <c r="E167" s="14"/>
      <c r="F167" s="14">
        <f>Tabla13[[#This Row],[Uso y acceso Ago/2024]]</f>
        <v>0.8</v>
      </c>
      <c r="G167" s="15">
        <f>Tabla58[[#This Row],[Integración Ago/2024]]</f>
        <v>0</v>
      </c>
      <c r="H167" s="16">
        <f>AVERAGE(Tabla4[[#This Row],[Creación y captura Ago/2024]:[Compartición e Interoperabilidad Ago/2024]])</f>
        <v>0.4</v>
      </c>
      <c r="I167" s="14"/>
      <c r="J167" s="14"/>
      <c r="K167" s="15"/>
      <c r="L167" s="15">
        <f>Tabla13[[#This Row],[Uso y acceso Sep/2024]]</f>
        <v>0.8</v>
      </c>
      <c r="M167" s="15">
        <f>Tabla58[[#This Row],[Integración Sep/2024]]</f>
        <v>0</v>
      </c>
      <c r="N167" s="16">
        <f>AVERAGE(Tabla4[[#This Row],[Creación y captura Sep/2024]:[Compartición e Interoperabilidad Sep/2024]])</f>
        <v>0.4</v>
      </c>
      <c r="O167" s="14"/>
      <c r="P167" s="14"/>
      <c r="Q167" s="15"/>
      <c r="R167" s="15">
        <f>Tabla13[[#This Row],[Uso y acceso Oct/2024]]</f>
        <v>0.8</v>
      </c>
      <c r="S167" s="15">
        <f>Tabla58[[#This Row],[Integración Oct/2024]]</f>
        <v>0</v>
      </c>
      <c r="T167" s="16">
        <f>AVERAGE(Tabla4[[#This Row],[Creación y captura Oct/2024]:[Compartición e Interoperabilidad Oct/2024]])</f>
        <v>0.4</v>
      </c>
      <c r="U167" s="14"/>
      <c r="V167" s="14"/>
      <c r="W167" s="15"/>
      <c r="X167" s="15">
        <f>Tabla13[[#This Row],[Uso y acceso Nov/2024]]</f>
        <v>0.8</v>
      </c>
      <c r="Y167" s="15">
        <f>Tabla58[[#This Row],[Integración Nov/2024]]</f>
        <v>0</v>
      </c>
      <c r="Z167" s="16">
        <f>AVERAGE(Tabla4[[#This Row],[Creación y captura Nov/2024]:[Compartición e Interoperabilidad Nov/2024]])</f>
        <v>0.4</v>
      </c>
      <c r="AA167" s="14"/>
      <c r="AB167" s="14"/>
      <c r="AC167" s="15"/>
      <c r="AD167" s="15">
        <f>Tabla13[[#This Row],[Uso y acceso Dic/2024]]</f>
        <v>0.8</v>
      </c>
      <c r="AE167" s="15">
        <f>Tabla58[[#This Row],[Integración Dic/2024]]</f>
        <v>0</v>
      </c>
      <c r="AF167" s="16">
        <f>AVERAGE(Tabla4[[#This Row],[Creación y captura Dic/2024]:[Compartición e Interoperabilidad Dic/2024]])</f>
        <v>0.4</v>
      </c>
      <c r="AG167" s="14"/>
      <c r="AH167" s="14"/>
      <c r="AI167" s="15"/>
      <c r="AJ167" s="15">
        <f>Tabla13[[#This Row],[Uso y acceso Ene/2025]]</f>
        <v>0.8</v>
      </c>
      <c r="AK167" s="15">
        <f>Tabla58[[#This Row],[Integración Ene/2025]]</f>
        <v>0</v>
      </c>
      <c r="AL167" s="16">
        <f>AVERAGE(Tabla4[[#This Row],[Creación y captura Ene/2025]:[Compartición e Interoperabilidad Ene/2025]])</f>
        <v>0.4</v>
      </c>
      <c r="AM167" s="14"/>
      <c r="AN167" s="14"/>
      <c r="AO167" s="15"/>
      <c r="AP167" s="15">
        <f>Tabla13[[#This Row],[Uso y acceso Feb/2025]]</f>
        <v>0.8</v>
      </c>
      <c r="AQ167" s="15">
        <f>Tabla58[[#This Row],[Integración Feb/2025]]</f>
        <v>0</v>
      </c>
      <c r="AR167" s="16">
        <f>AVERAGE(Tabla4[[#This Row],[Creación y captura Feb/2025]:[Compartición e Interoperabilidad Feb/2025]])</f>
        <v>0.4</v>
      </c>
      <c r="AS167" s="14"/>
      <c r="AT167" s="14"/>
      <c r="AU167" s="15"/>
      <c r="AV167" s="15">
        <f>Tabla13[[#This Row],[Uso y acceso Mar/2025]]</f>
        <v>0.8</v>
      </c>
      <c r="AW167" s="15">
        <f>Tabla58[[#This Row],[Integración Mar/2025]]</f>
        <v>0</v>
      </c>
      <c r="AX167" s="16">
        <f>AVERAGE(Tabla4[[#This Row],[Creación y captura Mar/2025]:[Compartición e Interoperabilidad Mar/2025]])</f>
        <v>0.4</v>
      </c>
      <c r="AY167" s="14"/>
      <c r="AZ167" s="14"/>
      <c r="BA167" s="15"/>
      <c r="BB167" s="15">
        <f>Tabla13[[#This Row],[Uso y acceso Abr/2025]]</f>
        <v>0.8</v>
      </c>
      <c r="BC167" s="15">
        <f>Tabla58[[#This Row],[Integración Abr/2025]]</f>
        <v>0</v>
      </c>
      <c r="BD167" s="16">
        <f>AVERAGE(Tabla4[[#This Row],[Creación y captura Abr/2025]:[Compartición e Interoperabilidad Abr/2025]])</f>
        <v>0.4</v>
      </c>
      <c r="BE167" s="14"/>
      <c r="BF167" s="14"/>
      <c r="BG167" s="15"/>
      <c r="BH167" s="15">
        <f>Tabla13[[#This Row],[Uso y acceso May/2025]]</f>
        <v>1</v>
      </c>
      <c r="BI167" s="15">
        <f>Tabla58[[#This Row],[Integración May/2025]]</f>
        <v>0</v>
      </c>
      <c r="BJ167" s="16">
        <f>AVERAGE(Tabla4[[#This Row],[Creación y captura May/2025]:[Compartición e Interoperabilidad May/2025]])</f>
        <v>0.5</v>
      </c>
      <c r="BK167" s="14"/>
      <c r="BL167" s="14"/>
      <c r="BM167" s="14">
        <f>AVERAGE('Calidad de Datos'!AQ171:AT171)</f>
        <v>1</v>
      </c>
      <c r="BN167" s="14">
        <f>Tabla13[[#This Row],[Uso y acceso Dic/2025]]</f>
        <v>1</v>
      </c>
      <c r="BO167" s="14">
        <f>Tabla58[[#This Row],[Integración Dic/2025]]</f>
        <v>0.8</v>
      </c>
      <c r="BP167" s="16">
        <f>AVERAGE(Tabla4[[#This Row],[Creación y captura Dic/2025]:[Compartición e Interoperabilidad Dic/2025]])</f>
        <v>0.93333333333333324</v>
      </c>
    </row>
    <row r="168" spans="2:68" x14ac:dyDescent="0.4">
      <c r="B168" s="1" t="s">
        <v>219</v>
      </c>
      <c r="C168" s="14"/>
      <c r="D168" s="14"/>
      <c r="E168" s="14"/>
      <c r="F168" s="14">
        <f>Tabla13[[#This Row],[Uso y acceso Ago/2024]]</f>
        <v>0.8</v>
      </c>
      <c r="G168" s="15">
        <f>Tabla58[[#This Row],[Integración Ago/2024]]</f>
        <v>0</v>
      </c>
      <c r="H168" s="16">
        <f>AVERAGE(Tabla4[[#This Row],[Creación y captura Ago/2024]:[Compartición e Interoperabilidad Ago/2024]])</f>
        <v>0.4</v>
      </c>
      <c r="I168" s="14"/>
      <c r="J168" s="14"/>
      <c r="K168" s="15"/>
      <c r="L168" s="15">
        <f>Tabla13[[#This Row],[Uso y acceso Sep/2024]]</f>
        <v>0.8</v>
      </c>
      <c r="M168" s="15">
        <f>Tabla58[[#This Row],[Integración Sep/2024]]</f>
        <v>0</v>
      </c>
      <c r="N168" s="16">
        <f>AVERAGE(Tabla4[[#This Row],[Creación y captura Sep/2024]:[Compartición e Interoperabilidad Sep/2024]])</f>
        <v>0.4</v>
      </c>
      <c r="O168" s="14"/>
      <c r="P168" s="14"/>
      <c r="Q168" s="15"/>
      <c r="R168" s="15">
        <f>Tabla13[[#This Row],[Uso y acceso Oct/2024]]</f>
        <v>0.8</v>
      </c>
      <c r="S168" s="15">
        <f>Tabla58[[#This Row],[Integración Oct/2024]]</f>
        <v>0</v>
      </c>
      <c r="T168" s="16">
        <f>AVERAGE(Tabla4[[#This Row],[Creación y captura Oct/2024]:[Compartición e Interoperabilidad Oct/2024]])</f>
        <v>0.4</v>
      </c>
      <c r="U168" s="14"/>
      <c r="V168" s="14"/>
      <c r="W168" s="15"/>
      <c r="X168" s="15">
        <f>Tabla13[[#This Row],[Uso y acceso Nov/2024]]</f>
        <v>0.8</v>
      </c>
      <c r="Y168" s="15">
        <f>Tabla58[[#This Row],[Integración Nov/2024]]</f>
        <v>0</v>
      </c>
      <c r="Z168" s="16">
        <f>AVERAGE(Tabla4[[#This Row],[Creación y captura Nov/2024]:[Compartición e Interoperabilidad Nov/2024]])</f>
        <v>0.4</v>
      </c>
      <c r="AA168" s="14"/>
      <c r="AB168" s="14"/>
      <c r="AC168" s="15"/>
      <c r="AD168" s="15">
        <f>Tabla13[[#This Row],[Uso y acceso Dic/2024]]</f>
        <v>0.8</v>
      </c>
      <c r="AE168" s="15">
        <f>Tabla58[[#This Row],[Integración Dic/2024]]</f>
        <v>0</v>
      </c>
      <c r="AF168" s="16">
        <f>AVERAGE(Tabla4[[#This Row],[Creación y captura Dic/2024]:[Compartición e Interoperabilidad Dic/2024]])</f>
        <v>0.4</v>
      </c>
      <c r="AG168" s="14"/>
      <c r="AH168" s="14"/>
      <c r="AI168" s="15"/>
      <c r="AJ168" s="15">
        <f>Tabla13[[#This Row],[Uso y acceso Ene/2025]]</f>
        <v>0.8</v>
      </c>
      <c r="AK168" s="15">
        <f>Tabla58[[#This Row],[Integración Ene/2025]]</f>
        <v>0</v>
      </c>
      <c r="AL168" s="16">
        <f>AVERAGE(Tabla4[[#This Row],[Creación y captura Ene/2025]:[Compartición e Interoperabilidad Ene/2025]])</f>
        <v>0.4</v>
      </c>
      <c r="AM168" s="14"/>
      <c r="AN168" s="14"/>
      <c r="AO168" s="15"/>
      <c r="AP168" s="15">
        <f>Tabla13[[#This Row],[Uso y acceso Feb/2025]]</f>
        <v>0.8</v>
      </c>
      <c r="AQ168" s="15">
        <f>Tabla58[[#This Row],[Integración Feb/2025]]</f>
        <v>0</v>
      </c>
      <c r="AR168" s="16">
        <f>AVERAGE(Tabla4[[#This Row],[Creación y captura Feb/2025]:[Compartición e Interoperabilidad Feb/2025]])</f>
        <v>0.4</v>
      </c>
      <c r="AS168" s="14"/>
      <c r="AT168" s="14"/>
      <c r="AU168" s="15"/>
      <c r="AV168" s="15">
        <f>Tabla13[[#This Row],[Uso y acceso Mar/2025]]</f>
        <v>0.8</v>
      </c>
      <c r="AW168" s="15">
        <f>Tabla58[[#This Row],[Integración Mar/2025]]</f>
        <v>0</v>
      </c>
      <c r="AX168" s="16">
        <f>AVERAGE(Tabla4[[#This Row],[Creación y captura Mar/2025]:[Compartición e Interoperabilidad Mar/2025]])</f>
        <v>0.4</v>
      </c>
      <c r="AY168" s="14"/>
      <c r="AZ168" s="14"/>
      <c r="BA168" s="15"/>
      <c r="BB168" s="15">
        <f>Tabla13[[#This Row],[Uso y acceso Abr/2025]]</f>
        <v>0.8</v>
      </c>
      <c r="BC168" s="15">
        <f>Tabla58[[#This Row],[Integración Abr/2025]]</f>
        <v>0</v>
      </c>
      <c r="BD168" s="16">
        <f>AVERAGE(Tabla4[[#This Row],[Creación y captura Abr/2025]:[Compartición e Interoperabilidad Abr/2025]])</f>
        <v>0.4</v>
      </c>
      <c r="BE168" s="14"/>
      <c r="BF168" s="14"/>
      <c r="BG168" s="15"/>
      <c r="BH168" s="15">
        <f>Tabla13[[#This Row],[Uso y acceso May/2025]]</f>
        <v>1</v>
      </c>
      <c r="BI168" s="15">
        <f>Tabla58[[#This Row],[Integración May/2025]]</f>
        <v>0</v>
      </c>
      <c r="BJ168" s="16">
        <f>AVERAGE(Tabla4[[#This Row],[Creación y captura May/2025]:[Compartición e Interoperabilidad May/2025]])</f>
        <v>0.5</v>
      </c>
      <c r="BK168" s="14"/>
      <c r="BL168" s="14"/>
      <c r="BM168" s="14">
        <f>AVERAGE('Calidad de Datos'!AQ172:AT172)</f>
        <v>0.8</v>
      </c>
      <c r="BN168" s="14">
        <f>Tabla13[[#This Row],[Uso y acceso Dic/2025]]</f>
        <v>1</v>
      </c>
      <c r="BO168" s="14">
        <f>Tabla58[[#This Row],[Integración Dic/2025]]</f>
        <v>0.6</v>
      </c>
      <c r="BP168" s="16">
        <f>AVERAGE(Tabla4[[#This Row],[Creación y captura Dic/2025]:[Compartición e Interoperabilidad Dic/2025]])</f>
        <v>0.79999999999999993</v>
      </c>
    </row>
    <row r="169" spans="2:68" x14ac:dyDescent="0.4">
      <c r="B169" s="1" t="s">
        <v>220</v>
      </c>
      <c r="C169" s="14"/>
      <c r="D169" s="14"/>
      <c r="E169" s="14"/>
      <c r="F169" s="14">
        <f>Tabla13[[#This Row],[Uso y acceso Ago/2024]]</f>
        <v>1</v>
      </c>
      <c r="G169" s="15">
        <f>Tabla58[[#This Row],[Integración Ago/2024]]</f>
        <v>0</v>
      </c>
      <c r="H169" s="16">
        <f>AVERAGE(Tabla4[[#This Row],[Creación y captura Ago/2024]:[Compartición e Interoperabilidad Ago/2024]])</f>
        <v>0.5</v>
      </c>
      <c r="I169" s="14"/>
      <c r="J169" s="14"/>
      <c r="K169" s="15"/>
      <c r="L169" s="15">
        <f>Tabla13[[#This Row],[Uso y acceso Sep/2024]]</f>
        <v>1</v>
      </c>
      <c r="M169" s="15">
        <f>Tabla58[[#This Row],[Integración Sep/2024]]</f>
        <v>0</v>
      </c>
      <c r="N169" s="16">
        <f>AVERAGE(Tabla4[[#This Row],[Creación y captura Sep/2024]:[Compartición e Interoperabilidad Sep/2024]])</f>
        <v>0.5</v>
      </c>
      <c r="O169" s="14"/>
      <c r="P169" s="14"/>
      <c r="Q169" s="15"/>
      <c r="R169" s="15">
        <f>Tabla13[[#This Row],[Uso y acceso Oct/2024]]</f>
        <v>1</v>
      </c>
      <c r="S169" s="15">
        <f>Tabla58[[#This Row],[Integración Oct/2024]]</f>
        <v>0</v>
      </c>
      <c r="T169" s="16">
        <f>AVERAGE(Tabla4[[#This Row],[Creación y captura Oct/2024]:[Compartición e Interoperabilidad Oct/2024]])</f>
        <v>0.5</v>
      </c>
      <c r="U169" s="14"/>
      <c r="V169" s="14"/>
      <c r="W169" s="15"/>
      <c r="X169" s="15">
        <f>Tabla13[[#This Row],[Uso y acceso Nov/2024]]</f>
        <v>1</v>
      </c>
      <c r="Y169" s="15">
        <f>Tabla58[[#This Row],[Integración Nov/2024]]</f>
        <v>0</v>
      </c>
      <c r="Z169" s="16">
        <f>AVERAGE(Tabla4[[#This Row],[Creación y captura Nov/2024]:[Compartición e Interoperabilidad Nov/2024]])</f>
        <v>0.5</v>
      </c>
      <c r="AA169" s="14"/>
      <c r="AB169" s="14"/>
      <c r="AC169" s="15"/>
      <c r="AD169" s="15">
        <f>Tabla13[[#This Row],[Uso y acceso Dic/2024]]</f>
        <v>1</v>
      </c>
      <c r="AE169" s="15">
        <f>Tabla58[[#This Row],[Integración Dic/2024]]</f>
        <v>0</v>
      </c>
      <c r="AF169" s="16">
        <f>AVERAGE(Tabla4[[#This Row],[Creación y captura Dic/2024]:[Compartición e Interoperabilidad Dic/2024]])</f>
        <v>0.5</v>
      </c>
      <c r="AG169" s="14"/>
      <c r="AH169" s="14"/>
      <c r="AI169" s="15"/>
      <c r="AJ169" s="15">
        <f>Tabla13[[#This Row],[Uso y acceso Ene/2025]]</f>
        <v>1</v>
      </c>
      <c r="AK169" s="15">
        <f>Tabla58[[#This Row],[Integración Ene/2025]]</f>
        <v>0</v>
      </c>
      <c r="AL169" s="16">
        <f>AVERAGE(Tabla4[[#This Row],[Creación y captura Ene/2025]:[Compartición e Interoperabilidad Ene/2025]])</f>
        <v>0.5</v>
      </c>
      <c r="AM169" s="14"/>
      <c r="AN169" s="14"/>
      <c r="AO169" s="15"/>
      <c r="AP169" s="15">
        <f>Tabla13[[#This Row],[Uso y acceso Feb/2025]]</f>
        <v>1</v>
      </c>
      <c r="AQ169" s="15">
        <f>Tabla58[[#This Row],[Integración Feb/2025]]</f>
        <v>0</v>
      </c>
      <c r="AR169" s="16">
        <f>AVERAGE(Tabla4[[#This Row],[Creación y captura Feb/2025]:[Compartición e Interoperabilidad Feb/2025]])</f>
        <v>0.5</v>
      </c>
      <c r="AS169" s="14"/>
      <c r="AT169" s="14"/>
      <c r="AU169" s="15"/>
      <c r="AV169" s="15">
        <f>Tabla13[[#This Row],[Uso y acceso Mar/2025]]</f>
        <v>1</v>
      </c>
      <c r="AW169" s="15">
        <f>Tabla58[[#This Row],[Integración Mar/2025]]</f>
        <v>0</v>
      </c>
      <c r="AX169" s="16">
        <f>AVERAGE(Tabla4[[#This Row],[Creación y captura Mar/2025]:[Compartición e Interoperabilidad Mar/2025]])</f>
        <v>0.5</v>
      </c>
      <c r="AY169" s="14"/>
      <c r="AZ169" s="14"/>
      <c r="BA169" s="15"/>
      <c r="BB169" s="15">
        <f>Tabla13[[#This Row],[Uso y acceso Abr/2025]]</f>
        <v>1</v>
      </c>
      <c r="BC169" s="15">
        <f>Tabla58[[#This Row],[Integración Abr/2025]]</f>
        <v>0</v>
      </c>
      <c r="BD169" s="16">
        <f>AVERAGE(Tabla4[[#This Row],[Creación y captura Abr/2025]:[Compartición e Interoperabilidad Abr/2025]])</f>
        <v>0.5</v>
      </c>
      <c r="BE169" s="14"/>
      <c r="BF169" s="14"/>
      <c r="BG169" s="15"/>
      <c r="BH169" s="15">
        <f>Tabla13[[#This Row],[Uso y acceso May/2025]]</f>
        <v>1</v>
      </c>
      <c r="BI169" s="15">
        <f>Tabla58[[#This Row],[Integración May/2025]]</f>
        <v>0</v>
      </c>
      <c r="BJ169" s="16">
        <f>AVERAGE(Tabla4[[#This Row],[Creación y captura May/2025]:[Compartición e Interoperabilidad May/2025]])</f>
        <v>0.5</v>
      </c>
      <c r="BK169" s="14"/>
      <c r="BL169" s="14"/>
      <c r="BM169" s="14">
        <f>AVERAGE('Calidad de Datos'!AQ173:AT173)</f>
        <v>0.6</v>
      </c>
      <c r="BN169" s="14">
        <f>Tabla13[[#This Row],[Uso y acceso Dic/2025]]</f>
        <v>1</v>
      </c>
      <c r="BO169" s="14">
        <f>Tabla58[[#This Row],[Integración Dic/2025]]</f>
        <v>0.4</v>
      </c>
      <c r="BP169" s="16">
        <f>AVERAGE(Tabla4[[#This Row],[Creación y captura Dic/2025]:[Compartición e Interoperabilidad Dic/2025]])</f>
        <v>0.66666666666666663</v>
      </c>
    </row>
    <row r="170" spans="2:68" x14ac:dyDescent="0.4">
      <c r="B170" s="1" t="s">
        <v>221</v>
      </c>
      <c r="C170" s="14"/>
      <c r="D170" s="14"/>
      <c r="E170" s="14"/>
      <c r="F170" s="14">
        <f>Tabla13[[#This Row],[Uso y acceso Ago/2024]]</f>
        <v>1</v>
      </c>
      <c r="G170" s="15">
        <f>Tabla58[[#This Row],[Integración Ago/2024]]</f>
        <v>0</v>
      </c>
      <c r="H170" s="16">
        <f>AVERAGE(Tabla4[[#This Row],[Creación y captura Ago/2024]:[Compartición e Interoperabilidad Ago/2024]])</f>
        <v>0.5</v>
      </c>
      <c r="I170" s="14"/>
      <c r="J170" s="14"/>
      <c r="K170" s="15"/>
      <c r="L170" s="15">
        <f>Tabla13[[#This Row],[Uso y acceso Sep/2024]]</f>
        <v>1</v>
      </c>
      <c r="M170" s="15">
        <f>Tabla58[[#This Row],[Integración Sep/2024]]</f>
        <v>0</v>
      </c>
      <c r="N170" s="16">
        <f>AVERAGE(Tabla4[[#This Row],[Creación y captura Sep/2024]:[Compartición e Interoperabilidad Sep/2024]])</f>
        <v>0.5</v>
      </c>
      <c r="O170" s="14"/>
      <c r="P170" s="14"/>
      <c r="Q170" s="15"/>
      <c r="R170" s="15">
        <f>Tabla13[[#This Row],[Uso y acceso Oct/2024]]</f>
        <v>1</v>
      </c>
      <c r="S170" s="15">
        <f>Tabla58[[#This Row],[Integración Oct/2024]]</f>
        <v>0</v>
      </c>
      <c r="T170" s="16">
        <f>AVERAGE(Tabla4[[#This Row],[Creación y captura Oct/2024]:[Compartición e Interoperabilidad Oct/2024]])</f>
        <v>0.5</v>
      </c>
      <c r="U170" s="14"/>
      <c r="V170" s="14"/>
      <c r="W170" s="15"/>
      <c r="X170" s="15">
        <f>Tabla13[[#This Row],[Uso y acceso Nov/2024]]</f>
        <v>1</v>
      </c>
      <c r="Y170" s="15">
        <f>Tabla58[[#This Row],[Integración Nov/2024]]</f>
        <v>0</v>
      </c>
      <c r="Z170" s="16">
        <f>AVERAGE(Tabla4[[#This Row],[Creación y captura Nov/2024]:[Compartición e Interoperabilidad Nov/2024]])</f>
        <v>0.5</v>
      </c>
      <c r="AA170" s="14"/>
      <c r="AB170" s="14"/>
      <c r="AC170" s="15"/>
      <c r="AD170" s="15">
        <f>Tabla13[[#This Row],[Uso y acceso Dic/2024]]</f>
        <v>1</v>
      </c>
      <c r="AE170" s="15">
        <f>Tabla58[[#This Row],[Integración Dic/2024]]</f>
        <v>0</v>
      </c>
      <c r="AF170" s="16">
        <f>AVERAGE(Tabla4[[#This Row],[Creación y captura Dic/2024]:[Compartición e Interoperabilidad Dic/2024]])</f>
        <v>0.5</v>
      </c>
      <c r="AG170" s="14"/>
      <c r="AH170" s="14"/>
      <c r="AI170" s="15"/>
      <c r="AJ170" s="15">
        <f>Tabla13[[#This Row],[Uso y acceso Ene/2025]]</f>
        <v>1</v>
      </c>
      <c r="AK170" s="15">
        <f>Tabla58[[#This Row],[Integración Ene/2025]]</f>
        <v>0</v>
      </c>
      <c r="AL170" s="16">
        <f>AVERAGE(Tabla4[[#This Row],[Creación y captura Ene/2025]:[Compartición e Interoperabilidad Ene/2025]])</f>
        <v>0.5</v>
      </c>
      <c r="AM170" s="14"/>
      <c r="AN170" s="14"/>
      <c r="AO170" s="15"/>
      <c r="AP170" s="15">
        <f>Tabla13[[#This Row],[Uso y acceso Feb/2025]]</f>
        <v>1</v>
      </c>
      <c r="AQ170" s="15">
        <f>Tabla58[[#This Row],[Integración Feb/2025]]</f>
        <v>0</v>
      </c>
      <c r="AR170" s="16">
        <f>AVERAGE(Tabla4[[#This Row],[Creación y captura Feb/2025]:[Compartición e Interoperabilidad Feb/2025]])</f>
        <v>0.5</v>
      </c>
      <c r="AS170" s="14"/>
      <c r="AT170" s="14"/>
      <c r="AU170" s="15"/>
      <c r="AV170" s="15">
        <f>Tabla13[[#This Row],[Uso y acceso Mar/2025]]</f>
        <v>1</v>
      </c>
      <c r="AW170" s="15">
        <f>Tabla58[[#This Row],[Integración Mar/2025]]</f>
        <v>0</v>
      </c>
      <c r="AX170" s="16">
        <f>AVERAGE(Tabla4[[#This Row],[Creación y captura Mar/2025]:[Compartición e Interoperabilidad Mar/2025]])</f>
        <v>0.5</v>
      </c>
      <c r="AY170" s="14"/>
      <c r="AZ170" s="14"/>
      <c r="BA170" s="15"/>
      <c r="BB170" s="15">
        <f>Tabla13[[#This Row],[Uso y acceso Abr/2025]]</f>
        <v>1</v>
      </c>
      <c r="BC170" s="15">
        <f>Tabla58[[#This Row],[Integración Abr/2025]]</f>
        <v>0</v>
      </c>
      <c r="BD170" s="16">
        <f>AVERAGE(Tabla4[[#This Row],[Creación y captura Abr/2025]:[Compartición e Interoperabilidad Abr/2025]])</f>
        <v>0.5</v>
      </c>
      <c r="BE170" s="14"/>
      <c r="BF170" s="14"/>
      <c r="BG170" s="15"/>
      <c r="BH170" s="15">
        <f>Tabla13[[#This Row],[Uso y acceso May/2025]]</f>
        <v>1</v>
      </c>
      <c r="BI170" s="15">
        <f>Tabla58[[#This Row],[Integración May/2025]]</f>
        <v>0</v>
      </c>
      <c r="BJ170" s="16">
        <f>AVERAGE(Tabla4[[#This Row],[Creación y captura May/2025]:[Compartición e Interoperabilidad May/2025]])</f>
        <v>0.5</v>
      </c>
      <c r="BK170" s="14"/>
      <c r="BL170" s="14"/>
      <c r="BM170" s="14">
        <f>AVERAGE('Calidad de Datos'!AQ174:AT174)</f>
        <v>0.6</v>
      </c>
      <c r="BN170" s="14">
        <f>Tabla13[[#This Row],[Uso y acceso Dic/2025]]</f>
        <v>1</v>
      </c>
      <c r="BO170" s="14">
        <f>Tabla58[[#This Row],[Integración Dic/2025]]</f>
        <v>0.4</v>
      </c>
      <c r="BP170" s="16">
        <f>AVERAGE(Tabla4[[#This Row],[Creación y captura Dic/2025]:[Compartición e Interoperabilidad Dic/2025]])</f>
        <v>0.66666666666666663</v>
      </c>
    </row>
    <row r="171" spans="2:68" x14ac:dyDescent="0.4">
      <c r="B171" s="1" t="s">
        <v>222</v>
      </c>
      <c r="C171" s="14"/>
      <c r="D171" s="14"/>
      <c r="E171" s="14"/>
      <c r="F171" s="14">
        <f>Tabla13[[#This Row],[Uso y acceso Ago/2024]]</f>
        <v>0.8</v>
      </c>
      <c r="G171" s="15">
        <f>Tabla58[[#This Row],[Integración Ago/2024]]</f>
        <v>0</v>
      </c>
      <c r="H171" s="16">
        <f>AVERAGE(Tabla4[[#This Row],[Creación y captura Ago/2024]:[Compartición e Interoperabilidad Ago/2024]])</f>
        <v>0.4</v>
      </c>
      <c r="I171" s="14"/>
      <c r="J171" s="14"/>
      <c r="K171" s="15"/>
      <c r="L171" s="15">
        <f>Tabla13[[#This Row],[Uso y acceso Sep/2024]]</f>
        <v>0.8</v>
      </c>
      <c r="M171" s="15">
        <f>Tabla58[[#This Row],[Integración Sep/2024]]</f>
        <v>0</v>
      </c>
      <c r="N171" s="16">
        <f>AVERAGE(Tabla4[[#This Row],[Creación y captura Sep/2024]:[Compartición e Interoperabilidad Sep/2024]])</f>
        <v>0.4</v>
      </c>
      <c r="O171" s="14"/>
      <c r="P171" s="14"/>
      <c r="Q171" s="15"/>
      <c r="R171" s="15">
        <f>Tabla13[[#This Row],[Uso y acceso Oct/2024]]</f>
        <v>0.8</v>
      </c>
      <c r="S171" s="15">
        <f>Tabla58[[#This Row],[Integración Oct/2024]]</f>
        <v>0</v>
      </c>
      <c r="T171" s="16">
        <f>AVERAGE(Tabla4[[#This Row],[Creación y captura Oct/2024]:[Compartición e Interoperabilidad Oct/2024]])</f>
        <v>0.4</v>
      </c>
      <c r="U171" s="14"/>
      <c r="V171" s="14"/>
      <c r="W171" s="15"/>
      <c r="X171" s="15">
        <f>Tabla13[[#This Row],[Uso y acceso Nov/2024]]</f>
        <v>0.8</v>
      </c>
      <c r="Y171" s="15">
        <f>Tabla58[[#This Row],[Integración Nov/2024]]</f>
        <v>0</v>
      </c>
      <c r="Z171" s="16">
        <f>AVERAGE(Tabla4[[#This Row],[Creación y captura Nov/2024]:[Compartición e Interoperabilidad Nov/2024]])</f>
        <v>0.4</v>
      </c>
      <c r="AA171" s="14"/>
      <c r="AB171" s="14"/>
      <c r="AC171" s="15"/>
      <c r="AD171" s="15">
        <f>Tabla13[[#This Row],[Uso y acceso Dic/2024]]</f>
        <v>0.8</v>
      </c>
      <c r="AE171" s="15">
        <f>Tabla58[[#This Row],[Integración Dic/2024]]</f>
        <v>0</v>
      </c>
      <c r="AF171" s="16">
        <f>AVERAGE(Tabla4[[#This Row],[Creación y captura Dic/2024]:[Compartición e Interoperabilidad Dic/2024]])</f>
        <v>0.4</v>
      </c>
      <c r="AG171" s="14"/>
      <c r="AH171" s="14"/>
      <c r="AI171" s="15"/>
      <c r="AJ171" s="15">
        <f>Tabla13[[#This Row],[Uso y acceso Ene/2025]]</f>
        <v>0.8</v>
      </c>
      <c r="AK171" s="15">
        <f>Tabla58[[#This Row],[Integración Ene/2025]]</f>
        <v>0</v>
      </c>
      <c r="AL171" s="16">
        <f>AVERAGE(Tabla4[[#This Row],[Creación y captura Ene/2025]:[Compartición e Interoperabilidad Ene/2025]])</f>
        <v>0.4</v>
      </c>
      <c r="AM171" s="14"/>
      <c r="AN171" s="14"/>
      <c r="AO171" s="15"/>
      <c r="AP171" s="15">
        <f>Tabla13[[#This Row],[Uso y acceso Feb/2025]]</f>
        <v>0.8</v>
      </c>
      <c r="AQ171" s="15">
        <f>Tabla58[[#This Row],[Integración Feb/2025]]</f>
        <v>0</v>
      </c>
      <c r="AR171" s="16">
        <f>AVERAGE(Tabla4[[#This Row],[Creación y captura Feb/2025]:[Compartición e Interoperabilidad Feb/2025]])</f>
        <v>0.4</v>
      </c>
      <c r="AS171" s="14"/>
      <c r="AT171" s="14"/>
      <c r="AU171" s="15"/>
      <c r="AV171" s="15">
        <f>Tabla13[[#This Row],[Uso y acceso Mar/2025]]</f>
        <v>0.8</v>
      </c>
      <c r="AW171" s="15">
        <f>Tabla58[[#This Row],[Integración Mar/2025]]</f>
        <v>0</v>
      </c>
      <c r="AX171" s="16">
        <f>AVERAGE(Tabla4[[#This Row],[Creación y captura Mar/2025]:[Compartición e Interoperabilidad Mar/2025]])</f>
        <v>0.4</v>
      </c>
      <c r="AY171" s="14"/>
      <c r="AZ171" s="14"/>
      <c r="BA171" s="15"/>
      <c r="BB171" s="15">
        <f>Tabla13[[#This Row],[Uso y acceso Abr/2025]]</f>
        <v>0.8</v>
      </c>
      <c r="BC171" s="15">
        <f>Tabla58[[#This Row],[Integración Abr/2025]]</f>
        <v>0</v>
      </c>
      <c r="BD171" s="16">
        <f>AVERAGE(Tabla4[[#This Row],[Creación y captura Abr/2025]:[Compartición e Interoperabilidad Abr/2025]])</f>
        <v>0.4</v>
      </c>
      <c r="BE171" s="14"/>
      <c r="BF171" s="14"/>
      <c r="BG171" s="15"/>
      <c r="BH171" s="15">
        <f>Tabla13[[#This Row],[Uso y acceso May/2025]]</f>
        <v>1</v>
      </c>
      <c r="BI171" s="15">
        <f>Tabla58[[#This Row],[Integración May/2025]]</f>
        <v>0</v>
      </c>
      <c r="BJ171" s="16">
        <f>AVERAGE(Tabla4[[#This Row],[Creación y captura May/2025]:[Compartición e Interoperabilidad May/2025]])</f>
        <v>0.5</v>
      </c>
      <c r="BK171" s="14"/>
      <c r="BL171" s="14"/>
      <c r="BM171" s="14">
        <f>AVERAGE('Calidad de Datos'!AQ175:AT175)</f>
        <v>0.8</v>
      </c>
      <c r="BN171" s="14">
        <f>Tabla13[[#This Row],[Uso y acceso Dic/2025]]</f>
        <v>1</v>
      </c>
      <c r="BO171" s="14">
        <f>Tabla58[[#This Row],[Integración Dic/2025]]</f>
        <v>0.6</v>
      </c>
      <c r="BP171" s="16">
        <f>AVERAGE(Tabla4[[#This Row],[Creación y captura Dic/2025]:[Compartición e Interoperabilidad Dic/2025]])</f>
        <v>0.79999999999999993</v>
      </c>
    </row>
    <row r="172" spans="2:68" x14ac:dyDescent="0.4">
      <c r="B172" s="1" t="s">
        <v>223</v>
      </c>
      <c r="C172" s="14"/>
      <c r="D172" s="14"/>
      <c r="E172" s="14"/>
      <c r="F172" s="14">
        <f>Tabla13[[#This Row],[Uso y acceso Ago/2024]]</f>
        <v>0.8</v>
      </c>
      <c r="G172" s="15">
        <f>Tabla58[[#This Row],[Integración Ago/2024]]</f>
        <v>0</v>
      </c>
      <c r="H172" s="16">
        <f>AVERAGE(Tabla4[[#This Row],[Creación y captura Ago/2024]:[Compartición e Interoperabilidad Ago/2024]])</f>
        <v>0.4</v>
      </c>
      <c r="I172" s="14"/>
      <c r="J172" s="14"/>
      <c r="K172" s="15"/>
      <c r="L172" s="15">
        <f>Tabla13[[#This Row],[Uso y acceso Sep/2024]]</f>
        <v>0.8</v>
      </c>
      <c r="M172" s="15">
        <f>Tabla58[[#This Row],[Integración Sep/2024]]</f>
        <v>0</v>
      </c>
      <c r="N172" s="16">
        <f>AVERAGE(Tabla4[[#This Row],[Creación y captura Sep/2024]:[Compartición e Interoperabilidad Sep/2024]])</f>
        <v>0.4</v>
      </c>
      <c r="O172" s="14"/>
      <c r="P172" s="14"/>
      <c r="Q172" s="15"/>
      <c r="R172" s="15">
        <f>Tabla13[[#This Row],[Uso y acceso Oct/2024]]</f>
        <v>0.8</v>
      </c>
      <c r="S172" s="15">
        <f>Tabla58[[#This Row],[Integración Oct/2024]]</f>
        <v>0</v>
      </c>
      <c r="T172" s="16">
        <f>AVERAGE(Tabla4[[#This Row],[Creación y captura Oct/2024]:[Compartición e Interoperabilidad Oct/2024]])</f>
        <v>0.4</v>
      </c>
      <c r="U172" s="14"/>
      <c r="V172" s="14"/>
      <c r="W172" s="15"/>
      <c r="X172" s="15">
        <f>Tabla13[[#This Row],[Uso y acceso Nov/2024]]</f>
        <v>0.8</v>
      </c>
      <c r="Y172" s="15">
        <f>Tabla58[[#This Row],[Integración Nov/2024]]</f>
        <v>0</v>
      </c>
      <c r="Z172" s="16">
        <f>AVERAGE(Tabla4[[#This Row],[Creación y captura Nov/2024]:[Compartición e Interoperabilidad Nov/2024]])</f>
        <v>0.4</v>
      </c>
      <c r="AA172" s="14"/>
      <c r="AB172" s="14"/>
      <c r="AC172" s="15"/>
      <c r="AD172" s="15">
        <f>Tabla13[[#This Row],[Uso y acceso Dic/2024]]</f>
        <v>0.8</v>
      </c>
      <c r="AE172" s="15">
        <f>Tabla58[[#This Row],[Integración Dic/2024]]</f>
        <v>0</v>
      </c>
      <c r="AF172" s="16">
        <f>AVERAGE(Tabla4[[#This Row],[Creación y captura Dic/2024]:[Compartición e Interoperabilidad Dic/2024]])</f>
        <v>0.4</v>
      </c>
      <c r="AG172" s="14"/>
      <c r="AH172" s="14"/>
      <c r="AI172" s="15"/>
      <c r="AJ172" s="15">
        <f>Tabla13[[#This Row],[Uso y acceso Ene/2025]]</f>
        <v>0.8</v>
      </c>
      <c r="AK172" s="15">
        <f>Tabla58[[#This Row],[Integración Ene/2025]]</f>
        <v>0</v>
      </c>
      <c r="AL172" s="16">
        <f>AVERAGE(Tabla4[[#This Row],[Creación y captura Ene/2025]:[Compartición e Interoperabilidad Ene/2025]])</f>
        <v>0.4</v>
      </c>
      <c r="AM172" s="14"/>
      <c r="AN172" s="14"/>
      <c r="AO172" s="15"/>
      <c r="AP172" s="15">
        <f>Tabla13[[#This Row],[Uso y acceso Feb/2025]]</f>
        <v>0.8</v>
      </c>
      <c r="AQ172" s="15">
        <f>Tabla58[[#This Row],[Integración Feb/2025]]</f>
        <v>0</v>
      </c>
      <c r="AR172" s="16">
        <f>AVERAGE(Tabla4[[#This Row],[Creación y captura Feb/2025]:[Compartición e Interoperabilidad Feb/2025]])</f>
        <v>0.4</v>
      </c>
      <c r="AS172" s="14"/>
      <c r="AT172" s="14"/>
      <c r="AU172" s="15"/>
      <c r="AV172" s="15">
        <f>Tabla13[[#This Row],[Uso y acceso Mar/2025]]</f>
        <v>0.8</v>
      </c>
      <c r="AW172" s="15">
        <f>Tabla58[[#This Row],[Integración Mar/2025]]</f>
        <v>0</v>
      </c>
      <c r="AX172" s="16">
        <f>AVERAGE(Tabla4[[#This Row],[Creación y captura Mar/2025]:[Compartición e Interoperabilidad Mar/2025]])</f>
        <v>0.4</v>
      </c>
      <c r="AY172" s="14"/>
      <c r="AZ172" s="14"/>
      <c r="BA172" s="15"/>
      <c r="BB172" s="15">
        <f>Tabla13[[#This Row],[Uso y acceso Abr/2025]]</f>
        <v>0.8</v>
      </c>
      <c r="BC172" s="15">
        <f>Tabla58[[#This Row],[Integración Abr/2025]]</f>
        <v>0</v>
      </c>
      <c r="BD172" s="16">
        <f>AVERAGE(Tabla4[[#This Row],[Creación y captura Abr/2025]:[Compartición e Interoperabilidad Abr/2025]])</f>
        <v>0.4</v>
      </c>
      <c r="BE172" s="14"/>
      <c r="BF172" s="14"/>
      <c r="BG172" s="15"/>
      <c r="BH172" s="15">
        <f>Tabla13[[#This Row],[Uso y acceso May/2025]]</f>
        <v>1</v>
      </c>
      <c r="BI172" s="15">
        <f>Tabla58[[#This Row],[Integración May/2025]]</f>
        <v>0</v>
      </c>
      <c r="BJ172" s="16">
        <f>AVERAGE(Tabla4[[#This Row],[Creación y captura May/2025]:[Compartición e Interoperabilidad May/2025]])</f>
        <v>0.5</v>
      </c>
      <c r="BK172" s="14"/>
      <c r="BL172" s="14"/>
      <c r="BM172" s="14">
        <f>AVERAGE('Calidad de Datos'!AQ176:AT176)</f>
        <v>0.8</v>
      </c>
      <c r="BN172" s="14">
        <f>Tabla13[[#This Row],[Uso y acceso Dic/2025]]</f>
        <v>1</v>
      </c>
      <c r="BO172" s="14">
        <f>Tabla58[[#This Row],[Integración Dic/2025]]</f>
        <v>0.6</v>
      </c>
      <c r="BP172" s="16">
        <f>AVERAGE(Tabla4[[#This Row],[Creación y captura Dic/2025]:[Compartición e Interoperabilidad Dic/2025]])</f>
        <v>0.79999999999999993</v>
      </c>
    </row>
    <row r="173" spans="2:68" x14ac:dyDescent="0.4">
      <c r="B173" s="1" t="s">
        <v>224</v>
      </c>
      <c r="C173" s="14"/>
      <c r="D173" s="14"/>
      <c r="E173" s="14"/>
      <c r="F173" s="14">
        <f>Tabla13[[#This Row],[Uso y acceso Ago/2024]]</f>
        <v>1</v>
      </c>
      <c r="G173" s="15">
        <f>Tabla58[[#This Row],[Integración Ago/2024]]</f>
        <v>0</v>
      </c>
      <c r="H173" s="16">
        <f>AVERAGE(Tabla4[[#This Row],[Creación y captura Ago/2024]:[Compartición e Interoperabilidad Ago/2024]])</f>
        <v>0.5</v>
      </c>
      <c r="I173" s="14"/>
      <c r="J173" s="14"/>
      <c r="K173" s="15"/>
      <c r="L173" s="15">
        <f>Tabla13[[#This Row],[Uso y acceso Sep/2024]]</f>
        <v>1</v>
      </c>
      <c r="M173" s="15">
        <f>Tabla58[[#This Row],[Integración Sep/2024]]</f>
        <v>0</v>
      </c>
      <c r="N173" s="16">
        <f>AVERAGE(Tabla4[[#This Row],[Creación y captura Sep/2024]:[Compartición e Interoperabilidad Sep/2024]])</f>
        <v>0.5</v>
      </c>
      <c r="O173" s="14"/>
      <c r="P173" s="14"/>
      <c r="Q173" s="15"/>
      <c r="R173" s="15">
        <f>Tabla13[[#This Row],[Uso y acceso Oct/2024]]</f>
        <v>1</v>
      </c>
      <c r="S173" s="15">
        <f>Tabla58[[#This Row],[Integración Oct/2024]]</f>
        <v>0</v>
      </c>
      <c r="T173" s="16">
        <f>AVERAGE(Tabla4[[#This Row],[Creación y captura Oct/2024]:[Compartición e Interoperabilidad Oct/2024]])</f>
        <v>0.5</v>
      </c>
      <c r="U173" s="14"/>
      <c r="V173" s="14"/>
      <c r="W173" s="15"/>
      <c r="X173" s="15">
        <f>Tabla13[[#This Row],[Uso y acceso Nov/2024]]</f>
        <v>1</v>
      </c>
      <c r="Y173" s="15">
        <f>Tabla58[[#This Row],[Integración Nov/2024]]</f>
        <v>0</v>
      </c>
      <c r="Z173" s="16">
        <f>AVERAGE(Tabla4[[#This Row],[Creación y captura Nov/2024]:[Compartición e Interoperabilidad Nov/2024]])</f>
        <v>0.5</v>
      </c>
      <c r="AA173" s="14"/>
      <c r="AB173" s="14"/>
      <c r="AC173" s="15"/>
      <c r="AD173" s="15">
        <f>Tabla13[[#This Row],[Uso y acceso Dic/2024]]</f>
        <v>1</v>
      </c>
      <c r="AE173" s="15">
        <f>Tabla58[[#This Row],[Integración Dic/2024]]</f>
        <v>0</v>
      </c>
      <c r="AF173" s="16">
        <f>AVERAGE(Tabla4[[#This Row],[Creación y captura Dic/2024]:[Compartición e Interoperabilidad Dic/2024]])</f>
        <v>0.5</v>
      </c>
      <c r="AG173" s="14"/>
      <c r="AH173" s="14"/>
      <c r="AI173" s="15"/>
      <c r="AJ173" s="15">
        <f>Tabla13[[#This Row],[Uso y acceso Ene/2025]]</f>
        <v>1</v>
      </c>
      <c r="AK173" s="15">
        <f>Tabla58[[#This Row],[Integración Ene/2025]]</f>
        <v>0</v>
      </c>
      <c r="AL173" s="16">
        <f>AVERAGE(Tabla4[[#This Row],[Creación y captura Ene/2025]:[Compartición e Interoperabilidad Ene/2025]])</f>
        <v>0.5</v>
      </c>
      <c r="AM173" s="14"/>
      <c r="AN173" s="14"/>
      <c r="AO173" s="15"/>
      <c r="AP173" s="15">
        <f>Tabla13[[#This Row],[Uso y acceso Feb/2025]]</f>
        <v>1</v>
      </c>
      <c r="AQ173" s="15">
        <f>Tabla58[[#This Row],[Integración Feb/2025]]</f>
        <v>0</v>
      </c>
      <c r="AR173" s="16">
        <f>AVERAGE(Tabla4[[#This Row],[Creación y captura Feb/2025]:[Compartición e Interoperabilidad Feb/2025]])</f>
        <v>0.5</v>
      </c>
      <c r="AS173" s="14"/>
      <c r="AT173" s="14"/>
      <c r="AU173" s="15"/>
      <c r="AV173" s="15">
        <f>Tabla13[[#This Row],[Uso y acceso Mar/2025]]</f>
        <v>1</v>
      </c>
      <c r="AW173" s="15">
        <f>Tabla58[[#This Row],[Integración Mar/2025]]</f>
        <v>0</v>
      </c>
      <c r="AX173" s="16">
        <f>AVERAGE(Tabla4[[#This Row],[Creación y captura Mar/2025]:[Compartición e Interoperabilidad Mar/2025]])</f>
        <v>0.5</v>
      </c>
      <c r="AY173" s="14"/>
      <c r="AZ173" s="14"/>
      <c r="BA173" s="15"/>
      <c r="BB173" s="15">
        <f>Tabla13[[#This Row],[Uso y acceso Abr/2025]]</f>
        <v>1</v>
      </c>
      <c r="BC173" s="15">
        <f>Tabla58[[#This Row],[Integración Abr/2025]]</f>
        <v>0</v>
      </c>
      <c r="BD173" s="16">
        <f>AVERAGE(Tabla4[[#This Row],[Creación y captura Abr/2025]:[Compartición e Interoperabilidad Abr/2025]])</f>
        <v>0.5</v>
      </c>
      <c r="BE173" s="14"/>
      <c r="BF173" s="14"/>
      <c r="BG173" s="15"/>
      <c r="BH173" s="15">
        <f>Tabla13[[#This Row],[Uso y acceso May/2025]]</f>
        <v>1</v>
      </c>
      <c r="BI173" s="15">
        <f>Tabla58[[#This Row],[Integración May/2025]]</f>
        <v>0</v>
      </c>
      <c r="BJ173" s="16">
        <f>AVERAGE(Tabla4[[#This Row],[Creación y captura May/2025]:[Compartición e Interoperabilidad May/2025]])</f>
        <v>0.5</v>
      </c>
      <c r="BK173" s="14"/>
      <c r="BL173" s="14"/>
      <c r="BM173" s="14">
        <f>AVERAGE('Calidad de Datos'!AQ177:AT177)</f>
        <v>0.8</v>
      </c>
      <c r="BN173" s="14">
        <f>Tabla13[[#This Row],[Uso y acceso Dic/2025]]</f>
        <v>1</v>
      </c>
      <c r="BO173" s="14">
        <f>Tabla58[[#This Row],[Integración Dic/2025]]</f>
        <v>0.6</v>
      </c>
      <c r="BP173" s="16">
        <f>AVERAGE(Tabla4[[#This Row],[Creación y captura Dic/2025]:[Compartición e Interoperabilidad Dic/2025]])</f>
        <v>0.79999999999999993</v>
      </c>
    </row>
    <row r="174" spans="2:68" x14ac:dyDescent="0.4">
      <c r="B174" s="1" t="s">
        <v>225</v>
      </c>
      <c r="C174" s="14"/>
      <c r="D174" s="14"/>
      <c r="E174" s="14"/>
      <c r="F174" s="14">
        <f>Tabla13[[#This Row],[Uso y acceso Ago/2024]]</f>
        <v>0.8</v>
      </c>
      <c r="G174" s="15">
        <f>Tabla58[[#This Row],[Integración Ago/2024]]</f>
        <v>0</v>
      </c>
      <c r="H174" s="16">
        <f>AVERAGE(Tabla4[[#This Row],[Creación y captura Ago/2024]:[Compartición e Interoperabilidad Ago/2024]])</f>
        <v>0.4</v>
      </c>
      <c r="I174" s="14"/>
      <c r="J174" s="14"/>
      <c r="K174" s="15"/>
      <c r="L174" s="15">
        <f>Tabla13[[#This Row],[Uso y acceso Sep/2024]]</f>
        <v>0.8</v>
      </c>
      <c r="M174" s="15">
        <f>Tabla58[[#This Row],[Integración Sep/2024]]</f>
        <v>0</v>
      </c>
      <c r="N174" s="16">
        <f>AVERAGE(Tabla4[[#This Row],[Creación y captura Sep/2024]:[Compartición e Interoperabilidad Sep/2024]])</f>
        <v>0.4</v>
      </c>
      <c r="O174" s="14"/>
      <c r="P174" s="14"/>
      <c r="Q174" s="15"/>
      <c r="R174" s="15">
        <f>Tabla13[[#This Row],[Uso y acceso Oct/2024]]</f>
        <v>0.8</v>
      </c>
      <c r="S174" s="15">
        <f>Tabla58[[#This Row],[Integración Oct/2024]]</f>
        <v>0</v>
      </c>
      <c r="T174" s="16">
        <f>AVERAGE(Tabla4[[#This Row],[Creación y captura Oct/2024]:[Compartición e Interoperabilidad Oct/2024]])</f>
        <v>0.4</v>
      </c>
      <c r="U174" s="14"/>
      <c r="V174" s="14"/>
      <c r="W174" s="15"/>
      <c r="X174" s="15">
        <f>Tabla13[[#This Row],[Uso y acceso Nov/2024]]</f>
        <v>0.8</v>
      </c>
      <c r="Y174" s="15">
        <f>Tabla58[[#This Row],[Integración Nov/2024]]</f>
        <v>0</v>
      </c>
      <c r="Z174" s="16">
        <f>AVERAGE(Tabla4[[#This Row],[Creación y captura Nov/2024]:[Compartición e Interoperabilidad Nov/2024]])</f>
        <v>0.4</v>
      </c>
      <c r="AA174" s="14"/>
      <c r="AB174" s="14"/>
      <c r="AC174" s="15"/>
      <c r="AD174" s="15">
        <f>Tabla13[[#This Row],[Uso y acceso Dic/2024]]</f>
        <v>0.8</v>
      </c>
      <c r="AE174" s="15">
        <f>Tabla58[[#This Row],[Integración Dic/2024]]</f>
        <v>0</v>
      </c>
      <c r="AF174" s="16">
        <f>AVERAGE(Tabla4[[#This Row],[Creación y captura Dic/2024]:[Compartición e Interoperabilidad Dic/2024]])</f>
        <v>0.4</v>
      </c>
      <c r="AG174" s="14"/>
      <c r="AH174" s="14"/>
      <c r="AI174" s="15"/>
      <c r="AJ174" s="15">
        <f>Tabla13[[#This Row],[Uso y acceso Ene/2025]]</f>
        <v>0.8</v>
      </c>
      <c r="AK174" s="15">
        <f>Tabla58[[#This Row],[Integración Ene/2025]]</f>
        <v>0</v>
      </c>
      <c r="AL174" s="16">
        <f>AVERAGE(Tabla4[[#This Row],[Creación y captura Ene/2025]:[Compartición e Interoperabilidad Ene/2025]])</f>
        <v>0.4</v>
      </c>
      <c r="AM174" s="14"/>
      <c r="AN174" s="14"/>
      <c r="AO174" s="15"/>
      <c r="AP174" s="15">
        <f>Tabla13[[#This Row],[Uso y acceso Feb/2025]]</f>
        <v>0.8</v>
      </c>
      <c r="AQ174" s="15">
        <f>Tabla58[[#This Row],[Integración Feb/2025]]</f>
        <v>0</v>
      </c>
      <c r="AR174" s="16">
        <f>AVERAGE(Tabla4[[#This Row],[Creación y captura Feb/2025]:[Compartición e Interoperabilidad Feb/2025]])</f>
        <v>0.4</v>
      </c>
      <c r="AS174" s="14"/>
      <c r="AT174" s="14"/>
      <c r="AU174" s="15"/>
      <c r="AV174" s="15">
        <f>Tabla13[[#This Row],[Uso y acceso Mar/2025]]</f>
        <v>0.8</v>
      </c>
      <c r="AW174" s="15">
        <f>Tabla58[[#This Row],[Integración Mar/2025]]</f>
        <v>0</v>
      </c>
      <c r="AX174" s="16">
        <f>AVERAGE(Tabla4[[#This Row],[Creación y captura Mar/2025]:[Compartición e Interoperabilidad Mar/2025]])</f>
        <v>0.4</v>
      </c>
      <c r="AY174" s="14"/>
      <c r="AZ174" s="14"/>
      <c r="BA174" s="15"/>
      <c r="BB174" s="15">
        <f>Tabla13[[#This Row],[Uso y acceso Abr/2025]]</f>
        <v>0.8</v>
      </c>
      <c r="BC174" s="15">
        <f>Tabla58[[#This Row],[Integración Abr/2025]]</f>
        <v>0</v>
      </c>
      <c r="BD174" s="16">
        <f>AVERAGE(Tabla4[[#This Row],[Creación y captura Abr/2025]:[Compartición e Interoperabilidad Abr/2025]])</f>
        <v>0.4</v>
      </c>
      <c r="BE174" s="14"/>
      <c r="BF174" s="14"/>
      <c r="BG174" s="15"/>
      <c r="BH174" s="15">
        <f>Tabla13[[#This Row],[Uso y acceso May/2025]]</f>
        <v>1</v>
      </c>
      <c r="BI174" s="15">
        <f>Tabla58[[#This Row],[Integración May/2025]]</f>
        <v>0</v>
      </c>
      <c r="BJ174" s="16">
        <f>AVERAGE(Tabla4[[#This Row],[Creación y captura May/2025]:[Compartición e Interoperabilidad May/2025]])</f>
        <v>0.5</v>
      </c>
      <c r="BK174" s="14"/>
      <c r="BL174" s="14"/>
      <c r="BM174" s="14">
        <f>AVERAGE('Calidad de Datos'!AQ178:AT178)</f>
        <v>0.6</v>
      </c>
      <c r="BN174" s="14">
        <f>Tabla13[[#This Row],[Uso y acceso Dic/2025]]</f>
        <v>1</v>
      </c>
      <c r="BO174" s="14">
        <f>Tabla58[[#This Row],[Integración Dic/2025]]</f>
        <v>0.4</v>
      </c>
      <c r="BP174" s="16">
        <f>AVERAGE(Tabla4[[#This Row],[Creación y captura Dic/2025]:[Compartición e Interoperabilidad Dic/2025]])</f>
        <v>0.66666666666666663</v>
      </c>
    </row>
    <row r="175" spans="2:68" x14ac:dyDescent="0.4">
      <c r="B175" s="1" t="s">
        <v>226</v>
      </c>
      <c r="C175" s="14"/>
      <c r="D175" s="14"/>
      <c r="E175" s="14"/>
      <c r="F175" s="14">
        <f>Tabla13[[#This Row],[Uso y acceso Ago/2024]]</f>
        <v>1</v>
      </c>
      <c r="G175" s="15">
        <f>Tabla58[[#This Row],[Integración Ago/2024]]</f>
        <v>0</v>
      </c>
      <c r="H175" s="16">
        <f>AVERAGE(Tabla4[[#This Row],[Creación y captura Ago/2024]:[Compartición e Interoperabilidad Ago/2024]])</f>
        <v>0.5</v>
      </c>
      <c r="I175" s="14"/>
      <c r="J175" s="14"/>
      <c r="K175" s="15"/>
      <c r="L175" s="15">
        <f>Tabla13[[#This Row],[Uso y acceso Sep/2024]]</f>
        <v>1</v>
      </c>
      <c r="M175" s="15">
        <f>Tabla58[[#This Row],[Integración Sep/2024]]</f>
        <v>0</v>
      </c>
      <c r="N175" s="16">
        <f>AVERAGE(Tabla4[[#This Row],[Creación y captura Sep/2024]:[Compartición e Interoperabilidad Sep/2024]])</f>
        <v>0.5</v>
      </c>
      <c r="O175" s="14"/>
      <c r="P175" s="14"/>
      <c r="Q175" s="15"/>
      <c r="R175" s="15">
        <f>Tabla13[[#This Row],[Uso y acceso Oct/2024]]</f>
        <v>1</v>
      </c>
      <c r="S175" s="15">
        <f>Tabla58[[#This Row],[Integración Oct/2024]]</f>
        <v>0</v>
      </c>
      <c r="T175" s="16">
        <f>AVERAGE(Tabla4[[#This Row],[Creación y captura Oct/2024]:[Compartición e Interoperabilidad Oct/2024]])</f>
        <v>0.5</v>
      </c>
      <c r="U175" s="14"/>
      <c r="V175" s="14"/>
      <c r="W175" s="15"/>
      <c r="X175" s="15">
        <f>Tabla13[[#This Row],[Uso y acceso Nov/2024]]</f>
        <v>1</v>
      </c>
      <c r="Y175" s="15">
        <f>Tabla58[[#This Row],[Integración Nov/2024]]</f>
        <v>0</v>
      </c>
      <c r="Z175" s="16">
        <f>AVERAGE(Tabla4[[#This Row],[Creación y captura Nov/2024]:[Compartición e Interoperabilidad Nov/2024]])</f>
        <v>0.5</v>
      </c>
      <c r="AA175" s="14"/>
      <c r="AB175" s="14"/>
      <c r="AC175" s="15"/>
      <c r="AD175" s="15">
        <f>Tabla13[[#This Row],[Uso y acceso Dic/2024]]</f>
        <v>1</v>
      </c>
      <c r="AE175" s="15">
        <f>Tabla58[[#This Row],[Integración Dic/2024]]</f>
        <v>0</v>
      </c>
      <c r="AF175" s="16">
        <f>AVERAGE(Tabla4[[#This Row],[Creación y captura Dic/2024]:[Compartición e Interoperabilidad Dic/2024]])</f>
        <v>0.5</v>
      </c>
      <c r="AG175" s="14"/>
      <c r="AH175" s="14"/>
      <c r="AI175" s="15"/>
      <c r="AJ175" s="15">
        <f>Tabla13[[#This Row],[Uso y acceso Ene/2025]]</f>
        <v>1</v>
      </c>
      <c r="AK175" s="15">
        <f>Tabla58[[#This Row],[Integración Ene/2025]]</f>
        <v>0</v>
      </c>
      <c r="AL175" s="16">
        <f>AVERAGE(Tabla4[[#This Row],[Creación y captura Ene/2025]:[Compartición e Interoperabilidad Ene/2025]])</f>
        <v>0.5</v>
      </c>
      <c r="AM175" s="14"/>
      <c r="AN175" s="14"/>
      <c r="AO175" s="15"/>
      <c r="AP175" s="15">
        <f>Tabla13[[#This Row],[Uso y acceso Feb/2025]]</f>
        <v>1</v>
      </c>
      <c r="AQ175" s="15">
        <f>Tabla58[[#This Row],[Integración Feb/2025]]</f>
        <v>0</v>
      </c>
      <c r="AR175" s="16">
        <f>AVERAGE(Tabla4[[#This Row],[Creación y captura Feb/2025]:[Compartición e Interoperabilidad Feb/2025]])</f>
        <v>0.5</v>
      </c>
      <c r="AS175" s="14"/>
      <c r="AT175" s="14"/>
      <c r="AU175" s="15"/>
      <c r="AV175" s="15">
        <f>Tabla13[[#This Row],[Uso y acceso Mar/2025]]</f>
        <v>1</v>
      </c>
      <c r="AW175" s="15">
        <f>Tabla58[[#This Row],[Integración Mar/2025]]</f>
        <v>0</v>
      </c>
      <c r="AX175" s="16">
        <f>AVERAGE(Tabla4[[#This Row],[Creación y captura Mar/2025]:[Compartición e Interoperabilidad Mar/2025]])</f>
        <v>0.5</v>
      </c>
      <c r="AY175" s="14"/>
      <c r="AZ175" s="14"/>
      <c r="BA175" s="15"/>
      <c r="BB175" s="15">
        <f>Tabla13[[#This Row],[Uso y acceso Abr/2025]]</f>
        <v>1</v>
      </c>
      <c r="BC175" s="15">
        <f>Tabla58[[#This Row],[Integración Abr/2025]]</f>
        <v>0</v>
      </c>
      <c r="BD175" s="16">
        <f>AVERAGE(Tabla4[[#This Row],[Creación y captura Abr/2025]:[Compartición e Interoperabilidad Abr/2025]])</f>
        <v>0.5</v>
      </c>
      <c r="BE175" s="14"/>
      <c r="BF175" s="14"/>
      <c r="BG175" s="15"/>
      <c r="BH175" s="15">
        <f>Tabla13[[#This Row],[Uso y acceso May/2025]]</f>
        <v>1</v>
      </c>
      <c r="BI175" s="15">
        <f>Tabla58[[#This Row],[Integración May/2025]]</f>
        <v>0</v>
      </c>
      <c r="BJ175" s="16">
        <f>AVERAGE(Tabla4[[#This Row],[Creación y captura May/2025]:[Compartición e Interoperabilidad May/2025]])</f>
        <v>0.5</v>
      </c>
      <c r="BK175" s="14"/>
      <c r="BL175" s="14"/>
      <c r="BM175" s="14">
        <f>AVERAGE('Calidad de Datos'!AQ179:AT179)</f>
        <v>0.6</v>
      </c>
      <c r="BN175" s="14">
        <f>Tabla13[[#This Row],[Uso y acceso Dic/2025]]</f>
        <v>1</v>
      </c>
      <c r="BO175" s="14">
        <f>Tabla58[[#This Row],[Integración Dic/2025]]</f>
        <v>0.4</v>
      </c>
      <c r="BP175" s="16">
        <f>AVERAGE(Tabla4[[#This Row],[Creación y captura Dic/2025]:[Compartición e Interoperabilidad Dic/2025]])</f>
        <v>0.66666666666666663</v>
      </c>
    </row>
    <row r="176" spans="2:68" x14ac:dyDescent="0.4">
      <c r="B176" s="1" t="s">
        <v>227</v>
      </c>
      <c r="C176" s="14"/>
      <c r="D176" s="14"/>
      <c r="E176" s="14"/>
      <c r="F176" s="14">
        <f>Tabla13[[#This Row],[Uso y acceso Ago/2024]]</f>
        <v>0.8</v>
      </c>
      <c r="G176" s="15">
        <f>Tabla58[[#This Row],[Integración Ago/2024]]</f>
        <v>0</v>
      </c>
      <c r="H176" s="16">
        <f>AVERAGE(Tabla4[[#This Row],[Creación y captura Ago/2024]:[Compartición e Interoperabilidad Ago/2024]])</f>
        <v>0.4</v>
      </c>
      <c r="I176" s="14"/>
      <c r="J176" s="14"/>
      <c r="K176" s="15"/>
      <c r="L176" s="15">
        <f>Tabla13[[#This Row],[Uso y acceso Sep/2024]]</f>
        <v>0.8</v>
      </c>
      <c r="M176" s="15">
        <f>Tabla58[[#This Row],[Integración Sep/2024]]</f>
        <v>0</v>
      </c>
      <c r="N176" s="16">
        <f>AVERAGE(Tabla4[[#This Row],[Creación y captura Sep/2024]:[Compartición e Interoperabilidad Sep/2024]])</f>
        <v>0.4</v>
      </c>
      <c r="O176" s="14"/>
      <c r="P176" s="14"/>
      <c r="Q176" s="15"/>
      <c r="R176" s="15">
        <f>Tabla13[[#This Row],[Uso y acceso Oct/2024]]</f>
        <v>1</v>
      </c>
      <c r="S176" s="15">
        <f>Tabla58[[#This Row],[Integración Oct/2024]]</f>
        <v>0</v>
      </c>
      <c r="T176" s="16">
        <f>AVERAGE(Tabla4[[#This Row],[Creación y captura Oct/2024]:[Compartición e Interoperabilidad Oct/2024]])</f>
        <v>0.5</v>
      </c>
      <c r="U176" s="14"/>
      <c r="V176" s="14"/>
      <c r="W176" s="15"/>
      <c r="X176" s="15">
        <f>Tabla13[[#This Row],[Uso y acceso Nov/2024]]</f>
        <v>1</v>
      </c>
      <c r="Y176" s="15">
        <f>Tabla58[[#This Row],[Integración Nov/2024]]</f>
        <v>0</v>
      </c>
      <c r="Z176" s="16">
        <f>AVERAGE(Tabla4[[#This Row],[Creación y captura Nov/2024]:[Compartición e Interoperabilidad Nov/2024]])</f>
        <v>0.5</v>
      </c>
      <c r="AA176" s="14"/>
      <c r="AB176" s="14"/>
      <c r="AC176" s="15"/>
      <c r="AD176" s="15">
        <f>Tabla13[[#This Row],[Uso y acceso Dic/2024]]</f>
        <v>1</v>
      </c>
      <c r="AE176" s="15">
        <f>Tabla58[[#This Row],[Integración Dic/2024]]</f>
        <v>0</v>
      </c>
      <c r="AF176" s="16">
        <f>AVERAGE(Tabla4[[#This Row],[Creación y captura Dic/2024]:[Compartición e Interoperabilidad Dic/2024]])</f>
        <v>0.5</v>
      </c>
      <c r="AG176" s="14"/>
      <c r="AH176" s="14"/>
      <c r="AI176" s="15"/>
      <c r="AJ176" s="15">
        <f>Tabla13[[#This Row],[Uso y acceso Ene/2025]]</f>
        <v>1</v>
      </c>
      <c r="AK176" s="15">
        <f>Tabla58[[#This Row],[Integración Ene/2025]]</f>
        <v>0</v>
      </c>
      <c r="AL176" s="16">
        <f>AVERAGE(Tabla4[[#This Row],[Creación y captura Ene/2025]:[Compartición e Interoperabilidad Ene/2025]])</f>
        <v>0.5</v>
      </c>
      <c r="AM176" s="14"/>
      <c r="AN176" s="14"/>
      <c r="AO176" s="15"/>
      <c r="AP176" s="15">
        <f>Tabla13[[#This Row],[Uso y acceso Feb/2025]]</f>
        <v>1</v>
      </c>
      <c r="AQ176" s="15">
        <f>Tabla58[[#This Row],[Integración Feb/2025]]</f>
        <v>0</v>
      </c>
      <c r="AR176" s="16">
        <f>AVERAGE(Tabla4[[#This Row],[Creación y captura Feb/2025]:[Compartición e Interoperabilidad Feb/2025]])</f>
        <v>0.5</v>
      </c>
      <c r="AS176" s="14"/>
      <c r="AT176" s="14"/>
      <c r="AU176" s="15"/>
      <c r="AV176" s="15">
        <f>Tabla13[[#This Row],[Uso y acceso Mar/2025]]</f>
        <v>1</v>
      </c>
      <c r="AW176" s="15">
        <f>Tabla58[[#This Row],[Integración Mar/2025]]</f>
        <v>0</v>
      </c>
      <c r="AX176" s="16">
        <f>AVERAGE(Tabla4[[#This Row],[Creación y captura Mar/2025]:[Compartición e Interoperabilidad Mar/2025]])</f>
        <v>0.5</v>
      </c>
      <c r="AY176" s="14"/>
      <c r="AZ176" s="14"/>
      <c r="BA176" s="15"/>
      <c r="BB176" s="15">
        <f>Tabla13[[#This Row],[Uso y acceso Abr/2025]]</f>
        <v>1</v>
      </c>
      <c r="BC176" s="15">
        <f>Tabla58[[#This Row],[Integración Abr/2025]]</f>
        <v>0</v>
      </c>
      <c r="BD176" s="16">
        <f>AVERAGE(Tabla4[[#This Row],[Creación y captura Abr/2025]:[Compartición e Interoperabilidad Abr/2025]])</f>
        <v>0.5</v>
      </c>
      <c r="BE176" s="14"/>
      <c r="BF176" s="14"/>
      <c r="BG176" s="15"/>
      <c r="BH176" s="15">
        <f>Tabla13[[#This Row],[Uso y acceso May/2025]]</f>
        <v>1</v>
      </c>
      <c r="BI176" s="15">
        <f>Tabla58[[#This Row],[Integración May/2025]]</f>
        <v>0</v>
      </c>
      <c r="BJ176" s="16">
        <f>AVERAGE(Tabla4[[#This Row],[Creación y captura May/2025]:[Compartición e Interoperabilidad May/2025]])</f>
        <v>0.5</v>
      </c>
      <c r="BK176" s="14">
        <v>1</v>
      </c>
      <c r="BL176" s="14">
        <v>1</v>
      </c>
      <c r="BM176" s="14">
        <f>AVERAGE('Calidad de Datos'!AQ180:AT180)</f>
        <v>0.95</v>
      </c>
      <c r="BN176" s="14">
        <f>Tabla13[[#This Row],[Uso y acceso Dic/2025]]</f>
        <v>1</v>
      </c>
      <c r="BO176" s="14">
        <f>Tabla58[[#This Row],[Integración Dic/2025]]</f>
        <v>1</v>
      </c>
      <c r="BP176" s="16">
        <f>AVERAGE(Tabla4[[#This Row],[Creación y captura Dic/2025]:[Compartición e Interoperabilidad Dic/2025]])</f>
        <v>0.99</v>
      </c>
    </row>
    <row r="177" spans="2:68" x14ac:dyDescent="0.4">
      <c r="B177" s="1" t="s">
        <v>228</v>
      </c>
      <c r="C177" s="14"/>
      <c r="D177" s="14"/>
      <c r="E177" s="14"/>
      <c r="F177" s="14">
        <f>Tabla13[[#This Row],[Uso y acceso Ago/2024]]</f>
        <v>1</v>
      </c>
      <c r="G177" s="15">
        <f>Tabla58[[#This Row],[Integración Ago/2024]]</f>
        <v>0</v>
      </c>
      <c r="H177" s="16">
        <f>AVERAGE(Tabla4[[#This Row],[Creación y captura Ago/2024]:[Compartición e Interoperabilidad Ago/2024]])</f>
        <v>0.5</v>
      </c>
      <c r="I177" s="14"/>
      <c r="J177" s="14"/>
      <c r="K177" s="15"/>
      <c r="L177" s="15">
        <f>Tabla13[[#This Row],[Uso y acceso Sep/2024]]</f>
        <v>1</v>
      </c>
      <c r="M177" s="15">
        <f>Tabla58[[#This Row],[Integración Sep/2024]]</f>
        <v>0</v>
      </c>
      <c r="N177" s="16">
        <f>AVERAGE(Tabla4[[#This Row],[Creación y captura Sep/2024]:[Compartición e Interoperabilidad Sep/2024]])</f>
        <v>0.5</v>
      </c>
      <c r="O177" s="14"/>
      <c r="P177" s="14"/>
      <c r="Q177" s="15"/>
      <c r="R177" s="15">
        <f>Tabla13[[#This Row],[Uso y acceso Oct/2024]]</f>
        <v>1</v>
      </c>
      <c r="S177" s="15">
        <f>Tabla58[[#This Row],[Integración Oct/2024]]</f>
        <v>0</v>
      </c>
      <c r="T177" s="16">
        <f>AVERAGE(Tabla4[[#This Row],[Creación y captura Oct/2024]:[Compartición e Interoperabilidad Oct/2024]])</f>
        <v>0.5</v>
      </c>
      <c r="U177" s="14"/>
      <c r="V177" s="14"/>
      <c r="W177" s="15"/>
      <c r="X177" s="15">
        <f>Tabla13[[#This Row],[Uso y acceso Nov/2024]]</f>
        <v>1</v>
      </c>
      <c r="Y177" s="15">
        <f>Tabla58[[#This Row],[Integración Nov/2024]]</f>
        <v>0</v>
      </c>
      <c r="Z177" s="16">
        <f>AVERAGE(Tabla4[[#This Row],[Creación y captura Nov/2024]:[Compartición e Interoperabilidad Nov/2024]])</f>
        <v>0.5</v>
      </c>
      <c r="AA177" s="14"/>
      <c r="AB177" s="14"/>
      <c r="AC177" s="15"/>
      <c r="AD177" s="15">
        <f>Tabla13[[#This Row],[Uso y acceso Dic/2024]]</f>
        <v>1</v>
      </c>
      <c r="AE177" s="15">
        <f>Tabla58[[#This Row],[Integración Dic/2024]]</f>
        <v>0</v>
      </c>
      <c r="AF177" s="16">
        <f>AVERAGE(Tabla4[[#This Row],[Creación y captura Dic/2024]:[Compartición e Interoperabilidad Dic/2024]])</f>
        <v>0.5</v>
      </c>
      <c r="AG177" s="14"/>
      <c r="AH177" s="14"/>
      <c r="AI177" s="15"/>
      <c r="AJ177" s="15">
        <f>Tabla13[[#This Row],[Uso y acceso Ene/2025]]</f>
        <v>1</v>
      </c>
      <c r="AK177" s="15">
        <f>Tabla58[[#This Row],[Integración Ene/2025]]</f>
        <v>0</v>
      </c>
      <c r="AL177" s="16">
        <f>AVERAGE(Tabla4[[#This Row],[Creación y captura Ene/2025]:[Compartición e Interoperabilidad Ene/2025]])</f>
        <v>0.5</v>
      </c>
      <c r="AM177" s="14"/>
      <c r="AN177" s="14"/>
      <c r="AO177" s="15"/>
      <c r="AP177" s="15">
        <f>Tabla13[[#This Row],[Uso y acceso Feb/2025]]</f>
        <v>1</v>
      </c>
      <c r="AQ177" s="15">
        <f>Tabla58[[#This Row],[Integración Feb/2025]]</f>
        <v>0</v>
      </c>
      <c r="AR177" s="16">
        <f>AVERAGE(Tabla4[[#This Row],[Creación y captura Feb/2025]:[Compartición e Interoperabilidad Feb/2025]])</f>
        <v>0.5</v>
      </c>
      <c r="AS177" s="14"/>
      <c r="AT177" s="14"/>
      <c r="AU177" s="15"/>
      <c r="AV177" s="15">
        <f>Tabla13[[#This Row],[Uso y acceso Mar/2025]]</f>
        <v>1</v>
      </c>
      <c r="AW177" s="15">
        <f>Tabla58[[#This Row],[Integración Mar/2025]]</f>
        <v>0</v>
      </c>
      <c r="AX177" s="16">
        <f>AVERAGE(Tabla4[[#This Row],[Creación y captura Mar/2025]:[Compartición e Interoperabilidad Mar/2025]])</f>
        <v>0.5</v>
      </c>
      <c r="AY177" s="14"/>
      <c r="AZ177" s="14"/>
      <c r="BA177" s="15"/>
      <c r="BB177" s="15">
        <f>Tabla13[[#This Row],[Uso y acceso Abr/2025]]</f>
        <v>1</v>
      </c>
      <c r="BC177" s="15">
        <f>Tabla58[[#This Row],[Integración Abr/2025]]</f>
        <v>0</v>
      </c>
      <c r="BD177" s="16">
        <f>AVERAGE(Tabla4[[#This Row],[Creación y captura Abr/2025]:[Compartición e Interoperabilidad Abr/2025]])</f>
        <v>0.5</v>
      </c>
      <c r="BE177" s="14"/>
      <c r="BF177" s="14"/>
      <c r="BG177" s="15"/>
      <c r="BH177" s="15">
        <f>Tabla13[[#This Row],[Uso y acceso May/2025]]</f>
        <v>1</v>
      </c>
      <c r="BI177" s="15">
        <f>Tabla58[[#This Row],[Integración May/2025]]</f>
        <v>0</v>
      </c>
      <c r="BJ177" s="16">
        <f>AVERAGE(Tabla4[[#This Row],[Creación y captura May/2025]:[Compartición e Interoperabilidad May/2025]])</f>
        <v>0.5</v>
      </c>
      <c r="BK177" s="14">
        <v>1</v>
      </c>
      <c r="BL177" s="14">
        <v>1</v>
      </c>
      <c r="BM177" s="14">
        <f>AVERAGE('Calidad de Datos'!AQ181:AT181)</f>
        <v>1</v>
      </c>
      <c r="BN177" s="14">
        <f>Tabla13[[#This Row],[Uso y acceso Dic/2025]]</f>
        <v>1</v>
      </c>
      <c r="BO177" s="14">
        <f>Tabla58[[#This Row],[Integración Dic/2025]]</f>
        <v>1</v>
      </c>
      <c r="BP177" s="16">
        <f>AVERAGE(Tabla4[[#This Row],[Creación y captura Dic/2025]:[Compartición e Interoperabilidad Dic/2025]])</f>
        <v>1</v>
      </c>
    </row>
    <row r="178" spans="2:68" x14ac:dyDescent="0.4">
      <c r="B178" s="1" t="s">
        <v>229</v>
      </c>
      <c r="C178" s="14"/>
      <c r="D178" s="14"/>
      <c r="E178" s="14"/>
      <c r="F178" s="14">
        <f>Tabla13[[#This Row],[Uso y acceso Ago/2024]]</f>
        <v>1</v>
      </c>
      <c r="G178" s="15">
        <f>Tabla58[[#This Row],[Integración Ago/2024]]</f>
        <v>0</v>
      </c>
      <c r="H178" s="16">
        <f>AVERAGE(Tabla4[[#This Row],[Creación y captura Ago/2024]:[Compartición e Interoperabilidad Ago/2024]])</f>
        <v>0.5</v>
      </c>
      <c r="I178" s="14"/>
      <c r="J178" s="14"/>
      <c r="K178" s="15"/>
      <c r="L178" s="15">
        <f>Tabla13[[#This Row],[Uso y acceso Sep/2024]]</f>
        <v>1</v>
      </c>
      <c r="M178" s="15">
        <f>Tabla58[[#This Row],[Integración Sep/2024]]</f>
        <v>0</v>
      </c>
      <c r="N178" s="16">
        <f>AVERAGE(Tabla4[[#This Row],[Creación y captura Sep/2024]:[Compartición e Interoperabilidad Sep/2024]])</f>
        <v>0.5</v>
      </c>
      <c r="O178" s="14"/>
      <c r="P178" s="14"/>
      <c r="Q178" s="15"/>
      <c r="R178" s="15">
        <f>Tabla13[[#This Row],[Uso y acceso Oct/2024]]</f>
        <v>1</v>
      </c>
      <c r="S178" s="15">
        <f>Tabla58[[#This Row],[Integración Oct/2024]]</f>
        <v>0</v>
      </c>
      <c r="T178" s="16">
        <f>AVERAGE(Tabla4[[#This Row],[Creación y captura Oct/2024]:[Compartición e Interoperabilidad Oct/2024]])</f>
        <v>0.5</v>
      </c>
      <c r="U178" s="14"/>
      <c r="V178" s="14"/>
      <c r="W178" s="15"/>
      <c r="X178" s="15">
        <f>Tabla13[[#This Row],[Uso y acceso Nov/2024]]</f>
        <v>1</v>
      </c>
      <c r="Y178" s="15">
        <f>Tabla58[[#This Row],[Integración Nov/2024]]</f>
        <v>0</v>
      </c>
      <c r="Z178" s="16">
        <f>AVERAGE(Tabla4[[#This Row],[Creación y captura Nov/2024]:[Compartición e Interoperabilidad Nov/2024]])</f>
        <v>0.5</v>
      </c>
      <c r="AA178" s="14"/>
      <c r="AB178" s="14"/>
      <c r="AC178" s="15"/>
      <c r="AD178" s="15">
        <f>Tabla13[[#This Row],[Uso y acceso Dic/2024]]</f>
        <v>1</v>
      </c>
      <c r="AE178" s="15">
        <f>Tabla58[[#This Row],[Integración Dic/2024]]</f>
        <v>0</v>
      </c>
      <c r="AF178" s="16">
        <f>AVERAGE(Tabla4[[#This Row],[Creación y captura Dic/2024]:[Compartición e Interoperabilidad Dic/2024]])</f>
        <v>0.5</v>
      </c>
      <c r="AG178" s="14"/>
      <c r="AH178" s="14"/>
      <c r="AI178" s="15"/>
      <c r="AJ178" s="15">
        <f>Tabla13[[#This Row],[Uso y acceso Ene/2025]]</f>
        <v>1</v>
      </c>
      <c r="AK178" s="15">
        <f>Tabla58[[#This Row],[Integración Ene/2025]]</f>
        <v>0</v>
      </c>
      <c r="AL178" s="16">
        <f>AVERAGE(Tabla4[[#This Row],[Creación y captura Ene/2025]:[Compartición e Interoperabilidad Ene/2025]])</f>
        <v>0.5</v>
      </c>
      <c r="AM178" s="14"/>
      <c r="AN178" s="14"/>
      <c r="AO178" s="15"/>
      <c r="AP178" s="15">
        <f>Tabla13[[#This Row],[Uso y acceso Feb/2025]]</f>
        <v>1</v>
      </c>
      <c r="AQ178" s="15">
        <f>Tabla58[[#This Row],[Integración Feb/2025]]</f>
        <v>0</v>
      </c>
      <c r="AR178" s="16">
        <f>AVERAGE(Tabla4[[#This Row],[Creación y captura Feb/2025]:[Compartición e Interoperabilidad Feb/2025]])</f>
        <v>0.5</v>
      </c>
      <c r="AS178" s="14"/>
      <c r="AT178" s="14"/>
      <c r="AU178" s="15"/>
      <c r="AV178" s="15">
        <f>Tabla13[[#This Row],[Uso y acceso Mar/2025]]</f>
        <v>1</v>
      </c>
      <c r="AW178" s="15">
        <f>Tabla58[[#This Row],[Integración Mar/2025]]</f>
        <v>0</v>
      </c>
      <c r="AX178" s="16">
        <f>AVERAGE(Tabla4[[#This Row],[Creación y captura Mar/2025]:[Compartición e Interoperabilidad Mar/2025]])</f>
        <v>0.5</v>
      </c>
      <c r="AY178" s="14"/>
      <c r="AZ178" s="14"/>
      <c r="BA178" s="15"/>
      <c r="BB178" s="15">
        <f>Tabla13[[#This Row],[Uso y acceso Abr/2025]]</f>
        <v>1</v>
      </c>
      <c r="BC178" s="15">
        <f>Tabla58[[#This Row],[Integración Abr/2025]]</f>
        <v>0</v>
      </c>
      <c r="BD178" s="16">
        <f>AVERAGE(Tabla4[[#This Row],[Creación y captura Abr/2025]:[Compartición e Interoperabilidad Abr/2025]])</f>
        <v>0.5</v>
      </c>
      <c r="BE178" s="14"/>
      <c r="BF178" s="14"/>
      <c r="BG178" s="15"/>
      <c r="BH178" s="15">
        <f>Tabla13[[#This Row],[Uso y acceso May/2025]]</f>
        <v>1</v>
      </c>
      <c r="BI178" s="15">
        <f>Tabla58[[#This Row],[Integración May/2025]]</f>
        <v>0</v>
      </c>
      <c r="BJ178" s="16">
        <f>AVERAGE(Tabla4[[#This Row],[Creación y captura May/2025]:[Compartición e Interoperabilidad May/2025]])</f>
        <v>0.5</v>
      </c>
      <c r="BK178" s="14"/>
      <c r="BL178" s="14"/>
      <c r="BM178" s="14">
        <f>AVERAGE('Calidad de Datos'!AQ182:AT182)</f>
        <v>0.85</v>
      </c>
      <c r="BN178" s="14">
        <f>Tabla13[[#This Row],[Uso y acceso Dic/2025]]</f>
        <v>1</v>
      </c>
      <c r="BO178" s="14">
        <f>Tabla58[[#This Row],[Integración Dic/2025]]</f>
        <v>0.4</v>
      </c>
      <c r="BP178" s="16">
        <f>AVERAGE(Tabla4[[#This Row],[Creación y captura Dic/2025]:[Compartición e Interoperabilidad Dic/2025]])</f>
        <v>0.75</v>
      </c>
    </row>
    <row r="179" spans="2:68" x14ac:dyDescent="0.4">
      <c r="B179" s="1" t="s">
        <v>230</v>
      </c>
      <c r="C179" s="14"/>
      <c r="D179" s="14"/>
      <c r="E179" s="14"/>
      <c r="F179" s="14">
        <f>Tabla13[[#This Row],[Uso y acceso Ago/2024]]</f>
        <v>1</v>
      </c>
      <c r="G179" s="15">
        <f>Tabla58[[#This Row],[Integración Ago/2024]]</f>
        <v>0</v>
      </c>
      <c r="H179" s="16">
        <f>AVERAGE(Tabla4[[#This Row],[Creación y captura Ago/2024]:[Compartición e Interoperabilidad Ago/2024]])</f>
        <v>0.5</v>
      </c>
      <c r="I179" s="14"/>
      <c r="J179" s="14"/>
      <c r="K179" s="15"/>
      <c r="L179" s="15">
        <f>Tabla13[[#This Row],[Uso y acceso Sep/2024]]</f>
        <v>1</v>
      </c>
      <c r="M179" s="15">
        <f>Tabla58[[#This Row],[Integración Sep/2024]]</f>
        <v>0</v>
      </c>
      <c r="N179" s="16">
        <f>AVERAGE(Tabla4[[#This Row],[Creación y captura Sep/2024]:[Compartición e Interoperabilidad Sep/2024]])</f>
        <v>0.5</v>
      </c>
      <c r="O179" s="14"/>
      <c r="P179" s="14"/>
      <c r="Q179" s="15"/>
      <c r="R179" s="15">
        <f>Tabla13[[#This Row],[Uso y acceso Oct/2024]]</f>
        <v>1</v>
      </c>
      <c r="S179" s="15">
        <f>Tabla58[[#This Row],[Integración Oct/2024]]</f>
        <v>0</v>
      </c>
      <c r="T179" s="16">
        <f>AVERAGE(Tabla4[[#This Row],[Creación y captura Oct/2024]:[Compartición e Interoperabilidad Oct/2024]])</f>
        <v>0.5</v>
      </c>
      <c r="U179" s="14"/>
      <c r="V179" s="14"/>
      <c r="W179" s="15"/>
      <c r="X179" s="15">
        <f>Tabla13[[#This Row],[Uso y acceso Nov/2024]]</f>
        <v>1</v>
      </c>
      <c r="Y179" s="15">
        <f>Tabla58[[#This Row],[Integración Nov/2024]]</f>
        <v>0</v>
      </c>
      <c r="Z179" s="16">
        <f>AVERAGE(Tabla4[[#This Row],[Creación y captura Nov/2024]:[Compartición e Interoperabilidad Nov/2024]])</f>
        <v>0.5</v>
      </c>
      <c r="AA179" s="14"/>
      <c r="AB179" s="14"/>
      <c r="AC179" s="15"/>
      <c r="AD179" s="15">
        <f>Tabla13[[#This Row],[Uso y acceso Dic/2024]]</f>
        <v>1</v>
      </c>
      <c r="AE179" s="15">
        <f>Tabla58[[#This Row],[Integración Dic/2024]]</f>
        <v>0</v>
      </c>
      <c r="AF179" s="16">
        <f>AVERAGE(Tabla4[[#This Row],[Creación y captura Dic/2024]:[Compartición e Interoperabilidad Dic/2024]])</f>
        <v>0.5</v>
      </c>
      <c r="AG179" s="14"/>
      <c r="AH179" s="14"/>
      <c r="AI179" s="15"/>
      <c r="AJ179" s="15">
        <f>Tabla13[[#This Row],[Uso y acceso Ene/2025]]</f>
        <v>1</v>
      </c>
      <c r="AK179" s="15">
        <f>Tabla58[[#This Row],[Integración Ene/2025]]</f>
        <v>0</v>
      </c>
      <c r="AL179" s="16">
        <f>AVERAGE(Tabla4[[#This Row],[Creación y captura Ene/2025]:[Compartición e Interoperabilidad Ene/2025]])</f>
        <v>0.5</v>
      </c>
      <c r="AM179" s="14"/>
      <c r="AN179" s="14"/>
      <c r="AO179" s="15"/>
      <c r="AP179" s="15">
        <f>Tabla13[[#This Row],[Uso y acceso Feb/2025]]</f>
        <v>1</v>
      </c>
      <c r="AQ179" s="15">
        <f>Tabla58[[#This Row],[Integración Feb/2025]]</f>
        <v>0</v>
      </c>
      <c r="AR179" s="16">
        <f>AVERAGE(Tabla4[[#This Row],[Creación y captura Feb/2025]:[Compartición e Interoperabilidad Feb/2025]])</f>
        <v>0.5</v>
      </c>
      <c r="AS179" s="14"/>
      <c r="AT179" s="14"/>
      <c r="AU179" s="15"/>
      <c r="AV179" s="15">
        <f>Tabla13[[#This Row],[Uso y acceso Mar/2025]]</f>
        <v>1</v>
      </c>
      <c r="AW179" s="15">
        <f>Tabla58[[#This Row],[Integración Mar/2025]]</f>
        <v>0</v>
      </c>
      <c r="AX179" s="16">
        <f>AVERAGE(Tabla4[[#This Row],[Creación y captura Mar/2025]:[Compartición e Interoperabilidad Mar/2025]])</f>
        <v>0.5</v>
      </c>
      <c r="AY179" s="14"/>
      <c r="AZ179" s="14"/>
      <c r="BA179" s="15"/>
      <c r="BB179" s="15">
        <f>Tabla13[[#This Row],[Uso y acceso Abr/2025]]</f>
        <v>1</v>
      </c>
      <c r="BC179" s="15">
        <f>Tabla58[[#This Row],[Integración Abr/2025]]</f>
        <v>0</v>
      </c>
      <c r="BD179" s="16">
        <f>AVERAGE(Tabla4[[#This Row],[Creación y captura Abr/2025]:[Compartición e Interoperabilidad Abr/2025]])</f>
        <v>0.5</v>
      </c>
      <c r="BE179" s="14"/>
      <c r="BF179" s="14"/>
      <c r="BG179" s="15"/>
      <c r="BH179" s="15">
        <f>Tabla13[[#This Row],[Uso y acceso May/2025]]</f>
        <v>1</v>
      </c>
      <c r="BI179" s="15">
        <f>Tabla58[[#This Row],[Integración May/2025]]</f>
        <v>0</v>
      </c>
      <c r="BJ179" s="16">
        <f>AVERAGE(Tabla4[[#This Row],[Creación y captura May/2025]:[Compartición e Interoperabilidad May/2025]])</f>
        <v>0.5</v>
      </c>
      <c r="BK179" s="14">
        <v>1</v>
      </c>
      <c r="BL179" s="14">
        <v>1</v>
      </c>
      <c r="BM179" s="14">
        <f>AVERAGE('Calidad de Datos'!AQ183:AT183)</f>
        <v>1</v>
      </c>
      <c r="BN179" s="14">
        <f>Tabla13[[#This Row],[Uso y acceso Dic/2025]]</f>
        <v>1</v>
      </c>
      <c r="BO179" s="14">
        <f>Tabla58[[#This Row],[Integración Dic/2025]]</f>
        <v>1</v>
      </c>
      <c r="BP179" s="16">
        <f>AVERAGE(Tabla4[[#This Row],[Creación y captura Dic/2025]:[Compartición e Interoperabilidad Dic/2025]])</f>
        <v>1</v>
      </c>
    </row>
    <row r="180" spans="2:68" x14ac:dyDescent="0.4">
      <c r="B180" s="1" t="s">
        <v>231</v>
      </c>
      <c r="C180" s="14"/>
      <c r="D180" s="14"/>
      <c r="E180" s="14"/>
      <c r="F180" s="14">
        <f>Tabla13[[#This Row],[Uso y acceso Ago/2024]]</f>
        <v>1</v>
      </c>
      <c r="G180" s="15">
        <f>Tabla58[[#This Row],[Integración Ago/2024]]</f>
        <v>0</v>
      </c>
      <c r="H180" s="16">
        <f>AVERAGE(Tabla4[[#This Row],[Creación y captura Ago/2024]:[Compartición e Interoperabilidad Ago/2024]])</f>
        <v>0.5</v>
      </c>
      <c r="I180" s="14"/>
      <c r="J180" s="14"/>
      <c r="K180" s="15"/>
      <c r="L180" s="15">
        <f>Tabla13[[#This Row],[Uso y acceso Sep/2024]]</f>
        <v>1</v>
      </c>
      <c r="M180" s="15">
        <f>Tabla58[[#This Row],[Integración Sep/2024]]</f>
        <v>0</v>
      </c>
      <c r="N180" s="16">
        <f>AVERAGE(Tabla4[[#This Row],[Creación y captura Sep/2024]:[Compartición e Interoperabilidad Sep/2024]])</f>
        <v>0.5</v>
      </c>
      <c r="O180" s="14"/>
      <c r="P180" s="14"/>
      <c r="Q180" s="15"/>
      <c r="R180" s="15">
        <f>Tabla13[[#This Row],[Uso y acceso Oct/2024]]</f>
        <v>1</v>
      </c>
      <c r="S180" s="15">
        <f>Tabla58[[#This Row],[Integración Oct/2024]]</f>
        <v>0</v>
      </c>
      <c r="T180" s="16">
        <f>AVERAGE(Tabla4[[#This Row],[Creación y captura Oct/2024]:[Compartición e Interoperabilidad Oct/2024]])</f>
        <v>0.5</v>
      </c>
      <c r="U180" s="14"/>
      <c r="V180" s="14"/>
      <c r="W180" s="15"/>
      <c r="X180" s="15">
        <f>Tabla13[[#This Row],[Uso y acceso Nov/2024]]</f>
        <v>1</v>
      </c>
      <c r="Y180" s="15">
        <f>Tabla58[[#This Row],[Integración Nov/2024]]</f>
        <v>0</v>
      </c>
      <c r="Z180" s="16">
        <f>AVERAGE(Tabla4[[#This Row],[Creación y captura Nov/2024]:[Compartición e Interoperabilidad Nov/2024]])</f>
        <v>0.5</v>
      </c>
      <c r="AA180" s="14"/>
      <c r="AB180" s="14"/>
      <c r="AC180" s="15"/>
      <c r="AD180" s="15">
        <f>Tabla13[[#This Row],[Uso y acceso Dic/2024]]</f>
        <v>1</v>
      </c>
      <c r="AE180" s="15">
        <f>Tabla58[[#This Row],[Integración Dic/2024]]</f>
        <v>0</v>
      </c>
      <c r="AF180" s="16">
        <f>AVERAGE(Tabla4[[#This Row],[Creación y captura Dic/2024]:[Compartición e Interoperabilidad Dic/2024]])</f>
        <v>0.5</v>
      </c>
      <c r="AG180" s="14"/>
      <c r="AH180" s="14"/>
      <c r="AI180" s="15"/>
      <c r="AJ180" s="15">
        <f>Tabla13[[#This Row],[Uso y acceso Ene/2025]]</f>
        <v>1</v>
      </c>
      <c r="AK180" s="15">
        <f>Tabla58[[#This Row],[Integración Ene/2025]]</f>
        <v>0</v>
      </c>
      <c r="AL180" s="16">
        <f>AVERAGE(Tabla4[[#This Row],[Creación y captura Ene/2025]:[Compartición e Interoperabilidad Ene/2025]])</f>
        <v>0.5</v>
      </c>
      <c r="AM180" s="14"/>
      <c r="AN180" s="14"/>
      <c r="AO180" s="15"/>
      <c r="AP180" s="15">
        <f>Tabla13[[#This Row],[Uso y acceso Feb/2025]]</f>
        <v>1</v>
      </c>
      <c r="AQ180" s="15">
        <f>Tabla58[[#This Row],[Integración Feb/2025]]</f>
        <v>0</v>
      </c>
      <c r="AR180" s="16">
        <f>AVERAGE(Tabla4[[#This Row],[Creación y captura Feb/2025]:[Compartición e Interoperabilidad Feb/2025]])</f>
        <v>0.5</v>
      </c>
      <c r="AS180" s="14"/>
      <c r="AT180" s="14"/>
      <c r="AU180" s="15"/>
      <c r="AV180" s="15">
        <f>Tabla13[[#This Row],[Uso y acceso Mar/2025]]</f>
        <v>1</v>
      </c>
      <c r="AW180" s="15">
        <f>Tabla58[[#This Row],[Integración Mar/2025]]</f>
        <v>0</v>
      </c>
      <c r="AX180" s="16">
        <f>AVERAGE(Tabla4[[#This Row],[Creación y captura Mar/2025]:[Compartición e Interoperabilidad Mar/2025]])</f>
        <v>0.5</v>
      </c>
      <c r="AY180" s="14">
        <v>0.8</v>
      </c>
      <c r="AZ180" s="14">
        <v>0.5</v>
      </c>
      <c r="BA180" s="17">
        <f>AVERAGE('Calidad de Datos'!AI184:AL184)</f>
        <v>0.875</v>
      </c>
      <c r="BB180" s="15">
        <f>Tabla13[[#This Row],[Uso y acceso Abr/2025]]</f>
        <v>1</v>
      </c>
      <c r="BC180" s="15">
        <f>Tabla58[[#This Row],[Integración Abr/2025]]</f>
        <v>0.3</v>
      </c>
      <c r="BD180" s="16">
        <f>AVERAGE(Tabla4[[#This Row],[Creación y captura Abr/2025]:[Compartición e Interoperabilidad Abr/2025]])</f>
        <v>0.69499999999999995</v>
      </c>
      <c r="BE180" s="14">
        <v>0.8</v>
      </c>
      <c r="BF180" s="14">
        <v>0.5</v>
      </c>
      <c r="BG180" s="17">
        <f>AVERAGE('Calidad de Datos'!AM184:AP184)</f>
        <v>1</v>
      </c>
      <c r="BH180" s="15">
        <f>Tabla13[[#This Row],[Uso y acceso May/2025]]</f>
        <v>1</v>
      </c>
      <c r="BI180" s="15">
        <f>Tabla58[[#This Row],[Integración May/2025]]</f>
        <v>0.3</v>
      </c>
      <c r="BJ180" s="16">
        <f>AVERAGE(Tabla4[[#This Row],[Creación y captura May/2025]:[Compartición e Interoperabilidad May/2025]])</f>
        <v>0.72</v>
      </c>
      <c r="BK180" s="14">
        <v>0.8</v>
      </c>
      <c r="BL180" s="14">
        <v>0.5</v>
      </c>
      <c r="BM180" s="14">
        <f>AVERAGE('Calidad de Datos'!AQ184:AT184)</f>
        <v>1</v>
      </c>
      <c r="BN180" s="14">
        <f>Tabla13[[#This Row],[Uso y acceso Dic/2025]]</f>
        <v>1</v>
      </c>
      <c r="BO180" s="14">
        <f>Tabla58[[#This Row],[Integración Dic/2025]]</f>
        <v>0.8</v>
      </c>
      <c r="BP180" s="16">
        <f>AVERAGE(Tabla4[[#This Row],[Creación y captura Dic/2025]:[Compartición e Interoperabilidad Dic/2025]])</f>
        <v>0.82</v>
      </c>
    </row>
    <row r="181" spans="2:68" x14ac:dyDescent="0.4">
      <c r="B181" s="1" t="s">
        <v>232</v>
      </c>
      <c r="C181" s="14"/>
      <c r="D181" s="14"/>
      <c r="E181" s="14"/>
      <c r="F181" s="14">
        <f>Tabla13[[#This Row],[Uso y acceso Ago/2024]]</f>
        <v>1</v>
      </c>
      <c r="G181" s="15">
        <f>Tabla58[[#This Row],[Integración Ago/2024]]</f>
        <v>0</v>
      </c>
      <c r="H181" s="16">
        <f>AVERAGE(Tabla4[[#This Row],[Creación y captura Ago/2024]:[Compartición e Interoperabilidad Ago/2024]])</f>
        <v>0.5</v>
      </c>
      <c r="I181" s="14"/>
      <c r="J181" s="14"/>
      <c r="K181" s="15"/>
      <c r="L181" s="15">
        <f>Tabla13[[#This Row],[Uso y acceso Sep/2024]]</f>
        <v>1</v>
      </c>
      <c r="M181" s="15">
        <f>Tabla58[[#This Row],[Integración Sep/2024]]</f>
        <v>0</v>
      </c>
      <c r="N181" s="16">
        <f>AVERAGE(Tabla4[[#This Row],[Creación y captura Sep/2024]:[Compartición e Interoperabilidad Sep/2024]])</f>
        <v>0.5</v>
      </c>
      <c r="O181" s="14"/>
      <c r="P181" s="14"/>
      <c r="Q181" s="15"/>
      <c r="R181" s="15">
        <f>Tabla13[[#This Row],[Uso y acceso Oct/2024]]</f>
        <v>1</v>
      </c>
      <c r="S181" s="15">
        <f>Tabla58[[#This Row],[Integración Oct/2024]]</f>
        <v>0</v>
      </c>
      <c r="T181" s="16">
        <f>AVERAGE(Tabla4[[#This Row],[Creación y captura Oct/2024]:[Compartición e Interoperabilidad Oct/2024]])</f>
        <v>0.5</v>
      </c>
      <c r="U181" s="14"/>
      <c r="V181" s="14"/>
      <c r="W181" s="15"/>
      <c r="X181" s="15">
        <f>Tabla13[[#This Row],[Uso y acceso Nov/2024]]</f>
        <v>1</v>
      </c>
      <c r="Y181" s="15">
        <f>Tabla58[[#This Row],[Integración Nov/2024]]</f>
        <v>0</v>
      </c>
      <c r="Z181" s="16">
        <f>AVERAGE(Tabla4[[#This Row],[Creación y captura Nov/2024]:[Compartición e Interoperabilidad Nov/2024]])</f>
        <v>0.5</v>
      </c>
      <c r="AA181" s="14"/>
      <c r="AB181" s="14"/>
      <c r="AC181" s="15"/>
      <c r="AD181" s="15">
        <f>Tabla13[[#This Row],[Uso y acceso Dic/2024]]</f>
        <v>1</v>
      </c>
      <c r="AE181" s="15">
        <f>Tabla58[[#This Row],[Integración Dic/2024]]</f>
        <v>0</v>
      </c>
      <c r="AF181" s="16">
        <f>AVERAGE(Tabla4[[#This Row],[Creación y captura Dic/2024]:[Compartición e Interoperabilidad Dic/2024]])</f>
        <v>0.5</v>
      </c>
      <c r="AG181" s="14"/>
      <c r="AH181" s="14"/>
      <c r="AI181" s="15"/>
      <c r="AJ181" s="15">
        <f>Tabla13[[#This Row],[Uso y acceso Ene/2025]]</f>
        <v>1</v>
      </c>
      <c r="AK181" s="15">
        <f>Tabla58[[#This Row],[Integración Ene/2025]]</f>
        <v>0</v>
      </c>
      <c r="AL181" s="16">
        <f>AVERAGE(Tabla4[[#This Row],[Creación y captura Ene/2025]:[Compartición e Interoperabilidad Ene/2025]])</f>
        <v>0.5</v>
      </c>
      <c r="AM181" s="14"/>
      <c r="AN181" s="14"/>
      <c r="AO181" s="15"/>
      <c r="AP181" s="15">
        <f>Tabla13[[#This Row],[Uso y acceso Feb/2025]]</f>
        <v>1</v>
      </c>
      <c r="AQ181" s="15">
        <f>Tabla58[[#This Row],[Integración Feb/2025]]</f>
        <v>0</v>
      </c>
      <c r="AR181" s="16">
        <f>AVERAGE(Tabla4[[#This Row],[Creación y captura Feb/2025]:[Compartición e Interoperabilidad Feb/2025]])</f>
        <v>0.5</v>
      </c>
      <c r="AS181" s="14"/>
      <c r="AT181" s="14"/>
      <c r="AU181" s="15"/>
      <c r="AV181" s="15">
        <f>Tabla13[[#This Row],[Uso y acceso Mar/2025]]</f>
        <v>1</v>
      </c>
      <c r="AW181" s="15">
        <f>Tabla58[[#This Row],[Integración Mar/2025]]</f>
        <v>0</v>
      </c>
      <c r="AX181" s="16">
        <f>AVERAGE(Tabla4[[#This Row],[Creación y captura Mar/2025]:[Compartición e Interoperabilidad Mar/2025]])</f>
        <v>0.5</v>
      </c>
      <c r="AY181" s="14">
        <v>0.8</v>
      </c>
      <c r="AZ181" s="14">
        <v>0.5</v>
      </c>
      <c r="BA181" s="17">
        <f>AVERAGE('Calidad de Datos'!AI185:AL185)</f>
        <v>0.875</v>
      </c>
      <c r="BB181" s="15">
        <f>Tabla13[[#This Row],[Uso y acceso Abr/2025]]</f>
        <v>1</v>
      </c>
      <c r="BC181" s="15">
        <f>Tabla58[[#This Row],[Integración Abr/2025]]</f>
        <v>0.3</v>
      </c>
      <c r="BD181" s="16">
        <f>AVERAGE(Tabla4[[#This Row],[Creación y captura Abr/2025]:[Compartición e Interoperabilidad Abr/2025]])</f>
        <v>0.69499999999999995</v>
      </c>
      <c r="BE181" s="14">
        <v>0.8</v>
      </c>
      <c r="BF181" s="14">
        <v>0.5</v>
      </c>
      <c r="BG181" s="17">
        <f>AVERAGE('Calidad de Datos'!AM185:AP185)</f>
        <v>1</v>
      </c>
      <c r="BH181" s="15">
        <f>Tabla13[[#This Row],[Uso y acceso May/2025]]</f>
        <v>1</v>
      </c>
      <c r="BI181" s="15">
        <f>Tabla58[[#This Row],[Integración May/2025]]</f>
        <v>0.3</v>
      </c>
      <c r="BJ181" s="16">
        <f>AVERAGE(Tabla4[[#This Row],[Creación y captura May/2025]:[Compartición e Interoperabilidad May/2025]])</f>
        <v>0.72</v>
      </c>
      <c r="BK181" s="14">
        <v>0.8</v>
      </c>
      <c r="BL181" s="14">
        <v>0.5</v>
      </c>
      <c r="BM181" s="14">
        <f>AVERAGE('Calidad de Datos'!AQ185:AT185)</f>
        <v>1</v>
      </c>
      <c r="BN181" s="14">
        <f>Tabla13[[#This Row],[Uso y acceso Dic/2025]]</f>
        <v>1</v>
      </c>
      <c r="BO181" s="14">
        <f>Tabla58[[#This Row],[Integración Dic/2025]]</f>
        <v>0.8</v>
      </c>
      <c r="BP181" s="16">
        <f>AVERAGE(Tabla4[[#This Row],[Creación y captura Dic/2025]:[Compartición e Interoperabilidad Dic/2025]])</f>
        <v>0.82</v>
      </c>
    </row>
    <row r="182" spans="2:68" x14ac:dyDescent="0.4">
      <c r="B182" s="1" t="s">
        <v>233</v>
      </c>
      <c r="C182" s="14"/>
      <c r="D182" s="14"/>
      <c r="E182" s="14"/>
      <c r="F182" s="14">
        <f>Tabla13[[#This Row],[Uso y acceso Ago/2024]]</f>
        <v>1</v>
      </c>
      <c r="G182" s="15">
        <f>Tabla58[[#This Row],[Integración Ago/2024]]</f>
        <v>0</v>
      </c>
      <c r="H182" s="16">
        <f>AVERAGE(Tabla4[[#This Row],[Creación y captura Ago/2024]:[Compartición e Interoperabilidad Ago/2024]])</f>
        <v>0.5</v>
      </c>
      <c r="I182" s="14"/>
      <c r="J182" s="14"/>
      <c r="K182" s="15"/>
      <c r="L182" s="15">
        <f>Tabla13[[#This Row],[Uso y acceso Sep/2024]]</f>
        <v>1</v>
      </c>
      <c r="M182" s="15">
        <f>Tabla58[[#This Row],[Integración Sep/2024]]</f>
        <v>0</v>
      </c>
      <c r="N182" s="16">
        <f>AVERAGE(Tabla4[[#This Row],[Creación y captura Sep/2024]:[Compartición e Interoperabilidad Sep/2024]])</f>
        <v>0.5</v>
      </c>
      <c r="O182" s="14"/>
      <c r="P182" s="14"/>
      <c r="Q182" s="15"/>
      <c r="R182" s="15">
        <f>Tabla13[[#This Row],[Uso y acceso Oct/2024]]</f>
        <v>1</v>
      </c>
      <c r="S182" s="15">
        <f>Tabla58[[#This Row],[Integración Oct/2024]]</f>
        <v>0</v>
      </c>
      <c r="T182" s="16">
        <f>AVERAGE(Tabla4[[#This Row],[Creación y captura Oct/2024]:[Compartición e Interoperabilidad Oct/2024]])</f>
        <v>0.5</v>
      </c>
      <c r="U182" s="14"/>
      <c r="V182" s="14"/>
      <c r="W182" s="15"/>
      <c r="X182" s="15">
        <f>Tabla13[[#This Row],[Uso y acceso Nov/2024]]</f>
        <v>1</v>
      </c>
      <c r="Y182" s="15">
        <f>Tabla58[[#This Row],[Integración Nov/2024]]</f>
        <v>0</v>
      </c>
      <c r="Z182" s="16">
        <f>AVERAGE(Tabla4[[#This Row],[Creación y captura Nov/2024]:[Compartición e Interoperabilidad Nov/2024]])</f>
        <v>0.5</v>
      </c>
      <c r="AA182" s="14"/>
      <c r="AB182" s="14"/>
      <c r="AC182" s="15"/>
      <c r="AD182" s="15">
        <f>Tabla13[[#This Row],[Uso y acceso Dic/2024]]</f>
        <v>1</v>
      </c>
      <c r="AE182" s="15">
        <f>Tabla58[[#This Row],[Integración Dic/2024]]</f>
        <v>0</v>
      </c>
      <c r="AF182" s="16">
        <f>AVERAGE(Tabla4[[#This Row],[Creación y captura Dic/2024]:[Compartición e Interoperabilidad Dic/2024]])</f>
        <v>0.5</v>
      </c>
      <c r="AG182" s="14"/>
      <c r="AH182" s="14"/>
      <c r="AI182" s="15"/>
      <c r="AJ182" s="15">
        <f>Tabla13[[#This Row],[Uso y acceso Ene/2025]]</f>
        <v>1</v>
      </c>
      <c r="AK182" s="15">
        <f>Tabla58[[#This Row],[Integración Ene/2025]]</f>
        <v>0</v>
      </c>
      <c r="AL182" s="16">
        <f>AVERAGE(Tabla4[[#This Row],[Creación y captura Ene/2025]:[Compartición e Interoperabilidad Ene/2025]])</f>
        <v>0.5</v>
      </c>
      <c r="AM182" s="14"/>
      <c r="AN182" s="14"/>
      <c r="AO182" s="15"/>
      <c r="AP182" s="15">
        <f>Tabla13[[#This Row],[Uso y acceso Feb/2025]]</f>
        <v>1</v>
      </c>
      <c r="AQ182" s="15">
        <f>Tabla58[[#This Row],[Integración Feb/2025]]</f>
        <v>0</v>
      </c>
      <c r="AR182" s="16">
        <f>AVERAGE(Tabla4[[#This Row],[Creación y captura Feb/2025]:[Compartición e Interoperabilidad Feb/2025]])</f>
        <v>0.5</v>
      </c>
      <c r="AS182" s="14"/>
      <c r="AT182" s="14"/>
      <c r="AU182" s="15"/>
      <c r="AV182" s="15">
        <f>Tabla13[[#This Row],[Uso y acceso Mar/2025]]</f>
        <v>1</v>
      </c>
      <c r="AW182" s="15">
        <f>Tabla58[[#This Row],[Integración Mar/2025]]</f>
        <v>0</v>
      </c>
      <c r="AX182" s="16">
        <f>AVERAGE(Tabla4[[#This Row],[Creación y captura Mar/2025]:[Compartición e Interoperabilidad Mar/2025]])</f>
        <v>0.5</v>
      </c>
      <c r="AY182" s="14"/>
      <c r="AZ182" s="14"/>
      <c r="BA182" s="15"/>
      <c r="BB182" s="15">
        <f>Tabla13[[#This Row],[Uso y acceso Abr/2025]]</f>
        <v>1</v>
      </c>
      <c r="BC182" s="15">
        <f>Tabla58[[#This Row],[Integración Abr/2025]]</f>
        <v>0</v>
      </c>
      <c r="BD182" s="16">
        <f>AVERAGE(Tabla4[[#This Row],[Creación y captura Abr/2025]:[Compartición e Interoperabilidad Abr/2025]])</f>
        <v>0.5</v>
      </c>
      <c r="BE182" s="14"/>
      <c r="BF182" s="14"/>
      <c r="BG182" s="15"/>
      <c r="BH182" s="15">
        <f>Tabla13[[#This Row],[Uso y acceso May/2025]]</f>
        <v>1</v>
      </c>
      <c r="BI182" s="15">
        <f>Tabla58[[#This Row],[Integración May/2025]]</f>
        <v>0</v>
      </c>
      <c r="BJ182" s="16">
        <f>AVERAGE(Tabla4[[#This Row],[Creación y captura May/2025]:[Compartición e Interoperabilidad May/2025]])</f>
        <v>0.5</v>
      </c>
      <c r="BK182" s="14"/>
      <c r="BL182" s="14"/>
      <c r="BM182" s="14">
        <f>AVERAGE('Calidad de Datos'!AQ186:AT186)</f>
        <v>1</v>
      </c>
      <c r="BN182" s="14">
        <f>Tabla13[[#This Row],[Uso y acceso Dic/2025]]</f>
        <v>1</v>
      </c>
      <c r="BO182" s="14">
        <f>Tabla58[[#This Row],[Integración Dic/2025]]</f>
        <v>0.8</v>
      </c>
      <c r="BP182" s="16">
        <f>AVERAGE(Tabla4[[#This Row],[Creación y captura Dic/2025]:[Compartición e Interoperabilidad Dic/2025]])</f>
        <v>0.93333333333333324</v>
      </c>
    </row>
    <row r="183" spans="2:68" x14ac:dyDescent="0.4">
      <c r="B183" s="1" t="s">
        <v>234</v>
      </c>
      <c r="C183" s="14"/>
      <c r="D183" s="14"/>
      <c r="E183" s="14"/>
      <c r="F183" s="14">
        <f>Tabla13[[#This Row],[Uso y acceso Ago/2024]]</f>
        <v>1</v>
      </c>
      <c r="G183" s="15">
        <f>Tabla58[[#This Row],[Integración Ago/2024]]</f>
        <v>0</v>
      </c>
      <c r="H183" s="16">
        <f>AVERAGE(Tabla4[[#This Row],[Creación y captura Ago/2024]:[Compartición e Interoperabilidad Ago/2024]])</f>
        <v>0.5</v>
      </c>
      <c r="I183" s="14"/>
      <c r="J183" s="14"/>
      <c r="K183" s="15"/>
      <c r="L183" s="15">
        <f>Tabla13[[#This Row],[Uso y acceso Sep/2024]]</f>
        <v>1</v>
      </c>
      <c r="M183" s="15">
        <f>Tabla58[[#This Row],[Integración Sep/2024]]</f>
        <v>0</v>
      </c>
      <c r="N183" s="16">
        <f>AVERAGE(Tabla4[[#This Row],[Creación y captura Sep/2024]:[Compartición e Interoperabilidad Sep/2024]])</f>
        <v>0.5</v>
      </c>
      <c r="O183" s="14"/>
      <c r="P183" s="14"/>
      <c r="Q183" s="15"/>
      <c r="R183" s="15">
        <f>Tabla13[[#This Row],[Uso y acceso Oct/2024]]</f>
        <v>1</v>
      </c>
      <c r="S183" s="15">
        <f>Tabla58[[#This Row],[Integración Oct/2024]]</f>
        <v>0</v>
      </c>
      <c r="T183" s="16">
        <f>AVERAGE(Tabla4[[#This Row],[Creación y captura Oct/2024]:[Compartición e Interoperabilidad Oct/2024]])</f>
        <v>0.5</v>
      </c>
      <c r="U183" s="14"/>
      <c r="V183" s="14"/>
      <c r="W183" s="15"/>
      <c r="X183" s="15">
        <f>Tabla13[[#This Row],[Uso y acceso Nov/2024]]</f>
        <v>1</v>
      </c>
      <c r="Y183" s="15">
        <f>Tabla58[[#This Row],[Integración Nov/2024]]</f>
        <v>0</v>
      </c>
      <c r="Z183" s="16">
        <f>AVERAGE(Tabla4[[#This Row],[Creación y captura Nov/2024]:[Compartición e Interoperabilidad Nov/2024]])</f>
        <v>0.5</v>
      </c>
      <c r="AA183" s="14"/>
      <c r="AB183" s="14"/>
      <c r="AC183" s="15"/>
      <c r="AD183" s="15">
        <f>Tabla13[[#This Row],[Uso y acceso Dic/2024]]</f>
        <v>1</v>
      </c>
      <c r="AE183" s="15">
        <f>Tabla58[[#This Row],[Integración Dic/2024]]</f>
        <v>0</v>
      </c>
      <c r="AF183" s="16">
        <f>AVERAGE(Tabla4[[#This Row],[Creación y captura Dic/2024]:[Compartición e Interoperabilidad Dic/2024]])</f>
        <v>0.5</v>
      </c>
      <c r="AG183" s="14"/>
      <c r="AH183" s="14"/>
      <c r="AI183" s="15"/>
      <c r="AJ183" s="15">
        <f>Tabla13[[#This Row],[Uso y acceso Ene/2025]]</f>
        <v>1</v>
      </c>
      <c r="AK183" s="15">
        <f>Tabla58[[#This Row],[Integración Ene/2025]]</f>
        <v>0</v>
      </c>
      <c r="AL183" s="16">
        <f>AVERAGE(Tabla4[[#This Row],[Creación y captura Ene/2025]:[Compartición e Interoperabilidad Ene/2025]])</f>
        <v>0.5</v>
      </c>
      <c r="AM183" s="14"/>
      <c r="AN183" s="14"/>
      <c r="AO183" s="15"/>
      <c r="AP183" s="15">
        <f>Tabla13[[#This Row],[Uso y acceso Feb/2025]]</f>
        <v>1</v>
      </c>
      <c r="AQ183" s="15">
        <f>Tabla58[[#This Row],[Integración Feb/2025]]</f>
        <v>0</v>
      </c>
      <c r="AR183" s="16">
        <f>AVERAGE(Tabla4[[#This Row],[Creación y captura Feb/2025]:[Compartición e Interoperabilidad Feb/2025]])</f>
        <v>0.5</v>
      </c>
      <c r="AS183" s="14"/>
      <c r="AT183" s="14"/>
      <c r="AU183" s="15"/>
      <c r="AV183" s="15">
        <f>Tabla13[[#This Row],[Uso y acceso Mar/2025]]</f>
        <v>1</v>
      </c>
      <c r="AW183" s="15">
        <f>Tabla58[[#This Row],[Integración Mar/2025]]</f>
        <v>0</v>
      </c>
      <c r="AX183" s="16">
        <f>AVERAGE(Tabla4[[#This Row],[Creación y captura Mar/2025]:[Compartición e Interoperabilidad Mar/2025]])</f>
        <v>0.5</v>
      </c>
      <c r="AY183" s="14"/>
      <c r="AZ183" s="14"/>
      <c r="BA183" s="15"/>
      <c r="BB183" s="15">
        <f>Tabla13[[#This Row],[Uso y acceso Abr/2025]]</f>
        <v>1</v>
      </c>
      <c r="BC183" s="15">
        <f>Tabla58[[#This Row],[Integración Abr/2025]]</f>
        <v>0.3</v>
      </c>
      <c r="BD183" s="16">
        <f>AVERAGE(Tabla4[[#This Row],[Creación y captura Abr/2025]:[Compartición e Interoperabilidad Abr/2025]])</f>
        <v>0.65</v>
      </c>
      <c r="BE183" s="14"/>
      <c r="BF183" s="14"/>
      <c r="BG183" s="15"/>
      <c r="BH183" s="15">
        <f>Tabla13[[#This Row],[Uso y acceso May/2025]]</f>
        <v>1</v>
      </c>
      <c r="BI183" s="15">
        <f>Tabla58[[#This Row],[Integración May/2025]]</f>
        <v>0</v>
      </c>
      <c r="BJ183" s="16">
        <f>AVERAGE(Tabla4[[#This Row],[Creación y captura May/2025]:[Compartición e Interoperabilidad May/2025]])</f>
        <v>0.5</v>
      </c>
      <c r="BK183" s="14"/>
      <c r="BL183" s="14"/>
      <c r="BM183" s="14">
        <f>AVERAGE('Calidad de Datos'!AQ187:AT187)</f>
        <v>0.9</v>
      </c>
      <c r="BN183" s="14">
        <f>Tabla13[[#This Row],[Uso y acceso Dic/2025]]</f>
        <v>1</v>
      </c>
      <c r="BO183" s="14">
        <f>Tabla58[[#This Row],[Integración Dic/2025]]</f>
        <v>0.6</v>
      </c>
      <c r="BP183" s="16">
        <f>AVERAGE(Tabla4[[#This Row],[Creación y captura Dic/2025]:[Compartición e Interoperabilidad Dic/2025]])</f>
        <v>0.83333333333333337</v>
      </c>
    </row>
    <row r="184" spans="2:68" x14ac:dyDescent="0.4">
      <c r="B184" s="1" t="s">
        <v>235</v>
      </c>
      <c r="C184" s="14"/>
      <c r="D184" s="14"/>
      <c r="E184" s="14"/>
      <c r="F184" s="14">
        <f>Tabla13[[#This Row],[Uso y acceso Ago/2024]]</f>
        <v>1</v>
      </c>
      <c r="G184" s="15">
        <f>Tabla58[[#This Row],[Integración Ago/2024]]</f>
        <v>0</v>
      </c>
      <c r="H184" s="16">
        <f>AVERAGE(Tabla4[[#This Row],[Creación y captura Ago/2024]:[Compartición e Interoperabilidad Ago/2024]])</f>
        <v>0.5</v>
      </c>
      <c r="I184" s="14"/>
      <c r="J184" s="14"/>
      <c r="K184" s="15"/>
      <c r="L184" s="15">
        <f>Tabla13[[#This Row],[Uso y acceso Sep/2024]]</f>
        <v>1</v>
      </c>
      <c r="M184" s="15">
        <f>Tabla58[[#This Row],[Integración Sep/2024]]</f>
        <v>0</v>
      </c>
      <c r="N184" s="16">
        <f>AVERAGE(Tabla4[[#This Row],[Creación y captura Sep/2024]:[Compartición e Interoperabilidad Sep/2024]])</f>
        <v>0.5</v>
      </c>
      <c r="O184" s="14"/>
      <c r="P184" s="14"/>
      <c r="Q184" s="15"/>
      <c r="R184" s="15">
        <f>Tabla13[[#This Row],[Uso y acceso Oct/2024]]</f>
        <v>1</v>
      </c>
      <c r="S184" s="15">
        <f>Tabla58[[#This Row],[Integración Oct/2024]]</f>
        <v>0</v>
      </c>
      <c r="T184" s="16">
        <f>AVERAGE(Tabla4[[#This Row],[Creación y captura Oct/2024]:[Compartición e Interoperabilidad Oct/2024]])</f>
        <v>0.5</v>
      </c>
      <c r="U184" s="14"/>
      <c r="V184" s="14"/>
      <c r="W184" s="15"/>
      <c r="X184" s="15">
        <f>Tabla13[[#This Row],[Uso y acceso Nov/2024]]</f>
        <v>1</v>
      </c>
      <c r="Y184" s="15">
        <f>Tabla58[[#This Row],[Integración Nov/2024]]</f>
        <v>0</v>
      </c>
      <c r="Z184" s="16">
        <f>AVERAGE(Tabla4[[#This Row],[Creación y captura Nov/2024]:[Compartición e Interoperabilidad Nov/2024]])</f>
        <v>0.5</v>
      </c>
      <c r="AA184" s="14"/>
      <c r="AB184" s="14"/>
      <c r="AC184" s="15"/>
      <c r="AD184" s="15">
        <f>Tabla13[[#This Row],[Uso y acceso Dic/2024]]</f>
        <v>1</v>
      </c>
      <c r="AE184" s="15">
        <f>Tabla58[[#This Row],[Integración Dic/2024]]</f>
        <v>0</v>
      </c>
      <c r="AF184" s="16">
        <f>AVERAGE(Tabla4[[#This Row],[Creación y captura Dic/2024]:[Compartición e Interoperabilidad Dic/2024]])</f>
        <v>0.5</v>
      </c>
      <c r="AG184" s="14"/>
      <c r="AH184" s="14"/>
      <c r="AI184" s="15"/>
      <c r="AJ184" s="15">
        <f>Tabla13[[#This Row],[Uso y acceso Ene/2025]]</f>
        <v>1</v>
      </c>
      <c r="AK184" s="15">
        <f>Tabla58[[#This Row],[Integración Ene/2025]]</f>
        <v>0</v>
      </c>
      <c r="AL184" s="16">
        <f>AVERAGE(Tabla4[[#This Row],[Creación y captura Ene/2025]:[Compartición e Interoperabilidad Ene/2025]])</f>
        <v>0.5</v>
      </c>
      <c r="AM184" s="14"/>
      <c r="AN184" s="14"/>
      <c r="AO184" s="15"/>
      <c r="AP184" s="15">
        <f>Tabla13[[#This Row],[Uso y acceso Feb/2025]]</f>
        <v>1</v>
      </c>
      <c r="AQ184" s="15">
        <f>Tabla58[[#This Row],[Integración Feb/2025]]</f>
        <v>0</v>
      </c>
      <c r="AR184" s="16">
        <f>AVERAGE(Tabla4[[#This Row],[Creación y captura Feb/2025]:[Compartición e Interoperabilidad Feb/2025]])</f>
        <v>0.5</v>
      </c>
      <c r="AS184" s="14"/>
      <c r="AT184" s="14"/>
      <c r="AU184" s="15"/>
      <c r="AV184" s="15">
        <f>Tabla13[[#This Row],[Uso y acceso Mar/2025]]</f>
        <v>1</v>
      </c>
      <c r="AW184" s="15">
        <f>Tabla58[[#This Row],[Integración Mar/2025]]</f>
        <v>0</v>
      </c>
      <c r="AX184" s="16">
        <f>AVERAGE(Tabla4[[#This Row],[Creación y captura Mar/2025]:[Compartición e Interoperabilidad Mar/2025]])</f>
        <v>0.5</v>
      </c>
      <c r="AY184" s="14">
        <v>0.8</v>
      </c>
      <c r="AZ184" s="14">
        <v>0.5</v>
      </c>
      <c r="BA184" s="17">
        <f>AVERAGE('Calidad de Datos'!AI188:AL188)</f>
        <v>0.875</v>
      </c>
      <c r="BB184" s="15">
        <f>Tabla13[[#This Row],[Uso y acceso Abr/2025]]</f>
        <v>1</v>
      </c>
      <c r="BC184" s="15">
        <f>Tabla58[[#This Row],[Integración Abr/2025]]</f>
        <v>0.3</v>
      </c>
      <c r="BD184" s="16">
        <f>AVERAGE(Tabla4[[#This Row],[Creación y captura Abr/2025]:[Compartición e Interoperabilidad Abr/2025]])</f>
        <v>0.69499999999999995</v>
      </c>
      <c r="BE184" s="14">
        <v>0.8</v>
      </c>
      <c r="BF184" s="14">
        <v>0.5</v>
      </c>
      <c r="BG184" s="17">
        <f>AVERAGE('Calidad de Datos'!AM188:AP188)</f>
        <v>1</v>
      </c>
      <c r="BH184" s="15">
        <f>Tabla13[[#This Row],[Uso y acceso May/2025]]</f>
        <v>1</v>
      </c>
      <c r="BI184" s="15">
        <f>Tabla58[[#This Row],[Integración May/2025]]</f>
        <v>0.3</v>
      </c>
      <c r="BJ184" s="16">
        <f>AVERAGE(Tabla4[[#This Row],[Creación y captura May/2025]:[Compartición e Interoperabilidad May/2025]])</f>
        <v>0.72</v>
      </c>
      <c r="BK184" s="14">
        <v>0.8</v>
      </c>
      <c r="BL184" s="14">
        <v>0.5</v>
      </c>
      <c r="BM184" s="14">
        <f>AVERAGE('Calidad de Datos'!AQ188:AT188)</f>
        <v>1</v>
      </c>
      <c r="BN184" s="14">
        <f>Tabla13[[#This Row],[Uso y acceso Dic/2025]]</f>
        <v>1</v>
      </c>
      <c r="BO184" s="14">
        <f>Tabla58[[#This Row],[Integración Dic/2025]]</f>
        <v>0.8</v>
      </c>
      <c r="BP184" s="16">
        <f>AVERAGE(Tabla4[[#This Row],[Creación y captura Dic/2025]:[Compartición e Interoperabilidad Dic/2025]])</f>
        <v>0.82</v>
      </c>
    </row>
    <row r="185" spans="2:68" x14ac:dyDescent="0.4">
      <c r="B185" s="1" t="s">
        <v>236</v>
      </c>
      <c r="C185" s="14"/>
      <c r="D185" s="14"/>
      <c r="E185" s="14"/>
      <c r="F185" s="14">
        <f>Tabla13[[#This Row],[Uso y acceso Ago/2024]]</f>
        <v>1</v>
      </c>
      <c r="G185" s="15">
        <f>Tabla58[[#This Row],[Integración Ago/2024]]</f>
        <v>0</v>
      </c>
      <c r="H185" s="16">
        <f>AVERAGE(Tabla4[[#This Row],[Creación y captura Ago/2024]:[Compartición e Interoperabilidad Ago/2024]])</f>
        <v>0.5</v>
      </c>
      <c r="I185" s="14"/>
      <c r="J185" s="14"/>
      <c r="K185" s="15"/>
      <c r="L185" s="15">
        <f>Tabla13[[#This Row],[Uso y acceso Sep/2024]]</f>
        <v>1</v>
      </c>
      <c r="M185" s="15">
        <f>Tabla58[[#This Row],[Integración Sep/2024]]</f>
        <v>0</v>
      </c>
      <c r="N185" s="16">
        <f>AVERAGE(Tabla4[[#This Row],[Creación y captura Sep/2024]:[Compartición e Interoperabilidad Sep/2024]])</f>
        <v>0.5</v>
      </c>
      <c r="O185" s="14"/>
      <c r="P185" s="14"/>
      <c r="Q185" s="15"/>
      <c r="R185" s="15">
        <f>Tabla13[[#This Row],[Uso y acceso Oct/2024]]</f>
        <v>1</v>
      </c>
      <c r="S185" s="15">
        <f>Tabla58[[#This Row],[Integración Oct/2024]]</f>
        <v>0</v>
      </c>
      <c r="T185" s="16">
        <f>AVERAGE(Tabla4[[#This Row],[Creación y captura Oct/2024]:[Compartición e Interoperabilidad Oct/2024]])</f>
        <v>0.5</v>
      </c>
      <c r="U185" s="14"/>
      <c r="V185" s="14"/>
      <c r="W185" s="15"/>
      <c r="X185" s="15">
        <f>Tabla13[[#This Row],[Uso y acceso Nov/2024]]</f>
        <v>1</v>
      </c>
      <c r="Y185" s="15">
        <f>Tabla58[[#This Row],[Integración Nov/2024]]</f>
        <v>0</v>
      </c>
      <c r="Z185" s="16">
        <f>AVERAGE(Tabla4[[#This Row],[Creación y captura Nov/2024]:[Compartición e Interoperabilidad Nov/2024]])</f>
        <v>0.5</v>
      </c>
      <c r="AA185" s="14"/>
      <c r="AB185" s="14"/>
      <c r="AC185" s="15"/>
      <c r="AD185" s="15">
        <f>Tabla13[[#This Row],[Uso y acceso Dic/2024]]</f>
        <v>1</v>
      </c>
      <c r="AE185" s="15">
        <f>Tabla58[[#This Row],[Integración Dic/2024]]</f>
        <v>0</v>
      </c>
      <c r="AF185" s="16">
        <f>AVERAGE(Tabla4[[#This Row],[Creación y captura Dic/2024]:[Compartición e Interoperabilidad Dic/2024]])</f>
        <v>0.5</v>
      </c>
      <c r="AG185" s="14"/>
      <c r="AH185" s="14"/>
      <c r="AI185" s="15"/>
      <c r="AJ185" s="15">
        <f>Tabla13[[#This Row],[Uso y acceso Ene/2025]]</f>
        <v>1</v>
      </c>
      <c r="AK185" s="15">
        <f>Tabla58[[#This Row],[Integración Ene/2025]]</f>
        <v>0</v>
      </c>
      <c r="AL185" s="16">
        <f>AVERAGE(Tabla4[[#This Row],[Creación y captura Ene/2025]:[Compartición e Interoperabilidad Ene/2025]])</f>
        <v>0.5</v>
      </c>
      <c r="AM185" s="14"/>
      <c r="AN185" s="14"/>
      <c r="AO185" s="15"/>
      <c r="AP185" s="15">
        <f>Tabla13[[#This Row],[Uso y acceso Feb/2025]]</f>
        <v>1</v>
      </c>
      <c r="AQ185" s="15">
        <f>Tabla58[[#This Row],[Integración Feb/2025]]</f>
        <v>0</v>
      </c>
      <c r="AR185" s="16">
        <f>AVERAGE(Tabla4[[#This Row],[Creación y captura Feb/2025]:[Compartición e Interoperabilidad Feb/2025]])</f>
        <v>0.5</v>
      </c>
      <c r="AS185" s="14"/>
      <c r="AT185" s="14"/>
      <c r="AU185" s="15"/>
      <c r="AV185" s="15">
        <f>Tabla13[[#This Row],[Uso y acceso Mar/2025]]</f>
        <v>1</v>
      </c>
      <c r="AW185" s="15">
        <f>Tabla58[[#This Row],[Integración Mar/2025]]</f>
        <v>0</v>
      </c>
      <c r="AX185" s="16">
        <f>AVERAGE(Tabla4[[#This Row],[Creación y captura Mar/2025]:[Compartición e Interoperabilidad Mar/2025]])</f>
        <v>0.5</v>
      </c>
      <c r="AY185" s="14"/>
      <c r="AZ185" s="14"/>
      <c r="BA185" s="15"/>
      <c r="BB185" s="15">
        <f>Tabla13[[#This Row],[Uso y acceso Abr/2025]]</f>
        <v>1</v>
      </c>
      <c r="BC185" s="15">
        <f>Tabla58[[#This Row],[Integración Abr/2025]]</f>
        <v>0</v>
      </c>
      <c r="BD185" s="16">
        <f>AVERAGE(Tabla4[[#This Row],[Creación y captura Abr/2025]:[Compartición e Interoperabilidad Abr/2025]])</f>
        <v>0.5</v>
      </c>
      <c r="BE185" s="14"/>
      <c r="BF185" s="14"/>
      <c r="BG185" s="15"/>
      <c r="BH185" s="15">
        <f>Tabla13[[#This Row],[Uso y acceso May/2025]]</f>
        <v>1</v>
      </c>
      <c r="BI185" s="15">
        <f>Tabla58[[#This Row],[Integración May/2025]]</f>
        <v>0</v>
      </c>
      <c r="BJ185" s="16">
        <f>AVERAGE(Tabla4[[#This Row],[Creación y captura May/2025]:[Compartición e Interoperabilidad May/2025]])</f>
        <v>0.5</v>
      </c>
      <c r="BK185" s="14"/>
      <c r="BL185" s="14"/>
      <c r="BM185" s="14">
        <f>AVERAGE('Calidad de Datos'!AQ189:AT189)</f>
        <v>1</v>
      </c>
      <c r="BN185" s="14">
        <f>Tabla13[[#This Row],[Uso y acceso Dic/2025]]</f>
        <v>1</v>
      </c>
      <c r="BO185" s="14">
        <f>Tabla58[[#This Row],[Integración Dic/2025]]</f>
        <v>0.8</v>
      </c>
      <c r="BP185" s="16">
        <f>AVERAGE(Tabla4[[#This Row],[Creación y captura Dic/2025]:[Compartición e Interoperabilidad Dic/2025]])</f>
        <v>0.93333333333333324</v>
      </c>
    </row>
    <row r="186" spans="2:68" x14ac:dyDescent="0.4">
      <c r="B186" s="1" t="s">
        <v>237</v>
      </c>
      <c r="C186" s="14"/>
      <c r="D186" s="14"/>
      <c r="E186" s="14"/>
      <c r="F186" s="14">
        <f>Tabla13[[#This Row],[Uso y acceso Ago/2024]]</f>
        <v>1</v>
      </c>
      <c r="G186" s="15">
        <f>Tabla58[[#This Row],[Integración Ago/2024]]</f>
        <v>0</v>
      </c>
      <c r="H186" s="16">
        <f>AVERAGE(Tabla4[[#This Row],[Creación y captura Ago/2024]:[Compartición e Interoperabilidad Ago/2024]])</f>
        <v>0.5</v>
      </c>
      <c r="I186" s="14"/>
      <c r="J186" s="14"/>
      <c r="K186" s="15"/>
      <c r="L186" s="15">
        <f>Tabla13[[#This Row],[Uso y acceso Sep/2024]]</f>
        <v>1</v>
      </c>
      <c r="M186" s="15">
        <f>Tabla58[[#This Row],[Integración Sep/2024]]</f>
        <v>0</v>
      </c>
      <c r="N186" s="16">
        <f>AVERAGE(Tabla4[[#This Row],[Creación y captura Sep/2024]:[Compartición e Interoperabilidad Sep/2024]])</f>
        <v>0.5</v>
      </c>
      <c r="O186" s="14"/>
      <c r="P186" s="14"/>
      <c r="Q186" s="15"/>
      <c r="R186" s="15">
        <f>Tabla13[[#This Row],[Uso y acceso Oct/2024]]</f>
        <v>1</v>
      </c>
      <c r="S186" s="15">
        <f>Tabla58[[#This Row],[Integración Oct/2024]]</f>
        <v>0</v>
      </c>
      <c r="T186" s="16">
        <f>AVERAGE(Tabla4[[#This Row],[Creación y captura Oct/2024]:[Compartición e Interoperabilidad Oct/2024]])</f>
        <v>0.5</v>
      </c>
      <c r="U186" s="14"/>
      <c r="V186" s="14"/>
      <c r="W186" s="15"/>
      <c r="X186" s="15">
        <f>Tabla13[[#This Row],[Uso y acceso Nov/2024]]</f>
        <v>1</v>
      </c>
      <c r="Y186" s="15">
        <f>Tabla58[[#This Row],[Integración Nov/2024]]</f>
        <v>0</v>
      </c>
      <c r="Z186" s="16">
        <f>AVERAGE(Tabla4[[#This Row],[Creación y captura Nov/2024]:[Compartición e Interoperabilidad Nov/2024]])</f>
        <v>0.5</v>
      </c>
      <c r="AA186" s="14"/>
      <c r="AB186" s="14"/>
      <c r="AC186" s="15"/>
      <c r="AD186" s="15">
        <f>Tabla13[[#This Row],[Uso y acceso Dic/2024]]</f>
        <v>1</v>
      </c>
      <c r="AE186" s="15">
        <f>Tabla58[[#This Row],[Integración Dic/2024]]</f>
        <v>0</v>
      </c>
      <c r="AF186" s="16">
        <f>AVERAGE(Tabla4[[#This Row],[Creación y captura Dic/2024]:[Compartición e Interoperabilidad Dic/2024]])</f>
        <v>0.5</v>
      </c>
      <c r="AG186" s="14"/>
      <c r="AH186" s="14"/>
      <c r="AI186" s="15"/>
      <c r="AJ186" s="15">
        <f>Tabla13[[#This Row],[Uso y acceso Ene/2025]]</f>
        <v>1</v>
      </c>
      <c r="AK186" s="15">
        <f>Tabla58[[#This Row],[Integración Ene/2025]]</f>
        <v>0</v>
      </c>
      <c r="AL186" s="16">
        <f>AVERAGE(Tabla4[[#This Row],[Creación y captura Ene/2025]:[Compartición e Interoperabilidad Ene/2025]])</f>
        <v>0.5</v>
      </c>
      <c r="AM186" s="14"/>
      <c r="AN186" s="14"/>
      <c r="AO186" s="15"/>
      <c r="AP186" s="15">
        <f>Tabla13[[#This Row],[Uso y acceso Feb/2025]]</f>
        <v>1</v>
      </c>
      <c r="AQ186" s="15">
        <f>Tabla58[[#This Row],[Integración Feb/2025]]</f>
        <v>0</v>
      </c>
      <c r="AR186" s="16">
        <f>AVERAGE(Tabla4[[#This Row],[Creación y captura Feb/2025]:[Compartición e Interoperabilidad Feb/2025]])</f>
        <v>0.5</v>
      </c>
      <c r="AS186" s="14"/>
      <c r="AT186" s="14"/>
      <c r="AU186" s="15"/>
      <c r="AV186" s="15">
        <f>Tabla13[[#This Row],[Uso y acceso Mar/2025]]</f>
        <v>1</v>
      </c>
      <c r="AW186" s="15">
        <f>Tabla58[[#This Row],[Integración Mar/2025]]</f>
        <v>0</v>
      </c>
      <c r="AX186" s="16">
        <f>AVERAGE(Tabla4[[#This Row],[Creación y captura Mar/2025]:[Compartición e Interoperabilidad Mar/2025]])</f>
        <v>0.5</v>
      </c>
      <c r="AY186" s="14"/>
      <c r="AZ186" s="14"/>
      <c r="BA186" s="15"/>
      <c r="BB186" s="15">
        <f>Tabla13[[#This Row],[Uso y acceso Abr/2025]]</f>
        <v>1</v>
      </c>
      <c r="BC186" s="15">
        <f>Tabla58[[#This Row],[Integración Abr/2025]]</f>
        <v>0</v>
      </c>
      <c r="BD186" s="16">
        <f>AVERAGE(Tabla4[[#This Row],[Creación y captura Abr/2025]:[Compartición e Interoperabilidad Abr/2025]])</f>
        <v>0.5</v>
      </c>
      <c r="BE186" s="14"/>
      <c r="BF186" s="14"/>
      <c r="BG186" s="15"/>
      <c r="BH186" s="15">
        <f>Tabla13[[#This Row],[Uso y acceso May/2025]]</f>
        <v>1</v>
      </c>
      <c r="BI186" s="15">
        <f>Tabla58[[#This Row],[Integración May/2025]]</f>
        <v>0</v>
      </c>
      <c r="BJ186" s="16">
        <f>AVERAGE(Tabla4[[#This Row],[Creación y captura May/2025]:[Compartición e Interoperabilidad May/2025]])</f>
        <v>0.5</v>
      </c>
      <c r="BK186" s="14"/>
      <c r="BL186" s="14"/>
      <c r="BM186" s="14">
        <f>AVERAGE('Calidad de Datos'!AQ190:AT190)</f>
        <v>0.9</v>
      </c>
      <c r="BN186" s="14">
        <f>Tabla13[[#This Row],[Uso y acceso Dic/2025]]</f>
        <v>1</v>
      </c>
      <c r="BO186" s="14">
        <f>Tabla58[[#This Row],[Integración Dic/2025]]</f>
        <v>0.6</v>
      </c>
      <c r="BP186" s="16">
        <f>AVERAGE(Tabla4[[#This Row],[Creación y captura Dic/2025]:[Compartición e Interoperabilidad Dic/2025]])</f>
        <v>0.83333333333333337</v>
      </c>
    </row>
    <row r="187" spans="2:68" x14ac:dyDescent="0.4">
      <c r="B187" s="1" t="s">
        <v>238</v>
      </c>
      <c r="C187" s="14"/>
      <c r="D187" s="14"/>
      <c r="E187" s="14"/>
      <c r="F187" s="14">
        <f>Tabla13[[#This Row],[Uso y acceso Ago/2024]]</f>
        <v>0.8</v>
      </c>
      <c r="G187" s="15">
        <f>Tabla58[[#This Row],[Integración Ago/2024]]</f>
        <v>0</v>
      </c>
      <c r="H187" s="16">
        <f>AVERAGE(Tabla4[[#This Row],[Creación y captura Ago/2024]:[Compartición e Interoperabilidad Ago/2024]])</f>
        <v>0.4</v>
      </c>
      <c r="I187" s="14"/>
      <c r="J187" s="14"/>
      <c r="K187" s="15"/>
      <c r="L187" s="15">
        <f>Tabla13[[#This Row],[Uso y acceso Sep/2024]]</f>
        <v>0.8</v>
      </c>
      <c r="M187" s="15">
        <f>Tabla58[[#This Row],[Integración Sep/2024]]</f>
        <v>0</v>
      </c>
      <c r="N187" s="16">
        <f>AVERAGE(Tabla4[[#This Row],[Creación y captura Sep/2024]:[Compartición e Interoperabilidad Sep/2024]])</f>
        <v>0.4</v>
      </c>
      <c r="O187" s="14"/>
      <c r="P187" s="14"/>
      <c r="Q187" s="15"/>
      <c r="R187" s="15">
        <f>Tabla13[[#This Row],[Uso y acceso Oct/2024]]</f>
        <v>0.8</v>
      </c>
      <c r="S187" s="15">
        <f>Tabla58[[#This Row],[Integración Oct/2024]]</f>
        <v>0</v>
      </c>
      <c r="T187" s="16">
        <f>AVERAGE(Tabla4[[#This Row],[Creación y captura Oct/2024]:[Compartición e Interoperabilidad Oct/2024]])</f>
        <v>0.4</v>
      </c>
      <c r="U187" s="14"/>
      <c r="V187" s="14"/>
      <c r="W187" s="15"/>
      <c r="X187" s="15">
        <f>Tabla13[[#This Row],[Uso y acceso Nov/2024]]</f>
        <v>0.8</v>
      </c>
      <c r="Y187" s="15">
        <f>Tabla58[[#This Row],[Integración Nov/2024]]</f>
        <v>0</v>
      </c>
      <c r="Z187" s="16">
        <f>AVERAGE(Tabla4[[#This Row],[Creación y captura Nov/2024]:[Compartición e Interoperabilidad Nov/2024]])</f>
        <v>0.4</v>
      </c>
      <c r="AA187" s="14"/>
      <c r="AB187" s="14"/>
      <c r="AC187" s="15"/>
      <c r="AD187" s="15">
        <f>Tabla13[[#This Row],[Uso y acceso Dic/2024]]</f>
        <v>0.8</v>
      </c>
      <c r="AE187" s="15">
        <f>Tabla58[[#This Row],[Integración Dic/2024]]</f>
        <v>0</v>
      </c>
      <c r="AF187" s="16">
        <f>AVERAGE(Tabla4[[#This Row],[Creación y captura Dic/2024]:[Compartición e Interoperabilidad Dic/2024]])</f>
        <v>0.4</v>
      </c>
      <c r="AG187" s="14"/>
      <c r="AH187" s="14"/>
      <c r="AI187" s="15"/>
      <c r="AJ187" s="15">
        <f>Tabla13[[#This Row],[Uso y acceso Ene/2025]]</f>
        <v>0.8</v>
      </c>
      <c r="AK187" s="15">
        <f>Tabla58[[#This Row],[Integración Ene/2025]]</f>
        <v>0</v>
      </c>
      <c r="AL187" s="16">
        <f>AVERAGE(Tabla4[[#This Row],[Creación y captura Ene/2025]:[Compartición e Interoperabilidad Ene/2025]])</f>
        <v>0.4</v>
      </c>
      <c r="AM187" s="14"/>
      <c r="AN187" s="14"/>
      <c r="AO187" s="15"/>
      <c r="AP187" s="15">
        <f>Tabla13[[#This Row],[Uso y acceso Feb/2025]]</f>
        <v>0.8</v>
      </c>
      <c r="AQ187" s="15">
        <f>Tabla58[[#This Row],[Integración Feb/2025]]</f>
        <v>0</v>
      </c>
      <c r="AR187" s="16">
        <f>AVERAGE(Tabla4[[#This Row],[Creación y captura Feb/2025]:[Compartición e Interoperabilidad Feb/2025]])</f>
        <v>0.4</v>
      </c>
      <c r="AS187" s="14"/>
      <c r="AT187" s="14"/>
      <c r="AU187" s="15"/>
      <c r="AV187" s="15">
        <f>Tabla13[[#This Row],[Uso y acceso Mar/2025]]</f>
        <v>0.8</v>
      </c>
      <c r="AW187" s="15">
        <f>Tabla58[[#This Row],[Integración Mar/2025]]</f>
        <v>0</v>
      </c>
      <c r="AX187" s="16">
        <f>AVERAGE(Tabla4[[#This Row],[Creación y captura Mar/2025]:[Compartición e Interoperabilidad Mar/2025]])</f>
        <v>0.4</v>
      </c>
      <c r="AY187" s="14"/>
      <c r="AZ187" s="14"/>
      <c r="BA187" s="15"/>
      <c r="BB187" s="15">
        <f>Tabla13[[#This Row],[Uso y acceso Abr/2025]]</f>
        <v>0.8</v>
      </c>
      <c r="BC187" s="15">
        <f>Tabla58[[#This Row],[Integración Abr/2025]]</f>
        <v>0</v>
      </c>
      <c r="BD187" s="16">
        <f>AVERAGE(Tabla4[[#This Row],[Creación y captura Abr/2025]:[Compartición e Interoperabilidad Abr/2025]])</f>
        <v>0.4</v>
      </c>
      <c r="BE187" s="14"/>
      <c r="BF187" s="14"/>
      <c r="BG187" s="15"/>
      <c r="BH187" s="15">
        <f>Tabla13[[#This Row],[Uso y acceso May/2025]]</f>
        <v>1</v>
      </c>
      <c r="BI187" s="15">
        <f>Tabla58[[#This Row],[Integración May/2025]]</f>
        <v>0</v>
      </c>
      <c r="BJ187" s="16">
        <f>AVERAGE(Tabla4[[#This Row],[Creación y captura May/2025]:[Compartición e Interoperabilidad May/2025]])</f>
        <v>0.5</v>
      </c>
      <c r="BK187" s="14">
        <v>1</v>
      </c>
      <c r="BL187" s="14">
        <v>1</v>
      </c>
      <c r="BM187" s="14">
        <f>AVERAGE('Calidad de Datos'!AQ191:AT191)</f>
        <v>0.92500000000000004</v>
      </c>
      <c r="BN187" s="14">
        <f>Tabla13[[#This Row],[Uso y acceso Dic/2025]]</f>
        <v>1</v>
      </c>
      <c r="BO187" s="14">
        <f>Tabla58[[#This Row],[Integración Dic/2025]]</f>
        <v>1</v>
      </c>
      <c r="BP187" s="16">
        <f>AVERAGE(Tabla4[[#This Row],[Creación y captura Dic/2025]:[Compartición e Interoperabilidad Dic/2025]])</f>
        <v>0.98499999999999999</v>
      </c>
    </row>
    <row r="188" spans="2:68" x14ac:dyDescent="0.4">
      <c r="B188" s="1" t="s">
        <v>239</v>
      </c>
      <c r="C188" s="14"/>
      <c r="D188" s="14"/>
      <c r="E188" s="14">
        <f>AVERAGE('Calidad de Datos'!C192:F192)</f>
        <v>0</v>
      </c>
      <c r="F188" s="14">
        <f>Tabla13[[#This Row],[Uso y acceso Ago/2024]]</f>
        <v>0.8</v>
      </c>
      <c r="G188" s="15">
        <f>Tabla58[[#This Row],[Integración Ago/2024]]</f>
        <v>0</v>
      </c>
      <c r="H188" s="16">
        <f>AVERAGE(Tabla4[[#This Row],[Creación y captura Ago/2024]:[Compartición e Interoperabilidad Ago/2024]])</f>
        <v>0.26666666666666666</v>
      </c>
      <c r="I188" s="14"/>
      <c r="J188" s="14"/>
      <c r="K188" s="15">
        <f>AVERAGE('Calidad de Datos'!G192:J192)</f>
        <v>0</v>
      </c>
      <c r="L188" s="15">
        <f>Tabla13[[#This Row],[Uso y acceso Sep/2024]]</f>
        <v>0.8</v>
      </c>
      <c r="M188" s="15">
        <f>Tabla58[[#This Row],[Integración Sep/2024]]</f>
        <v>0</v>
      </c>
      <c r="N188" s="16">
        <f>AVERAGE(Tabla4[[#This Row],[Creación y captura Sep/2024]:[Compartición e Interoperabilidad Sep/2024]])</f>
        <v>0.26666666666666666</v>
      </c>
      <c r="O188" s="14"/>
      <c r="P188" s="14"/>
      <c r="Q188" s="15">
        <f>AVERAGE('Calidad de Datos'!K192:N192)</f>
        <v>0</v>
      </c>
      <c r="R188" s="15">
        <f>Tabla13[[#This Row],[Uso y acceso Oct/2024]]</f>
        <v>0.8</v>
      </c>
      <c r="S188" s="15">
        <f>Tabla58[[#This Row],[Integración Oct/2024]]</f>
        <v>0</v>
      </c>
      <c r="T188" s="16">
        <f>AVERAGE(Tabla4[[#This Row],[Creación y captura Oct/2024]:[Compartición e Interoperabilidad Oct/2024]])</f>
        <v>0.26666666666666666</v>
      </c>
      <c r="U188" s="14">
        <v>0.75</v>
      </c>
      <c r="V188" s="14"/>
      <c r="W188" s="15">
        <f>AVERAGE('Calidad de Datos'!O192:R192)</f>
        <v>0.77750000000000008</v>
      </c>
      <c r="X188" s="15">
        <f>Tabla13[[#This Row],[Uso y acceso Nov/2024]]</f>
        <v>0.8</v>
      </c>
      <c r="Y188" s="15">
        <f>Tabla58[[#This Row],[Integración Nov/2024]]</f>
        <v>0</v>
      </c>
      <c r="Z188" s="16">
        <f>AVERAGE(Tabla4[[#This Row],[Creación y captura Nov/2024]:[Compartición e Interoperabilidad Nov/2024]])</f>
        <v>0.58187500000000003</v>
      </c>
      <c r="AA188" s="14">
        <v>0.75</v>
      </c>
      <c r="AB188" s="14"/>
      <c r="AC188" s="15">
        <f>AVERAGE('Calidad de Datos'!S192:V192)</f>
        <v>0.77750000000000008</v>
      </c>
      <c r="AD188" s="15">
        <f>Tabla13[[#This Row],[Uso y acceso Dic/2024]]</f>
        <v>0.8</v>
      </c>
      <c r="AE188" s="15">
        <f>Tabla58[[#This Row],[Integración Dic/2024]]</f>
        <v>0</v>
      </c>
      <c r="AF188" s="16">
        <f>AVERAGE(Tabla4[[#This Row],[Creación y captura Dic/2024]:[Compartición e Interoperabilidad Dic/2024]])</f>
        <v>0.58187500000000003</v>
      </c>
      <c r="AG188" s="14">
        <v>0.85</v>
      </c>
      <c r="AH188" s="14"/>
      <c r="AI188" s="17">
        <f>AVERAGE('Calidad de Datos'!W192:Z192)</f>
        <v>0.86250000000000004</v>
      </c>
      <c r="AJ188" s="15">
        <f>Tabla13[[#This Row],[Uso y acceso Ene/2025]]</f>
        <v>0.8</v>
      </c>
      <c r="AK188" s="15">
        <f>Tabla58[[#This Row],[Integración Ene/2025]]</f>
        <v>0</v>
      </c>
      <c r="AL188" s="16">
        <f>AVERAGE(Tabla4[[#This Row],[Creación y captura Ene/2025]:[Compartición e Interoperabilidad Ene/2025]])</f>
        <v>0.62812500000000004</v>
      </c>
      <c r="AM188" s="14">
        <v>0.85</v>
      </c>
      <c r="AN188" s="14">
        <v>0.9</v>
      </c>
      <c r="AO188" s="17">
        <f>AVERAGE('Calidad de Datos'!AA192:AD192)</f>
        <v>0.9375</v>
      </c>
      <c r="AP188" s="15">
        <f>Tabla13[[#This Row],[Uso y acceso Feb/2025]]</f>
        <v>0.9</v>
      </c>
      <c r="AQ188" s="15">
        <f>Tabla58[[#This Row],[Integración Feb/2025]]</f>
        <v>0.9</v>
      </c>
      <c r="AR188" s="16">
        <f>AVERAGE(Tabla4[[#This Row],[Creación y captura Feb/2025]:[Compartición e Interoperabilidad Feb/2025]])</f>
        <v>0.89749999999999996</v>
      </c>
      <c r="AS188" s="14">
        <v>0.9</v>
      </c>
      <c r="AT188" s="14">
        <v>1</v>
      </c>
      <c r="AU188" s="17">
        <f>AVERAGE('Calidad de Datos'!AE192:AH192)</f>
        <v>0.9375</v>
      </c>
      <c r="AV188" s="15">
        <f>Tabla13[[#This Row],[Uso y acceso Mar/2025]]</f>
        <v>0.9</v>
      </c>
      <c r="AW188" s="15">
        <f>Tabla58[[#This Row],[Integración Mar/2025]]</f>
        <v>0.9</v>
      </c>
      <c r="AX188" s="16">
        <f>AVERAGE(Tabla4[[#This Row],[Creación y captura Mar/2025]:[Compartición e Interoperabilidad Mar/2025]])</f>
        <v>0.92749999999999999</v>
      </c>
      <c r="AY188" s="14">
        <v>0.9</v>
      </c>
      <c r="AZ188" s="14">
        <v>0.9</v>
      </c>
      <c r="BA188" s="17">
        <f>AVERAGE('Calidad de Datos'!AI192:AL192)</f>
        <v>0.9375</v>
      </c>
      <c r="BB188" s="15">
        <f>Tabla13[[#This Row],[Uso y acceso Abr/2025]]</f>
        <v>0.9</v>
      </c>
      <c r="BC188" s="15">
        <f>Tabla58[[#This Row],[Integración Abr/2025]]</f>
        <v>0.9</v>
      </c>
      <c r="BD188" s="16">
        <f>AVERAGE(Tabla4[[#This Row],[Creación y captura Abr/2025]:[Compartición e Interoperabilidad Abr/2025]])</f>
        <v>0.90749999999999997</v>
      </c>
      <c r="BE188" s="14">
        <v>0.9</v>
      </c>
      <c r="BF188" s="14">
        <v>0.9</v>
      </c>
      <c r="BG188" s="17">
        <f>AVERAGE('Calidad de Datos'!AM192:AP192)</f>
        <v>1</v>
      </c>
      <c r="BH188" s="15">
        <f>Tabla13[[#This Row],[Uso y acceso May/2025]]</f>
        <v>1</v>
      </c>
      <c r="BI188" s="15">
        <f>Tabla58[[#This Row],[Integración May/2025]]</f>
        <v>0.9</v>
      </c>
      <c r="BJ188" s="16">
        <f>AVERAGE(Tabla4[[#This Row],[Creación y captura May/2025]:[Compartición e Interoperabilidad May/2025]])</f>
        <v>0.94000000000000006</v>
      </c>
      <c r="BK188" s="14">
        <v>1</v>
      </c>
      <c r="BL188" s="14">
        <v>1</v>
      </c>
      <c r="BM188" s="14">
        <f>AVERAGE('Calidad de Datos'!AQ192:AT192)</f>
        <v>1</v>
      </c>
      <c r="BN188" s="14">
        <f>Tabla13[[#This Row],[Uso y acceso Dic/2025]]</f>
        <v>1</v>
      </c>
      <c r="BO188" s="14">
        <f>Tabla58[[#This Row],[Integración Dic/2025]]</f>
        <v>1</v>
      </c>
      <c r="BP188" s="16">
        <f>AVERAGE(Tabla4[[#This Row],[Creación y captura Dic/2025]:[Compartición e Interoperabilidad Dic/2025]])</f>
        <v>1</v>
      </c>
    </row>
    <row r="189" spans="2:68" x14ac:dyDescent="0.4">
      <c r="B189" s="1" t="s">
        <v>240</v>
      </c>
      <c r="C189" s="14"/>
      <c r="D189" s="14"/>
      <c r="E189" s="14">
        <f>AVERAGE('Calidad de Datos'!C193:F193)</f>
        <v>0</v>
      </c>
      <c r="F189" s="14">
        <f>Tabla13[[#This Row],[Uso y acceso Ago/2024]]</f>
        <v>0.8</v>
      </c>
      <c r="G189" s="15">
        <f>Tabla58[[#This Row],[Integración Ago/2024]]</f>
        <v>0</v>
      </c>
      <c r="H189" s="16">
        <f>AVERAGE(Tabla4[[#This Row],[Creación y captura Ago/2024]:[Compartición e Interoperabilidad Ago/2024]])</f>
        <v>0.26666666666666666</v>
      </c>
      <c r="I189" s="14"/>
      <c r="J189" s="14"/>
      <c r="K189" s="15">
        <f>AVERAGE('Calidad de Datos'!G193:J193)</f>
        <v>0</v>
      </c>
      <c r="L189" s="15">
        <f>Tabla13[[#This Row],[Uso y acceso Sep/2024]]</f>
        <v>0.8</v>
      </c>
      <c r="M189" s="15">
        <f>Tabla58[[#This Row],[Integración Sep/2024]]</f>
        <v>0</v>
      </c>
      <c r="N189" s="16">
        <f>AVERAGE(Tabla4[[#This Row],[Creación y captura Sep/2024]:[Compartición e Interoperabilidad Sep/2024]])</f>
        <v>0.26666666666666666</v>
      </c>
      <c r="O189" s="14"/>
      <c r="P189" s="14"/>
      <c r="Q189" s="15">
        <f>AVERAGE('Calidad de Datos'!K193:N193)</f>
        <v>0</v>
      </c>
      <c r="R189" s="15">
        <f>Tabla13[[#This Row],[Uso y acceso Oct/2024]]</f>
        <v>0.8</v>
      </c>
      <c r="S189" s="15">
        <f>Tabla58[[#This Row],[Integración Oct/2024]]</f>
        <v>0</v>
      </c>
      <c r="T189" s="16">
        <f>AVERAGE(Tabla4[[#This Row],[Creación y captura Oct/2024]:[Compartición e Interoperabilidad Oct/2024]])</f>
        <v>0.26666666666666666</v>
      </c>
      <c r="U189" s="14">
        <v>0.75</v>
      </c>
      <c r="V189" s="14"/>
      <c r="W189" s="15">
        <f>AVERAGE('Calidad de Datos'!O193:R193)</f>
        <v>0.77750000000000008</v>
      </c>
      <c r="X189" s="15">
        <f>Tabla13[[#This Row],[Uso y acceso Nov/2024]]</f>
        <v>0.8</v>
      </c>
      <c r="Y189" s="15">
        <f>Tabla58[[#This Row],[Integración Nov/2024]]</f>
        <v>0</v>
      </c>
      <c r="Z189" s="16">
        <f>AVERAGE(Tabla4[[#This Row],[Creación y captura Nov/2024]:[Compartición e Interoperabilidad Nov/2024]])</f>
        <v>0.58187500000000003</v>
      </c>
      <c r="AA189" s="14">
        <v>0.75</v>
      </c>
      <c r="AB189" s="14"/>
      <c r="AC189" s="15">
        <f>AVERAGE('Calidad de Datos'!S193:V193)</f>
        <v>0.77750000000000008</v>
      </c>
      <c r="AD189" s="15">
        <f>Tabla13[[#This Row],[Uso y acceso Dic/2024]]</f>
        <v>0.8</v>
      </c>
      <c r="AE189" s="15">
        <f>Tabla58[[#This Row],[Integración Dic/2024]]</f>
        <v>0</v>
      </c>
      <c r="AF189" s="16">
        <f>AVERAGE(Tabla4[[#This Row],[Creación y captura Dic/2024]:[Compartición e Interoperabilidad Dic/2024]])</f>
        <v>0.58187500000000003</v>
      </c>
      <c r="AG189" s="14">
        <v>0.85</v>
      </c>
      <c r="AH189" s="14"/>
      <c r="AI189" s="17">
        <f>AVERAGE('Calidad de Datos'!W193:Z193)</f>
        <v>0.86250000000000004</v>
      </c>
      <c r="AJ189" s="15">
        <f>Tabla13[[#This Row],[Uso y acceso Ene/2025]]</f>
        <v>0.8</v>
      </c>
      <c r="AK189" s="15">
        <f>Tabla58[[#This Row],[Integración Ene/2025]]</f>
        <v>0</v>
      </c>
      <c r="AL189" s="16">
        <f>AVERAGE(Tabla4[[#This Row],[Creación y captura Ene/2025]:[Compartición e Interoperabilidad Ene/2025]])</f>
        <v>0.62812500000000004</v>
      </c>
      <c r="AM189" s="14">
        <v>0.85</v>
      </c>
      <c r="AN189" s="14">
        <v>0.9</v>
      </c>
      <c r="AO189" s="17">
        <f>AVERAGE('Calidad de Datos'!AA193:AD193)</f>
        <v>0.9375</v>
      </c>
      <c r="AP189" s="15">
        <f>Tabla13[[#This Row],[Uso y acceso Feb/2025]]</f>
        <v>0.9</v>
      </c>
      <c r="AQ189" s="15">
        <f>Tabla58[[#This Row],[Integración Feb/2025]]</f>
        <v>0.9</v>
      </c>
      <c r="AR189" s="16">
        <f>AVERAGE(Tabla4[[#This Row],[Creación y captura Feb/2025]:[Compartición e Interoperabilidad Feb/2025]])</f>
        <v>0.89749999999999996</v>
      </c>
      <c r="AS189" s="14">
        <v>0.9</v>
      </c>
      <c r="AT189" s="14">
        <v>1</v>
      </c>
      <c r="AU189" s="17">
        <f>AVERAGE('Calidad de Datos'!AE193:AH193)</f>
        <v>0.9375</v>
      </c>
      <c r="AV189" s="15">
        <f>Tabla13[[#This Row],[Uso y acceso Mar/2025]]</f>
        <v>0.9</v>
      </c>
      <c r="AW189" s="15">
        <f>Tabla58[[#This Row],[Integración Mar/2025]]</f>
        <v>0.9</v>
      </c>
      <c r="AX189" s="16">
        <f>AVERAGE(Tabla4[[#This Row],[Creación y captura Mar/2025]:[Compartición e Interoperabilidad Mar/2025]])</f>
        <v>0.92749999999999999</v>
      </c>
      <c r="AY189" s="14">
        <v>0.9</v>
      </c>
      <c r="AZ189" s="14">
        <v>0.9</v>
      </c>
      <c r="BA189" s="17">
        <f>AVERAGE('Calidad de Datos'!AI193:AL193)</f>
        <v>0.9375</v>
      </c>
      <c r="BB189" s="15">
        <f>Tabla13[[#This Row],[Uso y acceso Abr/2025]]</f>
        <v>0.9</v>
      </c>
      <c r="BC189" s="15">
        <f>Tabla58[[#This Row],[Integración Abr/2025]]</f>
        <v>0.9</v>
      </c>
      <c r="BD189" s="16">
        <f>AVERAGE(Tabla4[[#This Row],[Creación y captura Abr/2025]:[Compartición e Interoperabilidad Abr/2025]])</f>
        <v>0.90749999999999997</v>
      </c>
      <c r="BE189" s="14">
        <v>0.9</v>
      </c>
      <c r="BF189" s="14">
        <v>0.9</v>
      </c>
      <c r="BG189" s="17">
        <f>AVERAGE('Calidad de Datos'!AM193:AP193)</f>
        <v>1</v>
      </c>
      <c r="BH189" s="15">
        <f>Tabla13[[#This Row],[Uso y acceso May/2025]]</f>
        <v>1</v>
      </c>
      <c r="BI189" s="15">
        <f>Tabla58[[#This Row],[Integración May/2025]]</f>
        <v>0.9</v>
      </c>
      <c r="BJ189" s="16">
        <f>AVERAGE(Tabla4[[#This Row],[Creación y captura May/2025]:[Compartición e Interoperabilidad May/2025]])</f>
        <v>0.94000000000000006</v>
      </c>
      <c r="BK189" s="14">
        <v>1</v>
      </c>
      <c r="BL189" s="14">
        <v>1</v>
      </c>
      <c r="BM189" s="14">
        <f>AVERAGE('Calidad de Datos'!AQ193:AT193)</f>
        <v>1</v>
      </c>
      <c r="BN189" s="14">
        <f>Tabla13[[#This Row],[Uso y acceso Dic/2025]]</f>
        <v>1</v>
      </c>
      <c r="BO189" s="14">
        <f>Tabla58[[#This Row],[Integración Dic/2025]]</f>
        <v>1</v>
      </c>
      <c r="BP189" s="16">
        <f>AVERAGE(Tabla4[[#This Row],[Creación y captura Dic/2025]:[Compartición e Interoperabilidad Dic/2025]])</f>
        <v>1</v>
      </c>
    </row>
    <row r="190" spans="2:68" x14ac:dyDescent="0.4">
      <c r="B190" s="1" t="s">
        <v>241</v>
      </c>
      <c r="C190" s="14"/>
      <c r="D190" s="14"/>
      <c r="E190" s="14"/>
      <c r="F190" s="14">
        <f>Tabla13[[#This Row],[Uso y acceso Ago/2024]]</f>
        <v>0.8</v>
      </c>
      <c r="G190" s="15">
        <f>Tabla58[[#This Row],[Integración Ago/2024]]</f>
        <v>0</v>
      </c>
      <c r="H190" s="16">
        <f>AVERAGE(Tabla4[[#This Row],[Creación y captura Ago/2024]:[Compartición e Interoperabilidad Ago/2024]])</f>
        <v>0.4</v>
      </c>
      <c r="I190" s="14"/>
      <c r="J190" s="14"/>
      <c r="K190" s="15"/>
      <c r="L190" s="15">
        <f>Tabla13[[#This Row],[Uso y acceso Sep/2024]]</f>
        <v>0.8</v>
      </c>
      <c r="M190" s="15">
        <f>Tabla58[[#This Row],[Integración Sep/2024]]</f>
        <v>0</v>
      </c>
      <c r="N190" s="16">
        <f>AVERAGE(Tabla4[[#This Row],[Creación y captura Sep/2024]:[Compartición e Interoperabilidad Sep/2024]])</f>
        <v>0.4</v>
      </c>
      <c r="O190" s="14"/>
      <c r="P190" s="14"/>
      <c r="Q190" s="15"/>
      <c r="R190" s="15">
        <f>Tabla13[[#This Row],[Uso y acceso Oct/2024]]</f>
        <v>0.8</v>
      </c>
      <c r="S190" s="15">
        <f>Tabla58[[#This Row],[Integración Oct/2024]]</f>
        <v>0</v>
      </c>
      <c r="T190" s="16">
        <f>AVERAGE(Tabla4[[#This Row],[Creación y captura Oct/2024]:[Compartición e Interoperabilidad Oct/2024]])</f>
        <v>0.4</v>
      </c>
      <c r="U190" s="14"/>
      <c r="V190" s="14"/>
      <c r="W190" s="15"/>
      <c r="X190" s="15">
        <f>Tabla13[[#This Row],[Uso y acceso Nov/2024]]</f>
        <v>0.8</v>
      </c>
      <c r="Y190" s="15">
        <f>Tabla58[[#This Row],[Integración Nov/2024]]</f>
        <v>0</v>
      </c>
      <c r="Z190" s="16">
        <f>AVERAGE(Tabla4[[#This Row],[Creación y captura Nov/2024]:[Compartición e Interoperabilidad Nov/2024]])</f>
        <v>0.4</v>
      </c>
      <c r="AA190" s="14"/>
      <c r="AB190" s="14"/>
      <c r="AC190" s="15"/>
      <c r="AD190" s="15">
        <f>Tabla13[[#This Row],[Uso y acceso Dic/2024]]</f>
        <v>0.8</v>
      </c>
      <c r="AE190" s="15">
        <f>Tabla58[[#This Row],[Integración Dic/2024]]</f>
        <v>0</v>
      </c>
      <c r="AF190" s="16">
        <f>AVERAGE(Tabla4[[#This Row],[Creación y captura Dic/2024]:[Compartición e Interoperabilidad Dic/2024]])</f>
        <v>0.4</v>
      </c>
      <c r="AG190" s="14"/>
      <c r="AH190" s="14"/>
      <c r="AI190" s="15"/>
      <c r="AJ190" s="15">
        <f>Tabla13[[#This Row],[Uso y acceso Ene/2025]]</f>
        <v>0.8</v>
      </c>
      <c r="AK190" s="15">
        <f>Tabla58[[#This Row],[Integración Ene/2025]]</f>
        <v>0</v>
      </c>
      <c r="AL190" s="16">
        <f>AVERAGE(Tabla4[[#This Row],[Creación y captura Ene/2025]:[Compartición e Interoperabilidad Ene/2025]])</f>
        <v>0.4</v>
      </c>
      <c r="AM190" s="14"/>
      <c r="AN190" s="14"/>
      <c r="AO190" s="15"/>
      <c r="AP190" s="15">
        <f>Tabla13[[#This Row],[Uso y acceso Feb/2025]]</f>
        <v>0.8</v>
      </c>
      <c r="AQ190" s="15">
        <f>Tabla58[[#This Row],[Integración Feb/2025]]</f>
        <v>0</v>
      </c>
      <c r="AR190" s="16">
        <f>AVERAGE(Tabla4[[#This Row],[Creación y captura Feb/2025]:[Compartición e Interoperabilidad Feb/2025]])</f>
        <v>0.4</v>
      </c>
      <c r="AS190" s="14"/>
      <c r="AT190" s="14"/>
      <c r="AU190" s="15"/>
      <c r="AV190" s="15">
        <f>Tabla13[[#This Row],[Uso y acceso Mar/2025]]</f>
        <v>0.8</v>
      </c>
      <c r="AW190" s="15">
        <f>Tabla58[[#This Row],[Integración Mar/2025]]</f>
        <v>0</v>
      </c>
      <c r="AX190" s="16">
        <f>AVERAGE(Tabla4[[#This Row],[Creación y captura Mar/2025]:[Compartición e Interoperabilidad Mar/2025]])</f>
        <v>0.4</v>
      </c>
      <c r="AY190" s="14"/>
      <c r="AZ190" s="14"/>
      <c r="BA190" s="15"/>
      <c r="BB190" s="15">
        <f>Tabla13[[#This Row],[Uso y acceso Abr/2025]]</f>
        <v>0.8</v>
      </c>
      <c r="BC190" s="15">
        <f>Tabla58[[#This Row],[Integración Abr/2025]]</f>
        <v>0</v>
      </c>
      <c r="BD190" s="16">
        <f>AVERAGE(Tabla4[[#This Row],[Creación y captura Abr/2025]:[Compartición e Interoperabilidad Abr/2025]])</f>
        <v>0.4</v>
      </c>
      <c r="BE190" s="14"/>
      <c r="BF190" s="14"/>
      <c r="BG190" s="15"/>
      <c r="BH190" s="15">
        <f>Tabla13[[#This Row],[Uso y acceso May/2025]]</f>
        <v>1</v>
      </c>
      <c r="BI190" s="15">
        <f>Tabla58[[#This Row],[Integración May/2025]]</f>
        <v>0</v>
      </c>
      <c r="BJ190" s="16">
        <f>AVERAGE(Tabla4[[#This Row],[Creación y captura May/2025]:[Compartición e Interoperabilidad May/2025]])</f>
        <v>0.5</v>
      </c>
      <c r="BK190" s="14">
        <v>1</v>
      </c>
      <c r="BL190" s="14">
        <v>1</v>
      </c>
      <c r="BM190" s="14">
        <f>AVERAGE('Calidad de Datos'!AQ194:AT194)</f>
        <v>1</v>
      </c>
      <c r="BN190" s="14">
        <f>Tabla13[[#This Row],[Uso y acceso Dic/2025]]</f>
        <v>1</v>
      </c>
      <c r="BO190" s="14">
        <f>Tabla58[[#This Row],[Integración Dic/2025]]</f>
        <v>1</v>
      </c>
      <c r="BP190" s="16">
        <f>AVERAGE(Tabla4[[#This Row],[Creación y captura Dic/2025]:[Compartición e Interoperabilidad Dic/2025]])</f>
        <v>1</v>
      </c>
    </row>
    <row r="191" spans="2:68" x14ac:dyDescent="0.4">
      <c r="B191" s="1" t="s">
        <v>242</v>
      </c>
      <c r="C191" s="14"/>
      <c r="D191" s="14"/>
      <c r="E191" s="14"/>
      <c r="F191" s="14">
        <f>Tabla13[[#This Row],[Uso y acceso Ago/2024]]</f>
        <v>0.8</v>
      </c>
      <c r="G191" s="15">
        <f>Tabla58[[#This Row],[Integración Ago/2024]]</f>
        <v>0</v>
      </c>
      <c r="H191" s="16">
        <f>AVERAGE(Tabla4[[#This Row],[Creación y captura Ago/2024]:[Compartición e Interoperabilidad Ago/2024]])</f>
        <v>0.4</v>
      </c>
      <c r="I191" s="14"/>
      <c r="J191" s="14"/>
      <c r="K191" s="15"/>
      <c r="L191" s="15">
        <f>Tabla13[[#This Row],[Uso y acceso Sep/2024]]</f>
        <v>0.8</v>
      </c>
      <c r="M191" s="15">
        <f>Tabla58[[#This Row],[Integración Sep/2024]]</f>
        <v>0</v>
      </c>
      <c r="N191" s="16">
        <f>AVERAGE(Tabla4[[#This Row],[Creación y captura Sep/2024]:[Compartición e Interoperabilidad Sep/2024]])</f>
        <v>0.4</v>
      </c>
      <c r="O191" s="14"/>
      <c r="P191" s="14"/>
      <c r="Q191" s="15"/>
      <c r="R191" s="15">
        <f>Tabla13[[#This Row],[Uso y acceso Oct/2024]]</f>
        <v>0.8</v>
      </c>
      <c r="S191" s="15">
        <f>Tabla58[[#This Row],[Integración Oct/2024]]</f>
        <v>0</v>
      </c>
      <c r="T191" s="16">
        <f>AVERAGE(Tabla4[[#This Row],[Creación y captura Oct/2024]:[Compartición e Interoperabilidad Oct/2024]])</f>
        <v>0.4</v>
      </c>
      <c r="U191" s="14"/>
      <c r="V191" s="14"/>
      <c r="W191" s="15"/>
      <c r="X191" s="15">
        <f>Tabla13[[#This Row],[Uso y acceso Nov/2024]]</f>
        <v>0.8</v>
      </c>
      <c r="Y191" s="15">
        <f>Tabla58[[#This Row],[Integración Nov/2024]]</f>
        <v>0</v>
      </c>
      <c r="Z191" s="16">
        <f>AVERAGE(Tabla4[[#This Row],[Creación y captura Nov/2024]:[Compartición e Interoperabilidad Nov/2024]])</f>
        <v>0.4</v>
      </c>
      <c r="AA191" s="14"/>
      <c r="AB191" s="14"/>
      <c r="AC191" s="15"/>
      <c r="AD191" s="15">
        <f>Tabla13[[#This Row],[Uso y acceso Dic/2024]]</f>
        <v>0.8</v>
      </c>
      <c r="AE191" s="15">
        <f>Tabla58[[#This Row],[Integración Dic/2024]]</f>
        <v>0</v>
      </c>
      <c r="AF191" s="16">
        <f>AVERAGE(Tabla4[[#This Row],[Creación y captura Dic/2024]:[Compartición e Interoperabilidad Dic/2024]])</f>
        <v>0.4</v>
      </c>
      <c r="AG191" s="14"/>
      <c r="AH191" s="14"/>
      <c r="AI191" s="15"/>
      <c r="AJ191" s="15">
        <f>Tabla13[[#This Row],[Uso y acceso Ene/2025]]</f>
        <v>0.8</v>
      </c>
      <c r="AK191" s="15">
        <f>Tabla58[[#This Row],[Integración Ene/2025]]</f>
        <v>0</v>
      </c>
      <c r="AL191" s="16">
        <f>AVERAGE(Tabla4[[#This Row],[Creación y captura Ene/2025]:[Compartición e Interoperabilidad Ene/2025]])</f>
        <v>0.4</v>
      </c>
      <c r="AM191" s="14"/>
      <c r="AN191" s="14"/>
      <c r="AO191" s="15"/>
      <c r="AP191" s="15">
        <f>Tabla13[[#This Row],[Uso y acceso Feb/2025]]</f>
        <v>0.8</v>
      </c>
      <c r="AQ191" s="15">
        <f>Tabla58[[#This Row],[Integración Feb/2025]]</f>
        <v>0</v>
      </c>
      <c r="AR191" s="16">
        <f>AVERAGE(Tabla4[[#This Row],[Creación y captura Feb/2025]:[Compartición e Interoperabilidad Feb/2025]])</f>
        <v>0.4</v>
      </c>
      <c r="AS191" s="14"/>
      <c r="AT191" s="14"/>
      <c r="AU191" s="15"/>
      <c r="AV191" s="15">
        <f>Tabla13[[#This Row],[Uso y acceso Mar/2025]]</f>
        <v>0.8</v>
      </c>
      <c r="AW191" s="15">
        <f>Tabla58[[#This Row],[Integración Mar/2025]]</f>
        <v>0</v>
      </c>
      <c r="AX191" s="16">
        <f>AVERAGE(Tabla4[[#This Row],[Creación y captura Mar/2025]:[Compartición e Interoperabilidad Mar/2025]])</f>
        <v>0.4</v>
      </c>
      <c r="AY191" s="14"/>
      <c r="AZ191" s="14"/>
      <c r="BA191" s="15"/>
      <c r="BB191" s="15">
        <f>Tabla13[[#This Row],[Uso y acceso Abr/2025]]</f>
        <v>0.8</v>
      </c>
      <c r="BC191" s="15">
        <f>Tabla58[[#This Row],[Integración Abr/2025]]</f>
        <v>0</v>
      </c>
      <c r="BD191" s="16">
        <f>AVERAGE(Tabla4[[#This Row],[Creación y captura Abr/2025]:[Compartición e Interoperabilidad Abr/2025]])</f>
        <v>0.4</v>
      </c>
      <c r="BE191" s="14"/>
      <c r="BF191" s="14"/>
      <c r="BG191" s="15"/>
      <c r="BH191" s="15">
        <f>Tabla13[[#This Row],[Uso y acceso May/2025]]</f>
        <v>1</v>
      </c>
      <c r="BI191" s="15">
        <f>Tabla58[[#This Row],[Integración May/2025]]</f>
        <v>0</v>
      </c>
      <c r="BJ191" s="16">
        <f>AVERAGE(Tabla4[[#This Row],[Creación y captura May/2025]:[Compartición e Interoperabilidad May/2025]])</f>
        <v>0.5</v>
      </c>
      <c r="BK191" s="14"/>
      <c r="BL191" s="14"/>
      <c r="BM191" s="14">
        <f>AVERAGE('Calidad de Datos'!AQ195:AT195)</f>
        <v>0.6</v>
      </c>
      <c r="BN191" s="14">
        <f>Tabla13[[#This Row],[Uso y acceso Dic/2025]]</f>
        <v>1</v>
      </c>
      <c r="BO191" s="14">
        <f>Tabla58[[#This Row],[Integración Dic/2025]]</f>
        <v>0.4</v>
      </c>
      <c r="BP191" s="16">
        <f>AVERAGE(Tabla4[[#This Row],[Creación y captura Dic/2025]:[Compartición e Interoperabilidad Dic/2025]])</f>
        <v>0.66666666666666663</v>
      </c>
    </row>
    <row r="192" spans="2:68" x14ac:dyDescent="0.4">
      <c r="B192" s="1" t="s">
        <v>243</v>
      </c>
      <c r="C192" s="14"/>
      <c r="D192" s="14"/>
      <c r="E192" s="14"/>
      <c r="F192" s="14">
        <f>Tabla13[[#This Row],[Uso y acceso Ago/2024]]</f>
        <v>0.8</v>
      </c>
      <c r="G192" s="15">
        <f>Tabla58[[#This Row],[Integración Ago/2024]]</f>
        <v>0</v>
      </c>
      <c r="H192" s="16">
        <f>AVERAGE(Tabla4[[#This Row],[Creación y captura Ago/2024]:[Compartición e Interoperabilidad Ago/2024]])</f>
        <v>0.4</v>
      </c>
      <c r="I192" s="14"/>
      <c r="J192" s="14"/>
      <c r="K192" s="15"/>
      <c r="L192" s="15">
        <f>Tabla13[[#This Row],[Uso y acceso Sep/2024]]</f>
        <v>0.8</v>
      </c>
      <c r="M192" s="15">
        <f>Tabla58[[#This Row],[Integración Sep/2024]]</f>
        <v>0</v>
      </c>
      <c r="N192" s="16">
        <f>AVERAGE(Tabla4[[#This Row],[Creación y captura Sep/2024]:[Compartición e Interoperabilidad Sep/2024]])</f>
        <v>0.4</v>
      </c>
      <c r="O192" s="14"/>
      <c r="P192" s="14"/>
      <c r="Q192" s="15"/>
      <c r="R192" s="15">
        <f>Tabla13[[#This Row],[Uso y acceso Oct/2024]]</f>
        <v>0.8</v>
      </c>
      <c r="S192" s="15">
        <f>Tabla58[[#This Row],[Integración Oct/2024]]</f>
        <v>0</v>
      </c>
      <c r="T192" s="16">
        <f>AVERAGE(Tabla4[[#This Row],[Creación y captura Oct/2024]:[Compartición e Interoperabilidad Oct/2024]])</f>
        <v>0.4</v>
      </c>
      <c r="U192" s="14"/>
      <c r="V192" s="14"/>
      <c r="W192" s="15"/>
      <c r="X192" s="15">
        <f>Tabla13[[#This Row],[Uso y acceso Nov/2024]]</f>
        <v>0.8</v>
      </c>
      <c r="Y192" s="15">
        <f>Tabla58[[#This Row],[Integración Nov/2024]]</f>
        <v>0</v>
      </c>
      <c r="Z192" s="16">
        <f>AVERAGE(Tabla4[[#This Row],[Creación y captura Nov/2024]:[Compartición e Interoperabilidad Nov/2024]])</f>
        <v>0.4</v>
      </c>
      <c r="AA192" s="14"/>
      <c r="AB192" s="14"/>
      <c r="AC192" s="15"/>
      <c r="AD192" s="15">
        <f>Tabla13[[#This Row],[Uso y acceso Dic/2024]]</f>
        <v>0.8</v>
      </c>
      <c r="AE192" s="15">
        <f>Tabla58[[#This Row],[Integración Dic/2024]]</f>
        <v>0</v>
      </c>
      <c r="AF192" s="16">
        <f>AVERAGE(Tabla4[[#This Row],[Creación y captura Dic/2024]:[Compartición e Interoperabilidad Dic/2024]])</f>
        <v>0.4</v>
      </c>
      <c r="AG192" s="14"/>
      <c r="AH192" s="14"/>
      <c r="AI192" s="15"/>
      <c r="AJ192" s="15">
        <f>Tabla13[[#This Row],[Uso y acceso Ene/2025]]</f>
        <v>0.8</v>
      </c>
      <c r="AK192" s="15">
        <f>Tabla58[[#This Row],[Integración Ene/2025]]</f>
        <v>0</v>
      </c>
      <c r="AL192" s="16">
        <f>AVERAGE(Tabla4[[#This Row],[Creación y captura Ene/2025]:[Compartición e Interoperabilidad Ene/2025]])</f>
        <v>0.4</v>
      </c>
      <c r="AM192" s="14"/>
      <c r="AN192" s="14"/>
      <c r="AO192" s="15"/>
      <c r="AP192" s="15">
        <f>Tabla13[[#This Row],[Uso y acceso Feb/2025]]</f>
        <v>0.8</v>
      </c>
      <c r="AQ192" s="15">
        <f>Tabla58[[#This Row],[Integración Feb/2025]]</f>
        <v>0</v>
      </c>
      <c r="AR192" s="16">
        <f>AVERAGE(Tabla4[[#This Row],[Creación y captura Feb/2025]:[Compartición e Interoperabilidad Feb/2025]])</f>
        <v>0.4</v>
      </c>
      <c r="AS192" s="14"/>
      <c r="AT192" s="14"/>
      <c r="AU192" s="15"/>
      <c r="AV192" s="15">
        <f>Tabla13[[#This Row],[Uso y acceso Mar/2025]]</f>
        <v>0.8</v>
      </c>
      <c r="AW192" s="15">
        <f>Tabla58[[#This Row],[Integración Mar/2025]]</f>
        <v>0</v>
      </c>
      <c r="AX192" s="16">
        <f>AVERAGE(Tabla4[[#This Row],[Creación y captura Mar/2025]:[Compartición e Interoperabilidad Mar/2025]])</f>
        <v>0.4</v>
      </c>
      <c r="AY192" s="14"/>
      <c r="AZ192" s="14"/>
      <c r="BA192" s="15"/>
      <c r="BB192" s="15">
        <f>Tabla13[[#This Row],[Uso y acceso Abr/2025]]</f>
        <v>0.8</v>
      </c>
      <c r="BC192" s="15">
        <f>Tabla58[[#This Row],[Integración Abr/2025]]</f>
        <v>0</v>
      </c>
      <c r="BD192" s="16">
        <f>AVERAGE(Tabla4[[#This Row],[Creación y captura Abr/2025]:[Compartición e Interoperabilidad Abr/2025]])</f>
        <v>0.4</v>
      </c>
      <c r="BE192" s="14"/>
      <c r="BF192" s="14"/>
      <c r="BG192" s="15"/>
      <c r="BH192" s="15">
        <f>Tabla13[[#This Row],[Uso y acceso May/2025]]</f>
        <v>0.8</v>
      </c>
      <c r="BI192" s="15">
        <f>Tabla58[[#This Row],[Integración May/2025]]</f>
        <v>0</v>
      </c>
      <c r="BJ192" s="16">
        <f>AVERAGE(Tabla4[[#This Row],[Creación y captura May/2025]:[Compartición e Interoperabilidad May/2025]])</f>
        <v>0.4</v>
      </c>
      <c r="BK192" s="14"/>
      <c r="BL192" s="14"/>
      <c r="BM192" s="14">
        <f>AVERAGE('Calidad de Datos'!AQ196:AT196)</f>
        <v>0.6</v>
      </c>
      <c r="BN192" s="14">
        <f>Tabla13[[#This Row],[Uso y acceso Dic/2025]]</f>
        <v>1</v>
      </c>
      <c r="BO192" s="14">
        <f>Tabla58[[#This Row],[Integración Dic/2025]]</f>
        <v>0.4</v>
      </c>
      <c r="BP192" s="16">
        <f>AVERAGE(Tabla4[[#This Row],[Creación y captura Dic/2025]:[Compartición e Interoperabilidad Dic/2025]])</f>
        <v>0.66666666666666663</v>
      </c>
    </row>
    <row r="193" spans="2:68" x14ac:dyDescent="0.4">
      <c r="B193" s="1" t="s">
        <v>244</v>
      </c>
      <c r="C193" s="14"/>
      <c r="D193" s="14"/>
      <c r="E193" s="14"/>
      <c r="F193" s="14">
        <f>Tabla13[[#This Row],[Uso y acceso Ago/2024]]</f>
        <v>0.8</v>
      </c>
      <c r="G193" s="15">
        <f>Tabla58[[#This Row],[Integración Ago/2024]]</f>
        <v>0</v>
      </c>
      <c r="H193" s="16">
        <f>AVERAGE(Tabla4[[#This Row],[Creación y captura Ago/2024]:[Compartición e Interoperabilidad Ago/2024]])</f>
        <v>0.4</v>
      </c>
      <c r="I193" s="14"/>
      <c r="J193" s="14"/>
      <c r="K193" s="15"/>
      <c r="L193" s="15">
        <f>Tabla13[[#This Row],[Uso y acceso Sep/2024]]</f>
        <v>0.8</v>
      </c>
      <c r="M193" s="15">
        <f>Tabla58[[#This Row],[Integración Sep/2024]]</f>
        <v>0</v>
      </c>
      <c r="N193" s="16">
        <f>AVERAGE(Tabla4[[#This Row],[Creación y captura Sep/2024]:[Compartición e Interoperabilidad Sep/2024]])</f>
        <v>0.4</v>
      </c>
      <c r="O193" s="14"/>
      <c r="P193" s="14"/>
      <c r="Q193" s="15"/>
      <c r="R193" s="15">
        <f>Tabla13[[#This Row],[Uso y acceso Oct/2024]]</f>
        <v>0.8</v>
      </c>
      <c r="S193" s="15">
        <f>Tabla58[[#This Row],[Integración Oct/2024]]</f>
        <v>0</v>
      </c>
      <c r="T193" s="16">
        <f>AVERAGE(Tabla4[[#This Row],[Creación y captura Oct/2024]:[Compartición e Interoperabilidad Oct/2024]])</f>
        <v>0.4</v>
      </c>
      <c r="U193" s="14"/>
      <c r="V193" s="14"/>
      <c r="W193" s="15"/>
      <c r="X193" s="15">
        <f>Tabla13[[#This Row],[Uso y acceso Nov/2024]]</f>
        <v>0.8</v>
      </c>
      <c r="Y193" s="15">
        <f>Tabla58[[#This Row],[Integración Nov/2024]]</f>
        <v>0</v>
      </c>
      <c r="Z193" s="16">
        <f>AVERAGE(Tabla4[[#This Row],[Creación y captura Nov/2024]:[Compartición e Interoperabilidad Nov/2024]])</f>
        <v>0.4</v>
      </c>
      <c r="AA193" s="14"/>
      <c r="AB193" s="14"/>
      <c r="AC193" s="15"/>
      <c r="AD193" s="15">
        <f>Tabla13[[#This Row],[Uso y acceso Dic/2024]]</f>
        <v>0.8</v>
      </c>
      <c r="AE193" s="15">
        <f>Tabla58[[#This Row],[Integración Dic/2024]]</f>
        <v>0</v>
      </c>
      <c r="AF193" s="16">
        <f>AVERAGE(Tabla4[[#This Row],[Creación y captura Dic/2024]:[Compartición e Interoperabilidad Dic/2024]])</f>
        <v>0.4</v>
      </c>
      <c r="AG193" s="14"/>
      <c r="AH193" s="14"/>
      <c r="AI193" s="15"/>
      <c r="AJ193" s="15">
        <f>Tabla13[[#This Row],[Uso y acceso Ene/2025]]</f>
        <v>0.8</v>
      </c>
      <c r="AK193" s="15">
        <f>Tabla58[[#This Row],[Integración Ene/2025]]</f>
        <v>0</v>
      </c>
      <c r="AL193" s="16">
        <f>AVERAGE(Tabla4[[#This Row],[Creación y captura Ene/2025]:[Compartición e Interoperabilidad Ene/2025]])</f>
        <v>0.4</v>
      </c>
      <c r="AM193" s="14"/>
      <c r="AN193" s="14"/>
      <c r="AO193" s="15"/>
      <c r="AP193" s="15">
        <f>Tabla13[[#This Row],[Uso y acceso Feb/2025]]</f>
        <v>0.8</v>
      </c>
      <c r="AQ193" s="15">
        <f>Tabla58[[#This Row],[Integración Feb/2025]]</f>
        <v>0</v>
      </c>
      <c r="AR193" s="16">
        <f>AVERAGE(Tabla4[[#This Row],[Creación y captura Feb/2025]:[Compartición e Interoperabilidad Feb/2025]])</f>
        <v>0.4</v>
      </c>
      <c r="AS193" s="14"/>
      <c r="AT193" s="14"/>
      <c r="AU193" s="15"/>
      <c r="AV193" s="15">
        <f>Tabla13[[#This Row],[Uso y acceso Mar/2025]]</f>
        <v>0.8</v>
      </c>
      <c r="AW193" s="15">
        <f>Tabla58[[#This Row],[Integración Mar/2025]]</f>
        <v>0</v>
      </c>
      <c r="AX193" s="16">
        <f>AVERAGE(Tabla4[[#This Row],[Creación y captura Mar/2025]:[Compartición e Interoperabilidad Mar/2025]])</f>
        <v>0.4</v>
      </c>
      <c r="AY193" s="14"/>
      <c r="AZ193" s="14"/>
      <c r="BA193" s="15"/>
      <c r="BB193" s="15">
        <f>Tabla13[[#This Row],[Uso y acceso Abr/2025]]</f>
        <v>0.8</v>
      </c>
      <c r="BC193" s="15">
        <f>Tabla58[[#This Row],[Integración Abr/2025]]</f>
        <v>0</v>
      </c>
      <c r="BD193" s="16">
        <f>AVERAGE(Tabla4[[#This Row],[Creación y captura Abr/2025]:[Compartición e Interoperabilidad Abr/2025]])</f>
        <v>0.4</v>
      </c>
      <c r="BE193" s="14"/>
      <c r="BF193" s="14"/>
      <c r="BG193" s="15"/>
      <c r="BH193" s="15">
        <f>Tabla13[[#This Row],[Uso y acceso May/2025]]</f>
        <v>1</v>
      </c>
      <c r="BI193" s="15">
        <f>Tabla58[[#This Row],[Integración May/2025]]</f>
        <v>0</v>
      </c>
      <c r="BJ193" s="16">
        <f>AVERAGE(Tabla4[[#This Row],[Creación y captura May/2025]:[Compartición e Interoperabilidad May/2025]])</f>
        <v>0.5</v>
      </c>
      <c r="BK193" s="14"/>
      <c r="BL193" s="14"/>
      <c r="BM193" s="14">
        <f>AVERAGE('Calidad de Datos'!AQ197:AT197)</f>
        <v>0.6</v>
      </c>
      <c r="BN193" s="14">
        <f>Tabla13[[#This Row],[Uso y acceso Dic/2025]]</f>
        <v>1</v>
      </c>
      <c r="BO193" s="14">
        <f>Tabla58[[#This Row],[Integración Dic/2025]]</f>
        <v>0.4</v>
      </c>
      <c r="BP193" s="16">
        <f>AVERAGE(Tabla4[[#This Row],[Creación y captura Dic/2025]:[Compartición e Interoperabilidad Dic/2025]])</f>
        <v>0.66666666666666663</v>
      </c>
    </row>
    <row r="194" spans="2:68" x14ac:dyDescent="0.4">
      <c r="B194" s="1" t="s">
        <v>245</v>
      </c>
      <c r="C194" s="14"/>
      <c r="D194" s="14"/>
      <c r="E194" s="14"/>
      <c r="F194" s="14">
        <f>Tabla13[[#This Row],[Uso y acceso Ago/2024]]</f>
        <v>1</v>
      </c>
      <c r="G194" s="15">
        <f>Tabla58[[#This Row],[Integración Ago/2024]]</f>
        <v>0</v>
      </c>
      <c r="H194" s="16">
        <f>AVERAGE(Tabla4[[#This Row],[Creación y captura Ago/2024]:[Compartición e Interoperabilidad Ago/2024]])</f>
        <v>0.5</v>
      </c>
      <c r="I194" s="14"/>
      <c r="J194" s="14"/>
      <c r="K194" s="15"/>
      <c r="L194" s="15">
        <f>Tabla13[[#This Row],[Uso y acceso Sep/2024]]</f>
        <v>1</v>
      </c>
      <c r="M194" s="15">
        <f>Tabla58[[#This Row],[Integración Sep/2024]]</f>
        <v>0</v>
      </c>
      <c r="N194" s="16">
        <f>AVERAGE(Tabla4[[#This Row],[Creación y captura Sep/2024]:[Compartición e Interoperabilidad Sep/2024]])</f>
        <v>0.5</v>
      </c>
      <c r="O194" s="14"/>
      <c r="P194" s="14"/>
      <c r="Q194" s="15"/>
      <c r="R194" s="15">
        <f>Tabla13[[#This Row],[Uso y acceso Oct/2024]]</f>
        <v>1</v>
      </c>
      <c r="S194" s="15">
        <f>Tabla58[[#This Row],[Integración Oct/2024]]</f>
        <v>0</v>
      </c>
      <c r="T194" s="16">
        <f>AVERAGE(Tabla4[[#This Row],[Creación y captura Oct/2024]:[Compartición e Interoperabilidad Oct/2024]])</f>
        <v>0.5</v>
      </c>
      <c r="U194" s="14"/>
      <c r="V194" s="14"/>
      <c r="W194" s="15"/>
      <c r="X194" s="15">
        <f>Tabla13[[#This Row],[Uso y acceso Nov/2024]]</f>
        <v>1</v>
      </c>
      <c r="Y194" s="15">
        <f>Tabla58[[#This Row],[Integración Nov/2024]]</f>
        <v>0</v>
      </c>
      <c r="Z194" s="16">
        <f>AVERAGE(Tabla4[[#This Row],[Creación y captura Nov/2024]:[Compartición e Interoperabilidad Nov/2024]])</f>
        <v>0.5</v>
      </c>
      <c r="AA194" s="14"/>
      <c r="AB194" s="14"/>
      <c r="AC194" s="15"/>
      <c r="AD194" s="15">
        <f>Tabla13[[#This Row],[Uso y acceso Dic/2024]]</f>
        <v>1</v>
      </c>
      <c r="AE194" s="15">
        <f>Tabla58[[#This Row],[Integración Dic/2024]]</f>
        <v>0</v>
      </c>
      <c r="AF194" s="16">
        <f>AVERAGE(Tabla4[[#This Row],[Creación y captura Dic/2024]:[Compartición e Interoperabilidad Dic/2024]])</f>
        <v>0.5</v>
      </c>
      <c r="AG194" s="14"/>
      <c r="AH194" s="14"/>
      <c r="AI194" s="15"/>
      <c r="AJ194" s="15">
        <f>Tabla13[[#This Row],[Uso y acceso Ene/2025]]</f>
        <v>1</v>
      </c>
      <c r="AK194" s="15">
        <f>Tabla58[[#This Row],[Integración Ene/2025]]</f>
        <v>0</v>
      </c>
      <c r="AL194" s="16">
        <f>AVERAGE(Tabla4[[#This Row],[Creación y captura Ene/2025]:[Compartición e Interoperabilidad Ene/2025]])</f>
        <v>0.5</v>
      </c>
      <c r="AM194" s="14"/>
      <c r="AN194" s="14"/>
      <c r="AO194" s="15"/>
      <c r="AP194" s="15">
        <f>Tabla13[[#This Row],[Uso y acceso Feb/2025]]</f>
        <v>1</v>
      </c>
      <c r="AQ194" s="15">
        <f>Tabla58[[#This Row],[Integración Feb/2025]]</f>
        <v>0</v>
      </c>
      <c r="AR194" s="16">
        <f>AVERAGE(Tabla4[[#This Row],[Creación y captura Feb/2025]:[Compartición e Interoperabilidad Feb/2025]])</f>
        <v>0.5</v>
      </c>
      <c r="AS194" s="14"/>
      <c r="AT194" s="14"/>
      <c r="AU194" s="15"/>
      <c r="AV194" s="15">
        <f>Tabla13[[#This Row],[Uso y acceso Mar/2025]]</f>
        <v>1</v>
      </c>
      <c r="AW194" s="15">
        <f>Tabla58[[#This Row],[Integración Mar/2025]]</f>
        <v>0</v>
      </c>
      <c r="AX194" s="16">
        <f>AVERAGE(Tabla4[[#This Row],[Creación y captura Mar/2025]:[Compartición e Interoperabilidad Mar/2025]])</f>
        <v>0.5</v>
      </c>
      <c r="AY194" s="14"/>
      <c r="AZ194" s="14"/>
      <c r="BA194" s="15"/>
      <c r="BB194" s="15">
        <f>Tabla13[[#This Row],[Uso y acceso Abr/2025]]</f>
        <v>1</v>
      </c>
      <c r="BC194" s="15">
        <f>Tabla58[[#This Row],[Integración Abr/2025]]</f>
        <v>0</v>
      </c>
      <c r="BD194" s="16">
        <f>AVERAGE(Tabla4[[#This Row],[Creación y captura Abr/2025]:[Compartición e Interoperabilidad Abr/2025]])</f>
        <v>0.5</v>
      </c>
      <c r="BE194" s="14"/>
      <c r="BF194" s="14"/>
      <c r="BG194" s="15"/>
      <c r="BH194" s="15">
        <f>Tabla13[[#This Row],[Uso y acceso May/2025]]</f>
        <v>1</v>
      </c>
      <c r="BI194" s="15">
        <f>Tabla58[[#This Row],[Integración May/2025]]</f>
        <v>0</v>
      </c>
      <c r="BJ194" s="16">
        <f>AVERAGE(Tabla4[[#This Row],[Creación y captura May/2025]:[Compartición e Interoperabilidad May/2025]])</f>
        <v>0.5</v>
      </c>
      <c r="BK194" s="14"/>
      <c r="BL194" s="14"/>
      <c r="BM194" s="14">
        <f>AVERAGE('Calidad de Datos'!AQ198:AT198)</f>
        <v>0.6</v>
      </c>
      <c r="BN194" s="14">
        <f>Tabla13[[#This Row],[Uso y acceso Dic/2025]]</f>
        <v>1</v>
      </c>
      <c r="BO194" s="14">
        <f>Tabla58[[#This Row],[Integración Dic/2025]]</f>
        <v>0.4</v>
      </c>
      <c r="BP194" s="16">
        <f>AVERAGE(Tabla4[[#This Row],[Creación y captura Dic/2025]:[Compartición e Interoperabilidad Dic/2025]])</f>
        <v>0.66666666666666663</v>
      </c>
    </row>
    <row r="195" spans="2:68" x14ac:dyDescent="0.4">
      <c r="B195" s="1" t="s">
        <v>246</v>
      </c>
      <c r="C195" s="14"/>
      <c r="D195" s="14"/>
      <c r="E195" s="14"/>
      <c r="F195" s="14">
        <f>Tabla13[[#This Row],[Uso y acceso Ago/2024]]</f>
        <v>0.8</v>
      </c>
      <c r="G195" s="15">
        <f>Tabla58[[#This Row],[Integración Ago/2024]]</f>
        <v>0</v>
      </c>
      <c r="H195" s="16">
        <f>AVERAGE(Tabla4[[#This Row],[Creación y captura Ago/2024]:[Compartición e Interoperabilidad Ago/2024]])</f>
        <v>0.4</v>
      </c>
      <c r="I195" s="14"/>
      <c r="J195" s="14"/>
      <c r="K195" s="15"/>
      <c r="L195" s="15">
        <f>Tabla13[[#This Row],[Uso y acceso Sep/2024]]</f>
        <v>0.8</v>
      </c>
      <c r="M195" s="15">
        <f>Tabla58[[#This Row],[Integración Sep/2024]]</f>
        <v>0</v>
      </c>
      <c r="N195" s="16">
        <f>AVERAGE(Tabla4[[#This Row],[Creación y captura Sep/2024]:[Compartición e Interoperabilidad Sep/2024]])</f>
        <v>0.4</v>
      </c>
      <c r="O195" s="14"/>
      <c r="P195" s="14"/>
      <c r="Q195" s="15"/>
      <c r="R195" s="15">
        <f>Tabla13[[#This Row],[Uso y acceso Oct/2024]]</f>
        <v>0.8</v>
      </c>
      <c r="S195" s="15">
        <f>Tabla58[[#This Row],[Integración Oct/2024]]</f>
        <v>0</v>
      </c>
      <c r="T195" s="16">
        <f>AVERAGE(Tabla4[[#This Row],[Creación y captura Oct/2024]:[Compartición e Interoperabilidad Oct/2024]])</f>
        <v>0.4</v>
      </c>
      <c r="U195" s="14"/>
      <c r="V195" s="14"/>
      <c r="W195" s="15"/>
      <c r="X195" s="15">
        <f>Tabla13[[#This Row],[Uso y acceso Nov/2024]]</f>
        <v>0.8</v>
      </c>
      <c r="Y195" s="15">
        <f>Tabla58[[#This Row],[Integración Nov/2024]]</f>
        <v>0</v>
      </c>
      <c r="Z195" s="16">
        <f>AVERAGE(Tabla4[[#This Row],[Creación y captura Nov/2024]:[Compartición e Interoperabilidad Nov/2024]])</f>
        <v>0.4</v>
      </c>
      <c r="AA195" s="14"/>
      <c r="AB195" s="14"/>
      <c r="AC195" s="15"/>
      <c r="AD195" s="15">
        <f>Tabla13[[#This Row],[Uso y acceso Dic/2024]]</f>
        <v>0.8</v>
      </c>
      <c r="AE195" s="15">
        <f>Tabla58[[#This Row],[Integración Dic/2024]]</f>
        <v>0</v>
      </c>
      <c r="AF195" s="16">
        <f>AVERAGE(Tabla4[[#This Row],[Creación y captura Dic/2024]:[Compartición e Interoperabilidad Dic/2024]])</f>
        <v>0.4</v>
      </c>
      <c r="AG195" s="14"/>
      <c r="AH195" s="14"/>
      <c r="AI195" s="15"/>
      <c r="AJ195" s="15">
        <f>Tabla13[[#This Row],[Uso y acceso Ene/2025]]</f>
        <v>0.8</v>
      </c>
      <c r="AK195" s="15">
        <f>Tabla58[[#This Row],[Integración Ene/2025]]</f>
        <v>0</v>
      </c>
      <c r="AL195" s="16">
        <f>AVERAGE(Tabla4[[#This Row],[Creación y captura Ene/2025]:[Compartición e Interoperabilidad Ene/2025]])</f>
        <v>0.4</v>
      </c>
      <c r="AM195" s="14"/>
      <c r="AN195" s="14"/>
      <c r="AO195" s="15"/>
      <c r="AP195" s="15">
        <f>Tabla13[[#This Row],[Uso y acceso Feb/2025]]</f>
        <v>0.8</v>
      </c>
      <c r="AQ195" s="15">
        <f>Tabla58[[#This Row],[Integración Feb/2025]]</f>
        <v>0</v>
      </c>
      <c r="AR195" s="16">
        <f>AVERAGE(Tabla4[[#This Row],[Creación y captura Feb/2025]:[Compartición e Interoperabilidad Feb/2025]])</f>
        <v>0.4</v>
      </c>
      <c r="AS195" s="14"/>
      <c r="AT195" s="14"/>
      <c r="AU195" s="15"/>
      <c r="AV195" s="15">
        <f>Tabla13[[#This Row],[Uso y acceso Mar/2025]]</f>
        <v>0.8</v>
      </c>
      <c r="AW195" s="15">
        <f>Tabla58[[#This Row],[Integración Mar/2025]]</f>
        <v>0</v>
      </c>
      <c r="AX195" s="16">
        <f>AVERAGE(Tabla4[[#This Row],[Creación y captura Mar/2025]:[Compartición e Interoperabilidad Mar/2025]])</f>
        <v>0.4</v>
      </c>
      <c r="AY195" s="14"/>
      <c r="AZ195" s="14"/>
      <c r="BA195" s="15"/>
      <c r="BB195" s="15">
        <f>Tabla13[[#This Row],[Uso y acceso Abr/2025]]</f>
        <v>0.8</v>
      </c>
      <c r="BC195" s="15">
        <f>Tabla58[[#This Row],[Integración Abr/2025]]</f>
        <v>0</v>
      </c>
      <c r="BD195" s="16">
        <f>AVERAGE(Tabla4[[#This Row],[Creación y captura Abr/2025]:[Compartición e Interoperabilidad Abr/2025]])</f>
        <v>0.4</v>
      </c>
      <c r="BE195" s="14"/>
      <c r="BF195" s="14"/>
      <c r="BG195" s="15"/>
      <c r="BH195" s="15">
        <f>Tabla13[[#This Row],[Uso y acceso May/2025]]</f>
        <v>0.8</v>
      </c>
      <c r="BI195" s="15">
        <f>Tabla58[[#This Row],[Integración May/2025]]</f>
        <v>0</v>
      </c>
      <c r="BJ195" s="16">
        <f>AVERAGE(Tabla4[[#This Row],[Creación y captura May/2025]:[Compartición e Interoperabilidad May/2025]])</f>
        <v>0.4</v>
      </c>
      <c r="BK195" s="14"/>
      <c r="BL195" s="14"/>
      <c r="BM195" s="14">
        <f>AVERAGE('Calidad de Datos'!AQ199:AT199)</f>
        <v>0.6</v>
      </c>
      <c r="BN195" s="14">
        <f>Tabla13[[#This Row],[Uso y acceso Dic/2025]]</f>
        <v>0.8</v>
      </c>
      <c r="BO195" s="14">
        <f>Tabla58[[#This Row],[Integración Dic/2025]]</f>
        <v>0.4</v>
      </c>
      <c r="BP195" s="16">
        <f>AVERAGE(Tabla4[[#This Row],[Creación y captura Dic/2025]:[Compartición e Interoperabilidad Dic/2025]])</f>
        <v>0.6</v>
      </c>
    </row>
    <row r="196" spans="2:68" x14ac:dyDescent="0.4">
      <c r="B196" s="1" t="s">
        <v>247</v>
      </c>
      <c r="C196" s="14"/>
      <c r="D196" s="14"/>
      <c r="E196" s="14"/>
      <c r="F196" s="14">
        <f>Tabla13[[#This Row],[Uso y acceso Ago/2024]]</f>
        <v>0.8</v>
      </c>
      <c r="G196" s="15">
        <f>Tabla58[[#This Row],[Integración Ago/2024]]</f>
        <v>0</v>
      </c>
      <c r="H196" s="16">
        <f>AVERAGE(Tabla4[[#This Row],[Creación y captura Ago/2024]:[Compartición e Interoperabilidad Ago/2024]])</f>
        <v>0.4</v>
      </c>
      <c r="I196" s="14"/>
      <c r="J196" s="14"/>
      <c r="K196" s="15"/>
      <c r="L196" s="15">
        <f>Tabla13[[#This Row],[Uso y acceso Sep/2024]]</f>
        <v>0.8</v>
      </c>
      <c r="M196" s="15">
        <f>Tabla58[[#This Row],[Integración Sep/2024]]</f>
        <v>0</v>
      </c>
      <c r="N196" s="16">
        <f>AVERAGE(Tabla4[[#This Row],[Creación y captura Sep/2024]:[Compartición e Interoperabilidad Sep/2024]])</f>
        <v>0.4</v>
      </c>
      <c r="O196" s="14"/>
      <c r="P196" s="14"/>
      <c r="Q196" s="15"/>
      <c r="R196" s="15">
        <f>Tabla13[[#This Row],[Uso y acceso Oct/2024]]</f>
        <v>0.8</v>
      </c>
      <c r="S196" s="15">
        <f>Tabla58[[#This Row],[Integración Oct/2024]]</f>
        <v>0</v>
      </c>
      <c r="T196" s="16">
        <f>AVERAGE(Tabla4[[#This Row],[Creación y captura Oct/2024]:[Compartición e Interoperabilidad Oct/2024]])</f>
        <v>0.4</v>
      </c>
      <c r="U196" s="14"/>
      <c r="V196" s="14"/>
      <c r="W196" s="15"/>
      <c r="X196" s="15">
        <f>Tabla13[[#This Row],[Uso y acceso Nov/2024]]</f>
        <v>0.8</v>
      </c>
      <c r="Y196" s="15">
        <f>Tabla58[[#This Row],[Integración Nov/2024]]</f>
        <v>0</v>
      </c>
      <c r="Z196" s="16">
        <f>AVERAGE(Tabla4[[#This Row],[Creación y captura Nov/2024]:[Compartición e Interoperabilidad Nov/2024]])</f>
        <v>0.4</v>
      </c>
      <c r="AA196" s="14"/>
      <c r="AB196" s="14"/>
      <c r="AC196" s="15"/>
      <c r="AD196" s="15">
        <f>Tabla13[[#This Row],[Uso y acceso Dic/2024]]</f>
        <v>0.8</v>
      </c>
      <c r="AE196" s="15">
        <f>Tabla58[[#This Row],[Integración Dic/2024]]</f>
        <v>0</v>
      </c>
      <c r="AF196" s="16">
        <f>AVERAGE(Tabla4[[#This Row],[Creación y captura Dic/2024]:[Compartición e Interoperabilidad Dic/2024]])</f>
        <v>0.4</v>
      </c>
      <c r="AG196" s="14"/>
      <c r="AH196" s="14"/>
      <c r="AI196" s="15"/>
      <c r="AJ196" s="15">
        <f>Tabla13[[#This Row],[Uso y acceso Ene/2025]]</f>
        <v>0.8</v>
      </c>
      <c r="AK196" s="15">
        <f>Tabla58[[#This Row],[Integración Ene/2025]]</f>
        <v>0</v>
      </c>
      <c r="AL196" s="16">
        <f>AVERAGE(Tabla4[[#This Row],[Creación y captura Ene/2025]:[Compartición e Interoperabilidad Ene/2025]])</f>
        <v>0.4</v>
      </c>
      <c r="AM196" s="14"/>
      <c r="AN196" s="14"/>
      <c r="AO196" s="15"/>
      <c r="AP196" s="15">
        <f>Tabla13[[#This Row],[Uso y acceso Feb/2025]]</f>
        <v>0.8</v>
      </c>
      <c r="AQ196" s="15">
        <f>Tabla58[[#This Row],[Integración Feb/2025]]</f>
        <v>0</v>
      </c>
      <c r="AR196" s="16">
        <f>AVERAGE(Tabla4[[#This Row],[Creación y captura Feb/2025]:[Compartición e Interoperabilidad Feb/2025]])</f>
        <v>0.4</v>
      </c>
      <c r="AS196" s="14"/>
      <c r="AT196" s="14"/>
      <c r="AU196" s="15"/>
      <c r="AV196" s="15">
        <f>Tabla13[[#This Row],[Uso y acceso Mar/2025]]</f>
        <v>0.8</v>
      </c>
      <c r="AW196" s="15">
        <f>Tabla58[[#This Row],[Integración Mar/2025]]</f>
        <v>0</v>
      </c>
      <c r="AX196" s="16">
        <f>AVERAGE(Tabla4[[#This Row],[Creación y captura Mar/2025]:[Compartición e Interoperabilidad Mar/2025]])</f>
        <v>0.4</v>
      </c>
      <c r="AY196" s="14"/>
      <c r="AZ196" s="14"/>
      <c r="BA196" s="15"/>
      <c r="BB196" s="15">
        <f>Tabla13[[#This Row],[Uso y acceso Abr/2025]]</f>
        <v>0.8</v>
      </c>
      <c r="BC196" s="15">
        <f>Tabla58[[#This Row],[Integración Abr/2025]]</f>
        <v>0</v>
      </c>
      <c r="BD196" s="16">
        <f>AVERAGE(Tabla4[[#This Row],[Creación y captura Abr/2025]:[Compartición e Interoperabilidad Abr/2025]])</f>
        <v>0.4</v>
      </c>
      <c r="BE196" s="14"/>
      <c r="BF196" s="14"/>
      <c r="BG196" s="15"/>
      <c r="BH196" s="15">
        <f>Tabla13[[#This Row],[Uso y acceso May/2025]]</f>
        <v>0.8</v>
      </c>
      <c r="BI196" s="15">
        <f>Tabla58[[#This Row],[Integración May/2025]]</f>
        <v>0</v>
      </c>
      <c r="BJ196" s="16">
        <f>AVERAGE(Tabla4[[#This Row],[Creación y captura May/2025]:[Compartición e Interoperabilidad May/2025]])</f>
        <v>0.4</v>
      </c>
      <c r="BK196" s="14"/>
      <c r="BL196" s="14"/>
      <c r="BM196" s="14">
        <f>AVERAGE('Calidad de Datos'!AQ200:AT200)</f>
        <v>0.6</v>
      </c>
      <c r="BN196" s="14">
        <f>Tabla13[[#This Row],[Uso y acceso Dic/2025]]</f>
        <v>0.8</v>
      </c>
      <c r="BO196" s="14">
        <f>Tabla58[[#This Row],[Integración Dic/2025]]</f>
        <v>0.4</v>
      </c>
      <c r="BP196" s="16">
        <f>AVERAGE(Tabla4[[#This Row],[Creación y captura Dic/2025]:[Compartición e Interoperabilidad Dic/2025]])</f>
        <v>0.6</v>
      </c>
    </row>
    <row r="197" spans="2:68" x14ac:dyDescent="0.4">
      <c r="B197" s="1" t="s">
        <v>248</v>
      </c>
      <c r="C197" s="14"/>
      <c r="D197" s="14"/>
      <c r="E197" s="14"/>
      <c r="F197" s="14">
        <f>Tabla13[[#This Row],[Uso y acceso Ago/2024]]</f>
        <v>1</v>
      </c>
      <c r="G197" s="15">
        <f>Tabla58[[#This Row],[Integración Ago/2024]]</f>
        <v>0</v>
      </c>
      <c r="H197" s="16">
        <f>AVERAGE(Tabla4[[#This Row],[Creación y captura Ago/2024]:[Compartición e Interoperabilidad Ago/2024]])</f>
        <v>0.5</v>
      </c>
      <c r="I197" s="14"/>
      <c r="J197" s="14"/>
      <c r="K197" s="15"/>
      <c r="L197" s="15">
        <f>Tabla13[[#This Row],[Uso y acceso Sep/2024]]</f>
        <v>1</v>
      </c>
      <c r="M197" s="15">
        <f>Tabla58[[#This Row],[Integración Sep/2024]]</f>
        <v>0</v>
      </c>
      <c r="N197" s="16">
        <f>AVERAGE(Tabla4[[#This Row],[Creación y captura Sep/2024]:[Compartición e Interoperabilidad Sep/2024]])</f>
        <v>0.5</v>
      </c>
      <c r="O197" s="14"/>
      <c r="P197" s="14"/>
      <c r="Q197" s="15"/>
      <c r="R197" s="15">
        <f>Tabla13[[#This Row],[Uso y acceso Oct/2024]]</f>
        <v>1</v>
      </c>
      <c r="S197" s="15">
        <f>Tabla58[[#This Row],[Integración Oct/2024]]</f>
        <v>0</v>
      </c>
      <c r="T197" s="16">
        <f>AVERAGE(Tabla4[[#This Row],[Creación y captura Oct/2024]:[Compartición e Interoperabilidad Oct/2024]])</f>
        <v>0.5</v>
      </c>
      <c r="U197" s="14"/>
      <c r="V197" s="14"/>
      <c r="W197" s="15"/>
      <c r="X197" s="15">
        <f>Tabla13[[#This Row],[Uso y acceso Nov/2024]]</f>
        <v>1</v>
      </c>
      <c r="Y197" s="15">
        <f>Tabla58[[#This Row],[Integración Nov/2024]]</f>
        <v>0</v>
      </c>
      <c r="Z197" s="16">
        <f>AVERAGE(Tabla4[[#This Row],[Creación y captura Nov/2024]:[Compartición e Interoperabilidad Nov/2024]])</f>
        <v>0.5</v>
      </c>
      <c r="AA197" s="14"/>
      <c r="AB197" s="14"/>
      <c r="AC197" s="15"/>
      <c r="AD197" s="15">
        <f>Tabla13[[#This Row],[Uso y acceso Dic/2024]]</f>
        <v>1</v>
      </c>
      <c r="AE197" s="15">
        <f>Tabla58[[#This Row],[Integración Dic/2024]]</f>
        <v>0</v>
      </c>
      <c r="AF197" s="16">
        <f>AVERAGE(Tabla4[[#This Row],[Creación y captura Dic/2024]:[Compartición e Interoperabilidad Dic/2024]])</f>
        <v>0.5</v>
      </c>
      <c r="AG197" s="14"/>
      <c r="AH197" s="14"/>
      <c r="AI197" s="15"/>
      <c r="AJ197" s="15">
        <f>Tabla13[[#This Row],[Uso y acceso Ene/2025]]</f>
        <v>1</v>
      </c>
      <c r="AK197" s="15">
        <f>Tabla58[[#This Row],[Integración Ene/2025]]</f>
        <v>0</v>
      </c>
      <c r="AL197" s="16">
        <f>AVERAGE(Tabla4[[#This Row],[Creación y captura Ene/2025]:[Compartición e Interoperabilidad Ene/2025]])</f>
        <v>0.5</v>
      </c>
      <c r="AM197" s="14"/>
      <c r="AN197" s="14"/>
      <c r="AO197" s="15"/>
      <c r="AP197" s="15">
        <f>Tabla13[[#This Row],[Uso y acceso Feb/2025]]</f>
        <v>1</v>
      </c>
      <c r="AQ197" s="15">
        <f>Tabla58[[#This Row],[Integración Feb/2025]]</f>
        <v>0</v>
      </c>
      <c r="AR197" s="16">
        <f>AVERAGE(Tabla4[[#This Row],[Creación y captura Feb/2025]:[Compartición e Interoperabilidad Feb/2025]])</f>
        <v>0.5</v>
      </c>
      <c r="AS197" s="14"/>
      <c r="AT197" s="14"/>
      <c r="AU197" s="15"/>
      <c r="AV197" s="15">
        <f>Tabla13[[#This Row],[Uso y acceso Mar/2025]]</f>
        <v>1</v>
      </c>
      <c r="AW197" s="15">
        <f>Tabla58[[#This Row],[Integración Mar/2025]]</f>
        <v>0</v>
      </c>
      <c r="AX197" s="16">
        <f>AVERAGE(Tabla4[[#This Row],[Creación y captura Mar/2025]:[Compartición e Interoperabilidad Mar/2025]])</f>
        <v>0.5</v>
      </c>
      <c r="AY197" s="14"/>
      <c r="AZ197" s="14"/>
      <c r="BA197" s="15"/>
      <c r="BB197" s="15">
        <f>Tabla13[[#This Row],[Uso y acceso Abr/2025]]</f>
        <v>1</v>
      </c>
      <c r="BC197" s="15">
        <f>Tabla58[[#This Row],[Integración Abr/2025]]</f>
        <v>0</v>
      </c>
      <c r="BD197" s="16">
        <f>AVERAGE(Tabla4[[#This Row],[Creación y captura Abr/2025]:[Compartición e Interoperabilidad Abr/2025]])</f>
        <v>0.5</v>
      </c>
      <c r="BE197" s="14"/>
      <c r="BF197" s="14"/>
      <c r="BG197" s="15"/>
      <c r="BH197" s="15">
        <f>Tabla13[[#This Row],[Uso y acceso May/2025]]</f>
        <v>1</v>
      </c>
      <c r="BI197" s="15">
        <f>Tabla58[[#This Row],[Integración May/2025]]</f>
        <v>0</v>
      </c>
      <c r="BJ197" s="16">
        <f>AVERAGE(Tabla4[[#This Row],[Creación y captura May/2025]:[Compartición e Interoperabilidad May/2025]])</f>
        <v>0.5</v>
      </c>
      <c r="BK197" s="14"/>
      <c r="BL197" s="14"/>
      <c r="BM197" s="14">
        <f>AVERAGE('Calidad de Datos'!AQ201:AT201)</f>
        <v>0.6</v>
      </c>
      <c r="BN197" s="14">
        <f>Tabla13[[#This Row],[Uso y acceso Dic/2025]]</f>
        <v>1</v>
      </c>
      <c r="BO197" s="14">
        <f>Tabla58[[#This Row],[Integración Dic/2025]]</f>
        <v>0.4</v>
      </c>
      <c r="BP197" s="16">
        <f>AVERAGE(Tabla4[[#This Row],[Creación y captura Dic/2025]:[Compartición e Interoperabilidad Dic/2025]])</f>
        <v>0.66666666666666663</v>
      </c>
    </row>
    <row r="198" spans="2:68" x14ac:dyDescent="0.4">
      <c r="B198" s="1" t="s">
        <v>249</v>
      </c>
      <c r="C198" s="14"/>
      <c r="D198" s="14"/>
      <c r="E198" s="14"/>
      <c r="F198" s="14">
        <f>Tabla13[[#This Row],[Uso y acceso Ago/2024]]</f>
        <v>1</v>
      </c>
      <c r="G198" s="15">
        <f>Tabla58[[#This Row],[Integración Ago/2024]]</f>
        <v>0</v>
      </c>
      <c r="H198" s="16">
        <f>AVERAGE(Tabla4[[#This Row],[Creación y captura Ago/2024]:[Compartición e Interoperabilidad Ago/2024]])</f>
        <v>0.5</v>
      </c>
      <c r="I198" s="14"/>
      <c r="J198" s="14"/>
      <c r="K198" s="15"/>
      <c r="L198" s="15">
        <f>Tabla13[[#This Row],[Uso y acceso Sep/2024]]</f>
        <v>1</v>
      </c>
      <c r="M198" s="15">
        <f>Tabla58[[#This Row],[Integración Sep/2024]]</f>
        <v>0</v>
      </c>
      <c r="N198" s="16">
        <f>AVERAGE(Tabla4[[#This Row],[Creación y captura Sep/2024]:[Compartición e Interoperabilidad Sep/2024]])</f>
        <v>0.5</v>
      </c>
      <c r="O198" s="14"/>
      <c r="P198" s="14"/>
      <c r="Q198" s="15"/>
      <c r="R198" s="15">
        <f>Tabla13[[#This Row],[Uso y acceso Oct/2024]]</f>
        <v>1</v>
      </c>
      <c r="S198" s="15">
        <f>Tabla58[[#This Row],[Integración Oct/2024]]</f>
        <v>0</v>
      </c>
      <c r="T198" s="16">
        <f>AVERAGE(Tabla4[[#This Row],[Creación y captura Oct/2024]:[Compartición e Interoperabilidad Oct/2024]])</f>
        <v>0.5</v>
      </c>
      <c r="U198" s="14"/>
      <c r="V198" s="14"/>
      <c r="W198" s="15"/>
      <c r="X198" s="15">
        <f>Tabla13[[#This Row],[Uso y acceso Nov/2024]]</f>
        <v>1</v>
      </c>
      <c r="Y198" s="15">
        <f>Tabla58[[#This Row],[Integración Nov/2024]]</f>
        <v>0</v>
      </c>
      <c r="Z198" s="16">
        <f>AVERAGE(Tabla4[[#This Row],[Creación y captura Nov/2024]:[Compartición e Interoperabilidad Nov/2024]])</f>
        <v>0.5</v>
      </c>
      <c r="AA198" s="14"/>
      <c r="AB198" s="14"/>
      <c r="AC198" s="15"/>
      <c r="AD198" s="15">
        <f>Tabla13[[#This Row],[Uso y acceso Dic/2024]]</f>
        <v>1</v>
      </c>
      <c r="AE198" s="15">
        <f>Tabla58[[#This Row],[Integración Dic/2024]]</f>
        <v>0</v>
      </c>
      <c r="AF198" s="16">
        <f>AVERAGE(Tabla4[[#This Row],[Creación y captura Dic/2024]:[Compartición e Interoperabilidad Dic/2024]])</f>
        <v>0.5</v>
      </c>
      <c r="AG198" s="14"/>
      <c r="AH198" s="14"/>
      <c r="AI198" s="15"/>
      <c r="AJ198" s="15">
        <f>Tabla13[[#This Row],[Uso y acceso Ene/2025]]</f>
        <v>1</v>
      </c>
      <c r="AK198" s="15">
        <f>Tabla58[[#This Row],[Integración Ene/2025]]</f>
        <v>0</v>
      </c>
      <c r="AL198" s="16">
        <f>AVERAGE(Tabla4[[#This Row],[Creación y captura Ene/2025]:[Compartición e Interoperabilidad Ene/2025]])</f>
        <v>0.5</v>
      </c>
      <c r="AM198" s="14"/>
      <c r="AN198" s="14"/>
      <c r="AO198" s="15"/>
      <c r="AP198" s="15">
        <f>Tabla13[[#This Row],[Uso y acceso Feb/2025]]</f>
        <v>1</v>
      </c>
      <c r="AQ198" s="15">
        <f>Tabla58[[#This Row],[Integración Feb/2025]]</f>
        <v>0</v>
      </c>
      <c r="AR198" s="16">
        <f>AVERAGE(Tabla4[[#This Row],[Creación y captura Feb/2025]:[Compartición e Interoperabilidad Feb/2025]])</f>
        <v>0.5</v>
      </c>
      <c r="AS198" s="14"/>
      <c r="AT198" s="14"/>
      <c r="AU198" s="15"/>
      <c r="AV198" s="15">
        <f>Tabla13[[#This Row],[Uso y acceso Mar/2025]]</f>
        <v>1</v>
      </c>
      <c r="AW198" s="15">
        <f>Tabla58[[#This Row],[Integración Mar/2025]]</f>
        <v>0</v>
      </c>
      <c r="AX198" s="16">
        <f>AVERAGE(Tabla4[[#This Row],[Creación y captura Mar/2025]:[Compartición e Interoperabilidad Mar/2025]])</f>
        <v>0.5</v>
      </c>
      <c r="AY198" s="14"/>
      <c r="AZ198" s="14"/>
      <c r="BA198" s="15"/>
      <c r="BB198" s="15">
        <f>Tabla13[[#This Row],[Uso y acceso Abr/2025]]</f>
        <v>1</v>
      </c>
      <c r="BC198" s="15">
        <f>Tabla58[[#This Row],[Integración Abr/2025]]</f>
        <v>0</v>
      </c>
      <c r="BD198" s="16">
        <f>AVERAGE(Tabla4[[#This Row],[Creación y captura Abr/2025]:[Compartición e Interoperabilidad Abr/2025]])</f>
        <v>0.5</v>
      </c>
      <c r="BE198" s="14"/>
      <c r="BF198" s="14"/>
      <c r="BG198" s="15"/>
      <c r="BH198" s="15">
        <f>Tabla13[[#This Row],[Uso y acceso May/2025]]</f>
        <v>1</v>
      </c>
      <c r="BI198" s="15">
        <f>Tabla58[[#This Row],[Integración May/2025]]</f>
        <v>0</v>
      </c>
      <c r="BJ198" s="16">
        <f>AVERAGE(Tabla4[[#This Row],[Creación y captura May/2025]:[Compartición e Interoperabilidad May/2025]])</f>
        <v>0.5</v>
      </c>
      <c r="BK198" s="14"/>
      <c r="BL198" s="14"/>
      <c r="BM198" s="14">
        <f>AVERAGE('Calidad de Datos'!AQ202:AT202)</f>
        <v>0.6</v>
      </c>
      <c r="BN198" s="14">
        <f>Tabla13[[#This Row],[Uso y acceso Dic/2025]]</f>
        <v>1</v>
      </c>
      <c r="BO198" s="14">
        <f>Tabla58[[#This Row],[Integración Dic/2025]]</f>
        <v>0.4</v>
      </c>
      <c r="BP198" s="16">
        <f>AVERAGE(Tabla4[[#This Row],[Creación y captura Dic/2025]:[Compartición e Interoperabilidad Dic/2025]])</f>
        <v>0.66666666666666663</v>
      </c>
    </row>
    <row r="199" spans="2:68" x14ac:dyDescent="0.4">
      <c r="B199" s="1" t="s">
        <v>250</v>
      </c>
      <c r="C199" s="14"/>
      <c r="D199" s="14"/>
      <c r="E199" s="14"/>
      <c r="F199" s="14">
        <f>Tabla13[[#This Row],[Uso y acceso Ago/2024]]</f>
        <v>1</v>
      </c>
      <c r="G199" s="15">
        <f>Tabla58[[#This Row],[Integración Ago/2024]]</f>
        <v>0</v>
      </c>
      <c r="H199" s="16">
        <f>AVERAGE(Tabla4[[#This Row],[Creación y captura Ago/2024]:[Compartición e Interoperabilidad Ago/2024]])</f>
        <v>0.5</v>
      </c>
      <c r="I199" s="14"/>
      <c r="J199" s="14"/>
      <c r="K199" s="15"/>
      <c r="L199" s="15">
        <f>Tabla13[[#This Row],[Uso y acceso Sep/2024]]</f>
        <v>1</v>
      </c>
      <c r="M199" s="15">
        <f>Tabla58[[#This Row],[Integración Sep/2024]]</f>
        <v>0</v>
      </c>
      <c r="N199" s="16">
        <f>AVERAGE(Tabla4[[#This Row],[Creación y captura Sep/2024]:[Compartición e Interoperabilidad Sep/2024]])</f>
        <v>0.5</v>
      </c>
      <c r="O199" s="14"/>
      <c r="P199" s="14"/>
      <c r="Q199" s="15"/>
      <c r="R199" s="15">
        <f>Tabla13[[#This Row],[Uso y acceso Oct/2024]]</f>
        <v>1</v>
      </c>
      <c r="S199" s="15">
        <f>Tabla58[[#This Row],[Integración Oct/2024]]</f>
        <v>0</v>
      </c>
      <c r="T199" s="16">
        <f>AVERAGE(Tabla4[[#This Row],[Creación y captura Oct/2024]:[Compartición e Interoperabilidad Oct/2024]])</f>
        <v>0.5</v>
      </c>
      <c r="U199" s="14"/>
      <c r="V199" s="14"/>
      <c r="W199" s="15"/>
      <c r="X199" s="15">
        <f>Tabla13[[#This Row],[Uso y acceso Nov/2024]]</f>
        <v>1</v>
      </c>
      <c r="Y199" s="15">
        <f>Tabla58[[#This Row],[Integración Nov/2024]]</f>
        <v>0</v>
      </c>
      <c r="Z199" s="16">
        <f>AVERAGE(Tabla4[[#This Row],[Creación y captura Nov/2024]:[Compartición e Interoperabilidad Nov/2024]])</f>
        <v>0.5</v>
      </c>
      <c r="AA199" s="14"/>
      <c r="AB199" s="14"/>
      <c r="AC199" s="15"/>
      <c r="AD199" s="15">
        <f>Tabla13[[#This Row],[Uso y acceso Dic/2024]]</f>
        <v>1</v>
      </c>
      <c r="AE199" s="15">
        <f>Tabla58[[#This Row],[Integración Dic/2024]]</f>
        <v>0</v>
      </c>
      <c r="AF199" s="16">
        <f>AVERAGE(Tabla4[[#This Row],[Creación y captura Dic/2024]:[Compartición e Interoperabilidad Dic/2024]])</f>
        <v>0.5</v>
      </c>
      <c r="AG199" s="14"/>
      <c r="AH199" s="14"/>
      <c r="AI199" s="15"/>
      <c r="AJ199" s="15">
        <f>Tabla13[[#This Row],[Uso y acceso Ene/2025]]</f>
        <v>1</v>
      </c>
      <c r="AK199" s="15">
        <f>Tabla58[[#This Row],[Integración Ene/2025]]</f>
        <v>0</v>
      </c>
      <c r="AL199" s="16">
        <f>AVERAGE(Tabla4[[#This Row],[Creación y captura Ene/2025]:[Compartición e Interoperabilidad Ene/2025]])</f>
        <v>0.5</v>
      </c>
      <c r="AM199" s="14"/>
      <c r="AN199" s="14"/>
      <c r="AO199" s="15"/>
      <c r="AP199" s="15">
        <f>Tabla13[[#This Row],[Uso y acceso Feb/2025]]</f>
        <v>1</v>
      </c>
      <c r="AQ199" s="15">
        <f>Tabla58[[#This Row],[Integración Feb/2025]]</f>
        <v>0</v>
      </c>
      <c r="AR199" s="16">
        <f>AVERAGE(Tabla4[[#This Row],[Creación y captura Feb/2025]:[Compartición e Interoperabilidad Feb/2025]])</f>
        <v>0.5</v>
      </c>
      <c r="AS199" s="14"/>
      <c r="AT199" s="14"/>
      <c r="AU199" s="15"/>
      <c r="AV199" s="15">
        <f>Tabla13[[#This Row],[Uso y acceso Mar/2025]]</f>
        <v>1</v>
      </c>
      <c r="AW199" s="15">
        <f>Tabla58[[#This Row],[Integración Mar/2025]]</f>
        <v>0</v>
      </c>
      <c r="AX199" s="16">
        <f>AVERAGE(Tabla4[[#This Row],[Creación y captura Mar/2025]:[Compartición e Interoperabilidad Mar/2025]])</f>
        <v>0.5</v>
      </c>
      <c r="AY199" s="14"/>
      <c r="AZ199" s="14"/>
      <c r="BA199" s="15"/>
      <c r="BB199" s="15">
        <f>Tabla13[[#This Row],[Uso y acceso Abr/2025]]</f>
        <v>1</v>
      </c>
      <c r="BC199" s="15">
        <f>Tabla58[[#This Row],[Integración Abr/2025]]</f>
        <v>0</v>
      </c>
      <c r="BD199" s="16">
        <f>AVERAGE(Tabla4[[#This Row],[Creación y captura Abr/2025]:[Compartición e Interoperabilidad Abr/2025]])</f>
        <v>0.5</v>
      </c>
      <c r="BE199" s="14"/>
      <c r="BF199" s="14"/>
      <c r="BG199" s="15"/>
      <c r="BH199" s="15">
        <f>Tabla13[[#This Row],[Uso y acceso May/2025]]</f>
        <v>1</v>
      </c>
      <c r="BI199" s="15">
        <f>Tabla58[[#This Row],[Integración May/2025]]</f>
        <v>0</v>
      </c>
      <c r="BJ199" s="16">
        <f>AVERAGE(Tabla4[[#This Row],[Creación y captura May/2025]:[Compartición e Interoperabilidad May/2025]])</f>
        <v>0.5</v>
      </c>
      <c r="BK199" s="14">
        <v>1</v>
      </c>
      <c r="BL199" s="14">
        <v>1</v>
      </c>
      <c r="BM199" s="14">
        <f>AVERAGE('Calidad de Datos'!AQ203:AT203)</f>
        <v>1</v>
      </c>
      <c r="BN199" s="14">
        <f>Tabla13[[#This Row],[Uso y acceso Dic/2025]]</f>
        <v>1</v>
      </c>
      <c r="BO199" s="14">
        <f>Tabla58[[#This Row],[Integración Dic/2025]]</f>
        <v>1</v>
      </c>
      <c r="BP199" s="16">
        <f>AVERAGE(Tabla4[[#This Row],[Creación y captura Dic/2025]:[Compartición e Interoperabilidad Dic/2025]])</f>
        <v>1</v>
      </c>
    </row>
    <row r="200" spans="2:68" x14ac:dyDescent="0.4">
      <c r="B200" s="1" t="s">
        <v>251</v>
      </c>
      <c r="C200" s="14"/>
      <c r="D200" s="14"/>
      <c r="E200" s="14"/>
      <c r="F200" s="14">
        <f>Tabla13[[#This Row],[Uso y acceso Ago/2024]]</f>
        <v>1</v>
      </c>
      <c r="G200" s="15">
        <f>Tabla58[[#This Row],[Integración Ago/2024]]</f>
        <v>0</v>
      </c>
      <c r="H200" s="16">
        <f>AVERAGE(Tabla4[[#This Row],[Creación y captura Ago/2024]:[Compartición e Interoperabilidad Ago/2024]])</f>
        <v>0.5</v>
      </c>
      <c r="I200" s="14"/>
      <c r="J200" s="14"/>
      <c r="K200" s="15"/>
      <c r="L200" s="15">
        <f>Tabla13[[#This Row],[Uso y acceso Sep/2024]]</f>
        <v>1</v>
      </c>
      <c r="M200" s="15">
        <f>Tabla58[[#This Row],[Integración Sep/2024]]</f>
        <v>0</v>
      </c>
      <c r="N200" s="16">
        <f>AVERAGE(Tabla4[[#This Row],[Creación y captura Sep/2024]:[Compartición e Interoperabilidad Sep/2024]])</f>
        <v>0.5</v>
      </c>
      <c r="O200" s="14"/>
      <c r="P200" s="14"/>
      <c r="Q200" s="15"/>
      <c r="R200" s="15">
        <f>Tabla13[[#This Row],[Uso y acceso Oct/2024]]</f>
        <v>1</v>
      </c>
      <c r="S200" s="15">
        <f>Tabla58[[#This Row],[Integración Oct/2024]]</f>
        <v>0</v>
      </c>
      <c r="T200" s="16">
        <f>AVERAGE(Tabla4[[#This Row],[Creación y captura Oct/2024]:[Compartición e Interoperabilidad Oct/2024]])</f>
        <v>0.5</v>
      </c>
      <c r="U200" s="14"/>
      <c r="V200" s="14"/>
      <c r="W200" s="15"/>
      <c r="X200" s="15">
        <f>Tabla13[[#This Row],[Uso y acceso Nov/2024]]</f>
        <v>1</v>
      </c>
      <c r="Y200" s="15">
        <f>Tabla58[[#This Row],[Integración Nov/2024]]</f>
        <v>0</v>
      </c>
      <c r="Z200" s="16">
        <f>AVERAGE(Tabla4[[#This Row],[Creación y captura Nov/2024]:[Compartición e Interoperabilidad Nov/2024]])</f>
        <v>0.5</v>
      </c>
      <c r="AA200" s="14"/>
      <c r="AB200" s="14"/>
      <c r="AC200" s="15"/>
      <c r="AD200" s="15">
        <f>Tabla13[[#This Row],[Uso y acceso Dic/2024]]</f>
        <v>1</v>
      </c>
      <c r="AE200" s="15">
        <f>Tabla58[[#This Row],[Integración Dic/2024]]</f>
        <v>0</v>
      </c>
      <c r="AF200" s="16">
        <f>AVERAGE(Tabla4[[#This Row],[Creación y captura Dic/2024]:[Compartición e Interoperabilidad Dic/2024]])</f>
        <v>0.5</v>
      </c>
      <c r="AG200" s="14"/>
      <c r="AH200" s="14"/>
      <c r="AI200" s="15"/>
      <c r="AJ200" s="15">
        <f>Tabla13[[#This Row],[Uso y acceso Ene/2025]]</f>
        <v>1</v>
      </c>
      <c r="AK200" s="15">
        <f>Tabla58[[#This Row],[Integración Ene/2025]]</f>
        <v>0</v>
      </c>
      <c r="AL200" s="16">
        <f>AVERAGE(Tabla4[[#This Row],[Creación y captura Ene/2025]:[Compartición e Interoperabilidad Ene/2025]])</f>
        <v>0.5</v>
      </c>
      <c r="AM200" s="14"/>
      <c r="AN200" s="14"/>
      <c r="AO200" s="15"/>
      <c r="AP200" s="15">
        <f>Tabla13[[#This Row],[Uso y acceso Feb/2025]]</f>
        <v>1</v>
      </c>
      <c r="AQ200" s="15">
        <f>Tabla58[[#This Row],[Integración Feb/2025]]</f>
        <v>0</v>
      </c>
      <c r="AR200" s="16">
        <f>AVERAGE(Tabla4[[#This Row],[Creación y captura Feb/2025]:[Compartición e Interoperabilidad Feb/2025]])</f>
        <v>0.5</v>
      </c>
      <c r="AS200" s="14"/>
      <c r="AT200" s="14"/>
      <c r="AU200" s="15"/>
      <c r="AV200" s="15">
        <f>Tabla13[[#This Row],[Uso y acceso Mar/2025]]</f>
        <v>1</v>
      </c>
      <c r="AW200" s="15">
        <f>Tabla58[[#This Row],[Integración Mar/2025]]</f>
        <v>0</v>
      </c>
      <c r="AX200" s="16">
        <f>AVERAGE(Tabla4[[#This Row],[Creación y captura Mar/2025]:[Compartición e Interoperabilidad Mar/2025]])</f>
        <v>0.5</v>
      </c>
      <c r="AY200" s="14"/>
      <c r="AZ200" s="14"/>
      <c r="BA200" s="15"/>
      <c r="BB200" s="15">
        <f>Tabla13[[#This Row],[Uso y acceso Abr/2025]]</f>
        <v>1</v>
      </c>
      <c r="BC200" s="15">
        <f>Tabla58[[#This Row],[Integración Abr/2025]]</f>
        <v>0</v>
      </c>
      <c r="BD200" s="16">
        <f>AVERAGE(Tabla4[[#This Row],[Creación y captura Abr/2025]:[Compartición e Interoperabilidad Abr/2025]])</f>
        <v>0.5</v>
      </c>
      <c r="BE200" s="14"/>
      <c r="BF200" s="14"/>
      <c r="BG200" s="15"/>
      <c r="BH200" s="15">
        <f>Tabla13[[#This Row],[Uso y acceso May/2025]]</f>
        <v>1</v>
      </c>
      <c r="BI200" s="15">
        <f>Tabla58[[#This Row],[Integración May/2025]]</f>
        <v>0</v>
      </c>
      <c r="BJ200" s="16">
        <f>AVERAGE(Tabla4[[#This Row],[Creación y captura May/2025]:[Compartición e Interoperabilidad May/2025]])</f>
        <v>0.5</v>
      </c>
      <c r="BK200" s="14">
        <v>1</v>
      </c>
      <c r="BL200" s="14">
        <v>1</v>
      </c>
      <c r="BM200" s="14">
        <f>AVERAGE('Calidad de Datos'!AQ204:AT204)</f>
        <v>1</v>
      </c>
      <c r="BN200" s="14">
        <f>Tabla13[[#This Row],[Uso y acceso Dic/2025]]</f>
        <v>1</v>
      </c>
      <c r="BO200" s="14">
        <f>Tabla58[[#This Row],[Integración Dic/2025]]</f>
        <v>1</v>
      </c>
      <c r="BP200" s="16">
        <f>AVERAGE(Tabla4[[#This Row],[Creación y captura Dic/2025]:[Compartición e Interoperabilidad Dic/2025]])</f>
        <v>1</v>
      </c>
    </row>
    <row r="201" spans="2:68" x14ac:dyDescent="0.4">
      <c r="B201" s="1" t="s">
        <v>252</v>
      </c>
      <c r="C201" s="14"/>
      <c r="D201" s="14"/>
      <c r="E201" s="14">
        <f>AVERAGE('Calidad de Datos'!C205:F205)</f>
        <v>0</v>
      </c>
      <c r="F201" s="14">
        <f>Tabla13[[#This Row],[Uso y acceso Ago/2024]]</f>
        <v>1</v>
      </c>
      <c r="G201" s="15">
        <f>Tabla58[[#This Row],[Integración Ago/2024]]</f>
        <v>0</v>
      </c>
      <c r="H201" s="16">
        <f>AVERAGE(Tabla4[[#This Row],[Creación y captura Ago/2024]:[Compartición e Interoperabilidad Ago/2024]])</f>
        <v>0.33333333333333331</v>
      </c>
      <c r="I201" s="14"/>
      <c r="J201" s="14"/>
      <c r="K201" s="15">
        <f>AVERAGE('Calidad de Datos'!G205:J205)</f>
        <v>0</v>
      </c>
      <c r="L201" s="15">
        <f>Tabla13[[#This Row],[Uso y acceso Sep/2024]]</f>
        <v>1</v>
      </c>
      <c r="M201" s="15">
        <f>Tabla58[[#This Row],[Integración Sep/2024]]</f>
        <v>0</v>
      </c>
      <c r="N201" s="16">
        <f>AVERAGE(Tabla4[[#This Row],[Creación y captura Sep/2024]:[Compartición e Interoperabilidad Sep/2024]])</f>
        <v>0.33333333333333331</v>
      </c>
      <c r="O201" s="14"/>
      <c r="P201" s="14"/>
      <c r="Q201" s="15">
        <f>AVERAGE('Calidad de Datos'!K205:N205)</f>
        <v>0</v>
      </c>
      <c r="R201" s="15">
        <f>Tabla13[[#This Row],[Uso y acceso Oct/2024]]</f>
        <v>1</v>
      </c>
      <c r="S201" s="15">
        <f>Tabla58[[#This Row],[Integración Oct/2024]]</f>
        <v>0</v>
      </c>
      <c r="T201" s="16">
        <f>AVERAGE(Tabla4[[#This Row],[Creación y captura Oct/2024]:[Compartición e Interoperabilidad Oct/2024]])</f>
        <v>0.33333333333333331</v>
      </c>
      <c r="U201" s="14">
        <v>0.75</v>
      </c>
      <c r="V201" s="14"/>
      <c r="W201" s="15">
        <f>AVERAGE('Calidad de Datos'!O205:R205)</f>
        <v>0.77750000000000008</v>
      </c>
      <c r="X201" s="15">
        <f>Tabla13[[#This Row],[Uso y acceso Nov/2024]]</f>
        <v>1</v>
      </c>
      <c r="Y201" s="15">
        <f>Tabla58[[#This Row],[Integración Nov/2024]]</f>
        <v>0</v>
      </c>
      <c r="Z201" s="16">
        <f>AVERAGE(Tabla4[[#This Row],[Creación y captura Nov/2024]:[Compartición e Interoperabilidad Nov/2024]])</f>
        <v>0.63187499999999996</v>
      </c>
      <c r="AA201" s="14">
        <v>0.75</v>
      </c>
      <c r="AB201" s="14"/>
      <c r="AC201" s="15">
        <f>AVERAGE('Calidad de Datos'!S205:V205)</f>
        <v>0.77750000000000008</v>
      </c>
      <c r="AD201" s="15">
        <f>Tabla13[[#This Row],[Uso y acceso Dic/2024]]</f>
        <v>1</v>
      </c>
      <c r="AE201" s="15">
        <f>Tabla58[[#This Row],[Integración Dic/2024]]</f>
        <v>0</v>
      </c>
      <c r="AF201" s="16">
        <f>AVERAGE(Tabla4[[#This Row],[Creación y captura Dic/2024]:[Compartición e Interoperabilidad Dic/2024]])</f>
        <v>0.63187499999999996</v>
      </c>
      <c r="AG201" s="14">
        <v>0.85</v>
      </c>
      <c r="AH201" s="14">
        <v>0.3</v>
      </c>
      <c r="AI201" s="17">
        <f>AVERAGE('Calidad de Datos'!W205:Z205)</f>
        <v>0.86250000000000004</v>
      </c>
      <c r="AJ201" s="15">
        <f>Tabla13[[#This Row],[Uso y acceso Ene/2025]]</f>
        <v>1</v>
      </c>
      <c r="AK201" s="15">
        <f>Tabla58[[#This Row],[Integración Ene/2025]]</f>
        <v>0.3</v>
      </c>
      <c r="AL201" s="16">
        <f>AVERAGE(Tabla4[[#This Row],[Creación y captura Ene/2025]:[Compartición e Interoperabilidad Ene/2025]])</f>
        <v>0.66249999999999998</v>
      </c>
      <c r="AM201" s="14">
        <v>0.85</v>
      </c>
      <c r="AN201" s="14">
        <v>0.9</v>
      </c>
      <c r="AO201" s="17">
        <f>AVERAGE('Calidad de Datos'!AA205:AD205)</f>
        <v>0.9375</v>
      </c>
      <c r="AP201" s="15">
        <f>Tabla13[[#This Row],[Uso y acceso Feb/2025]]</f>
        <v>1</v>
      </c>
      <c r="AQ201" s="15">
        <f>Tabla58[[#This Row],[Integración Feb/2025]]</f>
        <v>0.9</v>
      </c>
      <c r="AR201" s="16">
        <f>AVERAGE(Tabla4[[#This Row],[Creación y captura Feb/2025]:[Compartición e Interoperabilidad Feb/2025]])</f>
        <v>0.91750000000000009</v>
      </c>
      <c r="AS201" s="14">
        <v>0.9</v>
      </c>
      <c r="AT201" s="14">
        <v>1</v>
      </c>
      <c r="AU201" s="17">
        <f>AVERAGE('Calidad de Datos'!AE205:AH205)</f>
        <v>0.9375</v>
      </c>
      <c r="AV201" s="15">
        <f>Tabla13[[#This Row],[Uso y acceso Mar/2025]]</f>
        <v>1</v>
      </c>
      <c r="AW201" s="15">
        <f>Tabla58[[#This Row],[Integración Mar/2025]]</f>
        <v>0.9</v>
      </c>
      <c r="AX201" s="16">
        <f>AVERAGE(Tabla4[[#This Row],[Creación y captura Mar/2025]:[Compartición e Interoperabilidad Mar/2025]])</f>
        <v>0.94750000000000001</v>
      </c>
      <c r="AY201" s="14">
        <v>0.9</v>
      </c>
      <c r="AZ201" s="14">
        <v>0.9</v>
      </c>
      <c r="BA201" s="17">
        <f>AVERAGE('Calidad de Datos'!AI205:AL205)</f>
        <v>0.9375</v>
      </c>
      <c r="BB201" s="15">
        <f>Tabla13[[#This Row],[Uso y acceso Abr/2025]]</f>
        <v>1</v>
      </c>
      <c r="BC201" s="15">
        <f>Tabla58[[#This Row],[Integración Abr/2025]]</f>
        <v>0.9</v>
      </c>
      <c r="BD201" s="16">
        <f>AVERAGE(Tabla4[[#This Row],[Creación y captura Abr/2025]:[Compartición e Interoperabilidad Abr/2025]])</f>
        <v>0.92749999999999999</v>
      </c>
      <c r="BE201" s="14">
        <v>0.9</v>
      </c>
      <c r="BF201" s="14">
        <v>0.9</v>
      </c>
      <c r="BG201" s="17">
        <f>AVERAGE('Calidad de Datos'!AM205:AP205)</f>
        <v>1</v>
      </c>
      <c r="BH201" s="15">
        <f>Tabla13[[#This Row],[Uso y acceso May/2025]]</f>
        <v>1</v>
      </c>
      <c r="BI201" s="15">
        <f>Tabla58[[#This Row],[Integración May/2025]]</f>
        <v>0.9</v>
      </c>
      <c r="BJ201" s="16">
        <f>AVERAGE(Tabla4[[#This Row],[Creación y captura May/2025]:[Compartición e Interoperabilidad May/2025]])</f>
        <v>0.94000000000000006</v>
      </c>
      <c r="BK201" s="14">
        <v>1</v>
      </c>
      <c r="BL201" s="14">
        <v>1</v>
      </c>
      <c r="BM201" s="14">
        <f>AVERAGE('Calidad de Datos'!AQ205:AT205)</f>
        <v>1</v>
      </c>
      <c r="BN201" s="14">
        <f>Tabla13[[#This Row],[Uso y acceso Dic/2025]]</f>
        <v>1</v>
      </c>
      <c r="BO201" s="14">
        <f>Tabla58[[#This Row],[Integración Dic/2025]]</f>
        <v>1</v>
      </c>
      <c r="BP201" s="16">
        <f>AVERAGE(Tabla4[[#This Row],[Creación y captura Dic/2025]:[Compartición e Interoperabilidad Dic/2025]])</f>
        <v>1</v>
      </c>
    </row>
    <row r="202" spans="2:68" x14ac:dyDescent="0.4">
      <c r="B202" s="1" t="s">
        <v>253</v>
      </c>
      <c r="C202" s="14"/>
      <c r="D202" s="14"/>
      <c r="E202" s="14"/>
      <c r="F202" s="14">
        <f>Tabla13[[#This Row],[Uso y acceso Ago/2024]]</f>
        <v>0.8</v>
      </c>
      <c r="G202" s="15">
        <f>Tabla58[[#This Row],[Integración Ago/2024]]</f>
        <v>0</v>
      </c>
      <c r="H202" s="16">
        <f>AVERAGE(Tabla4[[#This Row],[Creación y captura Ago/2024]:[Compartición e Interoperabilidad Ago/2024]])</f>
        <v>0.4</v>
      </c>
      <c r="I202" s="14"/>
      <c r="J202" s="14"/>
      <c r="K202" s="15"/>
      <c r="L202" s="15">
        <f>Tabla13[[#This Row],[Uso y acceso Sep/2024]]</f>
        <v>0.8</v>
      </c>
      <c r="M202" s="15">
        <f>Tabla58[[#This Row],[Integración Sep/2024]]</f>
        <v>0</v>
      </c>
      <c r="N202" s="16">
        <f>AVERAGE(Tabla4[[#This Row],[Creación y captura Sep/2024]:[Compartición e Interoperabilidad Sep/2024]])</f>
        <v>0.4</v>
      </c>
      <c r="O202" s="14"/>
      <c r="P202" s="14"/>
      <c r="Q202" s="15"/>
      <c r="R202" s="15">
        <f>Tabla13[[#This Row],[Uso y acceso Oct/2024]]</f>
        <v>0.8</v>
      </c>
      <c r="S202" s="15">
        <f>Tabla58[[#This Row],[Integración Oct/2024]]</f>
        <v>0</v>
      </c>
      <c r="T202" s="16">
        <f>AVERAGE(Tabla4[[#This Row],[Creación y captura Oct/2024]:[Compartición e Interoperabilidad Oct/2024]])</f>
        <v>0.4</v>
      </c>
      <c r="U202" s="14"/>
      <c r="V202" s="14"/>
      <c r="W202" s="15"/>
      <c r="X202" s="15">
        <f>Tabla13[[#This Row],[Uso y acceso Nov/2024]]</f>
        <v>0.8</v>
      </c>
      <c r="Y202" s="15">
        <f>Tabla58[[#This Row],[Integración Nov/2024]]</f>
        <v>0</v>
      </c>
      <c r="Z202" s="16">
        <f>AVERAGE(Tabla4[[#This Row],[Creación y captura Nov/2024]:[Compartición e Interoperabilidad Nov/2024]])</f>
        <v>0.4</v>
      </c>
      <c r="AA202" s="14"/>
      <c r="AB202" s="14"/>
      <c r="AC202" s="15"/>
      <c r="AD202" s="15">
        <f>Tabla13[[#This Row],[Uso y acceso Dic/2024]]</f>
        <v>0.8</v>
      </c>
      <c r="AE202" s="15">
        <f>Tabla58[[#This Row],[Integración Dic/2024]]</f>
        <v>0</v>
      </c>
      <c r="AF202" s="16">
        <f>AVERAGE(Tabla4[[#This Row],[Creación y captura Dic/2024]:[Compartición e Interoperabilidad Dic/2024]])</f>
        <v>0.4</v>
      </c>
      <c r="AG202" s="14"/>
      <c r="AH202" s="14"/>
      <c r="AI202" s="15"/>
      <c r="AJ202" s="15">
        <f>Tabla13[[#This Row],[Uso y acceso Ene/2025]]</f>
        <v>0.8</v>
      </c>
      <c r="AK202" s="15">
        <f>Tabla58[[#This Row],[Integración Ene/2025]]</f>
        <v>0</v>
      </c>
      <c r="AL202" s="16">
        <f>AVERAGE(Tabla4[[#This Row],[Creación y captura Ene/2025]:[Compartición e Interoperabilidad Ene/2025]])</f>
        <v>0.4</v>
      </c>
      <c r="AM202" s="14"/>
      <c r="AN202" s="14"/>
      <c r="AO202" s="15"/>
      <c r="AP202" s="15">
        <f>Tabla13[[#This Row],[Uso y acceso Feb/2025]]</f>
        <v>0.8</v>
      </c>
      <c r="AQ202" s="15">
        <f>Tabla58[[#This Row],[Integración Feb/2025]]</f>
        <v>0</v>
      </c>
      <c r="AR202" s="16">
        <f>AVERAGE(Tabla4[[#This Row],[Creación y captura Feb/2025]:[Compartición e Interoperabilidad Feb/2025]])</f>
        <v>0.4</v>
      </c>
      <c r="AS202" s="14"/>
      <c r="AT202" s="14"/>
      <c r="AU202" s="15"/>
      <c r="AV202" s="15">
        <f>Tabla13[[#This Row],[Uso y acceso Mar/2025]]</f>
        <v>0.8</v>
      </c>
      <c r="AW202" s="15">
        <f>Tabla58[[#This Row],[Integración Mar/2025]]</f>
        <v>0</v>
      </c>
      <c r="AX202" s="16">
        <f>AVERAGE(Tabla4[[#This Row],[Creación y captura Mar/2025]:[Compartición e Interoperabilidad Mar/2025]])</f>
        <v>0.4</v>
      </c>
      <c r="AY202" s="14"/>
      <c r="AZ202" s="14"/>
      <c r="BA202" s="15"/>
      <c r="BB202" s="15">
        <f>Tabla13[[#This Row],[Uso y acceso Abr/2025]]</f>
        <v>0.8</v>
      </c>
      <c r="BC202" s="15">
        <f>Tabla58[[#This Row],[Integración Abr/2025]]</f>
        <v>0</v>
      </c>
      <c r="BD202" s="16">
        <f>AVERAGE(Tabla4[[#This Row],[Creación y captura Abr/2025]:[Compartición e Interoperabilidad Abr/2025]])</f>
        <v>0.4</v>
      </c>
      <c r="BE202" s="14"/>
      <c r="BF202" s="14"/>
      <c r="BG202" s="15"/>
      <c r="BH202" s="15">
        <f>Tabla13[[#This Row],[Uso y acceso May/2025]]</f>
        <v>1</v>
      </c>
      <c r="BI202" s="15">
        <f>Tabla58[[#This Row],[Integración May/2025]]</f>
        <v>0</v>
      </c>
      <c r="BJ202" s="16">
        <f>AVERAGE(Tabla4[[#This Row],[Creación y captura May/2025]:[Compartición e Interoperabilidad May/2025]])</f>
        <v>0.5</v>
      </c>
      <c r="BK202" s="14"/>
      <c r="BL202" s="14"/>
      <c r="BM202" s="14">
        <f>AVERAGE('Calidad de Datos'!AQ206:AT206)</f>
        <v>0.6</v>
      </c>
      <c r="BN202" s="14">
        <f>Tabla13[[#This Row],[Uso y acceso Dic/2025]]</f>
        <v>1</v>
      </c>
      <c r="BO202" s="14">
        <f>Tabla58[[#This Row],[Integración Dic/2025]]</f>
        <v>0.4</v>
      </c>
      <c r="BP202" s="16">
        <f>AVERAGE(Tabla4[[#This Row],[Creación y captura Dic/2025]:[Compartición e Interoperabilidad Dic/2025]])</f>
        <v>0.66666666666666663</v>
      </c>
    </row>
    <row r="203" spans="2:68" x14ac:dyDescent="0.4">
      <c r="B203" s="1" t="s">
        <v>254</v>
      </c>
      <c r="C203" s="14"/>
      <c r="D203" s="14"/>
      <c r="E203" s="14"/>
      <c r="F203" s="14">
        <f>Tabla13[[#This Row],[Uso y acceso Ago/2024]]</f>
        <v>1</v>
      </c>
      <c r="G203" s="15">
        <f>Tabla58[[#This Row],[Integración Ago/2024]]</f>
        <v>0</v>
      </c>
      <c r="H203" s="16">
        <f>AVERAGE(Tabla4[[#This Row],[Creación y captura Ago/2024]:[Compartición e Interoperabilidad Ago/2024]])</f>
        <v>0.5</v>
      </c>
      <c r="I203" s="14"/>
      <c r="J203" s="14"/>
      <c r="K203" s="15"/>
      <c r="L203" s="15">
        <f>Tabla13[[#This Row],[Uso y acceso Sep/2024]]</f>
        <v>1</v>
      </c>
      <c r="M203" s="15">
        <f>Tabla58[[#This Row],[Integración Sep/2024]]</f>
        <v>0</v>
      </c>
      <c r="N203" s="16">
        <f>AVERAGE(Tabla4[[#This Row],[Creación y captura Sep/2024]:[Compartición e Interoperabilidad Sep/2024]])</f>
        <v>0.5</v>
      </c>
      <c r="O203" s="14"/>
      <c r="P203" s="14"/>
      <c r="Q203" s="15"/>
      <c r="R203" s="15">
        <f>Tabla13[[#This Row],[Uso y acceso Oct/2024]]</f>
        <v>1</v>
      </c>
      <c r="S203" s="15">
        <f>Tabla58[[#This Row],[Integración Oct/2024]]</f>
        <v>0</v>
      </c>
      <c r="T203" s="16">
        <f>AVERAGE(Tabla4[[#This Row],[Creación y captura Oct/2024]:[Compartición e Interoperabilidad Oct/2024]])</f>
        <v>0.5</v>
      </c>
      <c r="U203" s="14"/>
      <c r="V203" s="14"/>
      <c r="W203" s="15"/>
      <c r="X203" s="15">
        <f>Tabla13[[#This Row],[Uso y acceso Nov/2024]]</f>
        <v>1</v>
      </c>
      <c r="Y203" s="15">
        <f>Tabla58[[#This Row],[Integración Nov/2024]]</f>
        <v>0</v>
      </c>
      <c r="Z203" s="16">
        <f>AVERAGE(Tabla4[[#This Row],[Creación y captura Nov/2024]:[Compartición e Interoperabilidad Nov/2024]])</f>
        <v>0.5</v>
      </c>
      <c r="AA203" s="14"/>
      <c r="AB203" s="14"/>
      <c r="AC203" s="15"/>
      <c r="AD203" s="15">
        <f>Tabla13[[#This Row],[Uso y acceso Dic/2024]]</f>
        <v>1</v>
      </c>
      <c r="AE203" s="15">
        <f>Tabla58[[#This Row],[Integración Dic/2024]]</f>
        <v>0</v>
      </c>
      <c r="AF203" s="16">
        <f>AVERAGE(Tabla4[[#This Row],[Creación y captura Dic/2024]:[Compartición e Interoperabilidad Dic/2024]])</f>
        <v>0.5</v>
      </c>
      <c r="AG203" s="14"/>
      <c r="AH203" s="14"/>
      <c r="AI203" s="15"/>
      <c r="AJ203" s="15">
        <f>Tabla13[[#This Row],[Uso y acceso Ene/2025]]</f>
        <v>1</v>
      </c>
      <c r="AK203" s="15">
        <f>Tabla58[[#This Row],[Integración Ene/2025]]</f>
        <v>0</v>
      </c>
      <c r="AL203" s="16">
        <f>AVERAGE(Tabla4[[#This Row],[Creación y captura Ene/2025]:[Compartición e Interoperabilidad Ene/2025]])</f>
        <v>0.5</v>
      </c>
      <c r="AM203" s="14"/>
      <c r="AN203" s="14"/>
      <c r="AO203" s="15"/>
      <c r="AP203" s="15">
        <f>Tabla13[[#This Row],[Uso y acceso Feb/2025]]</f>
        <v>1</v>
      </c>
      <c r="AQ203" s="15">
        <f>Tabla58[[#This Row],[Integración Feb/2025]]</f>
        <v>0</v>
      </c>
      <c r="AR203" s="16">
        <f>AVERAGE(Tabla4[[#This Row],[Creación y captura Feb/2025]:[Compartición e Interoperabilidad Feb/2025]])</f>
        <v>0.5</v>
      </c>
      <c r="AS203" s="14"/>
      <c r="AT203" s="14"/>
      <c r="AU203" s="15"/>
      <c r="AV203" s="15">
        <f>Tabla13[[#This Row],[Uso y acceso Mar/2025]]</f>
        <v>1</v>
      </c>
      <c r="AW203" s="15">
        <f>Tabla58[[#This Row],[Integración Mar/2025]]</f>
        <v>0</v>
      </c>
      <c r="AX203" s="16">
        <f>AVERAGE(Tabla4[[#This Row],[Creación y captura Mar/2025]:[Compartición e Interoperabilidad Mar/2025]])</f>
        <v>0.5</v>
      </c>
      <c r="AY203" s="14"/>
      <c r="AZ203" s="14"/>
      <c r="BA203" s="15"/>
      <c r="BB203" s="15">
        <f>Tabla13[[#This Row],[Uso y acceso Abr/2025]]</f>
        <v>1</v>
      </c>
      <c r="BC203" s="15">
        <f>Tabla58[[#This Row],[Integración Abr/2025]]</f>
        <v>0</v>
      </c>
      <c r="BD203" s="16">
        <f>AVERAGE(Tabla4[[#This Row],[Creación y captura Abr/2025]:[Compartición e Interoperabilidad Abr/2025]])</f>
        <v>0.5</v>
      </c>
      <c r="BE203" s="14"/>
      <c r="BF203" s="14"/>
      <c r="BG203" s="15"/>
      <c r="BH203" s="15">
        <f>Tabla13[[#This Row],[Uso y acceso May/2025]]</f>
        <v>1</v>
      </c>
      <c r="BI203" s="15">
        <f>Tabla58[[#This Row],[Integración May/2025]]</f>
        <v>0</v>
      </c>
      <c r="BJ203" s="16">
        <f>AVERAGE(Tabla4[[#This Row],[Creación y captura May/2025]:[Compartición e Interoperabilidad May/2025]])</f>
        <v>0.5</v>
      </c>
      <c r="BK203" s="14"/>
      <c r="BL203" s="14"/>
      <c r="BM203" s="14">
        <f>AVERAGE('Calidad de Datos'!AQ207:AT207)</f>
        <v>0.6</v>
      </c>
      <c r="BN203" s="14">
        <f>Tabla13[[#This Row],[Uso y acceso Dic/2025]]</f>
        <v>1</v>
      </c>
      <c r="BO203" s="14">
        <f>Tabla58[[#This Row],[Integración Dic/2025]]</f>
        <v>0.4</v>
      </c>
      <c r="BP203" s="16">
        <f>AVERAGE(Tabla4[[#This Row],[Creación y captura Dic/2025]:[Compartición e Interoperabilidad Dic/2025]])</f>
        <v>0.66666666666666663</v>
      </c>
    </row>
    <row r="204" spans="2:68" x14ac:dyDescent="0.4">
      <c r="B204" s="1" t="s">
        <v>255</v>
      </c>
      <c r="C204" s="14"/>
      <c r="D204" s="14"/>
      <c r="E204" s="14"/>
      <c r="F204" s="14">
        <f>Tabla13[[#This Row],[Uso y acceso Ago/2024]]</f>
        <v>0.8</v>
      </c>
      <c r="G204" s="15">
        <f>Tabla58[[#This Row],[Integración Ago/2024]]</f>
        <v>0</v>
      </c>
      <c r="H204" s="16">
        <f>AVERAGE(Tabla4[[#This Row],[Creación y captura Ago/2024]:[Compartición e Interoperabilidad Ago/2024]])</f>
        <v>0.4</v>
      </c>
      <c r="I204" s="14"/>
      <c r="J204" s="14"/>
      <c r="K204" s="15"/>
      <c r="L204" s="15">
        <f>Tabla13[[#This Row],[Uso y acceso Sep/2024]]</f>
        <v>0.8</v>
      </c>
      <c r="M204" s="15">
        <f>Tabla58[[#This Row],[Integración Sep/2024]]</f>
        <v>0</v>
      </c>
      <c r="N204" s="16">
        <f>AVERAGE(Tabla4[[#This Row],[Creación y captura Sep/2024]:[Compartición e Interoperabilidad Sep/2024]])</f>
        <v>0.4</v>
      </c>
      <c r="O204" s="14"/>
      <c r="P204" s="14"/>
      <c r="Q204" s="15"/>
      <c r="R204" s="15">
        <f>Tabla13[[#This Row],[Uso y acceso Oct/2024]]</f>
        <v>0.8</v>
      </c>
      <c r="S204" s="15">
        <f>Tabla58[[#This Row],[Integración Oct/2024]]</f>
        <v>0</v>
      </c>
      <c r="T204" s="16">
        <f>AVERAGE(Tabla4[[#This Row],[Creación y captura Oct/2024]:[Compartición e Interoperabilidad Oct/2024]])</f>
        <v>0.4</v>
      </c>
      <c r="U204" s="14"/>
      <c r="V204" s="14"/>
      <c r="W204" s="15"/>
      <c r="X204" s="15">
        <f>Tabla13[[#This Row],[Uso y acceso Nov/2024]]</f>
        <v>0.8</v>
      </c>
      <c r="Y204" s="15">
        <f>Tabla58[[#This Row],[Integración Nov/2024]]</f>
        <v>0</v>
      </c>
      <c r="Z204" s="16">
        <f>AVERAGE(Tabla4[[#This Row],[Creación y captura Nov/2024]:[Compartición e Interoperabilidad Nov/2024]])</f>
        <v>0.4</v>
      </c>
      <c r="AA204" s="14"/>
      <c r="AB204" s="14"/>
      <c r="AC204" s="15"/>
      <c r="AD204" s="15">
        <f>Tabla13[[#This Row],[Uso y acceso Dic/2024]]</f>
        <v>0.8</v>
      </c>
      <c r="AE204" s="15">
        <f>Tabla58[[#This Row],[Integración Dic/2024]]</f>
        <v>0</v>
      </c>
      <c r="AF204" s="16">
        <f>AVERAGE(Tabla4[[#This Row],[Creación y captura Dic/2024]:[Compartición e Interoperabilidad Dic/2024]])</f>
        <v>0.4</v>
      </c>
      <c r="AG204" s="14"/>
      <c r="AH204" s="14"/>
      <c r="AI204" s="15"/>
      <c r="AJ204" s="15">
        <f>Tabla13[[#This Row],[Uso y acceso Ene/2025]]</f>
        <v>0.8</v>
      </c>
      <c r="AK204" s="15">
        <f>Tabla58[[#This Row],[Integración Ene/2025]]</f>
        <v>0</v>
      </c>
      <c r="AL204" s="16">
        <f>AVERAGE(Tabla4[[#This Row],[Creación y captura Ene/2025]:[Compartición e Interoperabilidad Ene/2025]])</f>
        <v>0.4</v>
      </c>
      <c r="AM204" s="14"/>
      <c r="AN204" s="14"/>
      <c r="AO204" s="15"/>
      <c r="AP204" s="15">
        <f>Tabla13[[#This Row],[Uso y acceso Feb/2025]]</f>
        <v>0.8</v>
      </c>
      <c r="AQ204" s="15">
        <f>Tabla58[[#This Row],[Integración Feb/2025]]</f>
        <v>0</v>
      </c>
      <c r="AR204" s="16">
        <f>AVERAGE(Tabla4[[#This Row],[Creación y captura Feb/2025]:[Compartición e Interoperabilidad Feb/2025]])</f>
        <v>0.4</v>
      </c>
      <c r="AS204" s="14"/>
      <c r="AT204" s="14"/>
      <c r="AU204" s="15"/>
      <c r="AV204" s="15">
        <f>Tabla13[[#This Row],[Uso y acceso Mar/2025]]</f>
        <v>0.8</v>
      </c>
      <c r="AW204" s="15">
        <f>Tabla58[[#This Row],[Integración Mar/2025]]</f>
        <v>0</v>
      </c>
      <c r="AX204" s="16">
        <f>AVERAGE(Tabla4[[#This Row],[Creación y captura Mar/2025]:[Compartición e Interoperabilidad Mar/2025]])</f>
        <v>0.4</v>
      </c>
      <c r="AY204" s="14"/>
      <c r="AZ204" s="14"/>
      <c r="BA204" s="15"/>
      <c r="BB204" s="15">
        <f>Tabla13[[#This Row],[Uso y acceso Abr/2025]]</f>
        <v>0.8</v>
      </c>
      <c r="BC204" s="15">
        <f>Tabla58[[#This Row],[Integración Abr/2025]]</f>
        <v>0</v>
      </c>
      <c r="BD204" s="16">
        <f>AVERAGE(Tabla4[[#This Row],[Creación y captura Abr/2025]:[Compartición e Interoperabilidad Abr/2025]])</f>
        <v>0.4</v>
      </c>
      <c r="BE204" s="14"/>
      <c r="BF204" s="14"/>
      <c r="BG204" s="15"/>
      <c r="BH204" s="15">
        <f>Tabla13[[#This Row],[Uso y acceso May/2025]]</f>
        <v>1</v>
      </c>
      <c r="BI204" s="15">
        <f>Tabla58[[#This Row],[Integración May/2025]]</f>
        <v>0</v>
      </c>
      <c r="BJ204" s="16">
        <f>AVERAGE(Tabla4[[#This Row],[Creación y captura May/2025]:[Compartición e Interoperabilidad May/2025]])</f>
        <v>0.5</v>
      </c>
      <c r="BK204" s="14"/>
      <c r="BL204" s="14"/>
      <c r="BM204" s="14">
        <f>AVERAGE('Calidad de Datos'!AQ208:AT208)</f>
        <v>0.95</v>
      </c>
      <c r="BN204" s="14">
        <f>Tabla13[[#This Row],[Uso y acceso Dic/2025]]</f>
        <v>1</v>
      </c>
      <c r="BO204" s="14">
        <f>Tabla58[[#This Row],[Integración Dic/2025]]</f>
        <v>0.8</v>
      </c>
      <c r="BP204" s="16">
        <f>AVERAGE(Tabla4[[#This Row],[Creación y captura Dic/2025]:[Compartición e Interoperabilidad Dic/2025]])</f>
        <v>0.91666666666666663</v>
      </c>
    </row>
    <row r="205" spans="2:68" x14ac:dyDescent="0.4">
      <c r="B205" s="1" t="s">
        <v>256</v>
      </c>
      <c r="C205" s="14"/>
      <c r="D205" s="14"/>
      <c r="E205" s="14"/>
      <c r="F205" s="14">
        <f>Tabla13[[#This Row],[Uso y acceso Ago/2024]]</f>
        <v>0.8</v>
      </c>
      <c r="G205" s="15">
        <f>Tabla58[[#This Row],[Integración Ago/2024]]</f>
        <v>0</v>
      </c>
      <c r="H205" s="16">
        <f>AVERAGE(Tabla4[[#This Row],[Creación y captura Ago/2024]:[Compartición e Interoperabilidad Ago/2024]])</f>
        <v>0.4</v>
      </c>
      <c r="I205" s="14"/>
      <c r="J205" s="14"/>
      <c r="K205" s="15"/>
      <c r="L205" s="15">
        <f>Tabla13[[#This Row],[Uso y acceso Sep/2024]]</f>
        <v>0.8</v>
      </c>
      <c r="M205" s="15">
        <f>Tabla58[[#This Row],[Integración Sep/2024]]</f>
        <v>0</v>
      </c>
      <c r="N205" s="16">
        <f>AVERAGE(Tabla4[[#This Row],[Creación y captura Sep/2024]:[Compartición e Interoperabilidad Sep/2024]])</f>
        <v>0.4</v>
      </c>
      <c r="O205" s="14"/>
      <c r="P205" s="14"/>
      <c r="Q205" s="15"/>
      <c r="R205" s="15">
        <f>Tabla13[[#This Row],[Uso y acceso Oct/2024]]</f>
        <v>0.8</v>
      </c>
      <c r="S205" s="15">
        <f>Tabla58[[#This Row],[Integración Oct/2024]]</f>
        <v>0</v>
      </c>
      <c r="T205" s="16">
        <f>AVERAGE(Tabla4[[#This Row],[Creación y captura Oct/2024]:[Compartición e Interoperabilidad Oct/2024]])</f>
        <v>0.4</v>
      </c>
      <c r="U205" s="14"/>
      <c r="V205" s="14"/>
      <c r="W205" s="15"/>
      <c r="X205" s="15">
        <f>Tabla13[[#This Row],[Uso y acceso Nov/2024]]</f>
        <v>0.8</v>
      </c>
      <c r="Y205" s="15">
        <f>Tabla58[[#This Row],[Integración Nov/2024]]</f>
        <v>0</v>
      </c>
      <c r="Z205" s="16">
        <f>AVERAGE(Tabla4[[#This Row],[Creación y captura Nov/2024]:[Compartición e Interoperabilidad Nov/2024]])</f>
        <v>0.4</v>
      </c>
      <c r="AA205" s="14"/>
      <c r="AB205" s="14"/>
      <c r="AC205" s="15"/>
      <c r="AD205" s="15">
        <f>Tabla13[[#This Row],[Uso y acceso Dic/2024]]</f>
        <v>0.8</v>
      </c>
      <c r="AE205" s="15">
        <f>Tabla58[[#This Row],[Integración Dic/2024]]</f>
        <v>0</v>
      </c>
      <c r="AF205" s="16">
        <f>AVERAGE(Tabla4[[#This Row],[Creación y captura Dic/2024]:[Compartición e Interoperabilidad Dic/2024]])</f>
        <v>0.4</v>
      </c>
      <c r="AG205" s="14"/>
      <c r="AH205" s="14"/>
      <c r="AI205" s="15"/>
      <c r="AJ205" s="15">
        <f>Tabla13[[#This Row],[Uso y acceso Ene/2025]]</f>
        <v>0.8</v>
      </c>
      <c r="AK205" s="15">
        <f>Tabla58[[#This Row],[Integración Ene/2025]]</f>
        <v>0</v>
      </c>
      <c r="AL205" s="16">
        <f>AVERAGE(Tabla4[[#This Row],[Creación y captura Ene/2025]:[Compartición e Interoperabilidad Ene/2025]])</f>
        <v>0.4</v>
      </c>
      <c r="AM205" s="14"/>
      <c r="AN205" s="14"/>
      <c r="AO205" s="15"/>
      <c r="AP205" s="15">
        <f>Tabla13[[#This Row],[Uso y acceso Feb/2025]]</f>
        <v>0.8</v>
      </c>
      <c r="AQ205" s="15">
        <f>Tabla58[[#This Row],[Integración Feb/2025]]</f>
        <v>0</v>
      </c>
      <c r="AR205" s="16">
        <f>AVERAGE(Tabla4[[#This Row],[Creación y captura Feb/2025]:[Compartición e Interoperabilidad Feb/2025]])</f>
        <v>0.4</v>
      </c>
      <c r="AS205" s="14"/>
      <c r="AT205" s="14"/>
      <c r="AU205" s="15"/>
      <c r="AV205" s="15">
        <f>Tabla13[[#This Row],[Uso y acceso Mar/2025]]</f>
        <v>0.8</v>
      </c>
      <c r="AW205" s="15">
        <f>Tabla58[[#This Row],[Integración Mar/2025]]</f>
        <v>0</v>
      </c>
      <c r="AX205" s="16">
        <f>AVERAGE(Tabla4[[#This Row],[Creación y captura Mar/2025]:[Compartición e Interoperabilidad Mar/2025]])</f>
        <v>0.4</v>
      </c>
      <c r="AY205" s="14"/>
      <c r="AZ205" s="14"/>
      <c r="BA205" s="15"/>
      <c r="BB205" s="15">
        <f>Tabla13[[#This Row],[Uso y acceso Abr/2025]]</f>
        <v>0.8</v>
      </c>
      <c r="BC205" s="15">
        <f>Tabla58[[#This Row],[Integración Abr/2025]]</f>
        <v>0</v>
      </c>
      <c r="BD205" s="16">
        <f>AVERAGE(Tabla4[[#This Row],[Creación y captura Abr/2025]:[Compartición e Interoperabilidad Abr/2025]])</f>
        <v>0.4</v>
      </c>
      <c r="BE205" s="14"/>
      <c r="BF205" s="14"/>
      <c r="BG205" s="15"/>
      <c r="BH205" s="15">
        <f>Tabla13[[#This Row],[Uso y acceso May/2025]]</f>
        <v>1</v>
      </c>
      <c r="BI205" s="15">
        <f>Tabla58[[#This Row],[Integración May/2025]]</f>
        <v>0</v>
      </c>
      <c r="BJ205" s="16">
        <f>AVERAGE(Tabla4[[#This Row],[Creación y captura May/2025]:[Compartición e Interoperabilidad May/2025]])</f>
        <v>0.5</v>
      </c>
      <c r="BK205" s="14"/>
      <c r="BL205" s="14"/>
      <c r="BM205" s="14">
        <f>AVERAGE('Calidad de Datos'!AQ209:AT209)</f>
        <v>0.6</v>
      </c>
      <c r="BN205" s="14">
        <f>Tabla13[[#This Row],[Uso y acceso Dic/2025]]</f>
        <v>1</v>
      </c>
      <c r="BO205" s="14">
        <f>Tabla58[[#This Row],[Integración Dic/2025]]</f>
        <v>0.4</v>
      </c>
      <c r="BP205" s="16">
        <f>AVERAGE(Tabla4[[#This Row],[Creación y captura Dic/2025]:[Compartición e Interoperabilidad Dic/2025]])</f>
        <v>0.66666666666666663</v>
      </c>
    </row>
    <row r="206" spans="2:68" x14ac:dyDescent="0.4">
      <c r="B206" s="1" t="s">
        <v>257</v>
      </c>
      <c r="C206" s="14"/>
      <c r="D206" s="14"/>
      <c r="E206" s="14"/>
      <c r="F206" s="14">
        <f>Tabla13[[#This Row],[Uso y acceso Ago/2024]]</f>
        <v>1</v>
      </c>
      <c r="G206" s="15">
        <f>Tabla58[[#This Row],[Integración Ago/2024]]</f>
        <v>0</v>
      </c>
      <c r="H206" s="16">
        <f>AVERAGE(Tabla4[[#This Row],[Creación y captura Ago/2024]:[Compartición e Interoperabilidad Ago/2024]])</f>
        <v>0.5</v>
      </c>
      <c r="I206" s="14"/>
      <c r="J206" s="14"/>
      <c r="K206" s="15"/>
      <c r="L206" s="15">
        <f>Tabla13[[#This Row],[Uso y acceso Sep/2024]]</f>
        <v>1</v>
      </c>
      <c r="M206" s="15">
        <f>Tabla58[[#This Row],[Integración Sep/2024]]</f>
        <v>0</v>
      </c>
      <c r="N206" s="16">
        <f>AVERAGE(Tabla4[[#This Row],[Creación y captura Sep/2024]:[Compartición e Interoperabilidad Sep/2024]])</f>
        <v>0.5</v>
      </c>
      <c r="O206" s="14"/>
      <c r="P206" s="14"/>
      <c r="Q206" s="15"/>
      <c r="R206" s="15">
        <f>Tabla13[[#This Row],[Uso y acceso Oct/2024]]</f>
        <v>1</v>
      </c>
      <c r="S206" s="15">
        <f>Tabla58[[#This Row],[Integración Oct/2024]]</f>
        <v>0</v>
      </c>
      <c r="T206" s="16">
        <f>AVERAGE(Tabla4[[#This Row],[Creación y captura Oct/2024]:[Compartición e Interoperabilidad Oct/2024]])</f>
        <v>0.5</v>
      </c>
      <c r="U206" s="14"/>
      <c r="V206" s="14"/>
      <c r="W206" s="15"/>
      <c r="X206" s="15">
        <f>Tabla13[[#This Row],[Uso y acceso Nov/2024]]</f>
        <v>1</v>
      </c>
      <c r="Y206" s="15">
        <f>Tabla58[[#This Row],[Integración Nov/2024]]</f>
        <v>0</v>
      </c>
      <c r="Z206" s="16">
        <f>AVERAGE(Tabla4[[#This Row],[Creación y captura Nov/2024]:[Compartición e Interoperabilidad Nov/2024]])</f>
        <v>0.5</v>
      </c>
      <c r="AA206" s="14"/>
      <c r="AB206" s="14"/>
      <c r="AC206" s="15"/>
      <c r="AD206" s="15">
        <f>Tabla13[[#This Row],[Uso y acceso Dic/2024]]</f>
        <v>1</v>
      </c>
      <c r="AE206" s="15">
        <f>Tabla58[[#This Row],[Integración Dic/2024]]</f>
        <v>0</v>
      </c>
      <c r="AF206" s="16">
        <f>AVERAGE(Tabla4[[#This Row],[Creación y captura Dic/2024]:[Compartición e Interoperabilidad Dic/2024]])</f>
        <v>0.5</v>
      </c>
      <c r="AG206" s="14"/>
      <c r="AH206" s="14"/>
      <c r="AI206" s="15"/>
      <c r="AJ206" s="15">
        <f>Tabla13[[#This Row],[Uso y acceso Ene/2025]]</f>
        <v>1</v>
      </c>
      <c r="AK206" s="15">
        <f>Tabla58[[#This Row],[Integración Ene/2025]]</f>
        <v>0</v>
      </c>
      <c r="AL206" s="16">
        <f>AVERAGE(Tabla4[[#This Row],[Creación y captura Ene/2025]:[Compartición e Interoperabilidad Ene/2025]])</f>
        <v>0.5</v>
      </c>
      <c r="AM206" s="14"/>
      <c r="AN206" s="14"/>
      <c r="AO206" s="15"/>
      <c r="AP206" s="15">
        <f>Tabla13[[#This Row],[Uso y acceso Feb/2025]]</f>
        <v>1</v>
      </c>
      <c r="AQ206" s="15">
        <f>Tabla58[[#This Row],[Integración Feb/2025]]</f>
        <v>0</v>
      </c>
      <c r="AR206" s="16">
        <f>AVERAGE(Tabla4[[#This Row],[Creación y captura Feb/2025]:[Compartición e Interoperabilidad Feb/2025]])</f>
        <v>0.5</v>
      </c>
      <c r="AS206" s="14"/>
      <c r="AT206" s="14"/>
      <c r="AU206" s="15"/>
      <c r="AV206" s="15">
        <f>Tabla13[[#This Row],[Uso y acceso Mar/2025]]</f>
        <v>1</v>
      </c>
      <c r="AW206" s="15">
        <f>Tabla58[[#This Row],[Integración Mar/2025]]</f>
        <v>0</v>
      </c>
      <c r="AX206" s="16">
        <f>AVERAGE(Tabla4[[#This Row],[Creación y captura Mar/2025]:[Compartición e Interoperabilidad Mar/2025]])</f>
        <v>0.5</v>
      </c>
      <c r="AY206" s="14"/>
      <c r="AZ206" s="14"/>
      <c r="BA206" s="15"/>
      <c r="BB206" s="15">
        <f>Tabla13[[#This Row],[Uso y acceso Abr/2025]]</f>
        <v>1</v>
      </c>
      <c r="BC206" s="15">
        <f>Tabla58[[#This Row],[Integración Abr/2025]]</f>
        <v>0</v>
      </c>
      <c r="BD206" s="16">
        <f>AVERAGE(Tabla4[[#This Row],[Creación y captura Abr/2025]:[Compartición e Interoperabilidad Abr/2025]])</f>
        <v>0.5</v>
      </c>
      <c r="BE206" s="14"/>
      <c r="BF206" s="14"/>
      <c r="BG206" s="15"/>
      <c r="BH206" s="15">
        <f>Tabla13[[#This Row],[Uso y acceso May/2025]]</f>
        <v>1</v>
      </c>
      <c r="BI206" s="15">
        <f>Tabla58[[#This Row],[Integración May/2025]]</f>
        <v>0</v>
      </c>
      <c r="BJ206" s="16">
        <f>AVERAGE(Tabla4[[#This Row],[Creación y captura May/2025]:[Compartición e Interoperabilidad May/2025]])</f>
        <v>0.5</v>
      </c>
      <c r="BK206" s="14"/>
      <c r="BL206" s="14"/>
      <c r="BM206" s="14">
        <f>AVERAGE('Calidad de Datos'!AQ210:AT210)</f>
        <v>0.6</v>
      </c>
      <c r="BN206" s="14">
        <f>Tabla13[[#This Row],[Uso y acceso Dic/2025]]</f>
        <v>1</v>
      </c>
      <c r="BO206" s="14">
        <f>Tabla58[[#This Row],[Integración Dic/2025]]</f>
        <v>0.4</v>
      </c>
      <c r="BP206" s="16">
        <f>AVERAGE(Tabla4[[#This Row],[Creación y captura Dic/2025]:[Compartición e Interoperabilidad Dic/2025]])</f>
        <v>0.66666666666666663</v>
      </c>
    </row>
    <row r="207" spans="2:68" x14ac:dyDescent="0.4">
      <c r="B207" s="1" t="s">
        <v>258</v>
      </c>
      <c r="C207" s="14"/>
      <c r="D207" s="14"/>
      <c r="E207" s="14"/>
      <c r="F207" s="14">
        <f>Tabla13[[#This Row],[Uso y acceso Ago/2024]]</f>
        <v>1</v>
      </c>
      <c r="G207" s="15">
        <f>Tabla58[[#This Row],[Integración Ago/2024]]</f>
        <v>0</v>
      </c>
      <c r="H207" s="16">
        <f>AVERAGE(Tabla4[[#This Row],[Creación y captura Ago/2024]:[Compartición e Interoperabilidad Ago/2024]])</f>
        <v>0.5</v>
      </c>
      <c r="I207" s="14"/>
      <c r="J207" s="14"/>
      <c r="K207" s="15"/>
      <c r="L207" s="15">
        <f>Tabla13[[#This Row],[Uso y acceso Sep/2024]]</f>
        <v>1</v>
      </c>
      <c r="M207" s="15">
        <f>Tabla58[[#This Row],[Integración Sep/2024]]</f>
        <v>0</v>
      </c>
      <c r="N207" s="16">
        <f>AVERAGE(Tabla4[[#This Row],[Creación y captura Sep/2024]:[Compartición e Interoperabilidad Sep/2024]])</f>
        <v>0.5</v>
      </c>
      <c r="O207" s="14"/>
      <c r="P207" s="14"/>
      <c r="Q207" s="15"/>
      <c r="R207" s="15">
        <f>Tabla13[[#This Row],[Uso y acceso Oct/2024]]</f>
        <v>1</v>
      </c>
      <c r="S207" s="15">
        <f>Tabla58[[#This Row],[Integración Oct/2024]]</f>
        <v>0</v>
      </c>
      <c r="T207" s="16">
        <f>AVERAGE(Tabla4[[#This Row],[Creación y captura Oct/2024]:[Compartición e Interoperabilidad Oct/2024]])</f>
        <v>0.5</v>
      </c>
      <c r="U207" s="14"/>
      <c r="V207" s="14"/>
      <c r="W207" s="15"/>
      <c r="X207" s="15">
        <f>Tabla13[[#This Row],[Uso y acceso Nov/2024]]</f>
        <v>1</v>
      </c>
      <c r="Y207" s="15">
        <f>Tabla58[[#This Row],[Integración Nov/2024]]</f>
        <v>0</v>
      </c>
      <c r="Z207" s="16">
        <f>AVERAGE(Tabla4[[#This Row],[Creación y captura Nov/2024]:[Compartición e Interoperabilidad Nov/2024]])</f>
        <v>0.5</v>
      </c>
      <c r="AA207" s="14"/>
      <c r="AB207" s="14"/>
      <c r="AC207" s="15"/>
      <c r="AD207" s="15">
        <f>Tabla13[[#This Row],[Uso y acceso Dic/2024]]</f>
        <v>1</v>
      </c>
      <c r="AE207" s="15">
        <f>Tabla58[[#This Row],[Integración Dic/2024]]</f>
        <v>0</v>
      </c>
      <c r="AF207" s="16">
        <f>AVERAGE(Tabla4[[#This Row],[Creación y captura Dic/2024]:[Compartición e Interoperabilidad Dic/2024]])</f>
        <v>0.5</v>
      </c>
      <c r="AG207" s="14"/>
      <c r="AH207" s="14"/>
      <c r="AI207" s="15"/>
      <c r="AJ207" s="15">
        <f>Tabla13[[#This Row],[Uso y acceso Ene/2025]]</f>
        <v>1</v>
      </c>
      <c r="AK207" s="15">
        <f>Tabla58[[#This Row],[Integración Ene/2025]]</f>
        <v>0</v>
      </c>
      <c r="AL207" s="16">
        <f>AVERAGE(Tabla4[[#This Row],[Creación y captura Ene/2025]:[Compartición e Interoperabilidad Ene/2025]])</f>
        <v>0.5</v>
      </c>
      <c r="AM207" s="14"/>
      <c r="AN207" s="14"/>
      <c r="AO207" s="15"/>
      <c r="AP207" s="15">
        <f>Tabla13[[#This Row],[Uso y acceso Feb/2025]]</f>
        <v>1</v>
      </c>
      <c r="AQ207" s="15">
        <f>Tabla58[[#This Row],[Integración Feb/2025]]</f>
        <v>0</v>
      </c>
      <c r="AR207" s="16">
        <f>AVERAGE(Tabla4[[#This Row],[Creación y captura Feb/2025]:[Compartición e Interoperabilidad Feb/2025]])</f>
        <v>0.5</v>
      </c>
      <c r="AS207" s="14"/>
      <c r="AT207" s="14"/>
      <c r="AU207" s="15"/>
      <c r="AV207" s="15">
        <f>Tabla13[[#This Row],[Uso y acceso Mar/2025]]</f>
        <v>1</v>
      </c>
      <c r="AW207" s="15">
        <f>Tabla58[[#This Row],[Integración Mar/2025]]</f>
        <v>0</v>
      </c>
      <c r="AX207" s="16">
        <f>AVERAGE(Tabla4[[#This Row],[Creación y captura Mar/2025]:[Compartición e Interoperabilidad Mar/2025]])</f>
        <v>0.5</v>
      </c>
      <c r="AY207" s="14"/>
      <c r="AZ207" s="14"/>
      <c r="BA207" s="15"/>
      <c r="BB207" s="15">
        <f>Tabla13[[#This Row],[Uso y acceso Abr/2025]]</f>
        <v>1</v>
      </c>
      <c r="BC207" s="15">
        <f>Tabla58[[#This Row],[Integración Abr/2025]]</f>
        <v>0</v>
      </c>
      <c r="BD207" s="16">
        <f>AVERAGE(Tabla4[[#This Row],[Creación y captura Abr/2025]:[Compartición e Interoperabilidad Abr/2025]])</f>
        <v>0.5</v>
      </c>
      <c r="BE207" s="14"/>
      <c r="BF207" s="14"/>
      <c r="BG207" s="15"/>
      <c r="BH207" s="15">
        <f>Tabla13[[#This Row],[Uso y acceso May/2025]]</f>
        <v>1</v>
      </c>
      <c r="BI207" s="15">
        <f>Tabla58[[#This Row],[Integración May/2025]]</f>
        <v>0</v>
      </c>
      <c r="BJ207" s="16">
        <f>AVERAGE(Tabla4[[#This Row],[Creación y captura May/2025]:[Compartición e Interoperabilidad May/2025]])</f>
        <v>0.5</v>
      </c>
      <c r="BK207" s="14"/>
      <c r="BL207" s="14"/>
      <c r="BM207" s="14">
        <f>AVERAGE('Calidad de Datos'!AQ211:AT211)</f>
        <v>0.6</v>
      </c>
      <c r="BN207" s="14">
        <f>Tabla13[[#This Row],[Uso y acceso Dic/2025]]</f>
        <v>1</v>
      </c>
      <c r="BO207" s="14">
        <f>Tabla58[[#This Row],[Integración Dic/2025]]</f>
        <v>0.4</v>
      </c>
      <c r="BP207" s="16">
        <f>AVERAGE(Tabla4[[#This Row],[Creación y captura Dic/2025]:[Compartición e Interoperabilidad Dic/2025]])</f>
        <v>0.66666666666666663</v>
      </c>
    </row>
    <row r="208" spans="2:68" x14ac:dyDescent="0.4">
      <c r="B208" s="1" t="s">
        <v>259</v>
      </c>
      <c r="C208" s="14"/>
      <c r="D208" s="14"/>
      <c r="E208" s="14"/>
      <c r="F208" s="14">
        <f>Tabla13[[#This Row],[Uso y acceso Ago/2024]]</f>
        <v>1</v>
      </c>
      <c r="G208" s="15">
        <f>Tabla58[[#This Row],[Integración Ago/2024]]</f>
        <v>0</v>
      </c>
      <c r="H208" s="16">
        <f>AVERAGE(Tabla4[[#This Row],[Creación y captura Ago/2024]:[Compartición e Interoperabilidad Ago/2024]])</f>
        <v>0.5</v>
      </c>
      <c r="I208" s="14"/>
      <c r="J208" s="14"/>
      <c r="K208" s="15"/>
      <c r="L208" s="15">
        <f>Tabla13[[#This Row],[Uso y acceso Sep/2024]]</f>
        <v>1</v>
      </c>
      <c r="M208" s="15">
        <f>Tabla58[[#This Row],[Integración Sep/2024]]</f>
        <v>0</v>
      </c>
      <c r="N208" s="16">
        <f>AVERAGE(Tabla4[[#This Row],[Creación y captura Sep/2024]:[Compartición e Interoperabilidad Sep/2024]])</f>
        <v>0.5</v>
      </c>
      <c r="O208" s="14"/>
      <c r="P208" s="14"/>
      <c r="Q208" s="15"/>
      <c r="R208" s="15">
        <f>Tabla13[[#This Row],[Uso y acceso Oct/2024]]</f>
        <v>1</v>
      </c>
      <c r="S208" s="15">
        <f>Tabla58[[#This Row],[Integración Oct/2024]]</f>
        <v>0</v>
      </c>
      <c r="T208" s="16">
        <f>AVERAGE(Tabla4[[#This Row],[Creación y captura Oct/2024]:[Compartición e Interoperabilidad Oct/2024]])</f>
        <v>0.5</v>
      </c>
      <c r="U208" s="14"/>
      <c r="V208" s="14"/>
      <c r="W208" s="15"/>
      <c r="X208" s="15">
        <f>Tabla13[[#This Row],[Uso y acceso Nov/2024]]</f>
        <v>1</v>
      </c>
      <c r="Y208" s="15">
        <f>Tabla58[[#This Row],[Integración Nov/2024]]</f>
        <v>0</v>
      </c>
      <c r="Z208" s="16">
        <f>AVERAGE(Tabla4[[#This Row],[Creación y captura Nov/2024]:[Compartición e Interoperabilidad Nov/2024]])</f>
        <v>0.5</v>
      </c>
      <c r="AA208" s="14"/>
      <c r="AB208" s="14"/>
      <c r="AC208" s="15"/>
      <c r="AD208" s="15">
        <f>Tabla13[[#This Row],[Uso y acceso Dic/2024]]</f>
        <v>1</v>
      </c>
      <c r="AE208" s="15">
        <f>Tabla58[[#This Row],[Integración Dic/2024]]</f>
        <v>0</v>
      </c>
      <c r="AF208" s="16">
        <f>AVERAGE(Tabla4[[#This Row],[Creación y captura Dic/2024]:[Compartición e Interoperabilidad Dic/2024]])</f>
        <v>0.5</v>
      </c>
      <c r="AG208" s="14"/>
      <c r="AH208" s="14"/>
      <c r="AI208" s="15"/>
      <c r="AJ208" s="15">
        <f>Tabla13[[#This Row],[Uso y acceso Ene/2025]]</f>
        <v>1</v>
      </c>
      <c r="AK208" s="15">
        <f>Tabla58[[#This Row],[Integración Ene/2025]]</f>
        <v>0</v>
      </c>
      <c r="AL208" s="16">
        <f>AVERAGE(Tabla4[[#This Row],[Creación y captura Ene/2025]:[Compartición e Interoperabilidad Ene/2025]])</f>
        <v>0.5</v>
      </c>
      <c r="AM208" s="14"/>
      <c r="AN208" s="14"/>
      <c r="AO208" s="15"/>
      <c r="AP208" s="15">
        <f>Tabla13[[#This Row],[Uso y acceso Feb/2025]]</f>
        <v>1</v>
      </c>
      <c r="AQ208" s="15">
        <f>Tabla58[[#This Row],[Integración Feb/2025]]</f>
        <v>0</v>
      </c>
      <c r="AR208" s="16">
        <f>AVERAGE(Tabla4[[#This Row],[Creación y captura Feb/2025]:[Compartición e Interoperabilidad Feb/2025]])</f>
        <v>0.5</v>
      </c>
      <c r="AS208" s="14"/>
      <c r="AT208" s="14"/>
      <c r="AU208" s="15"/>
      <c r="AV208" s="15">
        <f>Tabla13[[#This Row],[Uso y acceso Mar/2025]]</f>
        <v>1</v>
      </c>
      <c r="AW208" s="15">
        <f>Tabla58[[#This Row],[Integración Mar/2025]]</f>
        <v>0</v>
      </c>
      <c r="AX208" s="16">
        <f>AVERAGE(Tabla4[[#This Row],[Creación y captura Mar/2025]:[Compartición e Interoperabilidad Mar/2025]])</f>
        <v>0.5</v>
      </c>
      <c r="AY208" s="14"/>
      <c r="AZ208" s="14"/>
      <c r="BA208" s="15"/>
      <c r="BB208" s="15">
        <f>Tabla13[[#This Row],[Uso y acceso Abr/2025]]</f>
        <v>1</v>
      </c>
      <c r="BC208" s="15">
        <f>Tabla58[[#This Row],[Integración Abr/2025]]</f>
        <v>0</v>
      </c>
      <c r="BD208" s="16">
        <f>AVERAGE(Tabla4[[#This Row],[Creación y captura Abr/2025]:[Compartición e Interoperabilidad Abr/2025]])</f>
        <v>0.5</v>
      </c>
      <c r="BE208" s="14"/>
      <c r="BF208" s="14"/>
      <c r="BG208" s="15"/>
      <c r="BH208" s="15">
        <f>Tabla13[[#This Row],[Uso y acceso May/2025]]</f>
        <v>1</v>
      </c>
      <c r="BI208" s="15">
        <f>Tabla58[[#This Row],[Integración May/2025]]</f>
        <v>0</v>
      </c>
      <c r="BJ208" s="16">
        <f>AVERAGE(Tabla4[[#This Row],[Creación y captura May/2025]:[Compartición e Interoperabilidad May/2025]])</f>
        <v>0.5</v>
      </c>
      <c r="BK208" s="14"/>
      <c r="BL208" s="14"/>
      <c r="BM208" s="14">
        <f>AVERAGE('Calidad de Datos'!AQ212:AT212)</f>
        <v>0.6</v>
      </c>
      <c r="BN208" s="14">
        <f>Tabla13[[#This Row],[Uso y acceso Dic/2025]]</f>
        <v>1</v>
      </c>
      <c r="BO208" s="14">
        <f>Tabla58[[#This Row],[Integración Dic/2025]]</f>
        <v>0.4</v>
      </c>
      <c r="BP208" s="16">
        <f>AVERAGE(Tabla4[[#This Row],[Creación y captura Dic/2025]:[Compartición e Interoperabilidad Dic/2025]])</f>
        <v>0.66666666666666663</v>
      </c>
    </row>
    <row r="209" spans="2:68" x14ac:dyDescent="0.4">
      <c r="B209" s="1" t="s">
        <v>260</v>
      </c>
      <c r="C209" s="14"/>
      <c r="D209" s="14"/>
      <c r="E209" s="14"/>
      <c r="F209" s="14">
        <f>Tabla13[[#This Row],[Uso y acceso Ago/2024]]</f>
        <v>1</v>
      </c>
      <c r="G209" s="15">
        <f>Tabla58[[#This Row],[Integración Ago/2024]]</f>
        <v>0</v>
      </c>
      <c r="H209" s="16">
        <f>AVERAGE(Tabla4[[#This Row],[Creación y captura Ago/2024]:[Compartición e Interoperabilidad Ago/2024]])</f>
        <v>0.5</v>
      </c>
      <c r="I209" s="14"/>
      <c r="J209" s="14"/>
      <c r="K209" s="15"/>
      <c r="L209" s="15">
        <f>Tabla13[[#This Row],[Uso y acceso Sep/2024]]</f>
        <v>1</v>
      </c>
      <c r="M209" s="15">
        <f>Tabla58[[#This Row],[Integración Sep/2024]]</f>
        <v>0</v>
      </c>
      <c r="N209" s="16">
        <f>AVERAGE(Tabla4[[#This Row],[Creación y captura Sep/2024]:[Compartición e Interoperabilidad Sep/2024]])</f>
        <v>0.5</v>
      </c>
      <c r="O209" s="14"/>
      <c r="P209" s="14"/>
      <c r="Q209" s="15"/>
      <c r="R209" s="15">
        <f>Tabla13[[#This Row],[Uso y acceso Oct/2024]]</f>
        <v>1</v>
      </c>
      <c r="S209" s="15">
        <f>Tabla58[[#This Row],[Integración Oct/2024]]</f>
        <v>0</v>
      </c>
      <c r="T209" s="16">
        <f>AVERAGE(Tabla4[[#This Row],[Creación y captura Oct/2024]:[Compartición e Interoperabilidad Oct/2024]])</f>
        <v>0.5</v>
      </c>
      <c r="U209" s="14"/>
      <c r="V209" s="14"/>
      <c r="W209" s="15"/>
      <c r="X209" s="15">
        <f>Tabla13[[#This Row],[Uso y acceso Nov/2024]]</f>
        <v>1</v>
      </c>
      <c r="Y209" s="15">
        <f>Tabla58[[#This Row],[Integración Nov/2024]]</f>
        <v>0</v>
      </c>
      <c r="Z209" s="16">
        <f>AVERAGE(Tabla4[[#This Row],[Creación y captura Nov/2024]:[Compartición e Interoperabilidad Nov/2024]])</f>
        <v>0.5</v>
      </c>
      <c r="AA209" s="14"/>
      <c r="AB209" s="14"/>
      <c r="AC209" s="15"/>
      <c r="AD209" s="15">
        <f>Tabla13[[#This Row],[Uso y acceso Dic/2024]]</f>
        <v>1</v>
      </c>
      <c r="AE209" s="15">
        <f>Tabla58[[#This Row],[Integración Dic/2024]]</f>
        <v>0</v>
      </c>
      <c r="AF209" s="16">
        <f>AVERAGE(Tabla4[[#This Row],[Creación y captura Dic/2024]:[Compartición e Interoperabilidad Dic/2024]])</f>
        <v>0.5</v>
      </c>
      <c r="AG209" s="14"/>
      <c r="AH209" s="14"/>
      <c r="AI209" s="15"/>
      <c r="AJ209" s="15">
        <f>Tabla13[[#This Row],[Uso y acceso Ene/2025]]</f>
        <v>1</v>
      </c>
      <c r="AK209" s="15">
        <f>Tabla58[[#This Row],[Integración Ene/2025]]</f>
        <v>0</v>
      </c>
      <c r="AL209" s="16">
        <f>AVERAGE(Tabla4[[#This Row],[Creación y captura Ene/2025]:[Compartición e Interoperabilidad Ene/2025]])</f>
        <v>0.5</v>
      </c>
      <c r="AM209" s="14"/>
      <c r="AN209" s="14"/>
      <c r="AO209" s="15"/>
      <c r="AP209" s="15">
        <f>Tabla13[[#This Row],[Uso y acceso Feb/2025]]</f>
        <v>1</v>
      </c>
      <c r="AQ209" s="15">
        <f>Tabla58[[#This Row],[Integración Feb/2025]]</f>
        <v>0</v>
      </c>
      <c r="AR209" s="16">
        <f>AVERAGE(Tabla4[[#This Row],[Creación y captura Feb/2025]:[Compartición e Interoperabilidad Feb/2025]])</f>
        <v>0.5</v>
      </c>
      <c r="AS209" s="14"/>
      <c r="AT209" s="14"/>
      <c r="AU209" s="15"/>
      <c r="AV209" s="15">
        <f>Tabla13[[#This Row],[Uso y acceso Mar/2025]]</f>
        <v>1</v>
      </c>
      <c r="AW209" s="15">
        <f>Tabla58[[#This Row],[Integración Mar/2025]]</f>
        <v>0</v>
      </c>
      <c r="AX209" s="16">
        <f>AVERAGE(Tabla4[[#This Row],[Creación y captura Mar/2025]:[Compartición e Interoperabilidad Mar/2025]])</f>
        <v>0.5</v>
      </c>
      <c r="AY209" s="14"/>
      <c r="AZ209" s="14"/>
      <c r="BA209" s="15"/>
      <c r="BB209" s="15">
        <f>Tabla13[[#This Row],[Uso y acceso Abr/2025]]</f>
        <v>1</v>
      </c>
      <c r="BC209" s="15">
        <f>Tabla58[[#This Row],[Integración Abr/2025]]</f>
        <v>0</v>
      </c>
      <c r="BD209" s="16">
        <f>AVERAGE(Tabla4[[#This Row],[Creación y captura Abr/2025]:[Compartición e Interoperabilidad Abr/2025]])</f>
        <v>0.5</v>
      </c>
      <c r="BE209" s="14"/>
      <c r="BF209" s="14"/>
      <c r="BG209" s="15"/>
      <c r="BH209" s="15">
        <f>Tabla13[[#This Row],[Uso y acceso May/2025]]</f>
        <v>1</v>
      </c>
      <c r="BI209" s="15">
        <f>Tabla58[[#This Row],[Integración May/2025]]</f>
        <v>0</v>
      </c>
      <c r="BJ209" s="16">
        <f>AVERAGE(Tabla4[[#This Row],[Creación y captura May/2025]:[Compartición e Interoperabilidad May/2025]])</f>
        <v>0.5</v>
      </c>
      <c r="BK209" s="14"/>
      <c r="BL209" s="14"/>
      <c r="BM209" s="14">
        <f>AVERAGE('Calidad de Datos'!AQ213:AT213)</f>
        <v>0.6</v>
      </c>
      <c r="BN209" s="14">
        <f>Tabla13[[#This Row],[Uso y acceso Dic/2025]]</f>
        <v>1</v>
      </c>
      <c r="BO209" s="14">
        <f>Tabla58[[#This Row],[Integración Dic/2025]]</f>
        <v>0.4</v>
      </c>
      <c r="BP209" s="16">
        <f>AVERAGE(Tabla4[[#This Row],[Creación y captura Dic/2025]:[Compartición e Interoperabilidad Dic/2025]])</f>
        <v>0.66666666666666663</v>
      </c>
    </row>
    <row r="210" spans="2:68" x14ac:dyDescent="0.4">
      <c r="B210" s="1" t="s">
        <v>261</v>
      </c>
      <c r="C210" s="14"/>
      <c r="D210" s="14"/>
      <c r="E210" s="14"/>
      <c r="F210" s="14">
        <f>Tabla13[[#This Row],[Uso y acceso Ago/2024]]</f>
        <v>1</v>
      </c>
      <c r="G210" s="15">
        <f>Tabla58[[#This Row],[Integración Ago/2024]]</f>
        <v>0</v>
      </c>
      <c r="H210" s="16">
        <f>AVERAGE(Tabla4[[#This Row],[Creación y captura Ago/2024]:[Compartición e Interoperabilidad Ago/2024]])</f>
        <v>0.5</v>
      </c>
      <c r="I210" s="14"/>
      <c r="J210" s="14"/>
      <c r="K210" s="15"/>
      <c r="L210" s="15">
        <f>Tabla13[[#This Row],[Uso y acceso Sep/2024]]</f>
        <v>1</v>
      </c>
      <c r="M210" s="15">
        <f>Tabla58[[#This Row],[Integración Sep/2024]]</f>
        <v>0</v>
      </c>
      <c r="N210" s="16">
        <f>AVERAGE(Tabla4[[#This Row],[Creación y captura Sep/2024]:[Compartición e Interoperabilidad Sep/2024]])</f>
        <v>0.5</v>
      </c>
      <c r="O210" s="14"/>
      <c r="P210" s="14"/>
      <c r="Q210" s="15"/>
      <c r="R210" s="15">
        <f>Tabla13[[#This Row],[Uso y acceso Oct/2024]]</f>
        <v>1</v>
      </c>
      <c r="S210" s="15">
        <f>Tabla58[[#This Row],[Integración Oct/2024]]</f>
        <v>0</v>
      </c>
      <c r="T210" s="16">
        <f>AVERAGE(Tabla4[[#This Row],[Creación y captura Oct/2024]:[Compartición e Interoperabilidad Oct/2024]])</f>
        <v>0.5</v>
      </c>
      <c r="U210" s="14"/>
      <c r="V210" s="14"/>
      <c r="W210" s="15"/>
      <c r="X210" s="15">
        <f>Tabla13[[#This Row],[Uso y acceso Nov/2024]]</f>
        <v>1</v>
      </c>
      <c r="Y210" s="15">
        <f>Tabla58[[#This Row],[Integración Nov/2024]]</f>
        <v>0</v>
      </c>
      <c r="Z210" s="16">
        <f>AVERAGE(Tabla4[[#This Row],[Creación y captura Nov/2024]:[Compartición e Interoperabilidad Nov/2024]])</f>
        <v>0.5</v>
      </c>
      <c r="AA210" s="14"/>
      <c r="AB210" s="14"/>
      <c r="AC210" s="15"/>
      <c r="AD210" s="15">
        <f>Tabla13[[#This Row],[Uso y acceso Dic/2024]]</f>
        <v>1</v>
      </c>
      <c r="AE210" s="15">
        <f>Tabla58[[#This Row],[Integración Dic/2024]]</f>
        <v>0</v>
      </c>
      <c r="AF210" s="16">
        <f>AVERAGE(Tabla4[[#This Row],[Creación y captura Dic/2024]:[Compartición e Interoperabilidad Dic/2024]])</f>
        <v>0.5</v>
      </c>
      <c r="AG210" s="14"/>
      <c r="AH210" s="14"/>
      <c r="AI210" s="15"/>
      <c r="AJ210" s="15">
        <f>Tabla13[[#This Row],[Uso y acceso Ene/2025]]</f>
        <v>1</v>
      </c>
      <c r="AK210" s="15">
        <f>Tabla58[[#This Row],[Integración Ene/2025]]</f>
        <v>0</v>
      </c>
      <c r="AL210" s="16">
        <f>AVERAGE(Tabla4[[#This Row],[Creación y captura Ene/2025]:[Compartición e Interoperabilidad Ene/2025]])</f>
        <v>0.5</v>
      </c>
      <c r="AM210" s="14"/>
      <c r="AN210" s="14"/>
      <c r="AO210" s="15"/>
      <c r="AP210" s="15">
        <f>Tabla13[[#This Row],[Uso y acceso Feb/2025]]</f>
        <v>1</v>
      </c>
      <c r="AQ210" s="15">
        <f>Tabla58[[#This Row],[Integración Feb/2025]]</f>
        <v>0</v>
      </c>
      <c r="AR210" s="16">
        <f>AVERAGE(Tabla4[[#This Row],[Creación y captura Feb/2025]:[Compartición e Interoperabilidad Feb/2025]])</f>
        <v>0.5</v>
      </c>
      <c r="AS210" s="14"/>
      <c r="AT210" s="14"/>
      <c r="AU210" s="15"/>
      <c r="AV210" s="15">
        <f>Tabla13[[#This Row],[Uso y acceso Mar/2025]]</f>
        <v>1</v>
      </c>
      <c r="AW210" s="15">
        <f>Tabla58[[#This Row],[Integración Mar/2025]]</f>
        <v>0</v>
      </c>
      <c r="AX210" s="16">
        <f>AVERAGE(Tabla4[[#This Row],[Creación y captura Mar/2025]:[Compartición e Interoperabilidad Mar/2025]])</f>
        <v>0.5</v>
      </c>
      <c r="AY210" s="14"/>
      <c r="AZ210" s="14"/>
      <c r="BA210" s="15"/>
      <c r="BB210" s="15">
        <f>Tabla13[[#This Row],[Uso y acceso Abr/2025]]</f>
        <v>1</v>
      </c>
      <c r="BC210" s="15">
        <f>Tabla58[[#This Row],[Integración Abr/2025]]</f>
        <v>0</v>
      </c>
      <c r="BD210" s="16">
        <f>AVERAGE(Tabla4[[#This Row],[Creación y captura Abr/2025]:[Compartición e Interoperabilidad Abr/2025]])</f>
        <v>0.5</v>
      </c>
      <c r="BE210" s="14"/>
      <c r="BF210" s="14"/>
      <c r="BG210" s="15"/>
      <c r="BH210" s="15">
        <f>Tabla13[[#This Row],[Uso y acceso May/2025]]</f>
        <v>1</v>
      </c>
      <c r="BI210" s="15">
        <f>Tabla58[[#This Row],[Integración May/2025]]</f>
        <v>0</v>
      </c>
      <c r="BJ210" s="16">
        <f>AVERAGE(Tabla4[[#This Row],[Creación y captura May/2025]:[Compartición e Interoperabilidad May/2025]])</f>
        <v>0.5</v>
      </c>
      <c r="BK210" s="14">
        <v>1</v>
      </c>
      <c r="BL210" s="14">
        <v>1</v>
      </c>
      <c r="BM210" s="14">
        <f>AVERAGE('Calidad de Datos'!AQ214:AT214)</f>
        <v>0.95</v>
      </c>
      <c r="BN210" s="14">
        <f>Tabla13[[#This Row],[Uso y acceso Dic/2025]]</f>
        <v>1</v>
      </c>
      <c r="BO210" s="14">
        <f>Tabla58[[#This Row],[Integración Dic/2025]]</f>
        <v>1</v>
      </c>
      <c r="BP210" s="16">
        <f>AVERAGE(Tabla4[[#This Row],[Creación y captura Dic/2025]:[Compartición e Interoperabilidad Dic/2025]])</f>
        <v>0.99</v>
      </c>
    </row>
    <row r="211" spans="2:68" x14ac:dyDescent="0.4">
      <c r="B211" s="1" t="s">
        <v>262</v>
      </c>
      <c r="C211" s="14"/>
      <c r="D211" s="14"/>
      <c r="E211" s="14"/>
      <c r="F211" s="14">
        <f>Tabla13[[#This Row],[Uso y acceso Ago/2024]]</f>
        <v>0.8</v>
      </c>
      <c r="G211" s="15">
        <f>Tabla58[[#This Row],[Integración Ago/2024]]</f>
        <v>0</v>
      </c>
      <c r="H211" s="16">
        <f>AVERAGE(Tabla4[[#This Row],[Creación y captura Ago/2024]:[Compartición e Interoperabilidad Ago/2024]])</f>
        <v>0.4</v>
      </c>
      <c r="I211" s="14"/>
      <c r="J211" s="14"/>
      <c r="K211" s="15"/>
      <c r="L211" s="15">
        <f>Tabla13[[#This Row],[Uso y acceso Sep/2024]]</f>
        <v>0.8</v>
      </c>
      <c r="M211" s="15">
        <f>Tabla58[[#This Row],[Integración Sep/2024]]</f>
        <v>0</v>
      </c>
      <c r="N211" s="16">
        <f>AVERAGE(Tabla4[[#This Row],[Creación y captura Sep/2024]:[Compartición e Interoperabilidad Sep/2024]])</f>
        <v>0.4</v>
      </c>
      <c r="O211" s="14"/>
      <c r="P211" s="14"/>
      <c r="Q211" s="15"/>
      <c r="R211" s="15">
        <f>Tabla13[[#This Row],[Uso y acceso Oct/2024]]</f>
        <v>0.8</v>
      </c>
      <c r="S211" s="15">
        <f>Tabla58[[#This Row],[Integración Oct/2024]]</f>
        <v>0</v>
      </c>
      <c r="T211" s="16">
        <f>AVERAGE(Tabla4[[#This Row],[Creación y captura Oct/2024]:[Compartición e Interoperabilidad Oct/2024]])</f>
        <v>0.4</v>
      </c>
      <c r="U211" s="14"/>
      <c r="V211" s="14"/>
      <c r="W211" s="15"/>
      <c r="X211" s="15">
        <f>Tabla13[[#This Row],[Uso y acceso Nov/2024]]</f>
        <v>0.8</v>
      </c>
      <c r="Y211" s="15">
        <f>Tabla58[[#This Row],[Integración Nov/2024]]</f>
        <v>0</v>
      </c>
      <c r="Z211" s="16">
        <f>AVERAGE(Tabla4[[#This Row],[Creación y captura Nov/2024]:[Compartición e Interoperabilidad Nov/2024]])</f>
        <v>0.4</v>
      </c>
      <c r="AA211" s="14"/>
      <c r="AB211" s="14"/>
      <c r="AC211" s="15"/>
      <c r="AD211" s="15">
        <f>Tabla13[[#This Row],[Uso y acceso Dic/2024]]</f>
        <v>0.8</v>
      </c>
      <c r="AE211" s="15">
        <f>Tabla58[[#This Row],[Integración Dic/2024]]</f>
        <v>0</v>
      </c>
      <c r="AF211" s="16">
        <f>AVERAGE(Tabla4[[#This Row],[Creación y captura Dic/2024]:[Compartición e Interoperabilidad Dic/2024]])</f>
        <v>0.4</v>
      </c>
      <c r="AG211" s="14"/>
      <c r="AH211" s="14"/>
      <c r="AI211" s="15"/>
      <c r="AJ211" s="15">
        <f>Tabla13[[#This Row],[Uso y acceso Ene/2025]]</f>
        <v>0.8</v>
      </c>
      <c r="AK211" s="15">
        <f>Tabla58[[#This Row],[Integración Ene/2025]]</f>
        <v>0</v>
      </c>
      <c r="AL211" s="16">
        <f>AVERAGE(Tabla4[[#This Row],[Creación y captura Ene/2025]:[Compartición e Interoperabilidad Ene/2025]])</f>
        <v>0.4</v>
      </c>
      <c r="AM211" s="14"/>
      <c r="AN211" s="14"/>
      <c r="AO211" s="15"/>
      <c r="AP211" s="15">
        <f>Tabla13[[#This Row],[Uso y acceso Feb/2025]]</f>
        <v>0.8</v>
      </c>
      <c r="AQ211" s="15">
        <f>Tabla58[[#This Row],[Integración Feb/2025]]</f>
        <v>0</v>
      </c>
      <c r="AR211" s="16">
        <f>AVERAGE(Tabla4[[#This Row],[Creación y captura Feb/2025]:[Compartición e Interoperabilidad Feb/2025]])</f>
        <v>0.4</v>
      </c>
      <c r="AS211" s="14"/>
      <c r="AT211" s="14"/>
      <c r="AU211" s="15"/>
      <c r="AV211" s="15">
        <f>Tabla13[[#This Row],[Uso y acceso Mar/2025]]</f>
        <v>0.8</v>
      </c>
      <c r="AW211" s="15">
        <f>Tabla58[[#This Row],[Integración Mar/2025]]</f>
        <v>0</v>
      </c>
      <c r="AX211" s="16">
        <f>AVERAGE(Tabla4[[#This Row],[Creación y captura Mar/2025]:[Compartición e Interoperabilidad Mar/2025]])</f>
        <v>0.4</v>
      </c>
      <c r="AY211" s="14"/>
      <c r="AZ211" s="14"/>
      <c r="BA211" s="15"/>
      <c r="BB211" s="15">
        <f>Tabla13[[#This Row],[Uso y acceso Abr/2025]]</f>
        <v>0.8</v>
      </c>
      <c r="BC211" s="15">
        <f>Tabla58[[#This Row],[Integración Abr/2025]]</f>
        <v>0</v>
      </c>
      <c r="BD211" s="16">
        <f>AVERAGE(Tabla4[[#This Row],[Creación y captura Abr/2025]:[Compartición e Interoperabilidad Abr/2025]])</f>
        <v>0.4</v>
      </c>
      <c r="BE211" s="14"/>
      <c r="BF211" s="14"/>
      <c r="BG211" s="15"/>
      <c r="BH211" s="15">
        <f>Tabla13[[#This Row],[Uso y acceso May/2025]]</f>
        <v>0.8</v>
      </c>
      <c r="BI211" s="15">
        <f>Tabla58[[#This Row],[Integración May/2025]]</f>
        <v>0</v>
      </c>
      <c r="BJ211" s="16">
        <f>AVERAGE(Tabla4[[#This Row],[Creación y captura May/2025]:[Compartición e Interoperabilidad May/2025]])</f>
        <v>0.4</v>
      </c>
      <c r="BK211" s="14"/>
      <c r="BL211" s="14"/>
      <c r="BM211" s="14">
        <f>AVERAGE('Calidad de Datos'!AQ215:AT215)</f>
        <v>0.6</v>
      </c>
      <c r="BN211" s="14">
        <f>Tabla13[[#This Row],[Uso y acceso Dic/2025]]</f>
        <v>1</v>
      </c>
      <c r="BO211" s="14">
        <f>Tabla58[[#This Row],[Integración Dic/2025]]</f>
        <v>0.4</v>
      </c>
      <c r="BP211" s="16">
        <f>AVERAGE(Tabla4[[#This Row],[Creación y captura Dic/2025]:[Compartición e Interoperabilidad Dic/2025]])</f>
        <v>0.66666666666666663</v>
      </c>
    </row>
    <row r="212" spans="2:68" x14ac:dyDescent="0.4">
      <c r="B212" s="1" t="s">
        <v>263</v>
      </c>
      <c r="C212" s="14"/>
      <c r="D212" s="14"/>
      <c r="E212" s="14"/>
      <c r="F212" s="14">
        <f>Tabla13[[#This Row],[Uso y acceso Ago/2024]]</f>
        <v>0.8</v>
      </c>
      <c r="G212" s="15">
        <f>Tabla58[[#This Row],[Integración Ago/2024]]</f>
        <v>0</v>
      </c>
      <c r="H212" s="16">
        <f>AVERAGE(Tabla4[[#This Row],[Creación y captura Ago/2024]:[Compartición e Interoperabilidad Ago/2024]])</f>
        <v>0.4</v>
      </c>
      <c r="I212" s="14"/>
      <c r="J212" s="14"/>
      <c r="K212" s="15"/>
      <c r="L212" s="15">
        <f>Tabla13[[#This Row],[Uso y acceso Sep/2024]]</f>
        <v>0.8</v>
      </c>
      <c r="M212" s="15">
        <f>Tabla58[[#This Row],[Integración Sep/2024]]</f>
        <v>0</v>
      </c>
      <c r="N212" s="16">
        <f>AVERAGE(Tabla4[[#This Row],[Creación y captura Sep/2024]:[Compartición e Interoperabilidad Sep/2024]])</f>
        <v>0.4</v>
      </c>
      <c r="O212" s="14"/>
      <c r="P212" s="14"/>
      <c r="Q212" s="15"/>
      <c r="R212" s="15">
        <f>Tabla13[[#This Row],[Uso y acceso Oct/2024]]</f>
        <v>0.8</v>
      </c>
      <c r="S212" s="15">
        <f>Tabla58[[#This Row],[Integración Oct/2024]]</f>
        <v>0</v>
      </c>
      <c r="T212" s="16">
        <f>AVERAGE(Tabla4[[#This Row],[Creación y captura Oct/2024]:[Compartición e Interoperabilidad Oct/2024]])</f>
        <v>0.4</v>
      </c>
      <c r="U212" s="14"/>
      <c r="V212" s="14"/>
      <c r="W212" s="15"/>
      <c r="X212" s="15">
        <f>Tabla13[[#This Row],[Uso y acceso Nov/2024]]</f>
        <v>0.8</v>
      </c>
      <c r="Y212" s="15">
        <f>Tabla58[[#This Row],[Integración Nov/2024]]</f>
        <v>0</v>
      </c>
      <c r="Z212" s="16">
        <f>AVERAGE(Tabla4[[#This Row],[Creación y captura Nov/2024]:[Compartición e Interoperabilidad Nov/2024]])</f>
        <v>0.4</v>
      </c>
      <c r="AA212" s="14"/>
      <c r="AB212" s="14"/>
      <c r="AC212" s="15"/>
      <c r="AD212" s="15">
        <f>Tabla13[[#This Row],[Uso y acceso Dic/2024]]</f>
        <v>0.8</v>
      </c>
      <c r="AE212" s="15">
        <f>Tabla58[[#This Row],[Integración Dic/2024]]</f>
        <v>0</v>
      </c>
      <c r="AF212" s="16">
        <f>AVERAGE(Tabla4[[#This Row],[Creación y captura Dic/2024]:[Compartición e Interoperabilidad Dic/2024]])</f>
        <v>0.4</v>
      </c>
      <c r="AG212" s="14"/>
      <c r="AH212" s="14"/>
      <c r="AI212" s="15"/>
      <c r="AJ212" s="15">
        <f>Tabla13[[#This Row],[Uso y acceso Ene/2025]]</f>
        <v>0.8</v>
      </c>
      <c r="AK212" s="15">
        <f>Tabla58[[#This Row],[Integración Ene/2025]]</f>
        <v>0</v>
      </c>
      <c r="AL212" s="16">
        <f>AVERAGE(Tabla4[[#This Row],[Creación y captura Ene/2025]:[Compartición e Interoperabilidad Ene/2025]])</f>
        <v>0.4</v>
      </c>
      <c r="AM212" s="14"/>
      <c r="AN212" s="14"/>
      <c r="AO212" s="15"/>
      <c r="AP212" s="15">
        <f>Tabla13[[#This Row],[Uso y acceso Feb/2025]]</f>
        <v>0.8</v>
      </c>
      <c r="AQ212" s="15">
        <f>Tabla58[[#This Row],[Integración Feb/2025]]</f>
        <v>0</v>
      </c>
      <c r="AR212" s="16">
        <f>AVERAGE(Tabla4[[#This Row],[Creación y captura Feb/2025]:[Compartición e Interoperabilidad Feb/2025]])</f>
        <v>0.4</v>
      </c>
      <c r="AS212" s="14"/>
      <c r="AT212" s="14"/>
      <c r="AU212" s="15"/>
      <c r="AV212" s="15">
        <f>Tabla13[[#This Row],[Uso y acceso Mar/2025]]</f>
        <v>0.8</v>
      </c>
      <c r="AW212" s="15">
        <f>Tabla58[[#This Row],[Integración Mar/2025]]</f>
        <v>0</v>
      </c>
      <c r="AX212" s="16">
        <f>AVERAGE(Tabla4[[#This Row],[Creación y captura Mar/2025]:[Compartición e Interoperabilidad Mar/2025]])</f>
        <v>0.4</v>
      </c>
      <c r="AY212" s="14"/>
      <c r="AZ212" s="14"/>
      <c r="BA212" s="15"/>
      <c r="BB212" s="15">
        <f>Tabla13[[#This Row],[Uso y acceso Abr/2025]]</f>
        <v>0.8</v>
      </c>
      <c r="BC212" s="15">
        <f>Tabla58[[#This Row],[Integración Abr/2025]]</f>
        <v>0</v>
      </c>
      <c r="BD212" s="16">
        <f>AVERAGE(Tabla4[[#This Row],[Creación y captura Abr/2025]:[Compartición e Interoperabilidad Abr/2025]])</f>
        <v>0.4</v>
      </c>
      <c r="BE212" s="14"/>
      <c r="BF212" s="14"/>
      <c r="BG212" s="15"/>
      <c r="BH212" s="15">
        <f>Tabla13[[#This Row],[Uso y acceso May/2025]]</f>
        <v>1</v>
      </c>
      <c r="BI212" s="15">
        <f>Tabla58[[#This Row],[Integración May/2025]]</f>
        <v>0</v>
      </c>
      <c r="BJ212" s="16">
        <f>AVERAGE(Tabla4[[#This Row],[Creación y captura May/2025]:[Compartición e Interoperabilidad May/2025]])</f>
        <v>0.5</v>
      </c>
      <c r="BK212" s="14"/>
      <c r="BL212" s="14"/>
      <c r="BM212" s="14">
        <f>AVERAGE('Calidad de Datos'!AQ216:AT216)</f>
        <v>0.6</v>
      </c>
      <c r="BN212" s="14">
        <f>Tabla13[[#This Row],[Uso y acceso Dic/2025]]</f>
        <v>1</v>
      </c>
      <c r="BO212" s="14">
        <f>Tabla58[[#This Row],[Integración Dic/2025]]</f>
        <v>0.4</v>
      </c>
      <c r="BP212" s="16">
        <f>AVERAGE(Tabla4[[#This Row],[Creación y captura Dic/2025]:[Compartición e Interoperabilidad Dic/2025]])</f>
        <v>0.66666666666666663</v>
      </c>
    </row>
    <row r="213" spans="2:68" x14ac:dyDescent="0.4">
      <c r="B213" s="1" t="s">
        <v>264</v>
      </c>
      <c r="C213" s="14"/>
      <c r="D213" s="14"/>
      <c r="E213" s="14"/>
      <c r="F213" s="14">
        <f>Tabla13[[#This Row],[Uso y acceso Ago/2024]]</f>
        <v>1</v>
      </c>
      <c r="G213" s="15">
        <f>Tabla58[[#This Row],[Integración Ago/2024]]</f>
        <v>0</v>
      </c>
      <c r="H213" s="16">
        <f>AVERAGE(Tabla4[[#This Row],[Creación y captura Ago/2024]:[Compartición e Interoperabilidad Ago/2024]])</f>
        <v>0.5</v>
      </c>
      <c r="I213" s="14"/>
      <c r="J213" s="14"/>
      <c r="K213" s="15"/>
      <c r="L213" s="15">
        <f>Tabla13[[#This Row],[Uso y acceso Sep/2024]]</f>
        <v>1</v>
      </c>
      <c r="M213" s="15">
        <f>Tabla58[[#This Row],[Integración Sep/2024]]</f>
        <v>0</v>
      </c>
      <c r="N213" s="16">
        <f>AVERAGE(Tabla4[[#This Row],[Creación y captura Sep/2024]:[Compartición e Interoperabilidad Sep/2024]])</f>
        <v>0.5</v>
      </c>
      <c r="O213" s="14"/>
      <c r="P213" s="14"/>
      <c r="Q213" s="15"/>
      <c r="R213" s="15">
        <f>Tabla13[[#This Row],[Uso y acceso Oct/2024]]</f>
        <v>1</v>
      </c>
      <c r="S213" s="15">
        <f>Tabla58[[#This Row],[Integración Oct/2024]]</f>
        <v>0</v>
      </c>
      <c r="T213" s="16">
        <f>AVERAGE(Tabla4[[#This Row],[Creación y captura Oct/2024]:[Compartición e Interoperabilidad Oct/2024]])</f>
        <v>0.5</v>
      </c>
      <c r="U213" s="14"/>
      <c r="V213" s="14"/>
      <c r="W213" s="15"/>
      <c r="X213" s="15">
        <f>Tabla13[[#This Row],[Uso y acceso Nov/2024]]</f>
        <v>1</v>
      </c>
      <c r="Y213" s="15">
        <f>Tabla58[[#This Row],[Integración Nov/2024]]</f>
        <v>0</v>
      </c>
      <c r="Z213" s="16">
        <f>AVERAGE(Tabla4[[#This Row],[Creación y captura Nov/2024]:[Compartición e Interoperabilidad Nov/2024]])</f>
        <v>0.5</v>
      </c>
      <c r="AA213" s="14"/>
      <c r="AB213" s="14"/>
      <c r="AC213" s="15"/>
      <c r="AD213" s="15">
        <f>Tabla13[[#This Row],[Uso y acceso Dic/2024]]</f>
        <v>1</v>
      </c>
      <c r="AE213" s="15">
        <f>Tabla58[[#This Row],[Integración Dic/2024]]</f>
        <v>0</v>
      </c>
      <c r="AF213" s="16">
        <f>AVERAGE(Tabla4[[#This Row],[Creación y captura Dic/2024]:[Compartición e Interoperabilidad Dic/2024]])</f>
        <v>0.5</v>
      </c>
      <c r="AG213" s="14"/>
      <c r="AH213" s="14"/>
      <c r="AI213" s="15"/>
      <c r="AJ213" s="15">
        <f>Tabla13[[#This Row],[Uso y acceso Ene/2025]]</f>
        <v>1</v>
      </c>
      <c r="AK213" s="15">
        <f>Tabla58[[#This Row],[Integración Ene/2025]]</f>
        <v>0</v>
      </c>
      <c r="AL213" s="16">
        <f>AVERAGE(Tabla4[[#This Row],[Creación y captura Ene/2025]:[Compartición e Interoperabilidad Ene/2025]])</f>
        <v>0.5</v>
      </c>
      <c r="AM213" s="14"/>
      <c r="AN213" s="14"/>
      <c r="AO213" s="15"/>
      <c r="AP213" s="15">
        <f>Tabla13[[#This Row],[Uso y acceso Feb/2025]]</f>
        <v>1</v>
      </c>
      <c r="AQ213" s="15">
        <f>Tabla58[[#This Row],[Integración Feb/2025]]</f>
        <v>0</v>
      </c>
      <c r="AR213" s="16">
        <f>AVERAGE(Tabla4[[#This Row],[Creación y captura Feb/2025]:[Compartición e Interoperabilidad Feb/2025]])</f>
        <v>0.5</v>
      </c>
      <c r="AS213" s="14"/>
      <c r="AT213" s="14"/>
      <c r="AU213" s="15"/>
      <c r="AV213" s="15">
        <f>Tabla13[[#This Row],[Uso y acceso Mar/2025]]</f>
        <v>1</v>
      </c>
      <c r="AW213" s="15">
        <f>Tabla58[[#This Row],[Integración Mar/2025]]</f>
        <v>0</v>
      </c>
      <c r="AX213" s="16">
        <f>AVERAGE(Tabla4[[#This Row],[Creación y captura Mar/2025]:[Compartición e Interoperabilidad Mar/2025]])</f>
        <v>0.5</v>
      </c>
      <c r="AY213" s="14"/>
      <c r="AZ213" s="14"/>
      <c r="BA213" s="15"/>
      <c r="BB213" s="15">
        <f>Tabla13[[#This Row],[Uso y acceso Abr/2025]]</f>
        <v>1</v>
      </c>
      <c r="BC213" s="15">
        <f>Tabla58[[#This Row],[Integración Abr/2025]]</f>
        <v>0</v>
      </c>
      <c r="BD213" s="16">
        <f>AVERAGE(Tabla4[[#This Row],[Creación y captura Abr/2025]:[Compartición e Interoperabilidad Abr/2025]])</f>
        <v>0.5</v>
      </c>
      <c r="BE213" s="14"/>
      <c r="BF213" s="14"/>
      <c r="BG213" s="15"/>
      <c r="BH213" s="15">
        <f>Tabla13[[#This Row],[Uso y acceso May/2025]]</f>
        <v>1</v>
      </c>
      <c r="BI213" s="15">
        <f>Tabla58[[#This Row],[Integración May/2025]]</f>
        <v>0</v>
      </c>
      <c r="BJ213" s="16">
        <f>AVERAGE(Tabla4[[#This Row],[Creación y captura May/2025]:[Compartición e Interoperabilidad May/2025]])</f>
        <v>0.5</v>
      </c>
      <c r="BK213" s="14"/>
      <c r="BL213" s="14"/>
      <c r="BM213" s="14">
        <f>AVERAGE('Calidad de Datos'!AQ217:AT217)</f>
        <v>0.6</v>
      </c>
      <c r="BN213" s="14">
        <f>Tabla13[[#This Row],[Uso y acceso Dic/2025]]</f>
        <v>1</v>
      </c>
      <c r="BO213" s="14">
        <f>Tabla58[[#This Row],[Integración Dic/2025]]</f>
        <v>0.4</v>
      </c>
      <c r="BP213" s="16">
        <f>AVERAGE(Tabla4[[#This Row],[Creación y captura Dic/2025]:[Compartición e Interoperabilidad Dic/2025]])</f>
        <v>0.66666666666666663</v>
      </c>
    </row>
    <row r="214" spans="2:68" x14ac:dyDescent="0.4">
      <c r="B214" s="1" t="s">
        <v>265</v>
      </c>
      <c r="C214" s="14"/>
      <c r="D214" s="14"/>
      <c r="E214" s="14"/>
      <c r="F214" s="14">
        <f>Tabla13[[#This Row],[Uso y acceso Ago/2024]]</f>
        <v>1</v>
      </c>
      <c r="G214" s="15">
        <f>Tabla58[[#This Row],[Integración Ago/2024]]</f>
        <v>0</v>
      </c>
      <c r="H214" s="16">
        <f>AVERAGE(Tabla4[[#This Row],[Creación y captura Ago/2024]:[Compartición e Interoperabilidad Ago/2024]])</f>
        <v>0.5</v>
      </c>
      <c r="I214" s="14"/>
      <c r="J214" s="14"/>
      <c r="K214" s="15"/>
      <c r="L214" s="15">
        <f>Tabla13[[#This Row],[Uso y acceso Sep/2024]]</f>
        <v>1</v>
      </c>
      <c r="M214" s="15">
        <f>Tabla58[[#This Row],[Integración Sep/2024]]</f>
        <v>0</v>
      </c>
      <c r="N214" s="16">
        <f>AVERAGE(Tabla4[[#This Row],[Creación y captura Sep/2024]:[Compartición e Interoperabilidad Sep/2024]])</f>
        <v>0.5</v>
      </c>
      <c r="O214" s="14"/>
      <c r="P214" s="14"/>
      <c r="Q214" s="15"/>
      <c r="R214" s="15">
        <f>Tabla13[[#This Row],[Uso y acceso Oct/2024]]</f>
        <v>1</v>
      </c>
      <c r="S214" s="15">
        <f>Tabla58[[#This Row],[Integración Oct/2024]]</f>
        <v>0</v>
      </c>
      <c r="T214" s="16">
        <f>AVERAGE(Tabla4[[#This Row],[Creación y captura Oct/2024]:[Compartición e Interoperabilidad Oct/2024]])</f>
        <v>0.5</v>
      </c>
      <c r="U214" s="14"/>
      <c r="V214" s="14"/>
      <c r="W214" s="15"/>
      <c r="X214" s="15">
        <f>Tabla13[[#This Row],[Uso y acceso Nov/2024]]</f>
        <v>1</v>
      </c>
      <c r="Y214" s="15">
        <f>Tabla58[[#This Row],[Integración Nov/2024]]</f>
        <v>0</v>
      </c>
      <c r="Z214" s="16">
        <f>AVERAGE(Tabla4[[#This Row],[Creación y captura Nov/2024]:[Compartición e Interoperabilidad Nov/2024]])</f>
        <v>0.5</v>
      </c>
      <c r="AA214" s="14"/>
      <c r="AB214" s="14"/>
      <c r="AC214" s="15"/>
      <c r="AD214" s="15">
        <f>Tabla13[[#This Row],[Uso y acceso Dic/2024]]</f>
        <v>1</v>
      </c>
      <c r="AE214" s="15">
        <f>Tabla58[[#This Row],[Integración Dic/2024]]</f>
        <v>0</v>
      </c>
      <c r="AF214" s="16">
        <f>AVERAGE(Tabla4[[#This Row],[Creación y captura Dic/2024]:[Compartición e Interoperabilidad Dic/2024]])</f>
        <v>0.5</v>
      </c>
      <c r="AG214" s="14"/>
      <c r="AH214" s="14"/>
      <c r="AI214" s="15"/>
      <c r="AJ214" s="15">
        <f>Tabla13[[#This Row],[Uso y acceso Ene/2025]]</f>
        <v>1</v>
      </c>
      <c r="AK214" s="15">
        <f>Tabla58[[#This Row],[Integración Ene/2025]]</f>
        <v>0</v>
      </c>
      <c r="AL214" s="16">
        <f>AVERAGE(Tabla4[[#This Row],[Creación y captura Ene/2025]:[Compartición e Interoperabilidad Ene/2025]])</f>
        <v>0.5</v>
      </c>
      <c r="AM214" s="14"/>
      <c r="AN214" s="14"/>
      <c r="AO214" s="15"/>
      <c r="AP214" s="15">
        <f>Tabla13[[#This Row],[Uso y acceso Feb/2025]]</f>
        <v>1</v>
      </c>
      <c r="AQ214" s="15">
        <f>Tabla58[[#This Row],[Integración Feb/2025]]</f>
        <v>0</v>
      </c>
      <c r="AR214" s="16">
        <f>AVERAGE(Tabla4[[#This Row],[Creación y captura Feb/2025]:[Compartición e Interoperabilidad Feb/2025]])</f>
        <v>0.5</v>
      </c>
      <c r="AS214" s="14"/>
      <c r="AT214" s="14"/>
      <c r="AU214" s="15"/>
      <c r="AV214" s="15">
        <f>Tabla13[[#This Row],[Uso y acceso Mar/2025]]</f>
        <v>1</v>
      </c>
      <c r="AW214" s="15">
        <f>Tabla58[[#This Row],[Integración Mar/2025]]</f>
        <v>0</v>
      </c>
      <c r="AX214" s="16">
        <f>AVERAGE(Tabla4[[#This Row],[Creación y captura Mar/2025]:[Compartición e Interoperabilidad Mar/2025]])</f>
        <v>0.5</v>
      </c>
      <c r="AY214" s="14"/>
      <c r="AZ214" s="14"/>
      <c r="BA214" s="15"/>
      <c r="BB214" s="15">
        <f>Tabla13[[#This Row],[Uso y acceso Abr/2025]]</f>
        <v>1</v>
      </c>
      <c r="BC214" s="15">
        <f>Tabla58[[#This Row],[Integración Abr/2025]]</f>
        <v>0</v>
      </c>
      <c r="BD214" s="16">
        <f>AVERAGE(Tabla4[[#This Row],[Creación y captura Abr/2025]:[Compartición e Interoperabilidad Abr/2025]])</f>
        <v>0.5</v>
      </c>
      <c r="BE214" s="14">
        <v>0.8</v>
      </c>
      <c r="BF214" s="14">
        <v>0.5</v>
      </c>
      <c r="BG214" s="17">
        <f>AVERAGE('Calidad de Datos'!AM218:AP218)</f>
        <v>1</v>
      </c>
      <c r="BH214" s="15">
        <f>Tabla13[[#This Row],[Uso y acceso May/2025]]</f>
        <v>1</v>
      </c>
      <c r="BI214" s="15">
        <f>Tabla58[[#This Row],[Integración May/2025]]</f>
        <v>0.3</v>
      </c>
      <c r="BJ214" s="16">
        <f>AVERAGE(Tabla4[[#This Row],[Creación y captura May/2025]:[Compartición e Interoperabilidad May/2025]])</f>
        <v>0.72</v>
      </c>
      <c r="BK214" s="14">
        <v>0.8</v>
      </c>
      <c r="BL214" s="14">
        <v>0.5</v>
      </c>
      <c r="BM214" s="14">
        <f>AVERAGE('Calidad de Datos'!AQ218:AT218)</f>
        <v>1</v>
      </c>
      <c r="BN214" s="14">
        <f>Tabla13[[#This Row],[Uso y acceso Dic/2025]]</f>
        <v>1</v>
      </c>
      <c r="BO214" s="14">
        <f>Tabla58[[#This Row],[Integración Dic/2025]]</f>
        <v>0.6</v>
      </c>
      <c r="BP214" s="16">
        <f>AVERAGE(Tabla4[[#This Row],[Creación y captura Dic/2025]:[Compartición e Interoperabilidad Dic/2025]])</f>
        <v>0.78</v>
      </c>
    </row>
    <row r="215" spans="2:68" x14ac:dyDescent="0.4">
      <c r="B215" s="1" t="s">
        <v>266</v>
      </c>
      <c r="C215" s="14"/>
      <c r="D215" s="14"/>
      <c r="E215" s="14"/>
      <c r="F215" s="14">
        <f>Tabla13[[#This Row],[Uso y acceso Ago/2024]]</f>
        <v>0</v>
      </c>
      <c r="G215" s="15">
        <f>Tabla58[[#This Row],[Integración Ago/2024]]</f>
        <v>0</v>
      </c>
      <c r="H215" s="16">
        <f>AVERAGE(Tabla4[[#This Row],[Creación y captura Ago/2024]:[Compartición e Interoperabilidad Ago/2024]])</f>
        <v>0</v>
      </c>
      <c r="I215" s="14"/>
      <c r="J215" s="14"/>
      <c r="K215" s="15"/>
      <c r="L215" s="15">
        <f>Tabla13[[#This Row],[Uso y acceso Sep/2024]]</f>
        <v>0</v>
      </c>
      <c r="M215" s="15">
        <f>Tabla58[[#This Row],[Integración Sep/2024]]</f>
        <v>0</v>
      </c>
      <c r="N215" s="16">
        <f>AVERAGE(Tabla4[[#This Row],[Creación y captura Sep/2024]:[Compartición e Interoperabilidad Sep/2024]])</f>
        <v>0</v>
      </c>
      <c r="O215" s="14"/>
      <c r="P215" s="14"/>
      <c r="Q215" s="15"/>
      <c r="R215" s="15">
        <f>Tabla13[[#This Row],[Uso y acceso Oct/2024]]</f>
        <v>0</v>
      </c>
      <c r="S215" s="15">
        <f>Tabla58[[#This Row],[Integración Oct/2024]]</f>
        <v>0</v>
      </c>
      <c r="T215" s="16">
        <f>AVERAGE(Tabla4[[#This Row],[Creación y captura Oct/2024]:[Compartición e Interoperabilidad Oct/2024]])</f>
        <v>0</v>
      </c>
      <c r="U215" s="14"/>
      <c r="V215" s="14"/>
      <c r="W215" s="15"/>
      <c r="X215" s="15">
        <f>Tabla13[[#This Row],[Uso y acceso Nov/2024]]</f>
        <v>0</v>
      </c>
      <c r="Y215" s="15">
        <f>Tabla58[[#This Row],[Integración Nov/2024]]</f>
        <v>0</v>
      </c>
      <c r="Z215" s="16">
        <f>AVERAGE(Tabla4[[#This Row],[Creación y captura Nov/2024]:[Compartición e Interoperabilidad Nov/2024]])</f>
        <v>0</v>
      </c>
      <c r="AA215" s="14"/>
      <c r="AB215" s="14"/>
      <c r="AC215" s="15"/>
      <c r="AD215" s="15">
        <f>Tabla13[[#This Row],[Uso y acceso Dic/2024]]</f>
        <v>0</v>
      </c>
      <c r="AE215" s="15">
        <f>Tabla58[[#This Row],[Integración Dic/2024]]</f>
        <v>0</v>
      </c>
      <c r="AF215" s="16">
        <f>AVERAGE(Tabla4[[#This Row],[Creación y captura Dic/2024]:[Compartición e Interoperabilidad Dic/2024]])</f>
        <v>0</v>
      </c>
      <c r="AG215" s="14"/>
      <c r="AH215" s="14"/>
      <c r="AI215" s="15"/>
      <c r="AJ215" s="15">
        <f>Tabla13[[#This Row],[Uso y acceso Ene/2025]]</f>
        <v>0</v>
      </c>
      <c r="AK215" s="15">
        <f>Tabla58[[#This Row],[Integración Ene/2025]]</f>
        <v>0</v>
      </c>
      <c r="AL215" s="16">
        <f>AVERAGE(Tabla4[[#This Row],[Creación y captura Ene/2025]:[Compartición e Interoperabilidad Ene/2025]])</f>
        <v>0</v>
      </c>
      <c r="AM215" s="14">
        <v>1</v>
      </c>
      <c r="AN215" s="15">
        <v>1</v>
      </c>
      <c r="AO215" s="17">
        <f>AVERAGE('Calidad de Datos'!AA219:AD219)</f>
        <v>1</v>
      </c>
      <c r="AP215" s="15">
        <f>Tabla13[[#This Row],[Uso y acceso Feb/2025]]</f>
        <v>1</v>
      </c>
      <c r="AQ215" s="15">
        <f>Tabla58[[#This Row],[Integración Feb/2025]]</f>
        <v>1</v>
      </c>
      <c r="AR215" s="16">
        <f>AVERAGE(Tabla4[[#This Row],[Creación y captura Feb/2025]:[Compartición e Interoperabilidad Feb/2025]])</f>
        <v>1</v>
      </c>
      <c r="AS215" s="14">
        <v>1</v>
      </c>
      <c r="AT215" s="14">
        <v>1</v>
      </c>
      <c r="AU215" s="17">
        <f>AVERAGE('Calidad de Datos'!AE219:AH219)</f>
        <v>1</v>
      </c>
      <c r="AV215" s="15">
        <f>Tabla13[[#This Row],[Uso y acceso Mar/2025]]</f>
        <v>1</v>
      </c>
      <c r="AW215" s="15">
        <f>Tabla58[[#This Row],[Integración Mar/2025]]</f>
        <v>1</v>
      </c>
      <c r="AX215" s="16">
        <f>AVERAGE(Tabla4[[#This Row],[Creación y captura Mar/2025]:[Compartición e Interoperabilidad Mar/2025]])</f>
        <v>1</v>
      </c>
      <c r="AY215" s="14">
        <v>1</v>
      </c>
      <c r="AZ215" s="14">
        <v>1</v>
      </c>
      <c r="BA215" s="17">
        <f>AVERAGE('Calidad de Datos'!AI219:AL219)</f>
        <v>1</v>
      </c>
      <c r="BB215" s="15">
        <f>Tabla13[[#This Row],[Uso y acceso Abr/2025]]</f>
        <v>1</v>
      </c>
      <c r="BC215" s="15">
        <f>Tabla58[[#This Row],[Integración Abr/2025]]</f>
        <v>1</v>
      </c>
      <c r="BD215" s="16">
        <f>AVERAGE(Tabla4[[#This Row],[Creación y captura Abr/2025]:[Compartición e Interoperabilidad Abr/2025]])</f>
        <v>1</v>
      </c>
      <c r="BE215" s="14">
        <v>1</v>
      </c>
      <c r="BF215" s="14">
        <v>1</v>
      </c>
      <c r="BG215" s="17">
        <f>AVERAGE('Calidad de Datos'!AM219:AP219)</f>
        <v>1</v>
      </c>
      <c r="BH215" s="15">
        <f>Tabla13[[#This Row],[Uso y acceso May/2025]]</f>
        <v>1</v>
      </c>
      <c r="BI215" s="15">
        <f>Tabla58[[#This Row],[Integración May/2025]]</f>
        <v>1</v>
      </c>
      <c r="BJ215" s="16">
        <f>AVERAGE(Tabla4[[#This Row],[Creación y captura May/2025]:[Compartición e Interoperabilidad May/2025]])</f>
        <v>1</v>
      </c>
      <c r="BK215" s="14">
        <v>1</v>
      </c>
      <c r="BL215" s="14">
        <v>1</v>
      </c>
      <c r="BM215" s="14">
        <f>AVERAGE('Calidad de Datos'!AQ219:AT219)</f>
        <v>1</v>
      </c>
      <c r="BN215" s="14">
        <f>Tabla13[[#This Row],[Uso y acceso Dic/2025]]</f>
        <v>1</v>
      </c>
      <c r="BO215" s="14">
        <f>Tabla58[[#This Row],[Integración Dic/2025]]</f>
        <v>1</v>
      </c>
      <c r="BP215" s="16">
        <f>AVERAGE(Tabla4[[#This Row],[Creación y captura Dic/2025]:[Compartición e Interoperabilidad Dic/2025]])</f>
        <v>1</v>
      </c>
    </row>
    <row r="216" spans="2:68" x14ac:dyDescent="0.4">
      <c r="B216" s="1" t="s">
        <v>267</v>
      </c>
      <c r="C216" s="14"/>
      <c r="D216" s="14"/>
      <c r="E216" s="14"/>
      <c r="F216" s="14">
        <f>Tabla13[[#This Row],[Uso y acceso Ago/2024]]</f>
        <v>0</v>
      </c>
      <c r="G216" s="15">
        <f>Tabla58[[#This Row],[Integración Ago/2024]]</f>
        <v>0</v>
      </c>
      <c r="H216" s="16">
        <f>AVERAGE(Tabla4[[#This Row],[Creación y captura Ago/2024]:[Compartición e Interoperabilidad Ago/2024]])</f>
        <v>0</v>
      </c>
      <c r="I216" s="14"/>
      <c r="J216" s="14"/>
      <c r="K216" s="15"/>
      <c r="L216" s="15">
        <f>Tabla13[[#This Row],[Uso y acceso Sep/2024]]</f>
        <v>0</v>
      </c>
      <c r="M216" s="15">
        <f>Tabla58[[#This Row],[Integración Sep/2024]]</f>
        <v>0</v>
      </c>
      <c r="N216" s="16">
        <f>AVERAGE(Tabla4[[#This Row],[Creación y captura Sep/2024]:[Compartición e Interoperabilidad Sep/2024]])</f>
        <v>0</v>
      </c>
      <c r="O216" s="14"/>
      <c r="P216" s="14"/>
      <c r="Q216" s="15"/>
      <c r="R216" s="15">
        <f>Tabla13[[#This Row],[Uso y acceso Oct/2024]]</f>
        <v>0</v>
      </c>
      <c r="S216" s="15">
        <f>Tabla58[[#This Row],[Integración Oct/2024]]</f>
        <v>0</v>
      </c>
      <c r="T216" s="16">
        <f>AVERAGE(Tabla4[[#This Row],[Creación y captura Oct/2024]:[Compartición e Interoperabilidad Oct/2024]])</f>
        <v>0</v>
      </c>
      <c r="U216" s="14"/>
      <c r="V216" s="14"/>
      <c r="W216" s="15"/>
      <c r="X216" s="15">
        <f>Tabla13[[#This Row],[Uso y acceso Nov/2024]]</f>
        <v>0</v>
      </c>
      <c r="Y216" s="15">
        <f>Tabla58[[#This Row],[Integración Nov/2024]]</f>
        <v>0</v>
      </c>
      <c r="Z216" s="16">
        <f>AVERAGE(Tabla4[[#This Row],[Creación y captura Nov/2024]:[Compartición e Interoperabilidad Nov/2024]])</f>
        <v>0</v>
      </c>
      <c r="AA216" s="14"/>
      <c r="AB216" s="14"/>
      <c r="AC216" s="15"/>
      <c r="AD216" s="15">
        <f>Tabla13[[#This Row],[Uso y acceso Dic/2024]]</f>
        <v>0</v>
      </c>
      <c r="AE216" s="15">
        <f>Tabla58[[#This Row],[Integración Dic/2024]]</f>
        <v>0</v>
      </c>
      <c r="AF216" s="16">
        <f>AVERAGE(Tabla4[[#This Row],[Creación y captura Dic/2024]:[Compartición e Interoperabilidad Dic/2024]])</f>
        <v>0</v>
      </c>
      <c r="AG216" s="14"/>
      <c r="AH216" s="14"/>
      <c r="AI216" s="15"/>
      <c r="AJ216" s="15">
        <f>Tabla13[[#This Row],[Uso y acceso Ene/2025]]</f>
        <v>0</v>
      </c>
      <c r="AK216" s="15">
        <f>Tabla58[[#This Row],[Integración Ene/2025]]</f>
        <v>0</v>
      </c>
      <c r="AL216" s="16">
        <f>AVERAGE(Tabla4[[#This Row],[Creación y captura Ene/2025]:[Compartición e Interoperabilidad Ene/2025]])</f>
        <v>0</v>
      </c>
      <c r="AM216" s="14">
        <v>1</v>
      </c>
      <c r="AN216" s="15">
        <v>1</v>
      </c>
      <c r="AO216" s="17">
        <f>AVERAGE('Calidad de Datos'!AA220:AD220)</f>
        <v>1</v>
      </c>
      <c r="AP216" s="15">
        <f>Tabla13[[#This Row],[Uso y acceso Feb/2025]]</f>
        <v>1</v>
      </c>
      <c r="AQ216" s="15">
        <f>Tabla58[[#This Row],[Integración Feb/2025]]</f>
        <v>1</v>
      </c>
      <c r="AR216" s="16">
        <f>AVERAGE(Tabla4[[#This Row],[Creación y captura Feb/2025]:[Compartición e Interoperabilidad Feb/2025]])</f>
        <v>1</v>
      </c>
      <c r="AS216" s="14">
        <v>1</v>
      </c>
      <c r="AT216" s="14">
        <v>1</v>
      </c>
      <c r="AU216" s="17">
        <f>AVERAGE('Calidad de Datos'!AE220:AH220)</f>
        <v>1</v>
      </c>
      <c r="AV216" s="15">
        <f>Tabla13[[#This Row],[Uso y acceso Mar/2025]]</f>
        <v>1</v>
      </c>
      <c r="AW216" s="15">
        <f>Tabla58[[#This Row],[Integración Mar/2025]]</f>
        <v>1</v>
      </c>
      <c r="AX216" s="16">
        <f>AVERAGE(Tabla4[[#This Row],[Creación y captura Mar/2025]:[Compartición e Interoperabilidad Mar/2025]])</f>
        <v>1</v>
      </c>
      <c r="AY216" s="14">
        <v>1</v>
      </c>
      <c r="AZ216" s="14">
        <v>1</v>
      </c>
      <c r="BA216" s="17">
        <f>AVERAGE('Calidad de Datos'!AI220:AL220)</f>
        <v>1</v>
      </c>
      <c r="BB216" s="15">
        <f>Tabla13[[#This Row],[Uso y acceso Abr/2025]]</f>
        <v>1</v>
      </c>
      <c r="BC216" s="15">
        <f>Tabla58[[#This Row],[Integración Abr/2025]]</f>
        <v>1</v>
      </c>
      <c r="BD216" s="16">
        <f>AVERAGE(Tabla4[[#This Row],[Creación y captura Abr/2025]:[Compartición e Interoperabilidad Abr/2025]])</f>
        <v>1</v>
      </c>
      <c r="BE216" s="14">
        <v>1</v>
      </c>
      <c r="BF216" s="14">
        <v>1</v>
      </c>
      <c r="BG216" s="17">
        <f>AVERAGE('Calidad de Datos'!AM220:AP220)</f>
        <v>1</v>
      </c>
      <c r="BH216" s="15">
        <f>Tabla13[[#This Row],[Uso y acceso May/2025]]</f>
        <v>1</v>
      </c>
      <c r="BI216" s="15">
        <f>Tabla58[[#This Row],[Integración May/2025]]</f>
        <v>1</v>
      </c>
      <c r="BJ216" s="16">
        <f>AVERAGE(Tabla4[[#This Row],[Creación y captura May/2025]:[Compartición e Interoperabilidad May/2025]])</f>
        <v>1</v>
      </c>
      <c r="BK216" s="14">
        <v>1</v>
      </c>
      <c r="BL216" s="14">
        <v>1</v>
      </c>
      <c r="BM216" s="14">
        <f>AVERAGE('Calidad de Datos'!AQ220:AT220)</f>
        <v>1</v>
      </c>
      <c r="BN216" s="14">
        <f>Tabla13[[#This Row],[Uso y acceso Dic/2025]]</f>
        <v>1</v>
      </c>
      <c r="BO216" s="14">
        <f>Tabla58[[#This Row],[Integración Dic/2025]]</f>
        <v>1</v>
      </c>
      <c r="BP216" s="16">
        <f>AVERAGE(Tabla4[[#This Row],[Creación y captura Dic/2025]:[Compartición e Interoperabilidad Dic/2025]])</f>
        <v>1</v>
      </c>
    </row>
    <row r="217" spans="2:68" x14ac:dyDescent="0.4">
      <c r="B217" s="1" t="s">
        <v>268</v>
      </c>
      <c r="C217" s="14"/>
      <c r="D217" s="14"/>
      <c r="E217" s="14"/>
      <c r="F217" s="14">
        <f>Tabla13[[#This Row],[Uso y acceso Ago/2024]]</f>
        <v>0</v>
      </c>
      <c r="G217" s="15">
        <f>Tabla58[[#This Row],[Integración Ago/2024]]</f>
        <v>0</v>
      </c>
      <c r="H217" s="16">
        <f>AVERAGE(Tabla4[[#This Row],[Creación y captura Ago/2024]:[Compartición e Interoperabilidad Ago/2024]])</f>
        <v>0</v>
      </c>
      <c r="I217" s="14"/>
      <c r="J217" s="14"/>
      <c r="K217" s="15"/>
      <c r="L217" s="15">
        <f>Tabla13[[#This Row],[Uso y acceso Sep/2024]]</f>
        <v>0</v>
      </c>
      <c r="M217" s="15">
        <f>Tabla58[[#This Row],[Integración Sep/2024]]</f>
        <v>0</v>
      </c>
      <c r="N217" s="16">
        <f>AVERAGE(Tabla4[[#This Row],[Creación y captura Sep/2024]:[Compartición e Interoperabilidad Sep/2024]])</f>
        <v>0</v>
      </c>
      <c r="O217" s="14"/>
      <c r="P217" s="14"/>
      <c r="Q217" s="15"/>
      <c r="R217" s="15">
        <f>Tabla13[[#This Row],[Uso y acceso Oct/2024]]</f>
        <v>0</v>
      </c>
      <c r="S217" s="15">
        <f>Tabla58[[#This Row],[Integración Oct/2024]]</f>
        <v>0</v>
      </c>
      <c r="T217" s="16">
        <f>AVERAGE(Tabla4[[#This Row],[Creación y captura Oct/2024]:[Compartición e Interoperabilidad Oct/2024]])</f>
        <v>0</v>
      </c>
      <c r="U217" s="14"/>
      <c r="V217" s="14"/>
      <c r="W217" s="15"/>
      <c r="X217" s="15">
        <f>Tabla13[[#This Row],[Uso y acceso Nov/2024]]</f>
        <v>0</v>
      </c>
      <c r="Y217" s="15">
        <f>Tabla58[[#This Row],[Integración Nov/2024]]</f>
        <v>0</v>
      </c>
      <c r="Z217" s="16">
        <f>AVERAGE(Tabla4[[#This Row],[Creación y captura Nov/2024]:[Compartición e Interoperabilidad Nov/2024]])</f>
        <v>0</v>
      </c>
      <c r="AA217" s="14"/>
      <c r="AB217" s="14"/>
      <c r="AC217" s="15"/>
      <c r="AD217" s="15">
        <f>Tabla13[[#This Row],[Uso y acceso Dic/2024]]</f>
        <v>0</v>
      </c>
      <c r="AE217" s="15">
        <f>Tabla58[[#This Row],[Integración Dic/2024]]</f>
        <v>0</v>
      </c>
      <c r="AF217" s="16">
        <f>AVERAGE(Tabla4[[#This Row],[Creación y captura Dic/2024]:[Compartición e Interoperabilidad Dic/2024]])</f>
        <v>0</v>
      </c>
      <c r="AG217" s="14"/>
      <c r="AH217" s="14"/>
      <c r="AI217" s="15"/>
      <c r="AJ217" s="15">
        <f>Tabla13[[#This Row],[Uso y acceso Ene/2025]]</f>
        <v>0</v>
      </c>
      <c r="AK217" s="15">
        <f>Tabla58[[#This Row],[Integración Ene/2025]]</f>
        <v>0</v>
      </c>
      <c r="AL217" s="16">
        <f>AVERAGE(Tabla4[[#This Row],[Creación y captura Ene/2025]:[Compartición e Interoperabilidad Ene/2025]])</f>
        <v>0</v>
      </c>
      <c r="AM217" s="14">
        <v>1</v>
      </c>
      <c r="AN217" s="15">
        <v>1</v>
      </c>
      <c r="AO217" s="17">
        <f>AVERAGE('Calidad de Datos'!AA221:AD221)</f>
        <v>1</v>
      </c>
      <c r="AP217" s="15">
        <f>Tabla13[[#This Row],[Uso y acceso Feb/2025]]</f>
        <v>1</v>
      </c>
      <c r="AQ217" s="15">
        <f>Tabla58[[#This Row],[Integración Feb/2025]]</f>
        <v>1</v>
      </c>
      <c r="AR217" s="16">
        <f>AVERAGE(Tabla4[[#This Row],[Creación y captura Feb/2025]:[Compartición e Interoperabilidad Feb/2025]])</f>
        <v>1</v>
      </c>
      <c r="AS217" s="14">
        <v>1</v>
      </c>
      <c r="AT217" s="14">
        <v>1</v>
      </c>
      <c r="AU217" s="17">
        <f>AVERAGE('Calidad de Datos'!AE221:AH221)</f>
        <v>1</v>
      </c>
      <c r="AV217" s="15">
        <f>Tabla13[[#This Row],[Uso y acceso Mar/2025]]</f>
        <v>1</v>
      </c>
      <c r="AW217" s="15">
        <f>Tabla58[[#This Row],[Integración Mar/2025]]</f>
        <v>1</v>
      </c>
      <c r="AX217" s="16">
        <f>AVERAGE(Tabla4[[#This Row],[Creación y captura Mar/2025]:[Compartición e Interoperabilidad Mar/2025]])</f>
        <v>1</v>
      </c>
      <c r="AY217" s="14">
        <v>1</v>
      </c>
      <c r="AZ217" s="14">
        <v>1</v>
      </c>
      <c r="BA217" s="17">
        <f>AVERAGE('Calidad de Datos'!AI221:AL221)</f>
        <v>1</v>
      </c>
      <c r="BB217" s="15">
        <f>Tabla13[[#This Row],[Uso y acceso Abr/2025]]</f>
        <v>1</v>
      </c>
      <c r="BC217" s="15">
        <f>Tabla58[[#This Row],[Integración Abr/2025]]</f>
        <v>1</v>
      </c>
      <c r="BD217" s="16">
        <f>AVERAGE(Tabla4[[#This Row],[Creación y captura Abr/2025]:[Compartición e Interoperabilidad Abr/2025]])</f>
        <v>1</v>
      </c>
      <c r="BE217" s="14">
        <v>1</v>
      </c>
      <c r="BF217" s="14">
        <v>1</v>
      </c>
      <c r="BG217" s="17">
        <f>AVERAGE('Calidad de Datos'!AM221:AP221)</f>
        <v>1</v>
      </c>
      <c r="BH217" s="15">
        <f>Tabla13[[#This Row],[Uso y acceso May/2025]]</f>
        <v>1</v>
      </c>
      <c r="BI217" s="15">
        <f>Tabla58[[#This Row],[Integración May/2025]]</f>
        <v>1</v>
      </c>
      <c r="BJ217" s="16">
        <f>AVERAGE(Tabla4[[#This Row],[Creación y captura May/2025]:[Compartición e Interoperabilidad May/2025]])</f>
        <v>1</v>
      </c>
      <c r="BK217" s="14">
        <v>1</v>
      </c>
      <c r="BL217" s="14">
        <v>1</v>
      </c>
      <c r="BM217" s="14">
        <f>AVERAGE('Calidad de Datos'!AQ221:AT221)</f>
        <v>1</v>
      </c>
      <c r="BN217" s="14">
        <f>Tabla13[[#This Row],[Uso y acceso Dic/2025]]</f>
        <v>1</v>
      </c>
      <c r="BO217" s="14">
        <f>Tabla58[[#This Row],[Integración Dic/2025]]</f>
        <v>1</v>
      </c>
      <c r="BP217" s="16">
        <f>AVERAGE(Tabla4[[#This Row],[Creación y captura Dic/2025]:[Compartición e Interoperabilidad Dic/2025]])</f>
        <v>1</v>
      </c>
    </row>
    <row r="218" spans="2:68" x14ac:dyDescent="0.4">
      <c r="B218" s="1" t="s">
        <v>269</v>
      </c>
      <c r="C218" s="14"/>
      <c r="D218" s="14"/>
      <c r="E218" s="14"/>
      <c r="F218" s="14">
        <f>Tabla13[[#This Row],[Uso y acceso Ago/2024]]</f>
        <v>0</v>
      </c>
      <c r="G218" s="15">
        <f>Tabla58[[#This Row],[Integración Ago/2024]]</f>
        <v>0</v>
      </c>
      <c r="H218" s="16">
        <f>AVERAGE(Tabla4[[#This Row],[Creación y captura Ago/2024]:[Compartición e Interoperabilidad Ago/2024]])</f>
        <v>0</v>
      </c>
      <c r="I218" s="14"/>
      <c r="J218" s="14"/>
      <c r="K218" s="15"/>
      <c r="L218" s="15">
        <f>Tabla13[[#This Row],[Uso y acceso Sep/2024]]</f>
        <v>0</v>
      </c>
      <c r="M218" s="15">
        <f>Tabla58[[#This Row],[Integración Sep/2024]]</f>
        <v>0</v>
      </c>
      <c r="N218" s="16">
        <f>AVERAGE(Tabla4[[#This Row],[Creación y captura Sep/2024]:[Compartición e Interoperabilidad Sep/2024]])</f>
        <v>0</v>
      </c>
      <c r="O218" s="14"/>
      <c r="P218" s="14"/>
      <c r="Q218" s="15"/>
      <c r="R218" s="15">
        <f>Tabla13[[#This Row],[Uso y acceso Oct/2024]]</f>
        <v>0</v>
      </c>
      <c r="S218" s="15">
        <f>Tabla58[[#This Row],[Integración Oct/2024]]</f>
        <v>0</v>
      </c>
      <c r="T218" s="16">
        <f>AVERAGE(Tabla4[[#This Row],[Creación y captura Oct/2024]:[Compartición e Interoperabilidad Oct/2024]])</f>
        <v>0</v>
      </c>
      <c r="U218" s="14"/>
      <c r="V218" s="14"/>
      <c r="W218" s="15"/>
      <c r="X218" s="15">
        <f>Tabla13[[#This Row],[Uso y acceso Nov/2024]]</f>
        <v>0</v>
      </c>
      <c r="Y218" s="15">
        <f>Tabla58[[#This Row],[Integración Nov/2024]]</f>
        <v>0</v>
      </c>
      <c r="Z218" s="16">
        <f>AVERAGE(Tabla4[[#This Row],[Creación y captura Nov/2024]:[Compartición e Interoperabilidad Nov/2024]])</f>
        <v>0</v>
      </c>
      <c r="AA218" s="14"/>
      <c r="AB218" s="14"/>
      <c r="AC218" s="15"/>
      <c r="AD218" s="15">
        <f>Tabla13[[#This Row],[Uso y acceso Dic/2024]]</f>
        <v>0</v>
      </c>
      <c r="AE218" s="15">
        <f>Tabla58[[#This Row],[Integración Dic/2024]]</f>
        <v>0</v>
      </c>
      <c r="AF218" s="16">
        <f>AVERAGE(Tabla4[[#This Row],[Creación y captura Dic/2024]:[Compartición e Interoperabilidad Dic/2024]])</f>
        <v>0</v>
      </c>
      <c r="AG218" s="14"/>
      <c r="AH218" s="14"/>
      <c r="AI218" s="15"/>
      <c r="AJ218" s="15">
        <f>Tabla13[[#This Row],[Uso y acceso Ene/2025]]</f>
        <v>0</v>
      </c>
      <c r="AK218" s="15">
        <f>Tabla58[[#This Row],[Integración Ene/2025]]</f>
        <v>0</v>
      </c>
      <c r="AL218" s="16">
        <f>AVERAGE(Tabla4[[#This Row],[Creación y captura Ene/2025]:[Compartición e Interoperabilidad Ene/2025]])</f>
        <v>0</v>
      </c>
      <c r="AM218" s="14">
        <v>1</v>
      </c>
      <c r="AN218" s="15">
        <v>1</v>
      </c>
      <c r="AO218" s="17">
        <f>AVERAGE('Calidad de Datos'!AA222:AD222)</f>
        <v>1</v>
      </c>
      <c r="AP218" s="15">
        <f>Tabla13[[#This Row],[Uso y acceso Feb/2025]]</f>
        <v>1</v>
      </c>
      <c r="AQ218" s="15">
        <f>Tabla58[[#This Row],[Integración Feb/2025]]</f>
        <v>1</v>
      </c>
      <c r="AR218" s="16">
        <f>AVERAGE(Tabla4[[#This Row],[Creación y captura Feb/2025]:[Compartición e Interoperabilidad Feb/2025]])</f>
        <v>1</v>
      </c>
      <c r="AS218" s="14">
        <v>1</v>
      </c>
      <c r="AT218" s="14">
        <v>1</v>
      </c>
      <c r="AU218" s="17">
        <f>AVERAGE('Calidad de Datos'!AE222:AH222)</f>
        <v>1</v>
      </c>
      <c r="AV218" s="15">
        <f>Tabla13[[#This Row],[Uso y acceso Mar/2025]]</f>
        <v>1</v>
      </c>
      <c r="AW218" s="15">
        <f>Tabla58[[#This Row],[Integración Mar/2025]]</f>
        <v>1</v>
      </c>
      <c r="AX218" s="16">
        <f>AVERAGE(Tabla4[[#This Row],[Creación y captura Mar/2025]:[Compartición e Interoperabilidad Mar/2025]])</f>
        <v>1</v>
      </c>
      <c r="AY218" s="14">
        <v>1</v>
      </c>
      <c r="AZ218" s="14">
        <v>1</v>
      </c>
      <c r="BA218" s="17">
        <f>AVERAGE('Calidad de Datos'!AI222:AL222)</f>
        <v>1</v>
      </c>
      <c r="BB218" s="15">
        <f>Tabla13[[#This Row],[Uso y acceso Abr/2025]]</f>
        <v>1</v>
      </c>
      <c r="BC218" s="15">
        <f>Tabla58[[#This Row],[Integración Abr/2025]]</f>
        <v>1</v>
      </c>
      <c r="BD218" s="16">
        <f>AVERAGE(Tabla4[[#This Row],[Creación y captura Abr/2025]:[Compartición e Interoperabilidad Abr/2025]])</f>
        <v>1</v>
      </c>
      <c r="BE218" s="14">
        <v>1</v>
      </c>
      <c r="BF218" s="14">
        <v>1</v>
      </c>
      <c r="BG218" s="17">
        <f>AVERAGE('Calidad de Datos'!AM222:AP222)</f>
        <v>1</v>
      </c>
      <c r="BH218" s="15">
        <f>Tabla13[[#This Row],[Uso y acceso May/2025]]</f>
        <v>1</v>
      </c>
      <c r="BI218" s="15">
        <f>Tabla58[[#This Row],[Integración May/2025]]</f>
        <v>1</v>
      </c>
      <c r="BJ218" s="16">
        <f>AVERAGE(Tabla4[[#This Row],[Creación y captura May/2025]:[Compartición e Interoperabilidad May/2025]])</f>
        <v>1</v>
      </c>
      <c r="BK218" s="14">
        <v>1</v>
      </c>
      <c r="BL218" s="14">
        <v>1</v>
      </c>
      <c r="BM218" s="14">
        <f>AVERAGE('Calidad de Datos'!AQ222:AT222)</f>
        <v>1</v>
      </c>
      <c r="BN218" s="14">
        <f>Tabla13[[#This Row],[Uso y acceso Dic/2025]]</f>
        <v>1</v>
      </c>
      <c r="BO218" s="14">
        <f>Tabla58[[#This Row],[Integración Dic/2025]]</f>
        <v>1</v>
      </c>
      <c r="BP218" s="16">
        <f>AVERAGE(Tabla4[[#This Row],[Creación y captura Dic/2025]:[Compartición e Interoperabilidad Dic/2025]])</f>
        <v>1</v>
      </c>
    </row>
    <row r="219" spans="2:68" x14ac:dyDescent="0.4">
      <c r="B219" s="1" t="s">
        <v>270</v>
      </c>
      <c r="C219" s="14"/>
      <c r="D219" s="14"/>
      <c r="E219" s="14"/>
      <c r="F219" s="14">
        <f>Tabla13[[#This Row],[Uso y acceso Ago/2024]]</f>
        <v>0</v>
      </c>
      <c r="G219" s="15">
        <f>Tabla58[[#This Row],[Integración Ago/2024]]</f>
        <v>0</v>
      </c>
      <c r="H219" s="16">
        <f>AVERAGE(Tabla4[[#This Row],[Creación y captura Ago/2024]:[Compartición e Interoperabilidad Ago/2024]])</f>
        <v>0</v>
      </c>
      <c r="I219" s="14"/>
      <c r="J219" s="14"/>
      <c r="K219" s="15"/>
      <c r="L219" s="15">
        <f>Tabla13[[#This Row],[Uso y acceso Sep/2024]]</f>
        <v>0</v>
      </c>
      <c r="M219" s="15">
        <f>Tabla58[[#This Row],[Integración Sep/2024]]</f>
        <v>0</v>
      </c>
      <c r="N219" s="16">
        <f>AVERAGE(Tabla4[[#This Row],[Creación y captura Sep/2024]:[Compartición e Interoperabilidad Sep/2024]])</f>
        <v>0</v>
      </c>
      <c r="O219" s="14"/>
      <c r="P219" s="14"/>
      <c r="Q219" s="15"/>
      <c r="R219" s="15">
        <f>Tabla13[[#This Row],[Uso y acceso Oct/2024]]</f>
        <v>0</v>
      </c>
      <c r="S219" s="15">
        <f>Tabla58[[#This Row],[Integración Oct/2024]]</f>
        <v>0</v>
      </c>
      <c r="T219" s="16">
        <f>AVERAGE(Tabla4[[#This Row],[Creación y captura Oct/2024]:[Compartición e Interoperabilidad Oct/2024]])</f>
        <v>0</v>
      </c>
      <c r="U219" s="14"/>
      <c r="V219" s="14"/>
      <c r="W219" s="15"/>
      <c r="X219" s="15">
        <f>Tabla13[[#This Row],[Uso y acceso Nov/2024]]</f>
        <v>0</v>
      </c>
      <c r="Y219" s="15">
        <f>Tabla58[[#This Row],[Integración Nov/2024]]</f>
        <v>0</v>
      </c>
      <c r="Z219" s="16">
        <f>AVERAGE(Tabla4[[#This Row],[Creación y captura Nov/2024]:[Compartición e Interoperabilidad Nov/2024]])</f>
        <v>0</v>
      </c>
      <c r="AA219" s="14"/>
      <c r="AB219" s="14"/>
      <c r="AC219" s="15"/>
      <c r="AD219" s="15">
        <f>Tabla13[[#This Row],[Uso y acceso Dic/2024]]</f>
        <v>0</v>
      </c>
      <c r="AE219" s="15">
        <f>Tabla58[[#This Row],[Integración Dic/2024]]</f>
        <v>0</v>
      </c>
      <c r="AF219" s="16">
        <f>AVERAGE(Tabla4[[#This Row],[Creación y captura Dic/2024]:[Compartición e Interoperabilidad Dic/2024]])</f>
        <v>0</v>
      </c>
      <c r="AG219" s="14"/>
      <c r="AH219" s="14"/>
      <c r="AI219" s="15"/>
      <c r="AJ219" s="15">
        <f>Tabla13[[#This Row],[Uso y acceso Ene/2025]]</f>
        <v>0</v>
      </c>
      <c r="AK219" s="15">
        <f>Tabla58[[#This Row],[Integración Ene/2025]]</f>
        <v>0</v>
      </c>
      <c r="AL219" s="16">
        <f>AVERAGE(Tabla4[[#This Row],[Creación y captura Ene/2025]:[Compartición e Interoperabilidad Ene/2025]])</f>
        <v>0</v>
      </c>
      <c r="AM219" s="14"/>
      <c r="AN219" s="14"/>
      <c r="AO219" s="15"/>
      <c r="AP219" s="15">
        <f>Tabla13[[#This Row],[Uso y acceso Feb/2025]]</f>
        <v>0</v>
      </c>
      <c r="AQ219" s="15">
        <f>Tabla58[[#This Row],[Integración Feb/2025]]</f>
        <v>0</v>
      </c>
      <c r="AR219" s="16">
        <f>AVERAGE(Tabla4[[#This Row],[Creación y captura Feb/2025]:[Compartición e Interoperabilidad Feb/2025]])</f>
        <v>0</v>
      </c>
      <c r="AS219" s="14"/>
      <c r="AT219" s="14"/>
      <c r="AU219" s="15"/>
      <c r="AV219" s="15">
        <f>Tabla13[[#This Row],[Uso y acceso Mar/2025]]</f>
        <v>0</v>
      </c>
      <c r="AW219" s="15">
        <f>Tabla58[[#This Row],[Integración Mar/2025]]</f>
        <v>0</v>
      </c>
      <c r="AX219" s="16">
        <f>AVERAGE(Tabla4[[#This Row],[Creación y captura Mar/2025]:[Compartición e Interoperabilidad Mar/2025]])</f>
        <v>0</v>
      </c>
      <c r="AY219" s="14">
        <v>1</v>
      </c>
      <c r="AZ219" s="14">
        <v>1</v>
      </c>
      <c r="BA219" s="17">
        <f>AVERAGE('Calidad de Datos'!AI223:AL223)</f>
        <v>1</v>
      </c>
      <c r="BB219" s="15">
        <f>Tabla13[[#This Row],[Uso y acceso Abr/2025]]</f>
        <v>1</v>
      </c>
      <c r="BC219" s="15">
        <f>Tabla58[[#This Row],[Integración Abr/2025]]</f>
        <v>1</v>
      </c>
      <c r="BD219" s="16">
        <f>AVERAGE(Tabla4[[#This Row],[Creación y captura Abr/2025]:[Compartición e Interoperabilidad Abr/2025]])</f>
        <v>1</v>
      </c>
      <c r="BE219" s="14">
        <v>1</v>
      </c>
      <c r="BF219" s="14">
        <v>1</v>
      </c>
      <c r="BG219" s="17">
        <f>AVERAGE('Calidad de Datos'!AM223:AP223)</f>
        <v>1</v>
      </c>
      <c r="BH219" s="15">
        <f>Tabla13[[#This Row],[Uso y acceso May/2025]]</f>
        <v>1</v>
      </c>
      <c r="BI219" s="15">
        <f>Tabla58[[#This Row],[Integración May/2025]]</f>
        <v>1</v>
      </c>
      <c r="BJ219" s="16">
        <f>AVERAGE(Tabla4[[#This Row],[Creación y captura May/2025]:[Compartición e Interoperabilidad May/2025]])</f>
        <v>1</v>
      </c>
      <c r="BK219" s="14">
        <v>1</v>
      </c>
      <c r="BL219" s="14">
        <v>1</v>
      </c>
      <c r="BM219" s="14">
        <f>AVERAGE('Calidad de Datos'!AQ223:AT223)</f>
        <v>1</v>
      </c>
      <c r="BN219" s="14">
        <f>Tabla13[[#This Row],[Uso y acceso Dic/2025]]</f>
        <v>1</v>
      </c>
      <c r="BO219" s="14">
        <f>Tabla58[[#This Row],[Integración Dic/2025]]</f>
        <v>1</v>
      </c>
      <c r="BP219" s="16">
        <f>AVERAGE(Tabla4[[#This Row],[Creación y captura Dic/2025]:[Compartición e Interoperabilidad Dic/2025]])</f>
        <v>1</v>
      </c>
    </row>
    <row r="220" spans="2:68" x14ac:dyDescent="0.4">
      <c r="B220" s="1" t="s">
        <v>271</v>
      </c>
      <c r="C220" s="14"/>
      <c r="D220" s="14"/>
      <c r="E220" s="14"/>
      <c r="F220" s="14">
        <f>Tabla13[[#This Row],[Uso y acceso Ago/2024]]</f>
        <v>0</v>
      </c>
      <c r="G220" s="15">
        <f>Tabla58[[#This Row],[Integración Ago/2024]]</f>
        <v>0</v>
      </c>
      <c r="H220" s="16">
        <f>AVERAGE(Tabla4[[#This Row],[Creación y captura Ago/2024]:[Compartición e Interoperabilidad Ago/2024]])</f>
        <v>0</v>
      </c>
      <c r="I220" s="14"/>
      <c r="J220" s="14"/>
      <c r="K220" s="15"/>
      <c r="L220" s="15">
        <f>Tabla13[[#This Row],[Uso y acceso Sep/2024]]</f>
        <v>0</v>
      </c>
      <c r="M220" s="15">
        <f>Tabla58[[#This Row],[Integración Sep/2024]]</f>
        <v>0</v>
      </c>
      <c r="N220" s="16">
        <f>AVERAGE(Tabla4[[#This Row],[Creación y captura Sep/2024]:[Compartición e Interoperabilidad Sep/2024]])</f>
        <v>0</v>
      </c>
      <c r="O220" s="14"/>
      <c r="P220" s="14"/>
      <c r="Q220" s="15"/>
      <c r="R220" s="15">
        <f>Tabla13[[#This Row],[Uso y acceso Oct/2024]]</f>
        <v>0</v>
      </c>
      <c r="S220" s="15">
        <f>Tabla58[[#This Row],[Integración Oct/2024]]</f>
        <v>0</v>
      </c>
      <c r="T220" s="16">
        <f>AVERAGE(Tabla4[[#This Row],[Creación y captura Oct/2024]:[Compartición e Interoperabilidad Oct/2024]])</f>
        <v>0</v>
      </c>
      <c r="U220" s="14"/>
      <c r="V220" s="14"/>
      <c r="W220" s="15"/>
      <c r="X220" s="15">
        <f>Tabla13[[#This Row],[Uso y acceso Nov/2024]]</f>
        <v>0</v>
      </c>
      <c r="Y220" s="15">
        <f>Tabla58[[#This Row],[Integración Nov/2024]]</f>
        <v>0</v>
      </c>
      <c r="Z220" s="16">
        <f>AVERAGE(Tabla4[[#This Row],[Creación y captura Nov/2024]:[Compartición e Interoperabilidad Nov/2024]])</f>
        <v>0</v>
      </c>
      <c r="AA220" s="14"/>
      <c r="AB220" s="14"/>
      <c r="AC220" s="15"/>
      <c r="AD220" s="15">
        <f>Tabla13[[#This Row],[Uso y acceso Dic/2024]]</f>
        <v>0</v>
      </c>
      <c r="AE220" s="15">
        <f>Tabla58[[#This Row],[Integración Dic/2024]]</f>
        <v>0</v>
      </c>
      <c r="AF220" s="16">
        <f>AVERAGE(Tabla4[[#This Row],[Creación y captura Dic/2024]:[Compartición e Interoperabilidad Dic/2024]])</f>
        <v>0</v>
      </c>
      <c r="AG220" s="14"/>
      <c r="AH220" s="14"/>
      <c r="AI220" s="15"/>
      <c r="AJ220" s="15">
        <f>Tabla13[[#This Row],[Uso y acceso Ene/2025]]</f>
        <v>0</v>
      </c>
      <c r="AK220" s="15">
        <f>Tabla58[[#This Row],[Integración Ene/2025]]</f>
        <v>0</v>
      </c>
      <c r="AL220" s="16">
        <f>AVERAGE(Tabla4[[#This Row],[Creación y captura Ene/2025]:[Compartición e Interoperabilidad Ene/2025]])</f>
        <v>0</v>
      </c>
      <c r="AM220" s="14"/>
      <c r="AN220" s="14"/>
      <c r="AO220" s="15"/>
      <c r="AP220" s="15">
        <f>Tabla13[[#This Row],[Uso y acceso Feb/2025]]</f>
        <v>0</v>
      </c>
      <c r="AQ220" s="15">
        <f>Tabla58[[#This Row],[Integración Feb/2025]]</f>
        <v>0</v>
      </c>
      <c r="AR220" s="16">
        <f>AVERAGE(Tabla4[[#This Row],[Creación y captura Feb/2025]:[Compartición e Interoperabilidad Feb/2025]])</f>
        <v>0</v>
      </c>
      <c r="AS220" s="14"/>
      <c r="AT220" s="14"/>
      <c r="AU220" s="15"/>
      <c r="AV220" s="15">
        <f>Tabla13[[#This Row],[Uso y acceso Mar/2025]]</f>
        <v>0</v>
      </c>
      <c r="AW220" s="15">
        <f>Tabla58[[#This Row],[Integración Mar/2025]]</f>
        <v>0</v>
      </c>
      <c r="AX220" s="16">
        <f>AVERAGE(Tabla4[[#This Row],[Creación y captura Mar/2025]:[Compartición e Interoperabilidad Mar/2025]])</f>
        <v>0</v>
      </c>
      <c r="AY220" s="14">
        <v>1</v>
      </c>
      <c r="AZ220" s="14">
        <v>1</v>
      </c>
      <c r="BA220" s="17">
        <f>AVERAGE('Calidad de Datos'!AI224:AL224)</f>
        <v>1</v>
      </c>
      <c r="BB220" s="15">
        <f>Tabla13[[#This Row],[Uso y acceso Abr/2025]]</f>
        <v>1</v>
      </c>
      <c r="BC220" s="15">
        <f>Tabla58[[#This Row],[Integración Abr/2025]]</f>
        <v>1</v>
      </c>
      <c r="BD220" s="16">
        <f>AVERAGE(Tabla4[[#This Row],[Creación y captura Abr/2025]:[Compartición e Interoperabilidad Abr/2025]])</f>
        <v>1</v>
      </c>
      <c r="BE220" s="14">
        <v>1</v>
      </c>
      <c r="BF220" s="14">
        <v>1</v>
      </c>
      <c r="BG220" s="17">
        <f>AVERAGE('Calidad de Datos'!AM224:AP224)</f>
        <v>1</v>
      </c>
      <c r="BH220" s="15">
        <f>Tabla13[[#This Row],[Uso y acceso May/2025]]</f>
        <v>1</v>
      </c>
      <c r="BI220" s="15">
        <f>Tabla58[[#This Row],[Integración May/2025]]</f>
        <v>1</v>
      </c>
      <c r="BJ220" s="16">
        <f>AVERAGE(Tabla4[[#This Row],[Creación y captura May/2025]:[Compartición e Interoperabilidad May/2025]])</f>
        <v>1</v>
      </c>
      <c r="BK220" s="14">
        <v>1</v>
      </c>
      <c r="BL220" s="14">
        <v>1</v>
      </c>
      <c r="BM220" s="14">
        <f>AVERAGE('Calidad de Datos'!AQ224:AT224)</f>
        <v>1</v>
      </c>
      <c r="BN220" s="14">
        <f>Tabla13[[#This Row],[Uso y acceso Dic/2025]]</f>
        <v>1</v>
      </c>
      <c r="BO220" s="14">
        <f>Tabla58[[#This Row],[Integración Dic/2025]]</f>
        <v>1</v>
      </c>
      <c r="BP220" s="16">
        <f>AVERAGE(Tabla4[[#This Row],[Creación y captura Dic/2025]:[Compartición e Interoperabilidad Dic/2025]])</f>
        <v>1</v>
      </c>
    </row>
    <row r="221" spans="2:68" x14ac:dyDescent="0.4">
      <c r="B221" s="1" t="s">
        <v>272</v>
      </c>
      <c r="C221" s="14"/>
      <c r="D221" s="14"/>
      <c r="E221" s="14"/>
      <c r="F221" s="14">
        <f>Tabla13[[#This Row],[Uso y acceso Ago/2024]]</f>
        <v>0</v>
      </c>
      <c r="G221" s="15">
        <f>Tabla58[[#This Row],[Integración Ago/2024]]</f>
        <v>0</v>
      </c>
      <c r="H221" s="16">
        <f>AVERAGE(Tabla4[[#This Row],[Creación y captura Ago/2024]:[Compartición e Interoperabilidad Ago/2024]])</f>
        <v>0</v>
      </c>
      <c r="I221" s="14"/>
      <c r="J221" s="14"/>
      <c r="K221" s="15"/>
      <c r="L221" s="15">
        <f>Tabla13[[#This Row],[Uso y acceso Sep/2024]]</f>
        <v>0</v>
      </c>
      <c r="M221" s="15">
        <f>Tabla58[[#This Row],[Integración Sep/2024]]</f>
        <v>0</v>
      </c>
      <c r="N221" s="16">
        <f>AVERAGE(Tabla4[[#This Row],[Creación y captura Sep/2024]:[Compartición e Interoperabilidad Sep/2024]])</f>
        <v>0</v>
      </c>
      <c r="O221" s="14"/>
      <c r="P221" s="14"/>
      <c r="Q221" s="15"/>
      <c r="R221" s="15">
        <f>Tabla13[[#This Row],[Uso y acceso Oct/2024]]</f>
        <v>0</v>
      </c>
      <c r="S221" s="15">
        <f>Tabla58[[#This Row],[Integración Oct/2024]]</f>
        <v>0</v>
      </c>
      <c r="T221" s="16">
        <f>AVERAGE(Tabla4[[#This Row],[Creación y captura Oct/2024]:[Compartición e Interoperabilidad Oct/2024]])</f>
        <v>0</v>
      </c>
      <c r="U221" s="14"/>
      <c r="V221" s="14"/>
      <c r="W221" s="15"/>
      <c r="X221" s="15">
        <f>Tabla13[[#This Row],[Uso y acceso Nov/2024]]</f>
        <v>0</v>
      </c>
      <c r="Y221" s="15">
        <f>Tabla58[[#This Row],[Integración Nov/2024]]</f>
        <v>0</v>
      </c>
      <c r="Z221" s="16">
        <f>AVERAGE(Tabla4[[#This Row],[Creación y captura Nov/2024]:[Compartición e Interoperabilidad Nov/2024]])</f>
        <v>0</v>
      </c>
      <c r="AA221" s="14"/>
      <c r="AB221" s="14"/>
      <c r="AC221" s="15"/>
      <c r="AD221" s="15">
        <f>Tabla13[[#This Row],[Uso y acceso Dic/2024]]</f>
        <v>0</v>
      </c>
      <c r="AE221" s="15">
        <f>Tabla58[[#This Row],[Integración Dic/2024]]</f>
        <v>0</v>
      </c>
      <c r="AF221" s="16">
        <f>AVERAGE(Tabla4[[#This Row],[Creación y captura Dic/2024]:[Compartición e Interoperabilidad Dic/2024]])</f>
        <v>0</v>
      </c>
      <c r="AG221" s="14"/>
      <c r="AH221" s="14"/>
      <c r="AI221" s="15"/>
      <c r="AJ221" s="15">
        <f>Tabla13[[#This Row],[Uso y acceso Ene/2025]]</f>
        <v>0</v>
      </c>
      <c r="AK221" s="15">
        <f>Tabla58[[#This Row],[Integración Ene/2025]]</f>
        <v>0</v>
      </c>
      <c r="AL221" s="16">
        <f>AVERAGE(Tabla4[[#This Row],[Creación y captura Ene/2025]:[Compartición e Interoperabilidad Ene/2025]])</f>
        <v>0</v>
      </c>
      <c r="AM221" s="14"/>
      <c r="AN221" s="14"/>
      <c r="AO221" s="15"/>
      <c r="AP221" s="15">
        <f>Tabla13[[#This Row],[Uso y acceso Feb/2025]]</f>
        <v>0</v>
      </c>
      <c r="AQ221" s="15">
        <f>Tabla58[[#This Row],[Integración Feb/2025]]</f>
        <v>0</v>
      </c>
      <c r="AR221" s="16">
        <f>AVERAGE(Tabla4[[#This Row],[Creación y captura Feb/2025]:[Compartición e Interoperabilidad Feb/2025]])</f>
        <v>0</v>
      </c>
      <c r="AS221" s="14"/>
      <c r="AT221" s="14"/>
      <c r="AU221" s="15"/>
      <c r="AV221" s="15">
        <f>Tabla13[[#This Row],[Uso y acceso Mar/2025]]</f>
        <v>0</v>
      </c>
      <c r="AW221" s="15">
        <f>Tabla58[[#This Row],[Integración Mar/2025]]</f>
        <v>0</v>
      </c>
      <c r="AX221" s="16">
        <f>AVERAGE(Tabla4[[#This Row],[Creación y captura Mar/2025]:[Compartición e Interoperabilidad Mar/2025]])</f>
        <v>0</v>
      </c>
      <c r="AY221" s="14">
        <v>1</v>
      </c>
      <c r="AZ221" s="14">
        <v>1</v>
      </c>
      <c r="BA221" s="17">
        <f>AVERAGE('Calidad de Datos'!AI225:AL225)</f>
        <v>1</v>
      </c>
      <c r="BB221" s="15">
        <f>Tabla13[[#This Row],[Uso y acceso Abr/2025]]</f>
        <v>1</v>
      </c>
      <c r="BC221" s="15">
        <f>Tabla58[[#This Row],[Integración Abr/2025]]</f>
        <v>1</v>
      </c>
      <c r="BD221" s="16">
        <f>AVERAGE(Tabla4[[#This Row],[Creación y captura Abr/2025]:[Compartición e Interoperabilidad Abr/2025]])</f>
        <v>1</v>
      </c>
      <c r="BE221" s="14">
        <v>1</v>
      </c>
      <c r="BF221" s="14">
        <v>1</v>
      </c>
      <c r="BG221" s="17">
        <f>AVERAGE('Calidad de Datos'!AM225:AP225)</f>
        <v>1</v>
      </c>
      <c r="BH221" s="15">
        <f>Tabla13[[#This Row],[Uso y acceso May/2025]]</f>
        <v>1</v>
      </c>
      <c r="BI221" s="15">
        <f>Tabla58[[#This Row],[Integración May/2025]]</f>
        <v>1</v>
      </c>
      <c r="BJ221" s="16">
        <f>AVERAGE(Tabla4[[#This Row],[Creación y captura May/2025]:[Compartición e Interoperabilidad May/2025]])</f>
        <v>1</v>
      </c>
      <c r="BK221" s="14">
        <v>1</v>
      </c>
      <c r="BL221" s="14">
        <v>1</v>
      </c>
      <c r="BM221" s="14">
        <f>AVERAGE('Calidad de Datos'!AQ225:AT225)</f>
        <v>1</v>
      </c>
      <c r="BN221" s="14">
        <f>Tabla13[[#This Row],[Uso y acceso Dic/2025]]</f>
        <v>1</v>
      </c>
      <c r="BO221" s="14">
        <f>Tabla58[[#This Row],[Integración Dic/2025]]</f>
        <v>1</v>
      </c>
      <c r="BP221" s="16">
        <f>AVERAGE(Tabla4[[#This Row],[Creación y captura Dic/2025]:[Compartición e Interoperabilidad Dic/2025]])</f>
        <v>1</v>
      </c>
    </row>
    <row r="222" spans="2:68" x14ac:dyDescent="0.4">
      <c r="B222" s="1" t="s">
        <v>273</v>
      </c>
      <c r="C222" s="14"/>
      <c r="D222" s="14"/>
      <c r="E222" s="14"/>
      <c r="F222" s="14">
        <f>Tabla13[[#This Row],[Uso y acceso Ago/2024]]</f>
        <v>0</v>
      </c>
      <c r="G222" s="15">
        <f>Tabla58[[#This Row],[Integración Ago/2024]]</f>
        <v>0</v>
      </c>
      <c r="H222" s="16">
        <f>AVERAGE(Tabla4[[#This Row],[Creación y captura Ago/2024]:[Compartición e Interoperabilidad Ago/2024]])</f>
        <v>0</v>
      </c>
      <c r="I222" s="14"/>
      <c r="J222" s="14"/>
      <c r="K222" s="15"/>
      <c r="L222" s="15">
        <f>Tabla13[[#This Row],[Uso y acceso Sep/2024]]</f>
        <v>0</v>
      </c>
      <c r="M222" s="15">
        <f>Tabla58[[#This Row],[Integración Sep/2024]]</f>
        <v>0</v>
      </c>
      <c r="N222" s="16">
        <f>AVERAGE(Tabla4[[#This Row],[Creación y captura Sep/2024]:[Compartición e Interoperabilidad Sep/2024]])</f>
        <v>0</v>
      </c>
      <c r="O222" s="14"/>
      <c r="P222" s="14"/>
      <c r="Q222" s="15"/>
      <c r="R222" s="15">
        <f>Tabla13[[#This Row],[Uso y acceso Oct/2024]]</f>
        <v>0</v>
      </c>
      <c r="S222" s="15">
        <f>Tabla58[[#This Row],[Integración Oct/2024]]</f>
        <v>0</v>
      </c>
      <c r="T222" s="16">
        <f>AVERAGE(Tabla4[[#This Row],[Creación y captura Oct/2024]:[Compartición e Interoperabilidad Oct/2024]])</f>
        <v>0</v>
      </c>
      <c r="U222" s="14"/>
      <c r="V222" s="14"/>
      <c r="W222" s="15"/>
      <c r="X222" s="15">
        <f>Tabla13[[#This Row],[Uso y acceso Nov/2024]]</f>
        <v>0</v>
      </c>
      <c r="Y222" s="15">
        <f>Tabla58[[#This Row],[Integración Nov/2024]]</f>
        <v>0</v>
      </c>
      <c r="Z222" s="16">
        <f>AVERAGE(Tabla4[[#This Row],[Creación y captura Nov/2024]:[Compartición e Interoperabilidad Nov/2024]])</f>
        <v>0</v>
      </c>
      <c r="AA222" s="14"/>
      <c r="AB222" s="14"/>
      <c r="AC222" s="15"/>
      <c r="AD222" s="15">
        <f>Tabla13[[#This Row],[Uso y acceso Dic/2024]]</f>
        <v>0</v>
      </c>
      <c r="AE222" s="15">
        <f>Tabla58[[#This Row],[Integración Dic/2024]]</f>
        <v>0</v>
      </c>
      <c r="AF222" s="16">
        <f>AVERAGE(Tabla4[[#This Row],[Creación y captura Dic/2024]:[Compartición e Interoperabilidad Dic/2024]])</f>
        <v>0</v>
      </c>
      <c r="AG222" s="14"/>
      <c r="AH222" s="14"/>
      <c r="AI222" s="15"/>
      <c r="AJ222" s="15">
        <f>Tabla13[[#This Row],[Uso y acceso Ene/2025]]</f>
        <v>0</v>
      </c>
      <c r="AK222" s="15">
        <f>Tabla58[[#This Row],[Integración Ene/2025]]</f>
        <v>0</v>
      </c>
      <c r="AL222" s="16">
        <f>AVERAGE(Tabla4[[#This Row],[Creación y captura Ene/2025]:[Compartición e Interoperabilidad Ene/2025]])</f>
        <v>0</v>
      </c>
      <c r="AM222" s="14"/>
      <c r="AN222" s="14"/>
      <c r="AO222" s="15"/>
      <c r="AP222" s="15">
        <f>Tabla13[[#This Row],[Uso y acceso Feb/2025]]</f>
        <v>0</v>
      </c>
      <c r="AQ222" s="15">
        <f>Tabla58[[#This Row],[Integración Feb/2025]]</f>
        <v>0</v>
      </c>
      <c r="AR222" s="16">
        <f>AVERAGE(Tabla4[[#This Row],[Creación y captura Feb/2025]:[Compartición e Interoperabilidad Feb/2025]])</f>
        <v>0</v>
      </c>
      <c r="AS222" s="14"/>
      <c r="AT222" s="14"/>
      <c r="AU222" s="15"/>
      <c r="AV222" s="15">
        <f>Tabla13[[#This Row],[Uso y acceso Mar/2025]]</f>
        <v>0</v>
      </c>
      <c r="AW222" s="15">
        <f>Tabla58[[#This Row],[Integración Mar/2025]]</f>
        <v>0</v>
      </c>
      <c r="AX222" s="16">
        <f>AVERAGE(Tabla4[[#This Row],[Creación y captura Mar/2025]:[Compartición e Interoperabilidad Mar/2025]])</f>
        <v>0</v>
      </c>
      <c r="AY222" s="14">
        <v>1</v>
      </c>
      <c r="AZ222" s="14">
        <v>1</v>
      </c>
      <c r="BA222" s="17">
        <f>AVERAGE('Calidad de Datos'!AI226:AL226)</f>
        <v>1</v>
      </c>
      <c r="BB222" s="15">
        <f>Tabla13[[#This Row],[Uso y acceso Abr/2025]]</f>
        <v>1</v>
      </c>
      <c r="BC222" s="15">
        <f>Tabla58[[#This Row],[Integración Abr/2025]]</f>
        <v>1</v>
      </c>
      <c r="BD222" s="16">
        <f>AVERAGE(Tabla4[[#This Row],[Creación y captura Abr/2025]:[Compartición e Interoperabilidad Abr/2025]])</f>
        <v>1</v>
      </c>
      <c r="BE222" s="14">
        <v>1</v>
      </c>
      <c r="BF222" s="14">
        <v>1</v>
      </c>
      <c r="BG222" s="17">
        <f>AVERAGE('Calidad de Datos'!AM226:AP226)</f>
        <v>1</v>
      </c>
      <c r="BH222" s="15">
        <f>Tabla13[[#This Row],[Uso y acceso May/2025]]</f>
        <v>1</v>
      </c>
      <c r="BI222" s="15">
        <f>Tabla58[[#This Row],[Integración May/2025]]</f>
        <v>1</v>
      </c>
      <c r="BJ222" s="16">
        <f>AVERAGE(Tabla4[[#This Row],[Creación y captura May/2025]:[Compartición e Interoperabilidad May/2025]])</f>
        <v>1</v>
      </c>
      <c r="BK222" s="14">
        <v>1</v>
      </c>
      <c r="BL222" s="14">
        <v>1</v>
      </c>
      <c r="BM222" s="14">
        <f>AVERAGE('Calidad de Datos'!AQ226:AT226)</f>
        <v>1</v>
      </c>
      <c r="BN222" s="14">
        <f>Tabla13[[#This Row],[Uso y acceso Dic/2025]]</f>
        <v>1</v>
      </c>
      <c r="BO222" s="14">
        <f>Tabla58[[#This Row],[Integración Dic/2025]]</f>
        <v>1</v>
      </c>
      <c r="BP222" s="16">
        <f>AVERAGE(Tabla4[[#This Row],[Creación y captura Dic/2025]:[Compartición e Interoperabilidad Dic/2025]])</f>
        <v>1</v>
      </c>
    </row>
    <row r="223" spans="2:68" x14ac:dyDescent="0.4">
      <c r="B223" s="1" t="s">
        <v>274</v>
      </c>
      <c r="C223" s="14"/>
      <c r="D223" s="14"/>
      <c r="E223" s="14"/>
      <c r="F223" s="14">
        <f>Tabla13[[#This Row],[Uso y acceso Ago/2024]]</f>
        <v>0</v>
      </c>
      <c r="G223" s="15">
        <f>Tabla58[[#This Row],[Integración Ago/2024]]</f>
        <v>0</v>
      </c>
      <c r="H223" s="16">
        <f>AVERAGE(Tabla4[[#This Row],[Creación y captura Ago/2024]:[Compartición e Interoperabilidad Ago/2024]])</f>
        <v>0</v>
      </c>
      <c r="I223" s="14"/>
      <c r="J223" s="14"/>
      <c r="K223" s="15"/>
      <c r="L223" s="15">
        <f>Tabla13[[#This Row],[Uso y acceso Sep/2024]]</f>
        <v>0</v>
      </c>
      <c r="M223" s="15">
        <f>Tabla58[[#This Row],[Integración Sep/2024]]</f>
        <v>0</v>
      </c>
      <c r="N223" s="16">
        <f>AVERAGE(Tabla4[[#This Row],[Creación y captura Sep/2024]:[Compartición e Interoperabilidad Sep/2024]])</f>
        <v>0</v>
      </c>
      <c r="O223" s="14"/>
      <c r="P223" s="14"/>
      <c r="Q223" s="15"/>
      <c r="R223" s="15">
        <f>Tabla13[[#This Row],[Uso y acceso Oct/2024]]</f>
        <v>0</v>
      </c>
      <c r="S223" s="15">
        <f>Tabla58[[#This Row],[Integración Oct/2024]]</f>
        <v>0</v>
      </c>
      <c r="T223" s="16">
        <f>AVERAGE(Tabla4[[#This Row],[Creación y captura Oct/2024]:[Compartición e Interoperabilidad Oct/2024]])</f>
        <v>0</v>
      </c>
      <c r="U223" s="14"/>
      <c r="V223" s="14"/>
      <c r="W223" s="15"/>
      <c r="X223" s="15">
        <f>Tabla13[[#This Row],[Uso y acceso Nov/2024]]</f>
        <v>0</v>
      </c>
      <c r="Y223" s="15">
        <f>Tabla58[[#This Row],[Integración Nov/2024]]</f>
        <v>0</v>
      </c>
      <c r="Z223" s="16">
        <f>AVERAGE(Tabla4[[#This Row],[Creación y captura Nov/2024]:[Compartición e Interoperabilidad Nov/2024]])</f>
        <v>0</v>
      </c>
      <c r="AA223" s="14"/>
      <c r="AB223" s="14"/>
      <c r="AC223" s="15"/>
      <c r="AD223" s="15">
        <f>Tabla13[[#This Row],[Uso y acceso Dic/2024]]</f>
        <v>0</v>
      </c>
      <c r="AE223" s="15">
        <f>Tabla58[[#This Row],[Integración Dic/2024]]</f>
        <v>0</v>
      </c>
      <c r="AF223" s="16">
        <f>AVERAGE(Tabla4[[#This Row],[Creación y captura Dic/2024]:[Compartición e Interoperabilidad Dic/2024]])</f>
        <v>0</v>
      </c>
      <c r="AG223" s="14"/>
      <c r="AH223" s="14"/>
      <c r="AI223" s="15"/>
      <c r="AJ223" s="15">
        <f>Tabla13[[#This Row],[Uso y acceso Ene/2025]]</f>
        <v>0</v>
      </c>
      <c r="AK223" s="15">
        <f>Tabla58[[#This Row],[Integración Ene/2025]]</f>
        <v>0</v>
      </c>
      <c r="AL223" s="16">
        <f>AVERAGE(Tabla4[[#This Row],[Creación y captura Ene/2025]:[Compartición e Interoperabilidad Ene/2025]])</f>
        <v>0</v>
      </c>
      <c r="AM223" s="14"/>
      <c r="AN223" s="14"/>
      <c r="AO223" s="15"/>
      <c r="AP223" s="15">
        <f>Tabla13[[#This Row],[Uso y acceso Feb/2025]]</f>
        <v>0</v>
      </c>
      <c r="AQ223" s="15">
        <f>Tabla58[[#This Row],[Integración Feb/2025]]</f>
        <v>0</v>
      </c>
      <c r="AR223" s="16">
        <f>AVERAGE(Tabla4[[#This Row],[Creación y captura Feb/2025]:[Compartición e Interoperabilidad Feb/2025]])</f>
        <v>0</v>
      </c>
      <c r="AS223" s="14"/>
      <c r="AT223" s="14"/>
      <c r="AU223" s="15"/>
      <c r="AV223" s="15">
        <f>Tabla13[[#This Row],[Uso y acceso Mar/2025]]</f>
        <v>0</v>
      </c>
      <c r="AW223" s="15">
        <f>Tabla58[[#This Row],[Integración Mar/2025]]</f>
        <v>0</v>
      </c>
      <c r="AX223" s="16">
        <f>AVERAGE(Tabla4[[#This Row],[Creación y captura Mar/2025]:[Compartición e Interoperabilidad Mar/2025]])</f>
        <v>0</v>
      </c>
      <c r="AY223" s="14">
        <v>0.8</v>
      </c>
      <c r="AZ223" s="14">
        <v>0.5</v>
      </c>
      <c r="BA223" s="17">
        <f>AVERAGE('Calidad de Datos'!AI227:AL227)</f>
        <v>0.875</v>
      </c>
      <c r="BB223" s="15">
        <f>Tabla13[[#This Row],[Uso y acceso Abr/2025]]</f>
        <v>1</v>
      </c>
      <c r="BC223" s="15">
        <f>Tabla58[[#This Row],[Integración Abr/2025]]</f>
        <v>0.3</v>
      </c>
      <c r="BD223" s="16">
        <f>AVERAGE(Tabla4[[#This Row],[Creación y captura Abr/2025]:[Compartición e Interoperabilidad Abr/2025]])</f>
        <v>0.69499999999999995</v>
      </c>
      <c r="BE223" s="14">
        <v>0.8</v>
      </c>
      <c r="BF223" s="14">
        <v>0.5</v>
      </c>
      <c r="BG223" s="17">
        <f>AVERAGE('Calidad de Datos'!AM227:AP227)</f>
        <v>1</v>
      </c>
      <c r="BH223" s="15">
        <f>Tabla13[[#This Row],[Uso y acceso May/2025]]</f>
        <v>1</v>
      </c>
      <c r="BI223" s="15">
        <f>Tabla58[[#This Row],[Integración May/2025]]</f>
        <v>0.3</v>
      </c>
      <c r="BJ223" s="16">
        <f>AVERAGE(Tabla4[[#This Row],[Creación y captura May/2025]:[Compartición e Interoperabilidad May/2025]])</f>
        <v>0.72</v>
      </c>
      <c r="BK223" s="14">
        <v>0.8</v>
      </c>
      <c r="BL223" s="14">
        <v>0.5</v>
      </c>
      <c r="BM223" s="14">
        <f>AVERAGE('Calidad de Datos'!AQ227:AT227)</f>
        <v>1</v>
      </c>
      <c r="BN223" s="14">
        <f>Tabla13[[#This Row],[Uso y acceso Dic/2025]]</f>
        <v>1</v>
      </c>
      <c r="BO223" s="14">
        <f>Tabla58[[#This Row],[Integración Dic/2025]]</f>
        <v>0.8</v>
      </c>
      <c r="BP223" s="16">
        <f>AVERAGE(Tabla4[[#This Row],[Creación y captura Dic/2025]:[Compartición e Interoperabilidad Dic/2025]])</f>
        <v>0.82</v>
      </c>
    </row>
    <row r="224" spans="2:68" x14ac:dyDescent="0.4">
      <c r="B224" s="1" t="s">
        <v>275</v>
      </c>
      <c r="C224" s="14"/>
      <c r="D224" s="14"/>
      <c r="E224" s="14"/>
      <c r="F224" s="14">
        <f>Tabla13[[#This Row],[Uso y acceso Ago/2024]]</f>
        <v>0</v>
      </c>
      <c r="G224" s="15">
        <f>Tabla58[[#This Row],[Integración Ago/2024]]</f>
        <v>0</v>
      </c>
      <c r="H224" s="16">
        <f>AVERAGE(Tabla4[[#This Row],[Creación y captura Ago/2024]:[Compartición e Interoperabilidad Ago/2024]])</f>
        <v>0</v>
      </c>
      <c r="I224" s="14"/>
      <c r="J224" s="14"/>
      <c r="K224" s="15"/>
      <c r="L224" s="15">
        <f>Tabla13[[#This Row],[Uso y acceso Sep/2024]]</f>
        <v>0</v>
      </c>
      <c r="M224" s="15">
        <f>Tabla58[[#This Row],[Integración Sep/2024]]</f>
        <v>0</v>
      </c>
      <c r="N224" s="16">
        <f>AVERAGE(Tabla4[[#This Row],[Creación y captura Sep/2024]:[Compartición e Interoperabilidad Sep/2024]])</f>
        <v>0</v>
      </c>
      <c r="O224" s="14"/>
      <c r="P224" s="14"/>
      <c r="Q224" s="15"/>
      <c r="R224" s="15">
        <f>Tabla13[[#This Row],[Uso y acceso Oct/2024]]</f>
        <v>0</v>
      </c>
      <c r="S224" s="15">
        <f>Tabla58[[#This Row],[Integración Oct/2024]]</f>
        <v>0</v>
      </c>
      <c r="T224" s="16">
        <f>AVERAGE(Tabla4[[#This Row],[Creación y captura Oct/2024]:[Compartición e Interoperabilidad Oct/2024]])</f>
        <v>0</v>
      </c>
      <c r="U224" s="14"/>
      <c r="V224" s="14"/>
      <c r="W224" s="15"/>
      <c r="X224" s="15">
        <f>Tabla13[[#This Row],[Uso y acceso Nov/2024]]</f>
        <v>0</v>
      </c>
      <c r="Y224" s="15">
        <f>Tabla58[[#This Row],[Integración Nov/2024]]</f>
        <v>0</v>
      </c>
      <c r="Z224" s="16">
        <f>AVERAGE(Tabla4[[#This Row],[Creación y captura Nov/2024]:[Compartición e Interoperabilidad Nov/2024]])</f>
        <v>0</v>
      </c>
      <c r="AA224" s="14"/>
      <c r="AB224" s="14"/>
      <c r="AC224" s="15"/>
      <c r="AD224" s="15">
        <f>Tabla13[[#This Row],[Uso y acceso Dic/2024]]</f>
        <v>0</v>
      </c>
      <c r="AE224" s="15">
        <f>Tabla58[[#This Row],[Integración Dic/2024]]</f>
        <v>0</v>
      </c>
      <c r="AF224" s="16">
        <f>AVERAGE(Tabla4[[#This Row],[Creación y captura Dic/2024]:[Compartición e Interoperabilidad Dic/2024]])</f>
        <v>0</v>
      </c>
      <c r="AG224" s="14"/>
      <c r="AH224" s="14"/>
      <c r="AI224" s="15"/>
      <c r="AJ224" s="15">
        <f>Tabla13[[#This Row],[Uso y acceso Ene/2025]]</f>
        <v>0</v>
      </c>
      <c r="AK224" s="15">
        <f>Tabla58[[#This Row],[Integración Ene/2025]]</f>
        <v>0</v>
      </c>
      <c r="AL224" s="16">
        <f>AVERAGE(Tabla4[[#This Row],[Creación y captura Ene/2025]:[Compartición e Interoperabilidad Ene/2025]])</f>
        <v>0</v>
      </c>
      <c r="AM224" s="14"/>
      <c r="AN224" s="14"/>
      <c r="AO224" s="15"/>
      <c r="AP224" s="15">
        <f>Tabla13[[#This Row],[Uso y acceso Feb/2025]]</f>
        <v>0</v>
      </c>
      <c r="AQ224" s="15">
        <f>Tabla58[[#This Row],[Integración Feb/2025]]</f>
        <v>0</v>
      </c>
      <c r="AR224" s="16">
        <f>AVERAGE(Tabla4[[#This Row],[Creación y captura Feb/2025]:[Compartición e Interoperabilidad Feb/2025]])</f>
        <v>0</v>
      </c>
      <c r="AS224" s="14"/>
      <c r="AT224" s="14"/>
      <c r="AU224" s="15"/>
      <c r="AV224" s="15">
        <f>Tabla13[[#This Row],[Uso y acceso Mar/2025]]</f>
        <v>0</v>
      </c>
      <c r="AW224" s="15">
        <f>Tabla58[[#This Row],[Integración Mar/2025]]</f>
        <v>0</v>
      </c>
      <c r="AX224" s="16">
        <f>AVERAGE(Tabla4[[#This Row],[Creación y captura Mar/2025]:[Compartición e Interoperabilidad Mar/2025]])</f>
        <v>0</v>
      </c>
      <c r="AY224" s="14">
        <v>0.8</v>
      </c>
      <c r="AZ224" s="14">
        <v>0.5</v>
      </c>
      <c r="BA224" s="17">
        <f>AVERAGE('Calidad de Datos'!AI228:AL228)</f>
        <v>0.875</v>
      </c>
      <c r="BB224" s="15">
        <f>Tabla13[[#This Row],[Uso y acceso Abr/2025]]</f>
        <v>1</v>
      </c>
      <c r="BC224" s="15">
        <f>Tabla58[[#This Row],[Integración Abr/2025]]</f>
        <v>0.3</v>
      </c>
      <c r="BD224" s="16">
        <f>AVERAGE(Tabla4[[#This Row],[Creación y captura Abr/2025]:[Compartición e Interoperabilidad Abr/2025]])</f>
        <v>0.69499999999999995</v>
      </c>
      <c r="BE224" s="14">
        <v>0.8</v>
      </c>
      <c r="BF224" s="14">
        <v>0.5</v>
      </c>
      <c r="BG224" s="17">
        <f>AVERAGE('Calidad de Datos'!AM228:AP228)</f>
        <v>1</v>
      </c>
      <c r="BH224" s="15">
        <f>Tabla13[[#This Row],[Uso y acceso May/2025]]</f>
        <v>1</v>
      </c>
      <c r="BI224" s="15">
        <f>Tabla58[[#This Row],[Integración May/2025]]</f>
        <v>0.3</v>
      </c>
      <c r="BJ224" s="16">
        <f>AVERAGE(Tabla4[[#This Row],[Creación y captura May/2025]:[Compartición e Interoperabilidad May/2025]])</f>
        <v>0.72</v>
      </c>
      <c r="BK224" s="14">
        <v>0.8</v>
      </c>
      <c r="BL224" s="14">
        <v>0.5</v>
      </c>
      <c r="BM224" s="14">
        <f>AVERAGE('Calidad de Datos'!AQ228:AT228)</f>
        <v>1</v>
      </c>
      <c r="BN224" s="14">
        <f>Tabla13[[#This Row],[Uso y acceso Dic/2025]]</f>
        <v>1</v>
      </c>
      <c r="BO224" s="14">
        <f>Tabla58[[#This Row],[Integración Dic/2025]]</f>
        <v>0.8</v>
      </c>
      <c r="BP224" s="16">
        <f>AVERAGE(Tabla4[[#This Row],[Creación y captura Dic/2025]:[Compartición e Interoperabilidad Dic/2025]])</f>
        <v>0.82</v>
      </c>
    </row>
    <row r="225" spans="2:68" x14ac:dyDescent="0.4">
      <c r="B225" s="1" t="s">
        <v>276</v>
      </c>
      <c r="C225" s="14"/>
      <c r="D225" s="14"/>
      <c r="E225" s="14"/>
      <c r="F225" s="14">
        <f>Tabla13[[#This Row],[Uso y acceso Ago/2024]]</f>
        <v>0</v>
      </c>
      <c r="G225" s="15">
        <f>Tabla58[[#This Row],[Integración Ago/2024]]</f>
        <v>0</v>
      </c>
      <c r="H225" s="16">
        <f>AVERAGE(Tabla4[[#This Row],[Creación y captura Ago/2024]:[Compartición e Interoperabilidad Ago/2024]])</f>
        <v>0</v>
      </c>
      <c r="I225" s="14"/>
      <c r="J225" s="14"/>
      <c r="K225" s="15"/>
      <c r="L225" s="15">
        <f>Tabla13[[#This Row],[Uso y acceso Sep/2024]]</f>
        <v>0</v>
      </c>
      <c r="M225" s="15">
        <f>Tabla58[[#This Row],[Integración Sep/2024]]</f>
        <v>0</v>
      </c>
      <c r="N225" s="16">
        <f>AVERAGE(Tabla4[[#This Row],[Creación y captura Sep/2024]:[Compartición e Interoperabilidad Sep/2024]])</f>
        <v>0</v>
      </c>
      <c r="O225" s="14"/>
      <c r="P225" s="14"/>
      <c r="Q225" s="15"/>
      <c r="R225" s="15">
        <f>Tabla13[[#This Row],[Uso y acceso Oct/2024]]</f>
        <v>0</v>
      </c>
      <c r="S225" s="15">
        <f>Tabla58[[#This Row],[Integración Oct/2024]]</f>
        <v>0</v>
      </c>
      <c r="T225" s="16">
        <f>AVERAGE(Tabla4[[#This Row],[Creación y captura Oct/2024]:[Compartición e Interoperabilidad Oct/2024]])</f>
        <v>0</v>
      </c>
      <c r="U225" s="14"/>
      <c r="V225" s="14"/>
      <c r="W225" s="15"/>
      <c r="X225" s="15">
        <f>Tabla13[[#This Row],[Uso y acceso Nov/2024]]</f>
        <v>0</v>
      </c>
      <c r="Y225" s="15">
        <f>Tabla58[[#This Row],[Integración Nov/2024]]</f>
        <v>0</v>
      </c>
      <c r="Z225" s="16">
        <f>AVERAGE(Tabla4[[#This Row],[Creación y captura Nov/2024]:[Compartición e Interoperabilidad Nov/2024]])</f>
        <v>0</v>
      </c>
      <c r="AA225" s="14"/>
      <c r="AB225" s="14"/>
      <c r="AC225" s="15"/>
      <c r="AD225" s="15">
        <f>Tabla13[[#This Row],[Uso y acceso Dic/2024]]</f>
        <v>0</v>
      </c>
      <c r="AE225" s="15">
        <f>Tabla58[[#This Row],[Integración Dic/2024]]</f>
        <v>0</v>
      </c>
      <c r="AF225" s="16">
        <f>AVERAGE(Tabla4[[#This Row],[Creación y captura Dic/2024]:[Compartición e Interoperabilidad Dic/2024]])</f>
        <v>0</v>
      </c>
      <c r="AG225" s="14"/>
      <c r="AH225" s="14"/>
      <c r="AI225" s="15"/>
      <c r="AJ225" s="15">
        <f>Tabla13[[#This Row],[Uso y acceso Ene/2025]]</f>
        <v>0</v>
      </c>
      <c r="AK225" s="15">
        <f>Tabla58[[#This Row],[Integración Ene/2025]]</f>
        <v>0</v>
      </c>
      <c r="AL225" s="16">
        <f>AVERAGE(Tabla4[[#This Row],[Creación y captura Ene/2025]:[Compartición e Interoperabilidad Ene/2025]])</f>
        <v>0</v>
      </c>
      <c r="AM225" s="14"/>
      <c r="AN225" s="14"/>
      <c r="AO225" s="15"/>
      <c r="AP225" s="15">
        <f>Tabla13[[#This Row],[Uso y acceso Feb/2025]]</f>
        <v>0</v>
      </c>
      <c r="AQ225" s="15">
        <f>Tabla58[[#This Row],[Integración Feb/2025]]</f>
        <v>0</v>
      </c>
      <c r="AR225" s="16">
        <f>AVERAGE(Tabla4[[#This Row],[Creación y captura Feb/2025]:[Compartición e Interoperabilidad Feb/2025]])</f>
        <v>0</v>
      </c>
      <c r="AS225" s="14"/>
      <c r="AT225" s="14"/>
      <c r="AU225" s="15"/>
      <c r="AV225" s="15">
        <f>Tabla13[[#This Row],[Uso y acceso Mar/2025]]</f>
        <v>0</v>
      </c>
      <c r="AW225" s="15">
        <f>Tabla58[[#This Row],[Integración Mar/2025]]</f>
        <v>0</v>
      </c>
      <c r="AX225" s="16">
        <f>AVERAGE(Tabla4[[#This Row],[Creación y captura Mar/2025]:[Compartición e Interoperabilidad Mar/2025]])</f>
        <v>0</v>
      </c>
      <c r="AY225" s="14"/>
      <c r="AZ225" s="14"/>
      <c r="BA225" s="15"/>
      <c r="BB225" s="15">
        <f>Tabla13[[#This Row],[Uso y acceso Abr/2025]]</f>
        <v>0</v>
      </c>
      <c r="BC225" s="15">
        <f>Tabla58[[#This Row],[Integración Abr/2025]]</f>
        <v>0</v>
      </c>
      <c r="BD225" s="16">
        <f>AVERAGE(Tabla4[[#This Row],[Creación y captura Abr/2025]:[Compartición e Interoperabilidad Abr/2025]])</f>
        <v>0</v>
      </c>
      <c r="BE225" s="14">
        <v>0.8</v>
      </c>
      <c r="BF225" s="14">
        <v>0.5</v>
      </c>
      <c r="BG225" s="17">
        <f>AVERAGE('Calidad de Datos'!AM229:AP229)</f>
        <v>1</v>
      </c>
      <c r="BH225" s="15">
        <f>Tabla13[[#This Row],[Uso y acceso May/2025]]</f>
        <v>1</v>
      </c>
      <c r="BI225" s="15">
        <f>Tabla58[[#This Row],[Integración May/2025]]</f>
        <v>0.3</v>
      </c>
      <c r="BJ225" s="16">
        <f>AVERAGE(Tabla4[[#This Row],[Creación y captura May/2025]:[Compartición e Interoperabilidad May/2025]])</f>
        <v>0.72</v>
      </c>
      <c r="BK225" s="14">
        <v>1</v>
      </c>
      <c r="BL225" s="14">
        <v>1</v>
      </c>
      <c r="BM225" s="14">
        <f>AVERAGE('Calidad de Datos'!AQ229:AT229)</f>
        <v>1</v>
      </c>
      <c r="BN225" s="14">
        <f>Tabla13[[#This Row],[Uso y acceso Dic/2025]]</f>
        <v>1</v>
      </c>
      <c r="BO225" s="14">
        <f>Tabla58[[#This Row],[Integración Dic/2025]]</f>
        <v>1</v>
      </c>
      <c r="BP225" s="16">
        <f>AVERAGE(Tabla4[[#This Row],[Creación y captura Dic/2025]:[Compartición e Interoperabilidad Dic/2025]])</f>
        <v>1</v>
      </c>
    </row>
    <row r="226" spans="2:68" x14ac:dyDescent="0.4">
      <c r="B226" s="1" t="s">
        <v>277</v>
      </c>
      <c r="C226" s="14"/>
      <c r="D226" s="14"/>
      <c r="E226" s="14"/>
      <c r="F226" s="14">
        <f>Tabla13[[#This Row],[Uso y acceso Ago/2024]]</f>
        <v>0</v>
      </c>
      <c r="G226" s="15">
        <f>Tabla58[[#This Row],[Integración Ago/2024]]</f>
        <v>0</v>
      </c>
      <c r="H226" s="16">
        <f>AVERAGE(Tabla4[[#This Row],[Creación y captura Ago/2024]:[Compartición e Interoperabilidad Ago/2024]])</f>
        <v>0</v>
      </c>
      <c r="I226" s="14"/>
      <c r="J226" s="14"/>
      <c r="K226" s="15"/>
      <c r="L226" s="15">
        <f>Tabla13[[#This Row],[Uso y acceso Sep/2024]]</f>
        <v>0</v>
      </c>
      <c r="M226" s="15">
        <f>Tabla58[[#This Row],[Integración Sep/2024]]</f>
        <v>0</v>
      </c>
      <c r="N226" s="16">
        <f>AVERAGE(Tabla4[[#This Row],[Creación y captura Sep/2024]:[Compartición e Interoperabilidad Sep/2024]])</f>
        <v>0</v>
      </c>
      <c r="O226" s="14"/>
      <c r="P226" s="14"/>
      <c r="Q226" s="15"/>
      <c r="R226" s="15">
        <f>Tabla13[[#This Row],[Uso y acceso Oct/2024]]</f>
        <v>0</v>
      </c>
      <c r="S226" s="15">
        <f>Tabla58[[#This Row],[Integración Oct/2024]]</f>
        <v>0</v>
      </c>
      <c r="T226" s="16">
        <f>AVERAGE(Tabla4[[#This Row],[Creación y captura Oct/2024]:[Compartición e Interoperabilidad Oct/2024]])</f>
        <v>0</v>
      </c>
      <c r="U226" s="14"/>
      <c r="V226" s="14"/>
      <c r="W226" s="15"/>
      <c r="X226" s="15">
        <f>Tabla13[[#This Row],[Uso y acceso Nov/2024]]</f>
        <v>0</v>
      </c>
      <c r="Y226" s="15">
        <f>Tabla58[[#This Row],[Integración Nov/2024]]</f>
        <v>0</v>
      </c>
      <c r="Z226" s="16">
        <f>AVERAGE(Tabla4[[#This Row],[Creación y captura Nov/2024]:[Compartición e Interoperabilidad Nov/2024]])</f>
        <v>0</v>
      </c>
      <c r="AA226" s="14"/>
      <c r="AB226" s="14"/>
      <c r="AC226" s="15"/>
      <c r="AD226" s="15">
        <f>Tabla13[[#This Row],[Uso y acceso Dic/2024]]</f>
        <v>0</v>
      </c>
      <c r="AE226" s="15">
        <f>Tabla58[[#This Row],[Integración Dic/2024]]</f>
        <v>0</v>
      </c>
      <c r="AF226" s="16">
        <f>AVERAGE(Tabla4[[#This Row],[Creación y captura Dic/2024]:[Compartición e Interoperabilidad Dic/2024]])</f>
        <v>0</v>
      </c>
      <c r="AG226" s="14"/>
      <c r="AH226" s="14"/>
      <c r="AI226" s="15"/>
      <c r="AJ226" s="15">
        <f>Tabla13[[#This Row],[Uso y acceso Ene/2025]]</f>
        <v>0</v>
      </c>
      <c r="AK226" s="15">
        <f>Tabla58[[#This Row],[Integración Ene/2025]]</f>
        <v>0</v>
      </c>
      <c r="AL226" s="16">
        <f>AVERAGE(Tabla4[[#This Row],[Creación y captura Ene/2025]:[Compartición e Interoperabilidad Ene/2025]])</f>
        <v>0</v>
      </c>
      <c r="AM226" s="14"/>
      <c r="AN226" s="14"/>
      <c r="AO226" s="15"/>
      <c r="AP226" s="15">
        <f>Tabla13[[#This Row],[Uso y acceso Feb/2025]]</f>
        <v>0</v>
      </c>
      <c r="AQ226" s="15">
        <f>Tabla58[[#This Row],[Integración Feb/2025]]</f>
        <v>0</v>
      </c>
      <c r="AR226" s="16">
        <f>AVERAGE(Tabla4[[#This Row],[Creación y captura Feb/2025]:[Compartición e Interoperabilidad Feb/2025]])</f>
        <v>0</v>
      </c>
      <c r="AS226" s="14"/>
      <c r="AT226" s="14"/>
      <c r="AU226" s="15"/>
      <c r="AV226" s="15">
        <f>Tabla13[[#This Row],[Uso y acceso Mar/2025]]</f>
        <v>0</v>
      </c>
      <c r="AW226" s="15">
        <f>Tabla58[[#This Row],[Integración Mar/2025]]</f>
        <v>0</v>
      </c>
      <c r="AX226" s="16">
        <f>AVERAGE(Tabla4[[#This Row],[Creación y captura Mar/2025]:[Compartición e Interoperabilidad Mar/2025]])</f>
        <v>0</v>
      </c>
      <c r="AY226" s="14"/>
      <c r="AZ226" s="14"/>
      <c r="BA226" s="15"/>
      <c r="BB226" s="15">
        <f>Tabla13[[#This Row],[Uso y acceso Abr/2025]]</f>
        <v>0</v>
      </c>
      <c r="BC226" s="15">
        <f>Tabla58[[#This Row],[Integración Abr/2025]]</f>
        <v>0</v>
      </c>
      <c r="BD226" s="16">
        <f>AVERAGE(Tabla4[[#This Row],[Creación y captura Abr/2025]:[Compartición e Interoperabilidad Abr/2025]])</f>
        <v>0</v>
      </c>
      <c r="BE226" s="14">
        <v>0.8</v>
      </c>
      <c r="BF226" s="14">
        <v>0.5</v>
      </c>
      <c r="BG226" s="17">
        <f>AVERAGE('Calidad de Datos'!AM230:AP230)</f>
        <v>1</v>
      </c>
      <c r="BH226" s="15">
        <f>Tabla13[[#This Row],[Uso y acceso May/2025]]</f>
        <v>1</v>
      </c>
      <c r="BI226" s="15">
        <f>Tabla58[[#This Row],[Integración May/2025]]</f>
        <v>0.3</v>
      </c>
      <c r="BJ226" s="16">
        <f>AVERAGE(Tabla4[[#This Row],[Creación y captura May/2025]:[Compartición e Interoperabilidad May/2025]])</f>
        <v>0.72</v>
      </c>
      <c r="BK226" s="14">
        <v>1</v>
      </c>
      <c r="BL226" s="14">
        <v>1</v>
      </c>
      <c r="BM226" s="14">
        <f>AVERAGE('Calidad de Datos'!AQ230:AT230)</f>
        <v>1</v>
      </c>
      <c r="BN226" s="14">
        <f>Tabla13[[#This Row],[Uso y acceso Dic/2025]]</f>
        <v>1</v>
      </c>
      <c r="BO226" s="14">
        <f>Tabla58[[#This Row],[Integración Dic/2025]]</f>
        <v>1</v>
      </c>
      <c r="BP226" s="16">
        <f>AVERAGE(Tabla4[[#This Row],[Creación y captura Dic/2025]:[Compartición e Interoperabilidad Dic/2025]])</f>
        <v>1</v>
      </c>
    </row>
    <row r="227" spans="2:68" x14ac:dyDescent="0.4">
      <c r="B227" s="1" t="s">
        <v>278</v>
      </c>
      <c r="C227" s="14"/>
      <c r="D227" s="14"/>
      <c r="E227" s="14"/>
      <c r="F227" s="14">
        <f>Tabla13[[#This Row],[Uso y acceso Ago/2024]]</f>
        <v>0</v>
      </c>
      <c r="G227" s="15">
        <f>Tabla58[[#This Row],[Integración Ago/2024]]</f>
        <v>0</v>
      </c>
      <c r="H227" s="16">
        <f>AVERAGE(Tabla4[[#This Row],[Creación y captura Ago/2024]:[Compartición e Interoperabilidad Ago/2024]])</f>
        <v>0</v>
      </c>
      <c r="I227" s="14"/>
      <c r="J227" s="14"/>
      <c r="K227" s="15"/>
      <c r="L227" s="15">
        <f>Tabla13[[#This Row],[Uso y acceso Sep/2024]]</f>
        <v>0</v>
      </c>
      <c r="M227" s="15">
        <f>Tabla58[[#This Row],[Integración Sep/2024]]</f>
        <v>0</v>
      </c>
      <c r="N227" s="16">
        <f>AVERAGE(Tabla4[[#This Row],[Creación y captura Sep/2024]:[Compartición e Interoperabilidad Sep/2024]])</f>
        <v>0</v>
      </c>
      <c r="O227" s="14"/>
      <c r="P227" s="14"/>
      <c r="Q227" s="15"/>
      <c r="R227" s="15">
        <f>Tabla13[[#This Row],[Uso y acceso Oct/2024]]</f>
        <v>0</v>
      </c>
      <c r="S227" s="15">
        <f>Tabla58[[#This Row],[Integración Oct/2024]]</f>
        <v>0</v>
      </c>
      <c r="T227" s="16">
        <f>AVERAGE(Tabla4[[#This Row],[Creación y captura Oct/2024]:[Compartición e Interoperabilidad Oct/2024]])</f>
        <v>0</v>
      </c>
      <c r="U227" s="14"/>
      <c r="V227" s="14"/>
      <c r="W227" s="15"/>
      <c r="X227" s="15">
        <f>Tabla13[[#This Row],[Uso y acceso Nov/2024]]</f>
        <v>0</v>
      </c>
      <c r="Y227" s="15">
        <f>Tabla58[[#This Row],[Integración Nov/2024]]</f>
        <v>0</v>
      </c>
      <c r="Z227" s="16">
        <f>AVERAGE(Tabla4[[#This Row],[Creación y captura Nov/2024]:[Compartición e Interoperabilidad Nov/2024]])</f>
        <v>0</v>
      </c>
      <c r="AA227" s="14"/>
      <c r="AB227" s="14"/>
      <c r="AC227" s="15"/>
      <c r="AD227" s="15">
        <f>Tabla13[[#This Row],[Uso y acceso Dic/2024]]</f>
        <v>0</v>
      </c>
      <c r="AE227" s="15">
        <f>Tabla58[[#This Row],[Integración Dic/2024]]</f>
        <v>0</v>
      </c>
      <c r="AF227" s="16">
        <f>AVERAGE(Tabla4[[#This Row],[Creación y captura Dic/2024]:[Compartición e Interoperabilidad Dic/2024]])</f>
        <v>0</v>
      </c>
      <c r="AG227" s="14"/>
      <c r="AH227" s="14"/>
      <c r="AI227" s="15"/>
      <c r="AJ227" s="15">
        <f>Tabla13[[#This Row],[Uso y acceso Ene/2025]]</f>
        <v>0</v>
      </c>
      <c r="AK227" s="15">
        <f>Tabla58[[#This Row],[Integración Ene/2025]]</f>
        <v>0</v>
      </c>
      <c r="AL227" s="16">
        <f>AVERAGE(Tabla4[[#This Row],[Creación y captura Ene/2025]:[Compartición e Interoperabilidad Ene/2025]])</f>
        <v>0</v>
      </c>
      <c r="AM227" s="14"/>
      <c r="AN227" s="14"/>
      <c r="AO227" s="15"/>
      <c r="AP227" s="15">
        <f>Tabla13[[#This Row],[Uso y acceso Feb/2025]]</f>
        <v>0</v>
      </c>
      <c r="AQ227" s="15">
        <f>Tabla58[[#This Row],[Integración Feb/2025]]</f>
        <v>0</v>
      </c>
      <c r="AR227" s="16">
        <f>AVERAGE(Tabla4[[#This Row],[Creación y captura Feb/2025]:[Compartición e Interoperabilidad Feb/2025]])</f>
        <v>0</v>
      </c>
      <c r="AS227" s="14"/>
      <c r="AT227" s="14"/>
      <c r="AU227" s="15"/>
      <c r="AV227" s="15">
        <f>Tabla13[[#This Row],[Uso y acceso Mar/2025]]</f>
        <v>0</v>
      </c>
      <c r="AW227" s="15">
        <f>Tabla58[[#This Row],[Integración Mar/2025]]</f>
        <v>0</v>
      </c>
      <c r="AX227" s="16">
        <f>AVERAGE(Tabla4[[#This Row],[Creación y captura Mar/2025]:[Compartición e Interoperabilidad Mar/2025]])</f>
        <v>0</v>
      </c>
      <c r="AY227" s="14"/>
      <c r="AZ227" s="14"/>
      <c r="BA227" s="15"/>
      <c r="BB227" s="15">
        <f>Tabla13[[#This Row],[Uso y acceso Abr/2025]]</f>
        <v>0</v>
      </c>
      <c r="BC227" s="15">
        <f>Tabla58[[#This Row],[Integración Abr/2025]]</f>
        <v>0</v>
      </c>
      <c r="BD227" s="16">
        <f>AVERAGE(Tabla4[[#This Row],[Creación y captura Abr/2025]:[Compartición e Interoperabilidad Abr/2025]])</f>
        <v>0</v>
      </c>
      <c r="BE227" s="14">
        <v>0.8</v>
      </c>
      <c r="BF227" s="14">
        <v>0.5</v>
      </c>
      <c r="BG227" s="17">
        <f>AVERAGE('Calidad de Datos'!AM231:AP231)</f>
        <v>1</v>
      </c>
      <c r="BH227" s="15">
        <f>Tabla13[[#This Row],[Uso y acceso May/2025]]</f>
        <v>1</v>
      </c>
      <c r="BI227" s="15">
        <f>Tabla58[[#This Row],[Integración May/2025]]</f>
        <v>0.3</v>
      </c>
      <c r="BJ227" s="16">
        <f>AVERAGE(Tabla4[[#This Row],[Creación y captura May/2025]:[Compartición e Interoperabilidad May/2025]])</f>
        <v>0.72</v>
      </c>
      <c r="BK227" s="14">
        <v>0.8</v>
      </c>
      <c r="BL227" s="14">
        <v>0.5</v>
      </c>
      <c r="BM227" s="14">
        <f>AVERAGE('Calidad de Datos'!AQ231:AT231)</f>
        <v>1</v>
      </c>
      <c r="BN227" s="14">
        <f>Tabla13[[#This Row],[Uso y acceso Dic/2025]]</f>
        <v>1</v>
      </c>
      <c r="BO227" s="14">
        <f>Tabla58[[#This Row],[Integración Dic/2025]]</f>
        <v>0.8</v>
      </c>
      <c r="BP227" s="16">
        <f>AVERAGE(Tabla4[[#This Row],[Creación y captura Dic/2025]:[Compartición e Interoperabilidad Dic/2025]])</f>
        <v>0.82</v>
      </c>
    </row>
    <row r="228" spans="2:68" x14ac:dyDescent="0.4">
      <c r="B228" s="1" t="s">
        <v>279</v>
      </c>
      <c r="C228" s="14"/>
      <c r="D228" s="14"/>
      <c r="E228" s="14"/>
      <c r="F228" s="14">
        <f>Tabla13[[#This Row],[Uso y acceso Ago/2024]]</f>
        <v>0</v>
      </c>
      <c r="G228" s="15">
        <f>Tabla58[[#This Row],[Integración Ago/2024]]</f>
        <v>0</v>
      </c>
      <c r="H228" s="16">
        <f>AVERAGE(Tabla4[[#This Row],[Creación y captura Ago/2024]:[Compartición e Interoperabilidad Ago/2024]])</f>
        <v>0</v>
      </c>
      <c r="I228" s="14"/>
      <c r="J228" s="14"/>
      <c r="K228" s="15"/>
      <c r="L228" s="15">
        <f>Tabla13[[#This Row],[Uso y acceso Sep/2024]]</f>
        <v>0</v>
      </c>
      <c r="M228" s="15">
        <f>Tabla58[[#This Row],[Integración Sep/2024]]</f>
        <v>0</v>
      </c>
      <c r="N228" s="16">
        <f>AVERAGE(Tabla4[[#This Row],[Creación y captura Sep/2024]:[Compartición e Interoperabilidad Sep/2024]])</f>
        <v>0</v>
      </c>
      <c r="O228" s="14"/>
      <c r="P228" s="14"/>
      <c r="Q228" s="15"/>
      <c r="R228" s="15">
        <f>Tabla13[[#This Row],[Uso y acceso Oct/2024]]</f>
        <v>0</v>
      </c>
      <c r="S228" s="15">
        <f>Tabla58[[#This Row],[Integración Oct/2024]]</f>
        <v>0</v>
      </c>
      <c r="T228" s="16">
        <f>AVERAGE(Tabla4[[#This Row],[Creación y captura Oct/2024]:[Compartición e Interoperabilidad Oct/2024]])</f>
        <v>0</v>
      </c>
      <c r="U228" s="14"/>
      <c r="V228" s="14"/>
      <c r="W228" s="15"/>
      <c r="X228" s="15">
        <f>Tabla13[[#This Row],[Uso y acceso Nov/2024]]</f>
        <v>0</v>
      </c>
      <c r="Y228" s="15">
        <f>Tabla58[[#This Row],[Integración Nov/2024]]</f>
        <v>0</v>
      </c>
      <c r="Z228" s="16">
        <f>AVERAGE(Tabla4[[#This Row],[Creación y captura Nov/2024]:[Compartición e Interoperabilidad Nov/2024]])</f>
        <v>0</v>
      </c>
      <c r="AA228" s="14"/>
      <c r="AB228" s="14"/>
      <c r="AC228" s="15"/>
      <c r="AD228" s="15">
        <f>Tabla13[[#This Row],[Uso y acceso Dic/2024]]</f>
        <v>0</v>
      </c>
      <c r="AE228" s="15">
        <f>Tabla58[[#This Row],[Integración Dic/2024]]</f>
        <v>0</v>
      </c>
      <c r="AF228" s="16">
        <f>AVERAGE(Tabla4[[#This Row],[Creación y captura Dic/2024]:[Compartición e Interoperabilidad Dic/2024]])</f>
        <v>0</v>
      </c>
      <c r="AG228" s="14"/>
      <c r="AH228" s="14"/>
      <c r="AI228" s="15"/>
      <c r="AJ228" s="15">
        <f>Tabla13[[#This Row],[Uso y acceso Ene/2025]]</f>
        <v>0</v>
      </c>
      <c r="AK228" s="15">
        <f>Tabla58[[#This Row],[Integración Ene/2025]]</f>
        <v>0</v>
      </c>
      <c r="AL228" s="16">
        <f>AVERAGE(Tabla4[[#This Row],[Creación y captura Ene/2025]:[Compartición e Interoperabilidad Ene/2025]])</f>
        <v>0</v>
      </c>
      <c r="AM228" s="14"/>
      <c r="AN228" s="14"/>
      <c r="AO228" s="15"/>
      <c r="AP228" s="15">
        <f>Tabla13[[#This Row],[Uso y acceso Feb/2025]]</f>
        <v>0</v>
      </c>
      <c r="AQ228" s="15">
        <f>Tabla58[[#This Row],[Integración Feb/2025]]</f>
        <v>0</v>
      </c>
      <c r="AR228" s="16">
        <f>AVERAGE(Tabla4[[#This Row],[Creación y captura Feb/2025]:[Compartición e Interoperabilidad Feb/2025]])</f>
        <v>0</v>
      </c>
      <c r="AS228" s="14"/>
      <c r="AT228" s="14"/>
      <c r="AU228" s="15"/>
      <c r="AV228" s="15">
        <f>Tabla13[[#This Row],[Uso y acceso Mar/2025]]</f>
        <v>0</v>
      </c>
      <c r="AW228" s="15">
        <f>Tabla58[[#This Row],[Integración Mar/2025]]</f>
        <v>0</v>
      </c>
      <c r="AX228" s="16">
        <f>AVERAGE(Tabla4[[#This Row],[Creación y captura Mar/2025]:[Compartición e Interoperabilidad Mar/2025]])</f>
        <v>0</v>
      </c>
      <c r="AY228" s="14"/>
      <c r="AZ228" s="14"/>
      <c r="BA228" s="15"/>
      <c r="BB228" s="15">
        <f>Tabla13[[#This Row],[Uso y acceso Abr/2025]]</f>
        <v>0</v>
      </c>
      <c r="BC228" s="15">
        <f>Tabla58[[#This Row],[Integración Abr/2025]]</f>
        <v>0</v>
      </c>
      <c r="BD228" s="16">
        <f>AVERAGE(Tabla4[[#This Row],[Creación y captura Abr/2025]:[Compartición e Interoperabilidad Abr/2025]])</f>
        <v>0</v>
      </c>
      <c r="BE228" s="14">
        <v>0.8</v>
      </c>
      <c r="BF228" s="14">
        <v>0.5</v>
      </c>
      <c r="BG228" s="17">
        <f>AVERAGE('Calidad de Datos'!AM232:AP232)</f>
        <v>1</v>
      </c>
      <c r="BH228" s="15">
        <f>Tabla13[[#This Row],[Uso y acceso May/2025]]</f>
        <v>1</v>
      </c>
      <c r="BI228" s="15">
        <f>Tabla58[[#This Row],[Integración May/2025]]</f>
        <v>0.3</v>
      </c>
      <c r="BJ228" s="16">
        <f>AVERAGE(Tabla4[[#This Row],[Creación y captura May/2025]:[Compartición e Interoperabilidad May/2025]])</f>
        <v>0.72</v>
      </c>
      <c r="BK228" s="14">
        <v>0.8</v>
      </c>
      <c r="BL228" s="14">
        <v>0.5</v>
      </c>
      <c r="BM228" s="14">
        <f>AVERAGE('Calidad de Datos'!AQ232:AT232)</f>
        <v>1</v>
      </c>
      <c r="BN228" s="14">
        <f>Tabla13[[#This Row],[Uso y acceso Dic/2025]]</f>
        <v>1</v>
      </c>
      <c r="BO228" s="14">
        <f>Tabla58[[#This Row],[Integración Dic/2025]]</f>
        <v>0.8</v>
      </c>
      <c r="BP228" s="16">
        <f>AVERAGE(Tabla4[[#This Row],[Creación y captura Dic/2025]:[Compartición e Interoperabilidad Dic/2025]])</f>
        <v>0.82</v>
      </c>
    </row>
    <row r="229" spans="2:68" x14ac:dyDescent="0.4">
      <c r="B229" s="1" t="s">
        <v>280</v>
      </c>
      <c r="C229" s="14"/>
      <c r="D229" s="14"/>
      <c r="E229" s="14"/>
      <c r="F229" s="14">
        <f>Tabla13[[#This Row],[Uso y acceso Ago/2024]]</f>
        <v>0</v>
      </c>
      <c r="G229" s="15">
        <f>Tabla58[[#This Row],[Integración Ago/2024]]</f>
        <v>0</v>
      </c>
      <c r="H229" s="16">
        <f>AVERAGE(Tabla4[[#This Row],[Creación y captura Ago/2024]:[Compartición e Interoperabilidad Ago/2024]])</f>
        <v>0</v>
      </c>
      <c r="I229" s="14"/>
      <c r="J229" s="14"/>
      <c r="K229" s="15"/>
      <c r="L229" s="15">
        <f>Tabla13[[#This Row],[Uso y acceso Sep/2024]]</f>
        <v>0</v>
      </c>
      <c r="M229" s="15">
        <f>Tabla58[[#This Row],[Integración Sep/2024]]</f>
        <v>0</v>
      </c>
      <c r="N229" s="16">
        <f>AVERAGE(Tabla4[[#This Row],[Creación y captura Sep/2024]:[Compartición e Interoperabilidad Sep/2024]])</f>
        <v>0</v>
      </c>
      <c r="O229" s="14"/>
      <c r="P229" s="14"/>
      <c r="Q229" s="15"/>
      <c r="R229" s="15">
        <f>Tabla13[[#This Row],[Uso y acceso Oct/2024]]</f>
        <v>0</v>
      </c>
      <c r="S229" s="15">
        <f>Tabla58[[#This Row],[Integración Oct/2024]]</f>
        <v>0</v>
      </c>
      <c r="T229" s="16">
        <f>AVERAGE(Tabla4[[#This Row],[Creación y captura Oct/2024]:[Compartición e Interoperabilidad Oct/2024]])</f>
        <v>0</v>
      </c>
      <c r="U229" s="14"/>
      <c r="V229" s="14"/>
      <c r="W229" s="15"/>
      <c r="X229" s="15">
        <f>Tabla13[[#This Row],[Uso y acceso Nov/2024]]</f>
        <v>0</v>
      </c>
      <c r="Y229" s="15">
        <f>Tabla58[[#This Row],[Integración Nov/2024]]</f>
        <v>0</v>
      </c>
      <c r="Z229" s="16">
        <f>AVERAGE(Tabla4[[#This Row],[Creación y captura Nov/2024]:[Compartición e Interoperabilidad Nov/2024]])</f>
        <v>0</v>
      </c>
      <c r="AA229" s="14"/>
      <c r="AB229" s="14"/>
      <c r="AC229" s="15"/>
      <c r="AD229" s="15">
        <f>Tabla13[[#This Row],[Uso y acceso Dic/2024]]</f>
        <v>0</v>
      </c>
      <c r="AE229" s="15">
        <f>Tabla58[[#This Row],[Integración Dic/2024]]</f>
        <v>0</v>
      </c>
      <c r="AF229" s="16">
        <f>AVERAGE(Tabla4[[#This Row],[Creación y captura Dic/2024]:[Compartición e Interoperabilidad Dic/2024]])</f>
        <v>0</v>
      </c>
      <c r="AG229" s="14"/>
      <c r="AH229" s="14"/>
      <c r="AI229" s="15"/>
      <c r="AJ229" s="15">
        <f>Tabla13[[#This Row],[Uso y acceso Ene/2025]]</f>
        <v>0</v>
      </c>
      <c r="AK229" s="15">
        <f>Tabla58[[#This Row],[Integración Ene/2025]]</f>
        <v>0</v>
      </c>
      <c r="AL229" s="16">
        <f>AVERAGE(Tabla4[[#This Row],[Creación y captura Ene/2025]:[Compartición e Interoperabilidad Ene/2025]])</f>
        <v>0</v>
      </c>
      <c r="AM229" s="14"/>
      <c r="AN229" s="14"/>
      <c r="AO229" s="15"/>
      <c r="AP229" s="15">
        <f>Tabla13[[#This Row],[Uso y acceso Feb/2025]]</f>
        <v>0</v>
      </c>
      <c r="AQ229" s="15">
        <f>Tabla58[[#This Row],[Integración Feb/2025]]</f>
        <v>0</v>
      </c>
      <c r="AR229" s="16">
        <f>AVERAGE(Tabla4[[#This Row],[Creación y captura Feb/2025]:[Compartición e Interoperabilidad Feb/2025]])</f>
        <v>0</v>
      </c>
      <c r="AS229" s="14"/>
      <c r="AT229" s="14"/>
      <c r="AU229" s="15"/>
      <c r="AV229" s="15">
        <f>Tabla13[[#This Row],[Uso y acceso Mar/2025]]</f>
        <v>0</v>
      </c>
      <c r="AW229" s="15">
        <f>Tabla58[[#This Row],[Integración Mar/2025]]</f>
        <v>0</v>
      </c>
      <c r="AX229" s="16">
        <f>AVERAGE(Tabla4[[#This Row],[Creación y captura Mar/2025]:[Compartición e Interoperabilidad Mar/2025]])</f>
        <v>0</v>
      </c>
      <c r="AY229" s="14"/>
      <c r="AZ229" s="14"/>
      <c r="BA229" s="15"/>
      <c r="BB229" s="15">
        <f>Tabla13[[#This Row],[Uso y acceso Abr/2025]]</f>
        <v>0</v>
      </c>
      <c r="BC229" s="15">
        <f>Tabla58[[#This Row],[Integración Abr/2025]]</f>
        <v>0</v>
      </c>
      <c r="BD229" s="16">
        <f>AVERAGE(Tabla4[[#This Row],[Creación y captura Abr/2025]:[Compartición e Interoperabilidad Abr/2025]])</f>
        <v>0</v>
      </c>
      <c r="BE229" s="14">
        <v>0.8</v>
      </c>
      <c r="BF229" s="14">
        <v>0.5</v>
      </c>
      <c r="BG229" s="17">
        <f>AVERAGE('Calidad de Datos'!AM233:AP233)</f>
        <v>1</v>
      </c>
      <c r="BH229" s="15">
        <f>Tabla13[[#This Row],[Uso y acceso May/2025]]</f>
        <v>1</v>
      </c>
      <c r="BI229" s="15">
        <f>Tabla58[[#This Row],[Integración May/2025]]</f>
        <v>0.3</v>
      </c>
      <c r="BJ229" s="16">
        <f>AVERAGE(Tabla4[[#This Row],[Creación y captura May/2025]:[Compartición e Interoperabilidad May/2025]])</f>
        <v>0.72</v>
      </c>
      <c r="BK229" s="14">
        <v>1</v>
      </c>
      <c r="BL229" s="14">
        <v>1</v>
      </c>
      <c r="BM229" s="14">
        <f>AVERAGE('Calidad de Datos'!AQ233:AT233)</f>
        <v>1</v>
      </c>
      <c r="BN229" s="14">
        <f>Tabla13[[#This Row],[Uso y acceso Dic/2025]]</f>
        <v>1</v>
      </c>
      <c r="BO229" s="14">
        <f>Tabla58[[#This Row],[Integración Dic/2025]]</f>
        <v>1</v>
      </c>
      <c r="BP229" s="16">
        <f>AVERAGE(Tabla4[[#This Row],[Creación y captura Dic/2025]:[Compartición e Interoperabilidad Dic/2025]])</f>
        <v>1</v>
      </c>
    </row>
    <row r="230" spans="2:68" x14ac:dyDescent="0.4">
      <c r="B230" s="1" t="s">
        <v>281</v>
      </c>
      <c r="C230" s="14"/>
      <c r="D230" s="14"/>
      <c r="E230" s="14"/>
      <c r="F230" s="14">
        <f>Tabla13[[#This Row],[Uso y acceso Ago/2024]]</f>
        <v>0</v>
      </c>
      <c r="G230" s="15">
        <f>Tabla58[[#This Row],[Integración Ago/2024]]</f>
        <v>0</v>
      </c>
      <c r="H230" s="16">
        <f>AVERAGE(Tabla4[[#This Row],[Creación y captura Ago/2024]:[Compartición e Interoperabilidad Ago/2024]])</f>
        <v>0</v>
      </c>
      <c r="I230" s="14"/>
      <c r="J230" s="14"/>
      <c r="K230" s="14"/>
      <c r="L230" s="15">
        <f>Tabla13[[#This Row],[Uso y acceso Sep/2024]]</f>
        <v>0</v>
      </c>
      <c r="M230" s="15">
        <f>Tabla58[[#This Row],[Integración Sep/2024]]</f>
        <v>0</v>
      </c>
      <c r="N230" s="16">
        <f>AVERAGE(Tabla4[[#This Row],[Creación y captura Sep/2024]:[Compartición e Interoperabilidad Sep/2024]])</f>
        <v>0</v>
      </c>
      <c r="O230" s="14"/>
      <c r="P230" s="14"/>
      <c r="Q230" s="14"/>
      <c r="R230" s="15">
        <f>Tabla13[[#This Row],[Uso y acceso Oct/2024]]</f>
        <v>0</v>
      </c>
      <c r="S230" s="15">
        <f>Tabla58[[#This Row],[Integración Oct/2024]]</f>
        <v>0</v>
      </c>
      <c r="T230" s="16">
        <f>AVERAGE(Tabla4[[#This Row],[Creación y captura Oct/2024]:[Compartición e Interoperabilidad Oct/2024]])</f>
        <v>0</v>
      </c>
      <c r="U230" s="14"/>
      <c r="V230" s="14"/>
      <c r="W230" s="14"/>
      <c r="X230" s="15">
        <f>Tabla13[[#This Row],[Uso y acceso Nov/2024]]</f>
        <v>0</v>
      </c>
      <c r="Y230" s="15">
        <f>Tabla58[[#This Row],[Integración Nov/2024]]</f>
        <v>0</v>
      </c>
      <c r="Z230" s="16">
        <f>AVERAGE(Tabla4[[#This Row],[Creación y captura Nov/2024]:[Compartición e Interoperabilidad Nov/2024]])</f>
        <v>0</v>
      </c>
      <c r="AA230" s="14"/>
      <c r="AB230" s="14"/>
      <c r="AC230" s="14"/>
      <c r="AD230" s="15">
        <f>Tabla13[[#This Row],[Uso y acceso Dic/2024]]</f>
        <v>0</v>
      </c>
      <c r="AE230" s="15">
        <f>Tabla58[[#This Row],[Integración Dic/2024]]</f>
        <v>0</v>
      </c>
      <c r="AF230" s="16">
        <f>AVERAGE(Tabla4[[#This Row],[Creación y captura Dic/2024]:[Compartición e Interoperabilidad Dic/2024]])</f>
        <v>0</v>
      </c>
      <c r="AG230" s="14"/>
      <c r="AH230" s="14"/>
      <c r="AI230" s="14"/>
      <c r="AJ230" s="15">
        <f>Tabla13[[#This Row],[Uso y acceso Ene/2025]]</f>
        <v>0</v>
      </c>
      <c r="AK230" s="15">
        <f>Tabla58[[#This Row],[Integración Ene/2025]]</f>
        <v>0</v>
      </c>
      <c r="AL230" s="16">
        <f>AVERAGE(Tabla4[[#This Row],[Creación y captura Ene/2025]:[Compartición e Interoperabilidad Ene/2025]])</f>
        <v>0</v>
      </c>
      <c r="AM230" s="14"/>
      <c r="AN230" s="14"/>
      <c r="AO230" s="14"/>
      <c r="AP230" s="15">
        <f>Tabla13[[#This Row],[Uso y acceso Feb/2025]]</f>
        <v>0</v>
      </c>
      <c r="AQ230" s="15">
        <f>Tabla58[[#This Row],[Integración Feb/2025]]</f>
        <v>0</v>
      </c>
      <c r="AR230" s="16">
        <f>AVERAGE(Tabla4[[#This Row],[Creación y captura Feb/2025]:[Compartición e Interoperabilidad Feb/2025]])</f>
        <v>0</v>
      </c>
      <c r="AS230" s="14"/>
      <c r="AT230" s="14"/>
      <c r="AU230" s="14"/>
      <c r="AV230" s="15">
        <f>Tabla13[[#This Row],[Uso y acceso Mar/2025]]</f>
        <v>0</v>
      </c>
      <c r="AW230" s="15">
        <f>Tabla58[[#This Row],[Integración Mar/2025]]</f>
        <v>0</v>
      </c>
      <c r="AX230" s="16">
        <f>AVERAGE(Tabla4[[#This Row],[Creación y captura Mar/2025]:[Compartición e Interoperabilidad Mar/2025]])</f>
        <v>0</v>
      </c>
      <c r="AY230" s="14"/>
      <c r="AZ230" s="14"/>
      <c r="BA230" s="14"/>
      <c r="BB230" s="15">
        <f>Tabla13[[#This Row],[Uso y acceso Abr/2025]]</f>
        <v>0</v>
      </c>
      <c r="BC230" s="15">
        <f>Tabla58[[#This Row],[Integración Abr/2025]]</f>
        <v>0</v>
      </c>
      <c r="BD230" s="16">
        <f>AVERAGE(Tabla4[[#This Row],[Creación y captura Abr/2025]:[Compartición e Interoperabilidad Abr/2025]])</f>
        <v>0</v>
      </c>
      <c r="BE230" s="14"/>
      <c r="BF230" s="14"/>
      <c r="BG230" s="14">
        <f>AVERAGE(Tabla1[[#This Row],[Completitud May/2025]:[Conformidad May/2025]])</f>
        <v>1</v>
      </c>
      <c r="BH230" s="14">
        <f>Tabla13[[#This Row],[Uso y acceso May/2025]]</f>
        <v>0</v>
      </c>
      <c r="BI230" s="14">
        <f>Tabla58[[#This Row],[Integración May/2025]]</f>
        <v>0</v>
      </c>
      <c r="BJ230" s="20">
        <f>AVERAGE(Tabla4[[#This Row],[Creación y captura May/2025]:[Compartición e Interoperabilidad May/2025]])</f>
        <v>0.33333333333333331</v>
      </c>
      <c r="BK230" s="14"/>
      <c r="BL230" s="14"/>
      <c r="BM230" s="14">
        <f>AVERAGE('Calidad de Datos'!AQ234:AT234)</f>
        <v>1</v>
      </c>
      <c r="BN230" s="14">
        <f>Tabla13[[#This Row],[Uso y acceso Dic/2025]]</f>
        <v>1</v>
      </c>
      <c r="BO230" s="14">
        <f>Tabla58[[#This Row],[Integración Dic/2025]]</f>
        <v>1</v>
      </c>
      <c r="BP230" s="20">
        <f>AVERAGE(Tabla4[[#This Row],[Creación y captura Dic/2025]:[Compartición e Interoperabilidad Dic/2025]])</f>
        <v>1</v>
      </c>
    </row>
    <row r="231" spans="2:68" x14ac:dyDescent="0.4">
      <c r="B231" s="1" t="s">
        <v>282</v>
      </c>
      <c r="C231" s="14"/>
      <c r="D231" s="14"/>
      <c r="E231" s="14"/>
      <c r="F231" s="14">
        <f>Tabla13[[#This Row],[Uso y acceso Ago/2024]]</f>
        <v>0</v>
      </c>
      <c r="G231" s="14">
        <f>Tabla58[[#This Row],[Integración Ago/2024]]</f>
        <v>0</v>
      </c>
      <c r="H231" s="20">
        <f>AVERAGE(Tabla4[[#This Row],[Creación y captura Ago/2024]:[Compartición e Interoperabilidad Ago/2024]])</f>
        <v>0</v>
      </c>
      <c r="I231" s="14"/>
      <c r="J231" s="14"/>
      <c r="K231" s="14"/>
      <c r="L231" s="14">
        <f>Tabla13[[#This Row],[Uso y acceso Sep/2024]]</f>
        <v>0</v>
      </c>
      <c r="M231" s="14">
        <f>Tabla58[[#This Row],[Integración Sep/2024]]</f>
        <v>0</v>
      </c>
      <c r="N231" s="21">
        <f>AVERAGE(Tabla4[[#This Row],[Creación y captura Sep/2024]:[Compartición e Interoperabilidad Sep/2024]])</f>
        <v>0</v>
      </c>
      <c r="O231" s="14"/>
      <c r="P231" s="14"/>
      <c r="Q231" s="14"/>
      <c r="R231" s="14">
        <f>Tabla13[[#This Row],[Uso y acceso Oct/2024]]</f>
        <v>0</v>
      </c>
      <c r="S231" s="14">
        <f>Tabla58[[#This Row],[Integración Oct/2024]]</f>
        <v>0</v>
      </c>
      <c r="T231" s="20">
        <f>AVERAGE(Tabla4[[#This Row],[Creación y captura Oct/2024]:[Compartición e Interoperabilidad Oct/2024]])</f>
        <v>0</v>
      </c>
      <c r="U231" s="14"/>
      <c r="V231" s="14"/>
      <c r="W231" s="14"/>
      <c r="X231" s="14">
        <f>Tabla13[[#This Row],[Uso y acceso Nov/2024]]</f>
        <v>0</v>
      </c>
      <c r="Y231" s="14">
        <f>Tabla58[[#This Row],[Integración Nov/2024]]</f>
        <v>0</v>
      </c>
      <c r="Z231" s="20">
        <f>AVERAGE(Tabla4[[#This Row],[Creación y captura Nov/2024]:[Compartición e Interoperabilidad Nov/2024]])</f>
        <v>0</v>
      </c>
      <c r="AA231" s="14"/>
      <c r="AB231" s="14"/>
      <c r="AC231" s="14"/>
      <c r="AD231" s="14">
        <f>Tabla13[[#This Row],[Uso y acceso Dic/2024]]</f>
        <v>0</v>
      </c>
      <c r="AE231" s="14">
        <f>Tabla58[[#This Row],[Integración Dic/2024]]</f>
        <v>0</v>
      </c>
      <c r="AF231" s="20">
        <f>AVERAGE(Tabla4[[#This Row],[Creación y captura Dic/2024]:[Compartición e Interoperabilidad Dic/2024]])</f>
        <v>0</v>
      </c>
      <c r="AG231" s="14"/>
      <c r="AH231" s="14"/>
      <c r="AI231" s="14"/>
      <c r="AJ231" s="14">
        <f>Tabla13[[#This Row],[Uso y acceso Ene/2025]]</f>
        <v>0</v>
      </c>
      <c r="AK231" s="14">
        <f>Tabla58[[#This Row],[Integración Ene/2025]]</f>
        <v>0</v>
      </c>
      <c r="AL231" s="20">
        <f>AVERAGE(Tabla4[[#This Row],[Creación y captura Ene/2025]:[Compartición e Interoperabilidad Ene/2025]])</f>
        <v>0</v>
      </c>
      <c r="AM231" s="14"/>
      <c r="AN231" s="14"/>
      <c r="AO231" s="14"/>
      <c r="AP231" s="14">
        <f>Tabla13[[#This Row],[Uso y acceso Feb/2025]]</f>
        <v>0</v>
      </c>
      <c r="AQ231" s="14">
        <f>Tabla58[[#This Row],[Integración Feb/2025]]</f>
        <v>0</v>
      </c>
      <c r="AR231" s="20">
        <f>AVERAGE(Tabla4[[#This Row],[Creación y captura Feb/2025]:[Compartición e Interoperabilidad Feb/2025]])</f>
        <v>0</v>
      </c>
      <c r="AS231" s="14"/>
      <c r="AT231" s="14"/>
      <c r="AU231" s="14"/>
      <c r="AV231" s="14">
        <f>Tabla13[[#This Row],[Uso y acceso Mar/2025]]</f>
        <v>0</v>
      </c>
      <c r="AW231" s="14">
        <f>Tabla58[[#This Row],[Integración Mar/2025]]</f>
        <v>0</v>
      </c>
      <c r="AX231" s="20">
        <f>AVERAGE(Tabla4[[#This Row],[Creación y captura Mar/2025]:[Compartición e Interoperabilidad Mar/2025]])</f>
        <v>0</v>
      </c>
      <c r="AY231" s="14"/>
      <c r="AZ231" s="14"/>
      <c r="BA231" s="14"/>
      <c r="BB231" s="14">
        <f>Tabla13[[#This Row],[Uso y acceso Abr/2025]]</f>
        <v>0</v>
      </c>
      <c r="BC231" s="14">
        <f>Tabla58[[#This Row],[Integración Abr/2025]]</f>
        <v>0</v>
      </c>
      <c r="BD231" s="20">
        <f>AVERAGE(Tabla4[[#This Row],[Creación y captura Abr/2025]:[Compartición e Interoperabilidad Abr/2025]])</f>
        <v>0</v>
      </c>
      <c r="BE231" s="14"/>
      <c r="BF231" s="14"/>
      <c r="BG231" s="14">
        <f>AVERAGE(Tabla1[[#This Row],[Completitud May/2025]:[Conformidad May/2025]])</f>
        <v>1</v>
      </c>
      <c r="BH231" s="14">
        <f>Tabla13[[#This Row],[Uso y acceso May/2025]]</f>
        <v>0</v>
      </c>
      <c r="BI231" s="14">
        <f>Tabla58[[#This Row],[Integración May/2025]]</f>
        <v>0</v>
      </c>
      <c r="BJ231" s="20">
        <f>AVERAGE(Tabla4[[#This Row],[Creación y captura May/2025]:[Compartición e Interoperabilidad May/2025]])</f>
        <v>0.33333333333333331</v>
      </c>
      <c r="BK231" s="14"/>
      <c r="BL231" s="14"/>
      <c r="BM231" s="14">
        <f>AVERAGE('Calidad de Datos'!AQ235:AT235)</f>
        <v>1</v>
      </c>
      <c r="BN231" s="14">
        <f>Tabla13[[#This Row],[Uso y acceso Dic/2025]]</f>
        <v>1</v>
      </c>
      <c r="BO231" s="14">
        <f>Tabla58[[#This Row],[Integración Dic/2025]]</f>
        <v>1</v>
      </c>
      <c r="BP231" s="20">
        <f>AVERAGE(Tabla4[[#This Row],[Creación y captura Dic/2025]:[Compartición e Interoperabilidad Dic/2025]])</f>
        <v>1</v>
      </c>
    </row>
    <row r="232" spans="2:68" x14ac:dyDescent="0.4">
      <c r="B232" s="1" t="s">
        <v>283</v>
      </c>
      <c r="C232" s="14"/>
      <c r="D232" s="14"/>
      <c r="E232" s="14"/>
      <c r="F232" s="14">
        <f>Tabla13[[#This Row],[Uso y acceso Ago/2024]]</f>
        <v>0</v>
      </c>
      <c r="G232" s="14">
        <f>Tabla58[[#This Row],[Integración Ago/2024]]</f>
        <v>0</v>
      </c>
      <c r="H232" s="20">
        <f>AVERAGE(Tabla4[[#This Row],[Creación y captura Ago/2024]:[Compartición e Interoperabilidad Ago/2024]])</f>
        <v>0</v>
      </c>
      <c r="I232" s="14"/>
      <c r="J232" s="14"/>
      <c r="K232" s="14"/>
      <c r="L232" s="14">
        <f>Tabla13[[#This Row],[Uso y acceso Sep/2024]]</f>
        <v>0</v>
      </c>
      <c r="M232" s="14">
        <f>Tabla58[[#This Row],[Integración Sep/2024]]</f>
        <v>0</v>
      </c>
      <c r="N232" s="21">
        <f>AVERAGE(Tabla4[[#This Row],[Creación y captura Sep/2024]:[Compartición e Interoperabilidad Sep/2024]])</f>
        <v>0</v>
      </c>
      <c r="O232" s="14"/>
      <c r="P232" s="14"/>
      <c r="Q232" s="14"/>
      <c r="R232" s="14">
        <f>Tabla13[[#This Row],[Uso y acceso Oct/2024]]</f>
        <v>0</v>
      </c>
      <c r="S232" s="14">
        <f>Tabla58[[#This Row],[Integración Oct/2024]]</f>
        <v>0</v>
      </c>
      <c r="T232" s="20">
        <f>AVERAGE(Tabla4[[#This Row],[Creación y captura Oct/2024]:[Compartición e Interoperabilidad Oct/2024]])</f>
        <v>0</v>
      </c>
      <c r="U232" s="14"/>
      <c r="V232" s="14"/>
      <c r="W232" s="14"/>
      <c r="X232" s="14">
        <f>Tabla13[[#This Row],[Uso y acceso Nov/2024]]</f>
        <v>0</v>
      </c>
      <c r="Y232" s="14">
        <f>Tabla58[[#This Row],[Integración Nov/2024]]</f>
        <v>0</v>
      </c>
      <c r="Z232" s="20">
        <f>AVERAGE(Tabla4[[#This Row],[Creación y captura Nov/2024]:[Compartición e Interoperabilidad Nov/2024]])</f>
        <v>0</v>
      </c>
      <c r="AA232" s="14"/>
      <c r="AB232" s="14"/>
      <c r="AC232" s="14"/>
      <c r="AD232" s="14">
        <f>Tabla13[[#This Row],[Uso y acceso Dic/2024]]</f>
        <v>0</v>
      </c>
      <c r="AE232" s="14">
        <f>Tabla58[[#This Row],[Integración Dic/2024]]</f>
        <v>0</v>
      </c>
      <c r="AF232" s="20">
        <f>AVERAGE(Tabla4[[#This Row],[Creación y captura Dic/2024]:[Compartición e Interoperabilidad Dic/2024]])</f>
        <v>0</v>
      </c>
      <c r="AG232" s="14"/>
      <c r="AH232" s="14"/>
      <c r="AI232" s="14"/>
      <c r="AJ232" s="14">
        <f>Tabla13[[#This Row],[Uso y acceso Ene/2025]]</f>
        <v>0</v>
      </c>
      <c r="AK232" s="14">
        <f>Tabla58[[#This Row],[Integración Ene/2025]]</f>
        <v>0</v>
      </c>
      <c r="AL232" s="20">
        <f>AVERAGE(Tabla4[[#This Row],[Creación y captura Ene/2025]:[Compartición e Interoperabilidad Ene/2025]])</f>
        <v>0</v>
      </c>
      <c r="AM232" s="14"/>
      <c r="AN232" s="14"/>
      <c r="AO232" s="14"/>
      <c r="AP232" s="14">
        <f>Tabla13[[#This Row],[Uso y acceso Feb/2025]]</f>
        <v>0</v>
      </c>
      <c r="AQ232" s="14">
        <f>Tabla58[[#This Row],[Integración Feb/2025]]</f>
        <v>0</v>
      </c>
      <c r="AR232" s="20">
        <f>AVERAGE(Tabla4[[#This Row],[Creación y captura Feb/2025]:[Compartición e Interoperabilidad Feb/2025]])</f>
        <v>0</v>
      </c>
      <c r="AS232" s="14"/>
      <c r="AT232" s="14"/>
      <c r="AU232" s="14"/>
      <c r="AV232" s="14">
        <f>Tabla13[[#This Row],[Uso y acceso Mar/2025]]</f>
        <v>0</v>
      </c>
      <c r="AW232" s="14">
        <f>Tabla58[[#This Row],[Integración Mar/2025]]</f>
        <v>0</v>
      </c>
      <c r="AX232" s="20">
        <f>AVERAGE(Tabla4[[#This Row],[Creación y captura Mar/2025]:[Compartición e Interoperabilidad Mar/2025]])</f>
        <v>0</v>
      </c>
      <c r="AY232" s="14"/>
      <c r="AZ232" s="14"/>
      <c r="BA232" s="14"/>
      <c r="BB232" s="14">
        <f>Tabla13[[#This Row],[Uso y acceso Abr/2025]]</f>
        <v>0</v>
      </c>
      <c r="BC232" s="14">
        <f>Tabla58[[#This Row],[Integración Abr/2025]]</f>
        <v>0</v>
      </c>
      <c r="BD232" s="20">
        <f>AVERAGE(Tabla4[[#This Row],[Creación y captura Abr/2025]:[Compartición e Interoperabilidad Abr/2025]])</f>
        <v>0</v>
      </c>
      <c r="BE232" s="14"/>
      <c r="BF232" s="14"/>
      <c r="BG232" s="14">
        <f>AVERAGE(Tabla1[[#This Row],[Completitud May/2025]:[Conformidad May/2025]])</f>
        <v>1</v>
      </c>
      <c r="BH232" s="14">
        <f>Tabla13[[#This Row],[Uso y acceso May/2025]]</f>
        <v>0</v>
      </c>
      <c r="BI232" s="14">
        <f>Tabla58[[#This Row],[Integración May/2025]]</f>
        <v>0</v>
      </c>
      <c r="BJ232" s="20">
        <f>AVERAGE(Tabla4[[#This Row],[Creación y captura May/2025]:[Compartición e Interoperabilidad May/2025]])</f>
        <v>0.33333333333333331</v>
      </c>
      <c r="BK232" s="14"/>
      <c r="BL232" s="14"/>
      <c r="BM232" s="14">
        <f>AVERAGE('Calidad de Datos'!AQ236:AT236)</f>
        <v>1</v>
      </c>
      <c r="BN232" s="14">
        <f>Tabla13[[#This Row],[Uso y acceso Dic/2025]]</f>
        <v>1</v>
      </c>
      <c r="BO232" s="14">
        <f>Tabla58[[#This Row],[Integración Dic/2025]]</f>
        <v>1</v>
      </c>
      <c r="BP232" s="20">
        <f>AVERAGE(Tabla4[[#This Row],[Creación y captura Dic/2025]:[Compartición e Interoperabilidad Dic/2025]])</f>
        <v>1</v>
      </c>
    </row>
    <row r="233" spans="2:68" x14ac:dyDescent="0.4">
      <c r="B233" s="1" t="s">
        <v>284</v>
      </c>
      <c r="C233" s="14"/>
      <c r="D233" s="14"/>
      <c r="E233" s="14"/>
      <c r="F233" s="14">
        <f>Tabla13[[#This Row],[Uso y acceso Ago/2024]]</f>
        <v>0</v>
      </c>
      <c r="G233" s="14">
        <f>Tabla58[[#This Row],[Integración Ago/2024]]</f>
        <v>0</v>
      </c>
      <c r="H233" s="20">
        <f>AVERAGE(Tabla4[[#This Row],[Creación y captura Ago/2024]:[Compartición e Interoperabilidad Ago/2024]])</f>
        <v>0</v>
      </c>
      <c r="I233" s="14"/>
      <c r="J233" s="14"/>
      <c r="K233" s="14"/>
      <c r="L233" s="14">
        <f>Tabla13[[#This Row],[Uso y acceso Sep/2024]]</f>
        <v>0</v>
      </c>
      <c r="M233" s="14">
        <f>Tabla58[[#This Row],[Integración Sep/2024]]</f>
        <v>0</v>
      </c>
      <c r="N233" s="21">
        <f>AVERAGE(Tabla4[[#This Row],[Creación y captura Sep/2024]:[Compartición e Interoperabilidad Sep/2024]])</f>
        <v>0</v>
      </c>
      <c r="O233" s="14"/>
      <c r="P233" s="14"/>
      <c r="Q233" s="14"/>
      <c r="R233" s="14">
        <f>Tabla13[[#This Row],[Uso y acceso Oct/2024]]</f>
        <v>0</v>
      </c>
      <c r="S233" s="14">
        <f>Tabla58[[#This Row],[Integración Oct/2024]]</f>
        <v>0</v>
      </c>
      <c r="T233" s="20">
        <f>AVERAGE(Tabla4[[#This Row],[Creación y captura Oct/2024]:[Compartición e Interoperabilidad Oct/2024]])</f>
        <v>0</v>
      </c>
      <c r="U233" s="14"/>
      <c r="V233" s="14"/>
      <c r="W233" s="14"/>
      <c r="X233" s="14">
        <f>Tabla13[[#This Row],[Uso y acceso Nov/2024]]</f>
        <v>0</v>
      </c>
      <c r="Y233" s="14">
        <f>Tabla58[[#This Row],[Integración Nov/2024]]</f>
        <v>0</v>
      </c>
      <c r="Z233" s="20">
        <f>AVERAGE(Tabla4[[#This Row],[Creación y captura Nov/2024]:[Compartición e Interoperabilidad Nov/2024]])</f>
        <v>0</v>
      </c>
      <c r="AA233" s="14"/>
      <c r="AB233" s="14"/>
      <c r="AC233" s="14"/>
      <c r="AD233" s="14">
        <f>Tabla13[[#This Row],[Uso y acceso Dic/2024]]</f>
        <v>0</v>
      </c>
      <c r="AE233" s="14">
        <f>Tabla58[[#This Row],[Integración Dic/2024]]</f>
        <v>0</v>
      </c>
      <c r="AF233" s="20">
        <f>AVERAGE(Tabla4[[#This Row],[Creación y captura Dic/2024]:[Compartición e Interoperabilidad Dic/2024]])</f>
        <v>0</v>
      </c>
      <c r="AG233" s="14"/>
      <c r="AH233" s="14"/>
      <c r="AI233" s="14"/>
      <c r="AJ233" s="14">
        <f>Tabla13[[#This Row],[Uso y acceso Ene/2025]]</f>
        <v>0</v>
      </c>
      <c r="AK233" s="14">
        <f>Tabla58[[#This Row],[Integración Ene/2025]]</f>
        <v>0</v>
      </c>
      <c r="AL233" s="20">
        <f>AVERAGE(Tabla4[[#This Row],[Creación y captura Ene/2025]:[Compartición e Interoperabilidad Ene/2025]])</f>
        <v>0</v>
      </c>
      <c r="AM233" s="14"/>
      <c r="AN233" s="14"/>
      <c r="AO233" s="14"/>
      <c r="AP233" s="14">
        <f>Tabla13[[#This Row],[Uso y acceso Feb/2025]]</f>
        <v>0</v>
      </c>
      <c r="AQ233" s="14">
        <f>Tabla58[[#This Row],[Integración Feb/2025]]</f>
        <v>0</v>
      </c>
      <c r="AR233" s="20">
        <f>AVERAGE(Tabla4[[#This Row],[Creación y captura Feb/2025]:[Compartición e Interoperabilidad Feb/2025]])</f>
        <v>0</v>
      </c>
      <c r="AS233" s="14"/>
      <c r="AT233" s="14"/>
      <c r="AU233" s="14"/>
      <c r="AV233" s="14">
        <f>Tabla13[[#This Row],[Uso y acceso Mar/2025]]</f>
        <v>0</v>
      </c>
      <c r="AW233" s="14">
        <f>Tabla58[[#This Row],[Integración Mar/2025]]</f>
        <v>0</v>
      </c>
      <c r="AX233" s="20">
        <f>AVERAGE(Tabla4[[#This Row],[Creación y captura Mar/2025]:[Compartición e Interoperabilidad Mar/2025]])</f>
        <v>0</v>
      </c>
      <c r="AY233" s="14"/>
      <c r="AZ233" s="14"/>
      <c r="BA233" s="14"/>
      <c r="BB233" s="14">
        <f>Tabla13[[#This Row],[Uso y acceso Abr/2025]]</f>
        <v>0</v>
      </c>
      <c r="BC233" s="14">
        <f>Tabla58[[#This Row],[Integración Abr/2025]]</f>
        <v>0</v>
      </c>
      <c r="BD233" s="20">
        <f>AVERAGE(Tabla4[[#This Row],[Creación y captura Abr/2025]:[Compartición e Interoperabilidad Abr/2025]])</f>
        <v>0</v>
      </c>
      <c r="BE233" s="14"/>
      <c r="BF233" s="14"/>
      <c r="BG233" s="14">
        <f>AVERAGE(Tabla1[[#This Row],[Completitud May/2025]:[Conformidad May/2025]])</f>
        <v>1</v>
      </c>
      <c r="BH233" s="14">
        <f>Tabla13[[#This Row],[Uso y acceso May/2025]]</f>
        <v>0</v>
      </c>
      <c r="BI233" s="14">
        <f>Tabla58[[#This Row],[Integración May/2025]]</f>
        <v>0</v>
      </c>
      <c r="BJ233" s="20">
        <f>AVERAGE(Tabla4[[#This Row],[Creación y captura May/2025]:[Compartición e Interoperabilidad May/2025]])</f>
        <v>0.33333333333333331</v>
      </c>
      <c r="BK233" s="14"/>
      <c r="BL233" s="14"/>
      <c r="BM233" s="14">
        <f>AVERAGE('Calidad de Datos'!AQ237:AT237)</f>
        <v>1</v>
      </c>
      <c r="BN233" s="14">
        <f>Tabla13[[#This Row],[Uso y acceso Dic/2025]]</f>
        <v>1</v>
      </c>
      <c r="BO233" s="14">
        <f>Tabla58[[#This Row],[Integración Dic/2025]]</f>
        <v>1</v>
      </c>
      <c r="BP233" s="20">
        <f>AVERAGE(Tabla4[[#This Row],[Creación y captura Dic/2025]:[Compartición e Interoperabilidad Dic/2025]])</f>
        <v>1</v>
      </c>
    </row>
    <row r="234" spans="2:68" x14ac:dyDescent="0.4">
      <c r="B234" s="1" t="s">
        <v>285</v>
      </c>
      <c r="C234" s="14"/>
      <c r="D234" s="14"/>
      <c r="E234" s="14"/>
      <c r="F234" s="14">
        <f>Tabla13[[#This Row],[Uso y acceso Ago/2024]]</f>
        <v>0</v>
      </c>
      <c r="G234" s="14">
        <f>Tabla58[[#This Row],[Integración Ago/2024]]</f>
        <v>0</v>
      </c>
      <c r="H234" s="20">
        <f>AVERAGE(Tabla4[[#This Row],[Creación y captura Ago/2024]:[Compartición e Interoperabilidad Ago/2024]])</f>
        <v>0</v>
      </c>
      <c r="I234" s="14"/>
      <c r="J234" s="14"/>
      <c r="K234" s="14"/>
      <c r="L234" s="14">
        <f>Tabla13[[#This Row],[Uso y acceso Sep/2024]]</f>
        <v>0</v>
      </c>
      <c r="M234" s="14">
        <f>Tabla58[[#This Row],[Integración Sep/2024]]</f>
        <v>0</v>
      </c>
      <c r="N234" s="21">
        <f>AVERAGE(Tabla4[[#This Row],[Creación y captura Sep/2024]:[Compartición e Interoperabilidad Sep/2024]])</f>
        <v>0</v>
      </c>
      <c r="O234" s="14"/>
      <c r="P234" s="14"/>
      <c r="Q234" s="14"/>
      <c r="R234" s="14">
        <f>Tabla13[[#This Row],[Uso y acceso Oct/2024]]</f>
        <v>0</v>
      </c>
      <c r="S234" s="14">
        <f>Tabla58[[#This Row],[Integración Oct/2024]]</f>
        <v>0</v>
      </c>
      <c r="T234" s="20">
        <f>AVERAGE(Tabla4[[#This Row],[Creación y captura Oct/2024]:[Compartición e Interoperabilidad Oct/2024]])</f>
        <v>0</v>
      </c>
      <c r="U234" s="14"/>
      <c r="V234" s="14"/>
      <c r="W234" s="14"/>
      <c r="X234" s="14">
        <f>Tabla13[[#This Row],[Uso y acceso Nov/2024]]</f>
        <v>0</v>
      </c>
      <c r="Y234" s="14">
        <f>Tabla58[[#This Row],[Integración Nov/2024]]</f>
        <v>0</v>
      </c>
      <c r="Z234" s="20">
        <f>AVERAGE(Tabla4[[#This Row],[Creación y captura Nov/2024]:[Compartición e Interoperabilidad Nov/2024]])</f>
        <v>0</v>
      </c>
      <c r="AA234" s="14"/>
      <c r="AB234" s="14"/>
      <c r="AC234" s="14"/>
      <c r="AD234" s="14">
        <f>Tabla13[[#This Row],[Uso y acceso Dic/2024]]</f>
        <v>0</v>
      </c>
      <c r="AE234" s="14">
        <f>Tabla58[[#This Row],[Integración Dic/2024]]</f>
        <v>0</v>
      </c>
      <c r="AF234" s="20">
        <f>AVERAGE(Tabla4[[#This Row],[Creación y captura Dic/2024]:[Compartición e Interoperabilidad Dic/2024]])</f>
        <v>0</v>
      </c>
      <c r="AG234" s="14"/>
      <c r="AH234" s="14"/>
      <c r="AI234" s="14"/>
      <c r="AJ234" s="14">
        <f>Tabla13[[#This Row],[Uso y acceso Ene/2025]]</f>
        <v>0</v>
      </c>
      <c r="AK234" s="14">
        <f>Tabla58[[#This Row],[Integración Ene/2025]]</f>
        <v>0</v>
      </c>
      <c r="AL234" s="20">
        <f>AVERAGE(Tabla4[[#This Row],[Creación y captura Ene/2025]:[Compartición e Interoperabilidad Ene/2025]])</f>
        <v>0</v>
      </c>
      <c r="AM234" s="14"/>
      <c r="AN234" s="14"/>
      <c r="AO234" s="14"/>
      <c r="AP234" s="14">
        <f>Tabla13[[#This Row],[Uso y acceso Feb/2025]]</f>
        <v>0</v>
      </c>
      <c r="AQ234" s="14">
        <f>Tabla58[[#This Row],[Integración Feb/2025]]</f>
        <v>0</v>
      </c>
      <c r="AR234" s="20">
        <f>AVERAGE(Tabla4[[#This Row],[Creación y captura Feb/2025]:[Compartición e Interoperabilidad Feb/2025]])</f>
        <v>0</v>
      </c>
      <c r="AS234" s="14"/>
      <c r="AT234" s="14"/>
      <c r="AU234" s="14"/>
      <c r="AV234" s="14">
        <f>Tabla13[[#This Row],[Uso y acceso Mar/2025]]</f>
        <v>0</v>
      </c>
      <c r="AW234" s="14">
        <f>Tabla58[[#This Row],[Integración Mar/2025]]</f>
        <v>0</v>
      </c>
      <c r="AX234" s="20">
        <f>AVERAGE(Tabla4[[#This Row],[Creación y captura Mar/2025]:[Compartición e Interoperabilidad Mar/2025]])</f>
        <v>0</v>
      </c>
      <c r="AY234" s="14"/>
      <c r="AZ234" s="14"/>
      <c r="BA234" s="14"/>
      <c r="BB234" s="14">
        <f>Tabla13[[#This Row],[Uso y acceso Abr/2025]]</f>
        <v>0</v>
      </c>
      <c r="BC234" s="14">
        <f>Tabla58[[#This Row],[Integración Abr/2025]]</f>
        <v>0</v>
      </c>
      <c r="BD234" s="20">
        <f>AVERAGE(Tabla4[[#This Row],[Creación y captura Abr/2025]:[Compartición e Interoperabilidad Abr/2025]])</f>
        <v>0</v>
      </c>
      <c r="BE234" s="14"/>
      <c r="BF234" s="14"/>
      <c r="BG234" s="14"/>
      <c r="BH234" s="14">
        <f>Tabla13[[#This Row],[Uso y acceso May/2025]]</f>
        <v>0</v>
      </c>
      <c r="BI234" s="14">
        <f>Tabla58[[#This Row],[Integración May/2025]]</f>
        <v>0</v>
      </c>
      <c r="BJ234" s="20">
        <f>AVERAGE(Tabla4[[#This Row],[Creación y captura May/2025]:[Compartición e Interoperabilidad May/2025]])</f>
        <v>0</v>
      </c>
      <c r="BK234" s="14"/>
      <c r="BL234" s="14"/>
      <c r="BM234" s="14">
        <f>AVERAGE('Calidad de Datos'!AQ238:AT238)</f>
        <v>1</v>
      </c>
      <c r="BN234" s="14">
        <f>Tabla13[[#This Row],[Uso y acceso Dic/2025]]</f>
        <v>1</v>
      </c>
      <c r="BO234" s="14">
        <f>Tabla58[[#This Row],[Integración Dic/2025]]</f>
        <v>1</v>
      </c>
      <c r="BP234" s="20">
        <f>AVERAGE(Tabla4[[#This Row],[Creación y captura Dic/2025]:[Compartición e Interoperabilidad Dic/2025]])</f>
        <v>1</v>
      </c>
    </row>
    <row r="235" spans="2:68" x14ac:dyDescent="0.4">
      <c r="B235" s="1" t="s">
        <v>286</v>
      </c>
      <c r="C235" s="14"/>
      <c r="D235" s="14"/>
      <c r="E235" s="14"/>
      <c r="F235" s="14">
        <f>Tabla13[[#This Row],[Uso y acceso Ago/2024]]</f>
        <v>0</v>
      </c>
      <c r="G235" s="14">
        <f>Tabla58[[#This Row],[Integración Ago/2024]]</f>
        <v>0</v>
      </c>
      <c r="H235" s="20">
        <f>AVERAGE(Tabla4[[#This Row],[Creación y captura Ago/2024]:[Compartición e Interoperabilidad Ago/2024]])</f>
        <v>0</v>
      </c>
      <c r="I235" s="14"/>
      <c r="J235" s="14"/>
      <c r="K235" s="14"/>
      <c r="L235" s="14">
        <f>Tabla13[[#This Row],[Uso y acceso Sep/2024]]</f>
        <v>0</v>
      </c>
      <c r="M235" s="14">
        <f>Tabla58[[#This Row],[Integración Sep/2024]]</f>
        <v>0</v>
      </c>
      <c r="N235" s="21">
        <f>AVERAGE(Tabla4[[#This Row],[Creación y captura Sep/2024]:[Compartición e Interoperabilidad Sep/2024]])</f>
        <v>0</v>
      </c>
      <c r="O235" s="14"/>
      <c r="P235" s="14"/>
      <c r="Q235" s="14"/>
      <c r="R235" s="14">
        <f>Tabla13[[#This Row],[Uso y acceso Oct/2024]]</f>
        <v>0</v>
      </c>
      <c r="S235" s="14">
        <f>Tabla58[[#This Row],[Integración Oct/2024]]</f>
        <v>0</v>
      </c>
      <c r="T235" s="20">
        <f>AVERAGE(Tabla4[[#This Row],[Creación y captura Oct/2024]:[Compartición e Interoperabilidad Oct/2024]])</f>
        <v>0</v>
      </c>
      <c r="U235" s="14"/>
      <c r="V235" s="14"/>
      <c r="W235" s="14"/>
      <c r="X235" s="14">
        <f>Tabla13[[#This Row],[Uso y acceso Nov/2024]]</f>
        <v>0</v>
      </c>
      <c r="Y235" s="14">
        <f>Tabla58[[#This Row],[Integración Nov/2024]]</f>
        <v>0</v>
      </c>
      <c r="Z235" s="20">
        <f>AVERAGE(Tabla4[[#This Row],[Creación y captura Nov/2024]:[Compartición e Interoperabilidad Nov/2024]])</f>
        <v>0</v>
      </c>
      <c r="AA235" s="14"/>
      <c r="AB235" s="14"/>
      <c r="AC235" s="14"/>
      <c r="AD235" s="14">
        <f>Tabla13[[#This Row],[Uso y acceso Dic/2024]]</f>
        <v>0</v>
      </c>
      <c r="AE235" s="14">
        <f>Tabla58[[#This Row],[Integración Dic/2024]]</f>
        <v>0</v>
      </c>
      <c r="AF235" s="20">
        <f>AVERAGE(Tabla4[[#This Row],[Creación y captura Dic/2024]:[Compartición e Interoperabilidad Dic/2024]])</f>
        <v>0</v>
      </c>
      <c r="AG235" s="14"/>
      <c r="AH235" s="14"/>
      <c r="AI235" s="14"/>
      <c r="AJ235" s="14">
        <f>Tabla13[[#This Row],[Uso y acceso Ene/2025]]</f>
        <v>0</v>
      </c>
      <c r="AK235" s="14">
        <f>Tabla58[[#This Row],[Integración Ene/2025]]</f>
        <v>0</v>
      </c>
      <c r="AL235" s="20">
        <f>AVERAGE(Tabla4[[#This Row],[Creación y captura Ene/2025]:[Compartición e Interoperabilidad Ene/2025]])</f>
        <v>0</v>
      </c>
      <c r="AM235" s="14"/>
      <c r="AN235" s="14"/>
      <c r="AO235" s="14"/>
      <c r="AP235" s="14">
        <f>Tabla13[[#This Row],[Uso y acceso Feb/2025]]</f>
        <v>0</v>
      </c>
      <c r="AQ235" s="14">
        <f>Tabla58[[#This Row],[Integración Feb/2025]]</f>
        <v>0</v>
      </c>
      <c r="AR235" s="20">
        <f>AVERAGE(Tabla4[[#This Row],[Creación y captura Feb/2025]:[Compartición e Interoperabilidad Feb/2025]])</f>
        <v>0</v>
      </c>
      <c r="AS235" s="14"/>
      <c r="AT235" s="14"/>
      <c r="AU235" s="14"/>
      <c r="AV235" s="14">
        <f>Tabla13[[#This Row],[Uso y acceso Mar/2025]]</f>
        <v>0</v>
      </c>
      <c r="AW235" s="14">
        <f>Tabla58[[#This Row],[Integración Mar/2025]]</f>
        <v>0</v>
      </c>
      <c r="AX235" s="20">
        <f>AVERAGE(Tabla4[[#This Row],[Creación y captura Mar/2025]:[Compartición e Interoperabilidad Mar/2025]])</f>
        <v>0</v>
      </c>
      <c r="AY235" s="14"/>
      <c r="AZ235" s="14"/>
      <c r="BA235" s="14"/>
      <c r="BB235" s="14">
        <f>Tabla13[[#This Row],[Uso y acceso Abr/2025]]</f>
        <v>0</v>
      </c>
      <c r="BC235" s="14">
        <f>Tabla58[[#This Row],[Integración Abr/2025]]</f>
        <v>0</v>
      </c>
      <c r="BD235" s="20">
        <f>AVERAGE(Tabla4[[#This Row],[Creación y captura Abr/2025]:[Compartición e Interoperabilidad Abr/2025]])</f>
        <v>0</v>
      </c>
      <c r="BE235" s="14"/>
      <c r="BF235" s="14"/>
      <c r="BG235" s="14"/>
      <c r="BH235" s="14">
        <f>Tabla13[[#This Row],[Uso y acceso May/2025]]</f>
        <v>0</v>
      </c>
      <c r="BI235" s="14">
        <f>Tabla58[[#This Row],[Integración May/2025]]</f>
        <v>0</v>
      </c>
      <c r="BJ235" s="20">
        <f>AVERAGE(Tabla4[[#This Row],[Creación y captura May/2025]:[Compartición e Interoperabilidad May/2025]])</f>
        <v>0</v>
      </c>
      <c r="BK235" s="14"/>
      <c r="BL235" s="14"/>
      <c r="BM235" s="14">
        <f>AVERAGE('Calidad de Datos'!AQ239:AT239)</f>
        <v>1</v>
      </c>
      <c r="BN235" s="14">
        <f>Tabla13[[#This Row],[Uso y acceso Dic/2025]]</f>
        <v>1</v>
      </c>
      <c r="BO235" s="14">
        <f>Tabla58[[#This Row],[Integración Dic/2025]]</f>
        <v>1</v>
      </c>
      <c r="BP235" s="20">
        <f>AVERAGE(Tabla4[[#This Row],[Creación y captura Dic/2025]:[Compartición e Interoperabilidad Dic/2025]])</f>
        <v>1</v>
      </c>
    </row>
    <row r="236" spans="2:68" x14ac:dyDescent="0.4">
      <c r="B236" s="1" t="s">
        <v>287</v>
      </c>
      <c r="C236" s="14"/>
      <c r="D236" s="14"/>
      <c r="E236" s="14"/>
      <c r="F236" s="14">
        <f>Tabla13[[#This Row],[Uso y acceso Ago/2024]]</f>
        <v>0</v>
      </c>
      <c r="G236" s="14">
        <f>Tabla58[[#This Row],[Integración Ago/2024]]</f>
        <v>0</v>
      </c>
      <c r="H236" s="20">
        <f>AVERAGE(Tabla4[[#This Row],[Creación y captura Ago/2024]:[Compartición e Interoperabilidad Ago/2024]])</f>
        <v>0</v>
      </c>
      <c r="I236" s="14"/>
      <c r="J236" s="14"/>
      <c r="K236" s="14"/>
      <c r="L236" s="14">
        <f>Tabla13[[#This Row],[Uso y acceso Sep/2024]]</f>
        <v>0</v>
      </c>
      <c r="M236" s="14">
        <f>Tabla58[[#This Row],[Integración Sep/2024]]</f>
        <v>0</v>
      </c>
      <c r="N236" s="21">
        <f>AVERAGE(Tabla4[[#This Row],[Creación y captura Sep/2024]:[Compartición e Interoperabilidad Sep/2024]])</f>
        <v>0</v>
      </c>
      <c r="O236" s="14"/>
      <c r="P236" s="14"/>
      <c r="Q236" s="14"/>
      <c r="R236" s="14">
        <f>Tabla13[[#This Row],[Uso y acceso Oct/2024]]</f>
        <v>0</v>
      </c>
      <c r="S236" s="14">
        <f>Tabla58[[#This Row],[Integración Oct/2024]]</f>
        <v>0</v>
      </c>
      <c r="T236" s="20">
        <f>AVERAGE(Tabla4[[#This Row],[Creación y captura Oct/2024]:[Compartición e Interoperabilidad Oct/2024]])</f>
        <v>0</v>
      </c>
      <c r="U236" s="14"/>
      <c r="V236" s="14"/>
      <c r="W236" s="14"/>
      <c r="X236" s="14">
        <f>Tabla13[[#This Row],[Uso y acceso Nov/2024]]</f>
        <v>0</v>
      </c>
      <c r="Y236" s="14">
        <f>Tabla58[[#This Row],[Integración Nov/2024]]</f>
        <v>0</v>
      </c>
      <c r="Z236" s="20">
        <f>AVERAGE(Tabla4[[#This Row],[Creación y captura Nov/2024]:[Compartición e Interoperabilidad Nov/2024]])</f>
        <v>0</v>
      </c>
      <c r="AA236" s="14"/>
      <c r="AB236" s="14"/>
      <c r="AC236" s="14"/>
      <c r="AD236" s="14">
        <f>Tabla13[[#This Row],[Uso y acceso Dic/2024]]</f>
        <v>0</v>
      </c>
      <c r="AE236" s="14">
        <f>Tabla58[[#This Row],[Integración Dic/2024]]</f>
        <v>0</v>
      </c>
      <c r="AF236" s="20">
        <f>AVERAGE(Tabla4[[#This Row],[Creación y captura Dic/2024]:[Compartición e Interoperabilidad Dic/2024]])</f>
        <v>0</v>
      </c>
      <c r="AG236" s="14"/>
      <c r="AH236" s="14"/>
      <c r="AI236" s="14"/>
      <c r="AJ236" s="14">
        <f>Tabla13[[#This Row],[Uso y acceso Ene/2025]]</f>
        <v>0</v>
      </c>
      <c r="AK236" s="14">
        <f>Tabla58[[#This Row],[Integración Ene/2025]]</f>
        <v>0</v>
      </c>
      <c r="AL236" s="20">
        <f>AVERAGE(Tabla4[[#This Row],[Creación y captura Ene/2025]:[Compartición e Interoperabilidad Ene/2025]])</f>
        <v>0</v>
      </c>
      <c r="AM236" s="14"/>
      <c r="AN236" s="14"/>
      <c r="AO236" s="14"/>
      <c r="AP236" s="14">
        <f>Tabla13[[#This Row],[Uso y acceso Feb/2025]]</f>
        <v>0</v>
      </c>
      <c r="AQ236" s="14">
        <f>Tabla58[[#This Row],[Integración Feb/2025]]</f>
        <v>0</v>
      </c>
      <c r="AR236" s="20">
        <f>AVERAGE(Tabla4[[#This Row],[Creación y captura Feb/2025]:[Compartición e Interoperabilidad Feb/2025]])</f>
        <v>0</v>
      </c>
      <c r="AS236" s="14"/>
      <c r="AT236" s="14"/>
      <c r="AU236" s="14"/>
      <c r="AV236" s="14">
        <f>Tabla13[[#This Row],[Uso y acceso Mar/2025]]</f>
        <v>0</v>
      </c>
      <c r="AW236" s="14">
        <f>Tabla58[[#This Row],[Integración Mar/2025]]</f>
        <v>0</v>
      </c>
      <c r="AX236" s="20">
        <f>AVERAGE(Tabla4[[#This Row],[Creación y captura Mar/2025]:[Compartición e Interoperabilidad Mar/2025]])</f>
        <v>0</v>
      </c>
      <c r="AY236" s="14"/>
      <c r="AZ236" s="14"/>
      <c r="BA236" s="14"/>
      <c r="BB236" s="14">
        <f>Tabla13[[#This Row],[Uso y acceso Abr/2025]]</f>
        <v>0</v>
      </c>
      <c r="BC236" s="14">
        <f>Tabla58[[#This Row],[Integración Abr/2025]]</f>
        <v>0</v>
      </c>
      <c r="BD236" s="20">
        <f>AVERAGE(Tabla4[[#This Row],[Creación y captura Abr/2025]:[Compartición e Interoperabilidad Abr/2025]])</f>
        <v>0</v>
      </c>
      <c r="BE236" s="14"/>
      <c r="BF236" s="14"/>
      <c r="BG236" s="14"/>
      <c r="BH236" s="14">
        <f>Tabla13[[#This Row],[Uso y acceso May/2025]]</f>
        <v>0</v>
      </c>
      <c r="BI236" s="14">
        <f>Tabla58[[#This Row],[Integración May/2025]]</f>
        <v>0</v>
      </c>
      <c r="BJ236" s="20">
        <f>AVERAGE(Tabla4[[#This Row],[Creación y captura May/2025]:[Compartición e Interoperabilidad May/2025]])</f>
        <v>0</v>
      </c>
      <c r="BK236" s="14"/>
      <c r="BL236" s="14"/>
      <c r="BM236" s="14">
        <f>AVERAGE('Calidad de Datos'!AQ240:AT240)</f>
        <v>1</v>
      </c>
      <c r="BN236" s="14">
        <f>Tabla13[[#This Row],[Uso y acceso Dic/2025]]</f>
        <v>1</v>
      </c>
      <c r="BO236" s="14">
        <f>Tabla58[[#This Row],[Integración Dic/2025]]</f>
        <v>1</v>
      </c>
      <c r="BP236" s="20">
        <f>AVERAGE(Tabla4[[#This Row],[Creación y captura Dic/2025]:[Compartición e Interoperabilidad Dic/2025]])</f>
        <v>1</v>
      </c>
    </row>
    <row r="237" spans="2:68" x14ac:dyDescent="0.4">
      <c r="B237" s="1" t="s">
        <v>288</v>
      </c>
      <c r="C237" s="14"/>
      <c r="D237" s="14"/>
      <c r="E237" s="14"/>
      <c r="F237" s="14">
        <f>Tabla13[[#This Row],[Uso y acceso Ago/2024]]</f>
        <v>0</v>
      </c>
      <c r="G237" s="14">
        <f>Tabla58[[#This Row],[Integración Ago/2024]]</f>
        <v>0</v>
      </c>
      <c r="H237" s="20">
        <f>AVERAGE(Tabla4[[#This Row],[Creación y captura Ago/2024]:[Compartición e Interoperabilidad Ago/2024]])</f>
        <v>0</v>
      </c>
      <c r="I237" s="14"/>
      <c r="J237" s="14"/>
      <c r="K237" s="14"/>
      <c r="L237" s="14">
        <f>Tabla13[[#This Row],[Uso y acceso Sep/2024]]</f>
        <v>0</v>
      </c>
      <c r="M237" s="14">
        <f>Tabla58[[#This Row],[Integración Sep/2024]]</f>
        <v>0</v>
      </c>
      <c r="N237" s="21">
        <f>AVERAGE(Tabla4[[#This Row],[Creación y captura Sep/2024]:[Compartición e Interoperabilidad Sep/2024]])</f>
        <v>0</v>
      </c>
      <c r="O237" s="14"/>
      <c r="P237" s="14"/>
      <c r="Q237" s="14"/>
      <c r="R237" s="14">
        <f>Tabla13[[#This Row],[Uso y acceso Oct/2024]]</f>
        <v>0</v>
      </c>
      <c r="S237" s="14">
        <f>Tabla58[[#This Row],[Integración Oct/2024]]</f>
        <v>0</v>
      </c>
      <c r="T237" s="20">
        <f>AVERAGE(Tabla4[[#This Row],[Creación y captura Oct/2024]:[Compartición e Interoperabilidad Oct/2024]])</f>
        <v>0</v>
      </c>
      <c r="U237" s="14"/>
      <c r="V237" s="14"/>
      <c r="W237" s="14"/>
      <c r="X237" s="14">
        <f>Tabla13[[#This Row],[Uso y acceso Nov/2024]]</f>
        <v>0</v>
      </c>
      <c r="Y237" s="14">
        <f>Tabla58[[#This Row],[Integración Nov/2024]]</f>
        <v>0</v>
      </c>
      <c r="Z237" s="20">
        <f>AVERAGE(Tabla4[[#This Row],[Creación y captura Nov/2024]:[Compartición e Interoperabilidad Nov/2024]])</f>
        <v>0</v>
      </c>
      <c r="AA237" s="14"/>
      <c r="AB237" s="14"/>
      <c r="AC237" s="14"/>
      <c r="AD237" s="14">
        <f>Tabla13[[#This Row],[Uso y acceso Dic/2024]]</f>
        <v>0</v>
      </c>
      <c r="AE237" s="14">
        <f>Tabla58[[#This Row],[Integración Dic/2024]]</f>
        <v>0</v>
      </c>
      <c r="AF237" s="20">
        <f>AVERAGE(Tabla4[[#This Row],[Creación y captura Dic/2024]:[Compartición e Interoperabilidad Dic/2024]])</f>
        <v>0</v>
      </c>
      <c r="AG237" s="14"/>
      <c r="AH237" s="14"/>
      <c r="AI237" s="14"/>
      <c r="AJ237" s="14">
        <f>Tabla13[[#This Row],[Uso y acceso Ene/2025]]</f>
        <v>0</v>
      </c>
      <c r="AK237" s="14">
        <f>Tabla58[[#This Row],[Integración Ene/2025]]</f>
        <v>0</v>
      </c>
      <c r="AL237" s="20">
        <f>AVERAGE(Tabla4[[#This Row],[Creación y captura Ene/2025]:[Compartición e Interoperabilidad Ene/2025]])</f>
        <v>0</v>
      </c>
      <c r="AM237" s="14"/>
      <c r="AN237" s="14"/>
      <c r="AO237" s="14"/>
      <c r="AP237" s="14">
        <f>Tabla13[[#This Row],[Uso y acceso Feb/2025]]</f>
        <v>0</v>
      </c>
      <c r="AQ237" s="14">
        <f>Tabla58[[#This Row],[Integración Feb/2025]]</f>
        <v>0</v>
      </c>
      <c r="AR237" s="20">
        <f>AVERAGE(Tabla4[[#This Row],[Creación y captura Feb/2025]:[Compartición e Interoperabilidad Feb/2025]])</f>
        <v>0</v>
      </c>
      <c r="AS237" s="14"/>
      <c r="AT237" s="14"/>
      <c r="AU237" s="14"/>
      <c r="AV237" s="14">
        <f>Tabla13[[#This Row],[Uso y acceso Mar/2025]]</f>
        <v>0</v>
      </c>
      <c r="AW237" s="14">
        <f>Tabla58[[#This Row],[Integración Mar/2025]]</f>
        <v>0</v>
      </c>
      <c r="AX237" s="20">
        <f>AVERAGE(Tabla4[[#This Row],[Creación y captura Mar/2025]:[Compartición e Interoperabilidad Mar/2025]])</f>
        <v>0</v>
      </c>
      <c r="AY237" s="14"/>
      <c r="AZ237" s="14"/>
      <c r="BA237" s="14"/>
      <c r="BB237" s="14">
        <f>Tabla13[[#This Row],[Uso y acceso Abr/2025]]</f>
        <v>0</v>
      </c>
      <c r="BC237" s="14">
        <f>Tabla58[[#This Row],[Integración Abr/2025]]</f>
        <v>0</v>
      </c>
      <c r="BD237" s="20">
        <f>AVERAGE(Tabla4[[#This Row],[Creación y captura Abr/2025]:[Compartición e Interoperabilidad Abr/2025]])</f>
        <v>0</v>
      </c>
      <c r="BE237" s="14"/>
      <c r="BF237" s="14"/>
      <c r="BG237" s="14"/>
      <c r="BH237" s="14">
        <f>Tabla13[[#This Row],[Uso y acceso May/2025]]</f>
        <v>0</v>
      </c>
      <c r="BI237" s="14">
        <f>Tabla58[[#This Row],[Integración May/2025]]</f>
        <v>0</v>
      </c>
      <c r="BJ237" s="20">
        <f>AVERAGE(Tabla4[[#This Row],[Creación y captura May/2025]:[Compartición e Interoperabilidad May/2025]])</f>
        <v>0</v>
      </c>
      <c r="BK237" s="14"/>
      <c r="BL237" s="14"/>
      <c r="BM237" s="14">
        <f>AVERAGE('Calidad de Datos'!AQ241:AT241)</f>
        <v>1</v>
      </c>
      <c r="BN237" s="14">
        <f>Tabla13[[#This Row],[Uso y acceso Dic/2025]]</f>
        <v>1</v>
      </c>
      <c r="BO237" s="14">
        <f>Tabla58[[#This Row],[Integración Dic/2025]]</f>
        <v>1</v>
      </c>
      <c r="BP237" s="20">
        <f>AVERAGE(Tabla4[[#This Row],[Creación y captura Dic/2025]:[Compartición e Interoperabilidad Dic/2025]])</f>
        <v>1</v>
      </c>
    </row>
    <row r="238" spans="2:68" x14ac:dyDescent="0.4">
      <c r="B238" s="1" t="s">
        <v>289</v>
      </c>
      <c r="C238" s="14"/>
      <c r="D238" s="14"/>
      <c r="E238" s="14"/>
      <c r="F238" s="14">
        <f>Tabla13[[#This Row],[Uso y acceso Ago/2024]]</f>
        <v>0</v>
      </c>
      <c r="G238" s="14">
        <f>Tabla58[[#This Row],[Integración Ago/2024]]</f>
        <v>0</v>
      </c>
      <c r="H238" s="20">
        <f>AVERAGE(Tabla4[[#This Row],[Creación y captura Ago/2024]:[Compartición e Interoperabilidad Ago/2024]])</f>
        <v>0</v>
      </c>
      <c r="I238" s="14"/>
      <c r="J238" s="14"/>
      <c r="K238" s="14"/>
      <c r="L238" s="14">
        <f>Tabla13[[#This Row],[Uso y acceso Sep/2024]]</f>
        <v>0</v>
      </c>
      <c r="M238" s="14">
        <f>Tabla58[[#This Row],[Integración Sep/2024]]</f>
        <v>0</v>
      </c>
      <c r="N238" s="21">
        <f>AVERAGE(Tabla4[[#This Row],[Creación y captura Sep/2024]:[Compartición e Interoperabilidad Sep/2024]])</f>
        <v>0</v>
      </c>
      <c r="O238" s="14"/>
      <c r="P238" s="14"/>
      <c r="Q238" s="14"/>
      <c r="R238" s="14">
        <f>Tabla13[[#This Row],[Uso y acceso Oct/2024]]</f>
        <v>0</v>
      </c>
      <c r="S238" s="14">
        <f>Tabla58[[#This Row],[Integración Oct/2024]]</f>
        <v>0</v>
      </c>
      <c r="T238" s="20">
        <f>AVERAGE(Tabla4[[#This Row],[Creación y captura Oct/2024]:[Compartición e Interoperabilidad Oct/2024]])</f>
        <v>0</v>
      </c>
      <c r="U238" s="14"/>
      <c r="V238" s="14"/>
      <c r="W238" s="14"/>
      <c r="X238" s="14">
        <f>Tabla13[[#This Row],[Uso y acceso Nov/2024]]</f>
        <v>0</v>
      </c>
      <c r="Y238" s="14">
        <f>Tabla58[[#This Row],[Integración Nov/2024]]</f>
        <v>0</v>
      </c>
      <c r="Z238" s="20">
        <f>AVERAGE(Tabla4[[#This Row],[Creación y captura Nov/2024]:[Compartición e Interoperabilidad Nov/2024]])</f>
        <v>0</v>
      </c>
      <c r="AA238" s="14"/>
      <c r="AB238" s="14"/>
      <c r="AC238" s="14"/>
      <c r="AD238" s="14">
        <f>Tabla13[[#This Row],[Uso y acceso Dic/2024]]</f>
        <v>0</v>
      </c>
      <c r="AE238" s="14">
        <f>Tabla58[[#This Row],[Integración Dic/2024]]</f>
        <v>0</v>
      </c>
      <c r="AF238" s="20">
        <f>AVERAGE(Tabla4[[#This Row],[Creación y captura Dic/2024]:[Compartición e Interoperabilidad Dic/2024]])</f>
        <v>0</v>
      </c>
      <c r="AG238" s="14"/>
      <c r="AH238" s="14"/>
      <c r="AI238" s="14"/>
      <c r="AJ238" s="14">
        <f>Tabla13[[#This Row],[Uso y acceso Ene/2025]]</f>
        <v>0</v>
      </c>
      <c r="AK238" s="14">
        <f>Tabla58[[#This Row],[Integración Ene/2025]]</f>
        <v>0</v>
      </c>
      <c r="AL238" s="20">
        <f>AVERAGE(Tabla4[[#This Row],[Creación y captura Ene/2025]:[Compartición e Interoperabilidad Ene/2025]])</f>
        <v>0</v>
      </c>
      <c r="AM238" s="14"/>
      <c r="AN238" s="14"/>
      <c r="AO238" s="14"/>
      <c r="AP238" s="14">
        <f>Tabla13[[#This Row],[Uso y acceso Feb/2025]]</f>
        <v>0</v>
      </c>
      <c r="AQ238" s="14">
        <f>Tabla58[[#This Row],[Integración Feb/2025]]</f>
        <v>0</v>
      </c>
      <c r="AR238" s="20">
        <f>AVERAGE(Tabla4[[#This Row],[Creación y captura Feb/2025]:[Compartición e Interoperabilidad Feb/2025]])</f>
        <v>0</v>
      </c>
      <c r="AS238" s="14"/>
      <c r="AT238" s="14"/>
      <c r="AU238" s="14"/>
      <c r="AV238" s="14">
        <f>Tabla13[[#This Row],[Uso y acceso Mar/2025]]</f>
        <v>0</v>
      </c>
      <c r="AW238" s="14">
        <f>Tabla58[[#This Row],[Integración Mar/2025]]</f>
        <v>0</v>
      </c>
      <c r="AX238" s="20">
        <f>AVERAGE(Tabla4[[#This Row],[Creación y captura Mar/2025]:[Compartición e Interoperabilidad Mar/2025]])</f>
        <v>0</v>
      </c>
      <c r="AY238" s="14"/>
      <c r="AZ238" s="14"/>
      <c r="BA238" s="14"/>
      <c r="BB238" s="14">
        <f>Tabla13[[#This Row],[Uso y acceso Abr/2025]]</f>
        <v>0</v>
      </c>
      <c r="BC238" s="14">
        <f>Tabla58[[#This Row],[Integración Abr/2025]]</f>
        <v>0</v>
      </c>
      <c r="BD238" s="20">
        <f>AVERAGE(Tabla4[[#This Row],[Creación y captura Abr/2025]:[Compartición e Interoperabilidad Abr/2025]])</f>
        <v>0</v>
      </c>
      <c r="BE238" s="14"/>
      <c r="BF238" s="14"/>
      <c r="BG238" s="14"/>
      <c r="BH238" s="14">
        <f>Tabla13[[#This Row],[Uso y acceso May/2025]]</f>
        <v>0</v>
      </c>
      <c r="BI238" s="14">
        <f>Tabla58[[#This Row],[Integración May/2025]]</f>
        <v>0</v>
      </c>
      <c r="BJ238" s="20">
        <f>AVERAGE(Tabla4[[#This Row],[Creación y captura May/2025]:[Compartición e Interoperabilidad May/2025]])</f>
        <v>0</v>
      </c>
      <c r="BK238" s="14"/>
      <c r="BL238" s="14"/>
      <c r="BM238" s="14">
        <f>AVERAGE('Calidad de Datos'!AQ242:AT242)</f>
        <v>1</v>
      </c>
      <c r="BN238" s="14">
        <f>Tabla13[[#This Row],[Uso y acceso Dic/2025]]</f>
        <v>1</v>
      </c>
      <c r="BO238" s="14">
        <f>Tabla58[[#This Row],[Integración Dic/2025]]</f>
        <v>1</v>
      </c>
      <c r="BP238" s="20">
        <f>AVERAGE(Tabla4[[#This Row],[Creación y captura Dic/2025]:[Compartición e Interoperabilidad Dic/2025]])</f>
        <v>1</v>
      </c>
    </row>
    <row r="239" spans="2:68" x14ac:dyDescent="0.4">
      <c r="B239" s="1" t="s">
        <v>290</v>
      </c>
      <c r="C239" s="14"/>
      <c r="D239" s="14"/>
      <c r="E239" s="14"/>
      <c r="F239" s="14">
        <f>Tabla13[[#This Row],[Uso y acceso Ago/2024]]</f>
        <v>0</v>
      </c>
      <c r="G239" s="14">
        <f>Tabla58[[#This Row],[Integración Ago/2024]]</f>
        <v>0</v>
      </c>
      <c r="H239" s="20">
        <f>AVERAGE(Tabla4[[#This Row],[Creación y captura Ago/2024]:[Compartición e Interoperabilidad Ago/2024]])</f>
        <v>0</v>
      </c>
      <c r="I239" s="14"/>
      <c r="J239" s="14"/>
      <c r="K239" s="14"/>
      <c r="L239" s="14">
        <f>Tabla13[[#This Row],[Uso y acceso Sep/2024]]</f>
        <v>0</v>
      </c>
      <c r="M239" s="14">
        <f>Tabla58[[#This Row],[Integración Sep/2024]]</f>
        <v>0</v>
      </c>
      <c r="N239" s="21">
        <f>AVERAGE(Tabla4[[#This Row],[Creación y captura Sep/2024]:[Compartición e Interoperabilidad Sep/2024]])</f>
        <v>0</v>
      </c>
      <c r="O239" s="14"/>
      <c r="P239" s="14"/>
      <c r="Q239" s="14"/>
      <c r="R239" s="14">
        <f>Tabla13[[#This Row],[Uso y acceso Oct/2024]]</f>
        <v>0</v>
      </c>
      <c r="S239" s="14">
        <f>Tabla58[[#This Row],[Integración Oct/2024]]</f>
        <v>0</v>
      </c>
      <c r="T239" s="20">
        <f>AVERAGE(Tabla4[[#This Row],[Creación y captura Oct/2024]:[Compartición e Interoperabilidad Oct/2024]])</f>
        <v>0</v>
      </c>
      <c r="U239" s="14"/>
      <c r="V239" s="14"/>
      <c r="W239" s="14"/>
      <c r="X239" s="14">
        <f>Tabla13[[#This Row],[Uso y acceso Nov/2024]]</f>
        <v>0</v>
      </c>
      <c r="Y239" s="14">
        <f>Tabla58[[#This Row],[Integración Nov/2024]]</f>
        <v>0</v>
      </c>
      <c r="Z239" s="20">
        <f>AVERAGE(Tabla4[[#This Row],[Creación y captura Nov/2024]:[Compartición e Interoperabilidad Nov/2024]])</f>
        <v>0</v>
      </c>
      <c r="AA239" s="14"/>
      <c r="AB239" s="14"/>
      <c r="AC239" s="14"/>
      <c r="AD239" s="14">
        <f>Tabla13[[#This Row],[Uso y acceso Dic/2024]]</f>
        <v>0</v>
      </c>
      <c r="AE239" s="14">
        <f>Tabla58[[#This Row],[Integración Dic/2024]]</f>
        <v>0</v>
      </c>
      <c r="AF239" s="20">
        <f>AVERAGE(Tabla4[[#This Row],[Creación y captura Dic/2024]:[Compartición e Interoperabilidad Dic/2024]])</f>
        <v>0</v>
      </c>
      <c r="AG239" s="14"/>
      <c r="AH239" s="14"/>
      <c r="AI239" s="14"/>
      <c r="AJ239" s="14">
        <f>Tabla13[[#This Row],[Uso y acceso Ene/2025]]</f>
        <v>0</v>
      </c>
      <c r="AK239" s="14">
        <f>Tabla58[[#This Row],[Integración Ene/2025]]</f>
        <v>0</v>
      </c>
      <c r="AL239" s="20">
        <f>AVERAGE(Tabla4[[#This Row],[Creación y captura Ene/2025]:[Compartición e Interoperabilidad Ene/2025]])</f>
        <v>0</v>
      </c>
      <c r="AM239" s="14"/>
      <c r="AN239" s="14"/>
      <c r="AO239" s="14"/>
      <c r="AP239" s="14">
        <f>Tabla13[[#This Row],[Uso y acceso Feb/2025]]</f>
        <v>0</v>
      </c>
      <c r="AQ239" s="14">
        <f>Tabla58[[#This Row],[Integración Feb/2025]]</f>
        <v>0</v>
      </c>
      <c r="AR239" s="20">
        <f>AVERAGE(Tabla4[[#This Row],[Creación y captura Feb/2025]:[Compartición e Interoperabilidad Feb/2025]])</f>
        <v>0</v>
      </c>
      <c r="AS239" s="14"/>
      <c r="AT239" s="14"/>
      <c r="AU239" s="14"/>
      <c r="AV239" s="14">
        <f>Tabla13[[#This Row],[Uso y acceso Mar/2025]]</f>
        <v>0</v>
      </c>
      <c r="AW239" s="14">
        <f>Tabla58[[#This Row],[Integración Mar/2025]]</f>
        <v>0</v>
      </c>
      <c r="AX239" s="20">
        <f>AVERAGE(Tabla4[[#This Row],[Creación y captura Mar/2025]:[Compartición e Interoperabilidad Mar/2025]])</f>
        <v>0</v>
      </c>
      <c r="AY239" s="14"/>
      <c r="AZ239" s="14"/>
      <c r="BA239" s="14"/>
      <c r="BB239" s="14">
        <f>Tabla13[[#This Row],[Uso y acceso Abr/2025]]</f>
        <v>0</v>
      </c>
      <c r="BC239" s="14">
        <f>Tabla58[[#This Row],[Integración Abr/2025]]</f>
        <v>0</v>
      </c>
      <c r="BD239" s="20">
        <f>AVERAGE(Tabla4[[#This Row],[Creación y captura Abr/2025]:[Compartición e Interoperabilidad Abr/2025]])</f>
        <v>0</v>
      </c>
      <c r="BE239" s="14"/>
      <c r="BF239" s="14"/>
      <c r="BG239" s="14"/>
      <c r="BH239" s="14">
        <f>Tabla13[[#This Row],[Uso y acceso May/2025]]</f>
        <v>0</v>
      </c>
      <c r="BI239" s="14">
        <f>Tabla58[[#This Row],[Integración May/2025]]</f>
        <v>0</v>
      </c>
      <c r="BJ239" s="20">
        <f>AVERAGE(Tabla4[[#This Row],[Creación y captura May/2025]:[Compartición e Interoperabilidad May/2025]])</f>
        <v>0</v>
      </c>
      <c r="BK239" s="14"/>
      <c r="BL239" s="14"/>
      <c r="BM239" s="14">
        <f>AVERAGE('Calidad de Datos'!AQ243:AT243)</f>
        <v>1</v>
      </c>
      <c r="BN239" s="14">
        <f>Tabla13[[#This Row],[Uso y acceso Dic/2025]]</f>
        <v>1</v>
      </c>
      <c r="BO239" s="14">
        <f>Tabla58[[#This Row],[Integración Dic/2025]]</f>
        <v>1</v>
      </c>
      <c r="BP239" s="20">
        <f>AVERAGE(Tabla4[[#This Row],[Creación y captura Dic/2025]:[Compartición e Interoperabilidad Dic/2025]])</f>
        <v>1</v>
      </c>
    </row>
    <row r="240" spans="2:68" x14ac:dyDescent="0.4">
      <c r="B240" s="1" t="s">
        <v>291</v>
      </c>
      <c r="C240" s="14"/>
      <c r="D240" s="14"/>
      <c r="E240" s="14"/>
      <c r="F240" s="14">
        <f>Tabla13[[#This Row],[Uso y acceso Ago/2024]]</f>
        <v>0</v>
      </c>
      <c r="G240" s="14">
        <f>Tabla58[[#This Row],[Integración Ago/2024]]</f>
        <v>0</v>
      </c>
      <c r="H240" s="20">
        <f>AVERAGE(Tabla4[[#This Row],[Creación y captura Ago/2024]:[Compartición e Interoperabilidad Ago/2024]])</f>
        <v>0</v>
      </c>
      <c r="I240" s="14"/>
      <c r="J240" s="14"/>
      <c r="K240" s="14"/>
      <c r="L240" s="14">
        <f>Tabla13[[#This Row],[Uso y acceso Sep/2024]]</f>
        <v>0</v>
      </c>
      <c r="M240" s="14">
        <f>Tabla58[[#This Row],[Integración Sep/2024]]</f>
        <v>0</v>
      </c>
      <c r="N240" s="21">
        <f>AVERAGE(Tabla4[[#This Row],[Creación y captura Sep/2024]:[Compartición e Interoperabilidad Sep/2024]])</f>
        <v>0</v>
      </c>
      <c r="O240" s="14"/>
      <c r="P240" s="14"/>
      <c r="Q240" s="14"/>
      <c r="R240" s="14">
        <f>Tabla13[[#This Row],[Uso y acceso Oct/2024]]</f>
        <v>0</v>
      </c>
      <c r="S240" s="14">
        <f>Tabla58[[#This Row],[Integración Oct/2024]]</f>
        <v>0</v>
      </c>
      <c r="T240" s="20">
        <f>AVERAGE(Tabla4[[#This Row],[Creación y captura Oct/2024]:[Compartición e Interoperabilidad Oct/2024]])</f>
        <v>0</v>
      </c>
      <c r="U240" s="14"/>
      <c r="V240" s="14"/>
      <c r="W240" s="14"/>
      <c r="X240" s="14">
        <f>Tabla13[[#This Row],[Uso y acceso Nov/2024]]</f>
        <v>0</v>
      </c>
      <c r="Y240" s="14">
        <f>Tabla58[[#This Row],[Integración Nov/2024]]</f>
        <v>0</v>
      </c>
      <c r="Z240" s="20">
        <f>AVERAGE(Tabla4[[#This Row],[Creación y captura Nov/2024]:[Compartición e Interoperabilidad Nov/2024]])</f>
        <v>0</v>
      </c>
      <c r="AA240" s="14"/>
      <c r="AB240" s="14"/>
      <c r="AC240" s="14"/>
      <c r="AD240" s="14">
        <f>Tabla13[[#This Row],[Uso y acceso Dic/2024]]</f>
        <v>0</v>
      </c>
      <c r="AE240" s="14">
        <f>Tabla58[[#This Row],[Integración Dic/2024]]</f>
        <v>0</v>
      </c>
      <c r="AF240" s="20">
        <f>AVERAGE(Tabla4[[#This Row],[Creación y captura Dic/2024]:[Compartición e Interoperabilidad Dic/2024]])</f>
        <v>0</v>
      </c>
      <c r="AG240" s="14"/>
      <c r="AH240" s="14"/>
      <c r="AI240" s="14"/>
      <c r="AJ240" s="14">
        <f>Tabla13[[#This Row],[Uso y acceso Ene/2025]]</f>
        <v>0</v>
      </c>
      <c r="AK240" s="14">
        <f>Tabla58[[#This Row],[Integración Ene/2025]]</f>
        <v>0</v>
      </c>
      <c r="AL240" s="20">
        <f>AVERAGE(Tabla4[[#This Row],[Creación y captura Ene/2025]:[Compartición e Interoperabilidad Ene/2025]])</f>
        <v>0</v>
      </c>
      <c r="AM240" s="14"/>
      <c r="AN240" s="14"/>
      <c r="AO240" s="14"/>
      <c r="AP240" s="14">
        <f>Tabla13[[#This Row],[Uso y acceso Feb/2025]]</f>
        <v>0</v>
      </c>
      <c r="AQ240" s="14">
        <f>Tabla58[[#This Row],[Integración Feb/2025]]</f>
        <v>0</v>
      </c>
      <c r="AR240" s="20">
        <f>AVERAGE(Tabla4[[#This Row],[Creación y captura Feb/2025]:[Compartición e Interoperabilidad Feb/2025]])</f>
        <v>0</v>
      </c>
      <c r="AS240" s="14"/>
      <c r="AT240" s="14"/>
      <c r="AU240" s="14"/>
      <c r="AV240" s="14">
        <f>Tabla13[[#This Row],[Uso y acceso Mar/2025]]</f>
        <v>0</v>
      </c>
      <c r="AW240" s="14">
        <f>Tabla58[[#This Row],[Integración Mar/2025]]</f>
        <v>0</v>
      </c>
      <c r="AX240" s="20">
        <f>AVERAGE(Tabla4[[#This Row],[Creación y captura Mar/2025]:[Compartición e Interoperabilidad Mar/2025]])</f>
        <v>0</v>
      </c>
      <c r="AY240" s="14"/>
      <c r="AZ240" s="14"/>
      <c r="BA240" s="14"/>
      <c r="BB240" s="14">
        <f>Tabla13[[#This Row],[Uso y acceso Abr/2025]]</f>
        <v>0</v>
      </c>
      <c r="BC240" s="14">
        <f>Tabla58[[#This Row],[Integración Abr/2025]]</f>
        <v>0</v>
      </c>
      <c r="BD240" s="20">
        <f>AVERAGE(Tabla4[[#This Row],[Creación y captura Abr/2025]:[Compartición e Interoperabilidad Abr/2025]])</f>
        <v>0</v>
      </c>
      <c r="BE240" s="14"/>
      <c r="BF240" s="14"/>
      <c r="BG240" s="14"/>
      <c r="BH240" s="14">
        <f>Tabla13[[#This Row],[Uso y acceso May/2025]]</f>
        <v>0</v>
      </c>
      <c r="BI240" s="14">
        <f>Tabla58[[#This Row],[Integración May/2025]]</f>
        <v>0</v>
      </c>
      <c r="BJ240" s="20">
        <f>AVERAGE(Tabla4[[#This Row],[Creación y captura May/2025]:[Compartición e Interoperabilidad May/2025]])</f>
        <v>0</v>
      </c>
      <c r="BK240" s="14"/>
      <c r="BL240" s="14"/>
      <c r="BM240" s="14">
        <f>AVERAGE('Calidad de Datos'!AQ244:AT244)</f>
        <v>1</v>
      </c>
      <c r="BN240" s="14">
        <f>Tabla13[[#This Row],[Uso y acceso Dic/2025]]</f>
        <v>1</v>
      </c>
      <c r="BO240" s="14">
        <f>Tabla58[[#This Row],[Integración Dic/2025]]</f>
        <v>1</v>
      </c>
      <c r="BP240" s="20">
        <f>AVERAGE(Tabla4[[#This Row],[Creación y captura Dic/2025]:[Compartición e Interoperabilidad Dic/2025]])</f>
        <v>1</v>
      </c>
    </row>
    <row r="241" spans="2:68" x14ac:dyDescent="0.4">
      <c r="B241" s="1" t="s">
        <v>292</v>
      </c>
      <c r="C241" s="14"/>
      <c r="D241" s="14"/>
      <c r="E241" s="14"/>
      <c r="F241" s="14">
        <f>Tabla13[[#This Row],[Uso y acceso Ago/2024]]</f>
        <v>0</v>
      </c>
      <c r="G241" s="14">
        <f>Tabla58[[#This Row],[Integración Ago/2024]]</f>
        <v>0</v>
      </c>
      <c r="H241" s="20">
        <f>AVERAGE(Tabla4[[#This Row],[Creación y captura Ago/2024]:[Compartición e Interoperabilidad Ago/2024]])</f>
        <v>0</v>
      </c>
      <c r="I241" s="14"/>
      <c r="J241" s="14"/>
      <c r="K241" s="14"/>
      <c r="L241" s="14">
        <f>Tabla13[[#This Row],[Uso y acceso Sep/2024]]</f>
        <v>0</v>
      </c>
      <c r="M241" s="14">
        <f>Tabla58[[#This Row],[Integración Sep/2024]]</f>
        <v>0</v>
      </c>
      <c r="N241" s="21">
        <f>AVERAGE(Tabla4[[#This Row],[Creación y captura Sep/2024]:[Compartición e Interoperabilidad Sep/2024]])</f>
        <v>0</v>
      </c>
      <c r="O241" s="14"/>
      <c r="P241" s="14"/>
      <c r="Q241" s="14"/>
      <c r="R241" s="14">
        <f>Tabla13[[#This Row],[Uso y acceso Oct/2024]]</f>
        <v>0</v>
      </c>
      <c r="S241" s="14">
        <f>Tabla58[[#This Row],[Integración Oct/2024]]</f>
        <v>0</v>
      </c>
      <c r="T241" s="20">
        <f>AVERAGE(Tabla4[[#This Row],[Creación y captura Oct/2024]:[Compartición e Interoperabilidad Oct/2024]])</f>
        <v>0</v>
      </c>
      <c r="U241" s="14"/>
      <c r="V241" s="14"/>
      <c r="W241" s="14"/>
      <c r="X241" s="14">
        <f>Tabla13[[#This Row],[Uso y acceso Nov/2024]]</f>
        <v>0</v>
      </c>
      <c r="Y241" s="14">
        <f>Tabla58[[#This Row],[Integración Nov/2024]]</f>
        <v>0</v>
      </c>
      <c r="Z241" s="20">
        <f>AVERAGE(Tabla4[[#This Row],[Creación y captura Nov/2024]:[Compartición e Interoperabilidad Nov/2024]])</f>
        <v>0</v>
      </c>
      <c r="AA241" s="14"/>
      <c r="AB241" s="14"/>
      <c r="AC241" s="14"/>
      <c r="AD241" s="14">
        <f>Tabla13[[#This Row],[Uso y acceso Dic/2024]]</f>
        <v>0</v>
      </c>
      <c r="AE241" s="14">
        <f>Tabla58[[#This Row],[Integración Dic/2024]]</f>
        <v>0</v>
      </c>
      <c r="AF241" s="20">
        <f>AVERAGE(Tabla4[[#This Row],[Creación y captura Dic/2024]:[Compartición e Interoperabilidad Dic/2024]])</f>
        <v>0</v>
      </c>
      <c r="AG241" s="14"/>
      <c r="AH241" s="14"/>
      <c r="AI241" s="14"/>
      <c r="AJ241" s="14">
        <f>Tabla13[[#This Row],[Uso y acceso Ene/2025]]</f>
        <v>0</v>
      </c>
      <c r="AK241" s="14">
        <f>Tabla58[[#This Row],[Integración Ene/2025]]</f>
        <v>0</v>
      </c>
      <c r="AL241" s="20">
        <f>AVERAGE(Tabla4[[#This Row],[Creación y captura Ene/2025]:[Compartición e Interoperabilidad Ene/2025]])</f>
        <v>0</v>
      </c>
      <c r="AM241" s="14"/>
      <c r="AN241" s="14"/>
      <c r="AO241" s="14"/>
      <c r="AP241" s="14">
        <f>Tabla13[[#This Row],[Uso y acceso Feb/2025]]</f>
        <v>0</v>
      </c>
      <c r="AQ241" s="14">
        <f>Tabla58[[#This Row],[Integración Feb/2025]]</f>
        <v>0</v>
      </c>
      <c r="AR241" s="20">
        <f>AVERAGE(Tabla4[[#This Row],[Creación y captura Feb/2025]:[Compartición e Interoperabilidad Feb/2025]])</f>
        <v>0</v>
      </c>
      <c r="AS241" s="14"/>
      <c r="AT241" s="14"/>
      <c r="AU241" s="14"/>
      <c r="AV241" s="14">
        <f>Tabla13[[#This Row],[Uso y acceso Mar/2025]]</f>
        <v>0</v>
      </c>
      <c r="AW241" s="14">
        <f>Tabla58[[#This Row],[Integración Mar/2025]]</f>
        <v>0</v>
      </c>
      <c r="AX241" s="20">
        <f>AVERAGE(Tabla4[[#This Row],[Creación y captura Mar/2025]:[Compartición e Interoperabilidad Mar/2025]])</f>
        <v>0</v>
      </c>
      <c r="AY241" s="14"/>
      <c r="AZ241" s="14"/>
      <c r="BA241" s="14"/>
      <c r="BB241" s="14">
        <f>Tabla13[[#This Row],[Uso y acceso Abr/2025]]</f>
        <v>0</v>
      </c>
      <c r="BC241" s="14">
        <f>Tabla58[[#This Row],[Integración Abr/2025]]</f>
        <v>0</v>
      </c>
      <c r="BD241" s="20">
        <f>AVERAGE(Tabla4[[#This Row],[Creación y captura Abr/2025]:[Compartición e Interoperabilidad Abr/2025]])</f>
        <v>0</v>
      </c>
      <c r="BE241" s="14"/>
      <c r="BF241" s="14"/>
      <c r="BG241" s="14"/>
      <c r="BH241" s="14">
        <f>Tabla13[[#This Row],[Uso y acceso May/2025]]</f>
        <v>0</v>
      </c>
      <c r="BI241" s="14">
        <f>Tabla58[[#This Row],[Integración May/2025]]</f>
        <v>0</v>
      </c>
      <c r="BJ241" s="20">
        <f>AVERAGE(Tabla4[[#This Row],[Creación y captura May/2025]:[Compartición e Interoperabilidad May/2025]])</f>
        <v>0</v>
      </c>
      <c r="BK241" s="14"/>
      <c r="BL241" s="14"/>
      <c r="BM241" s="14">
        <f>AVERAGE('Calidad de Datos'!AQ245:AT245)</f>
        <v>1</v>
      </c>
      <c r="BN241" s="14">
        <f>Tabla13[[#This Row],[Uso y acceso Dic/2025]]</f>
        <v>1</v>
      </c>
      <c r="BO241" s="14">
        <f>Tabla58[[#This Row],[Integración Dic/2025]]</f>
        <v>1</v>
      </c>
      <c r="BP241" s="20">
        <f>AVERAGE(Tabla4[[#This Row],[Creación y captura Dic/2025]:[Compartición e Interoperabilidad Dic/2025]])</f>
        <v>1</v>
      </c>
    </row>
    <row r="242" spans="2:68" x14ac:dyDescent="0.4">
      <c r="B242" s="1" t="s">
        <v>293</v>
      </c>
      <c r="C242" s="14"/>
      <c r="D242" s="14"/>
      <c r="E242" s="14"/>
      <c r="F242" s="14">
        <f>Tabla13[[#This Row],[Uso y acceso Ago/2024]]</f>
        <v>0</v>
      </c>
      <c r="G242" s="14">
        <f>Tabla58[[#This Row],[Integración Ago/2024]]</f>
        <v>0</v>
      </c>
      <c r="H242" s="20">
        <f>AVERAGE(Tabla4[[#This Row],[Creación y captura Ago/2024]:[Compartición e Interoperabilidad Ago/2024]])</f>
        <v>0</v>
      </c>
      <c r="I242" s="14"/>
      <c r="J242" s="14"/>
      <c r="K242" s="14"/>
      <c r="L242" s="14">
        <f>Tabla13[[#This Row],[Uso y acceso Sep/2024]]</f>
        <v>0</v>
      </c>
      <c r="M242" s="14">
        <f>Tabla58[[#This Row],[Integración Sep/2024]]</f>
        <v>0</v>
      </c>
      <c r="N242" s="21">
        <f>AVERAGE(Tabla4[[#This Row],[Creación y captura Sep/2024]:[Compartición e Interoperabilidad Sep/2024]])</f>
        <v>0</v>
      </c>
      <c r="O242" s="14"/>
      <c r="P242" s="14"/>
      <c r="Q242" s="14"/>
      <c r="R242" s="14">
        <f>Tabla13[[#This Row],[Uso y acceso Oct/2024]]</f>
        <v>0</v>
      </c>
      <c r="S242" s="14">
        <f>Tabla58[[#This Row],[Integración Oct/2024]]</f>
        <v>0</v>
      </c>
      <c r="T242" s="20">
        <f>AVERAGE(Tabla4[[#This Row],[Creación y captura Oct/2024]:[Compartición e Interoperabilidad Oct/2024]])</f>
        <v>0</v>
      </c>
      <c r="U242" s="14"/>
      <c r="V242" s="14"/>
      <c r="W242" s="14"/>
      <c r="X242" s="14">
        <f>Tabla13[[#This Row],[Uso y acceso Nov/2024]]</f>
        <v>0</v>
      </c>
      <c r="Y242" s="14">
        <f>Tabla58[[#This Row],[Integración Nov/2024]]</f>
        <v>0</v>
      </c>
      <c r="Z242" s="20">
        <f>AVERAGE(Tabla4[[#This Row],[Creación y captura Nov/2024]:[Compartición e Interoperabilidad Nov/2024]])</f>
        <v>0</v>
      </c>
      <c r="AA242" s="14"/>
      <c r="AB242" s="14"/>
      <c r="AC242" s="14"/>
      <c r="AD242" s="14">
        <f>Tabla13[[#This Row],[Uso y acceso Dic/2024]]</f>
        <v>0</v>
      </c>
      <c r="AE242" s="14">
        <f>Tabla58[[#This Row],[Integración Dic/2024]]</f>
        <v>0</v>
      </c>
      <c r="AF242" s="20">
        <f>AVERAGE(Tabla4[[#This Row],[Creación y captura Dic/2024]:[Compartición e Interoperabilidad Dic/2024]])</f>
        <v>0</v>
      </c>
      <c r="AG242" s="14"/>
      <c r="AH242" s="14"/>
      <c r="AI242" s="14"/>
      <c r="AJ242" s="14">
        <f>Tabla13[[#This Row],[Uso y acceso Ene/2025]]</f>
        <v>0</v>
      </c>
      <c r="AK242" s="14">
        <f>Tabla58[[#This Row],[Integración Ene/2025]]</f>
        <v>0</v>
      </c>
      <c r="AL242" s="20">
        <f>AVERAGE(Tabla4[[#This Row],[Creación y captura Ene/2025]:[Compartición e Interoperabilidad Ene/2025]])</f>
        <v>0</v>
      </c>
      <c r="AM242" s="14"/>
      <c r="AN242" s="14"/>
      <c r="AO242" s="14"/>
      <c r="AP242" s="14">
        <f>Tabla13[[#This Row],[Uso y acceso Feb/2025]]</f>
        <v>0</v>
      </c>
      <c r="AQ242" s="14">
        <f>Tabla58[[#This Row],[Integración Feb/2025]]</f>
        <v>0</v>
      </c>
      <c r="AR242" s="20">
        <f>AVERAGE(Tabla4[[#This Row],[Creación y captura Feb/2025]:[Compartición e Interoperabilidad Feb/2025]])</f>
        <v>0</v>
      </c>
      <c r="AS242" s="14"/>
      <c r="AT242" s="14"/>
      <c r="AU242" s="14"/>
      <c r="AV242" s="14">
        <f>Tabla13[[#This Row],[Uso y acceso Mar/2025]]</f>
        <v>0</v>
      </c>
      <c r="AW242" s="14">
        <f>Tabla58[[#This Row],[Integración Mar/2025]]</f>
        <v>0</v>
      </c>
      <c r="AX242" s="20">
        <f>AVERAGE(Tabla4[[#This Row],[Creación y captura Mar/2025]:[Compartición e Interoperabilidad Mar/2025]])</f>
        <v>0</v>
      </c>
      <c r="AY242" s="14"/>
      <c r="AZ242" s="14"/>
      <c r="BA242" s="14"/>
      <c r="BB242" s="14">
        <f>Tabla13[[#This Row],[Uso y acceso Abr/2025]]</f>
        <v>0</v>
      </c>
      <c r="BC242" s="14">
        <f>Tabla58[[#This Row],[Integración Abr/2025]]</f>
        <v>0</v>
      </c>
      <c r="BD242" s="20">
        <f>AVERAGE(Tabla4[[#This Row],[Creación y captura Abr/2025]:[Compartición e Interoperabilidad Abr/2025]])</f>
        <v>0</v>
      </c>
      <c r="BE242" s="14"/>
      <c r="BF242" s="14"/>
      <c r="BG242" s="14"/>
      <c r="BH242" s="14">
        <f>Tabla13[[#This Row],[Uso y acceso May/2025]]</f>
        <v>0</v>
      </c>
      <c r="BI242" s="14">
        <f>Tabla58[[#This Row],[Integración May/2025]]</f>
        <v>0</v>
      </c>
      <c r="BJ242" s="20">
        <f>AVERAGE(Tabla4[[#This Row],[Creación y captura May/2025]:[Compartición e Interoperabilidad May/2025]])</f>
        <v>0</v>
      </c>
      <c r="BK242" s="14"/>
      <c r="BL242" s="14"/>
      <c r="BM242" s="14">
        <f>AVERAGE('Calidad de Datos'!AQ246:AT246)</f>
        <v>1</v>
      </c>
      <c r="BN242" s="14">
        <f>Tabla13[[#This Row],[Uso y acceso Dic/2025]]</f>
        <v>1</v>
      </c>
      <c r="BO242" s="14">
        <f>Tabla58[[#This Row],[Integración Dic/2025]]</f>
        <v>1</v>
      </c>
      <c r="BP242" s="20">
        <f>AVERAGE(Tabla4[[#This Row],[Creación y captura Dic/2025]:[Compartición e Interoperabilidad Dic/2025]])</f>
        <v>1</v>
      </c>
    </row>
    <row r="243" spans="2:68" x14ac:dyDescent="0.4">
      <c r="B243" s="1" t="s">
        <v>294</v>
      </c>
      <c r="C243" s="14"/>
      <c r="D243" s="14"/>
      <c r="E243" s="14"/>
      <c r="F243" s="14">
        <f>Tabla13[[#This Row],[Uso y acceso Ago/2024]]</f>
        <v>0</v>
      </c>
      <c r="G243" s="14">
        <f>Tabla58[[#This Row],[Integración Ago/2024]]</f>
        <v>0</v>
      </c>
      <c r="H243" s="20">
        <f>AVERAGE(Tabla4[[#This Row],[Creación y captura Ago/2024]:[Compartición e Interoperabilidad Ago/2024]])</f>
        <v>0</v>
      </c>
      <c r="I243" s="14"/>
      <c r="J243" s="14"/>
      <c r="K243" s="14"/>
      <c r="L243" s="14">
        <f>Tabla13[[#This Row],[Uso y acceso Sep/2024]]</f>
        <v>0</v>
      </c>
      <c r="M243" s="14">
        <f>Tabla58[[#This Row],[Integración Sep/2024]]</f>
        <v>0</v>
      </c>
      <c r="N243" s="21">
        <f>AVERAGE(Tabla4[[#This Row],[Creación y captura Sep/2024]:[Compartición e Interoperabilidad Sep/2024]])</f>
        <v>0</v>
      </c>
      <c r="O243" s="14"/>
      <c r="P243" s="14"/>
      <c r="Q243" s="14"/>
      <c r="R243" s="14">
        <f>Tabla13[[#This Row],[Uso y acceso Oct/2024]]</f>
        <v>0</v>
      </c>
      <c r="S243" s="14">
        <f>Tabla58[[#This Row],[Integración Oct/2024]]</f>
        <v>0</v>
      </c>
      <c r="T243" s="20">
        <f>AVERAGE(Tabla4[[#This Row],[Creación y captura Oct/2024]:[Compartición e Interoperabilidad Oct/2024]])</f>
        <v>0</v>
      </c>
      <c r="U243" s="14"/>
      <c r="V243" s="14"/>
      <c r="W243" s="14"/>
      <c r="X243" s="14">
        <f>Tabla13[[#This Row],[Uso y acceso Nov/2024]]</f>
        <v>0</v>
      </c>
      <c r="Y243" s="14">
        <f>Tabla58[[#This Row],[Integración Nov/2024]]</f>
        <v>0</v>
      </c>
      <c r="Z243" s="20">
        <f>AVERAGE(Tabla4[[#This Row],[Creación y captura Nov/2024]:[Compartición e Interoperabilidad Nov/2024]])</f>
        <v>0</v>
      </c>
      <c r="AA243" s="14"/>
      <c r="AB243" s="14"/>
      <c r="AC243" s="14"/>
      <c r="AD243" s="14">
        <f>Tabla13[[#This Row],[Uso y acceso Dic/2024]]</f>
        <v>0</v>
      </c>
      <c r="AE243" s="14">
        <f>Tabla58[[#This Row],[Integración Dic/2024]]</f>
        <v>0</v>
      </c>
      <c r="AF243" s="20">
        <f>AVERAGE(Tabla4[[#This Row],[Creación y captura Dic/2024]:[Compartición e Interoperabilidad Dic/2024]])</f>
        <v>0</v>
      </c>
      <c r="AG243" s="14"/>
      <c r="AH243" s="14"/>
      <c r="AI243" s="14"/>
      <c r="AJ243" s="14">
        <f>Tabla13[[#This Row],[Uso y acceso Ene/2025]]</f>
        <v>0</v>
      </c>
      <c r="AK243" s="14">
        <f>Tabla58[[#This Row],[Integración Ene/2025]]</f>
        <v>0</v>
      </c>
      <c r="AL243" s="20">
        <f>AVERAGE(Tabla4[[#This Row],[Creación y captura Ene/2025]:[Compartición e Interoperabilidad Ene/2025]])</f>
        <v>0</v>
      </c>
      <c r="AM243" s="14"/>
      <c r="AN243" s="14"/>
      <c r="AO243" s="14"/>
      <c r="AP243" s="14">
        <f>Tabla13[[#This Row],[Uso y acceso Feb/2025]]</f>
        <v>0</v>
      </c>
      <c r="AQ243" s="14">
        <f>Tabla58[[#This Row],[Integración Feb/2025]]</f>
        <v>0</v>
      </c>
      <c r="AR243" s="20">
        <f>AVERAGE(Tabla4[[#This Row],[Creación y captura Feb/2025]:[Compartición e Interoperabilidad Feb/2025]])</f>
        <v>0</v>
      </c>
      <c r="AS243" s="14"/>
      <c r="AT243" s="14"/>
      <c r="AU243" s="14"/>
      <c r="AV243" s="14">
        <f>Tabla13[[#This Row],[Uso y acceso Mar/2025]]</f>
        <v>0</v>
      </c>
      <c r="AW243" s="14">
        <f>Tabla58[[#This Row],[Integración Mar/2025]]</f>
        <v>0</v>
      </c>
      <c r="AX243" s="20">
        <f>AVERAGE(Tabla4[[#This Row],[Creación y captura Mar/2025]:[Compartición e Interoperabilidad Mar/2025]])</f>
        <v>0</v>
      </c>
      <c r="AY243" s="14"/>
      <c r="AZ243" s="14"/>
      <c r="BA243" s="14"/>
      <c r="BB243" s="14">
        <f>Tabla13[[#This Row],[Uso y acceso Abr/2025]]</f>
        <v>0</v>
      </c>
      <c r="BC243" s="14">
        <f>Tabla58[[#This Row],[Integración Abr/2025]]</f>
        <v>0</v>
      </c>
      <c r="BD243" s="20">
        <f>AVERAGE(Tabla4[[#This Row],[Creación y captura Abr/2025]:[Compartición e Interoperabilidad Abr/2025]])</f>
        <v>0</v>
      </c>
      <c r="BE243" s="14"/>
      <c r="BF243" s="14"/>
      <c r="BG243" s="14"/>
      <c r="BH243" s="14">
        <f>Tabla13[[#This Row],[Uso y acceso May/2025]]</f>
        <v>0</v>
      </c>
      <c r="BI243" s="14">
        <f>Tabla58[[#This Row],[Integración May/2025]]</f>
        <v>0</v>
      </c>
      <c r="BJ243" s="20">
        <f>AVERAGE(Tabla4[[#This Row],[Creación y captura May/2025]:[Compartición e Interoperabilidad May/2025]])</f>
        <v>0</v>
      </c>
      <c r="BK243" s="14"/>
      <c r="BL243" s="14"/>
      <c r="BM243" s="14">
        <f>AVERAGE('Calidad de Datos'!AQ247:AT247)</f>
        <v>1</v>
      </c>
      <c r="BN243" s="14">
        <f>Tabla13[[#This Row],[Uso y acceso Dic/2025]]</f>
        <v>1</v>
      </c>
      <c r="BO243" s="14">
        <f>Tabla58[[#This Row],[Integración Dic/2025]]</f>
        <v>1</v>
      </c>
      <c r="BP243" s="20">
        <f>AVERAGE(Tabla4[[#This Row],[Creación y captura Dic/2025]:[Compartición e Interoperabilidad Dic/2025]])</f>
        <v>1</v>
      </c>
    </row>
    <row r="244" spans="2:68" x14ac:dyDescent="0.4">
      <c r="B244" s="1" t="s">
        <v>295</v>
      </c>
      <c r="C244" s="14"/>
      <c r="D244" s="14"/>
      <c r="E244" s="14"/>
      <c r="F244" s="14">
        <f>Tabla13[[#This Row],[Uso y acceso Ago/2024]]</f>
        <v>0</v>
      </c>
      <c r="G244" s="14">
        <f>Tabla58[[#This Row],[Integración Ago/2024]]</f>
        <v>0</v>
      </c>
      <c r="H244" s="20">
        <f>AVERAGE(Tabla4[[#This Row],[Creación y captura Ago/2024]:[Compartición e Interoperabilidad Ago/2024]])</f>
        <v>0</v>
      </c>
      <c r="I244" s="14"/>
      <c r="J244" s="14"/>
      <c r="K244" s="14"/>
      <c r="L244" s="14">
        <f>Tabla13[[#This Row],[Uso y acceso Sep/2024]]</f>
        <v>0</v>
      </c>
      <c r="M244" s="14">
        <f>Tabla58[[#This Row],[Integración Sep/2024]]</f>
        <v>0</v>
      </c>
      <c r="N244" s="21">
        <f>AVERAGE(Tabla4[[#This Row],[Creación y captura Sep/2024]:[Compartición e Interoperabilidad Sep/2024]])</f>
        <v>0</v>
      </c>
      <c r="O244" s="14"/>
      <c r="P244" s="14"/>
      <c r="Q244" s="14"/>
      <c r="R244" s="14">
        <f>Tabla13[[#This Row],[Uso y acceso Oct/2024]]</f>
        <v>0</v>
      </c>
      <c r="S244" s="14">
        <f>Tabla58[[#This Row],[Integración Oct/2024]]</f>
        <v>0</v>
      </c>
      <c r="T244" s="20">
        <f>AVERAGE(Tabla4[[#This Row],[Creación y captura Oct/2024]:[Compartición e Interoperabilidad Oct/2024]])</f>
        <v>0</v>
      </c>
      <c r="U244" s="14"/>
      <c r="V244" s="14"/>
      <c r="W244" s="14"/>
      <c r="X244" s="14">
        <f>Tabla13[[#This Row],[Uso y acceso Nov/2024]]</f>
        <v>0</v>
      </c>
      <c r="Y244" s="14">
        <f>Tabla58[[#This Row],[Integración Nov/2024]]</f>
        <v>0</v>
      </c>
      <c r="Z244" s="20">
        <f>AVERAGE(Tabla4[[#This Row],[Creación y captura Nov/2024]:[Compartición e Interoperabilidad Nov/2024]])</f>
        <v>0</v>
      </c>
      <c r="AA244" s="14"/>
      <c r="AB244" s="14"/>
      <c r="AC244" s="14"/>
      <c r="AD244" s="14">
        <f>Tabla13[[#This Row],[Uso y acceso Dic/2024]]</f>
        <v>0</v>
      </c>
      <c r="AE244" s="14">
        <f>Tabla58[[#This Row],[Integración Dic/2024]]</f>
        <v>0</v>
      </c>
      <c r="AF244" s="20">
        <f>AVERAGE(Tabla4[[#This Row],[Creación y captura Dic/2024]:[Compartición e Interoperabilidad Dic/2024]])</f>
        <v>0</v>
      </c>
      <c r="AG244" s="14"/>
      <c r="AH244" s="14"/>
      <c r="AI244" s="14"/>
      <c r="AJ244" s="14">
        <f>Tabla13[[#This Row],[Uso y acceso Ene/2025]]</f>
        <v>0</v>
      </c>
      <c r="AK244" s="14">
        <f>Tabla58[[#This Row],[Integración Ene/2025]]</f>
        <v>0</v>
      </c>
      <c r="AL244" s="20">
        <f>AVERAGE(Tabla4[[#This Row],[Creación y captura Ene/2025]:[Compartición e Interoperabilidad Ene/2025]])</f>
        <v>0</v>
      </c>
      <c r="AM244" s="14"/>
      <c r="AN244" s="14"/>
      <c r="AO244" s="14"/>
      <c r="AP244" s="14">
        <f>Tabla13[[#This Row],[Uso y acceso Feb/2025]]</f>
        <v>0</v>
      </c>
      <c r="AQ244" s="14">
        <f>Tabla58[[#This Row],[Integración Feb/2025]]</f>
        <v>0</v>
      </c>
      <c r="AR244" s="20">
        <f>AVERAGE(Tabla4[[#This Row],[Creación y captura Feb/2025]:[Compartición e Interoperabilidad Feb/2025]])</f>
        <v>0</v>
      </c>
      <c r="AS244" s="14"/>
      <c r="AT244" s="14"/>
      <c r="AU244" s="14"/>
      <c r="AV244" s="14">
        <f>Tabla13[[#This Row],[Uso y acceso Mar/2025]]</f>
        <v>0</v>
      </c>
      <c r="AW244" s="14">
        <f>Tabla58[[#This Row],[Integración Mar/2025]]</f>
        <v>0</v>
      </c>
      <c r="AX244" s="20">
        <f>AVERAGE(Tabla4[[#This Row],[Creación y captura Mar/2025]:[Compartición e Interoperabilidad Mar/2025]])</f>
        <v>0</v>
      </c>
      <c r="AY244" s="14"/>
      <c r="AZ244" s="14"/>
      <c r="BA244" s="14"/>
      <c r="BB244" s="14">
        <f>Tabla13[[#This Row],[Uso y acceso Abr/2025]]</f>
        <v>0</v>
      </c>
      <c r="BC244" s="14">
        <f>Tabla58[[#This Row],[Integración Abr/2025]]</f>
        <v>0</v>
      </c>
      <c r="BD244" s="20">
        <f>AVERAGE(Tabla4[[#This Row],[Creación y captura Abr/2025]:[Compartición e Interoperabilidad Abr/2025]])</f>
        <v>0</v>
      </c>
      <c r="BE244" s="14"/>
      <c r="BF244" s="14"/>
      <c r="BG244" s="14"/>
      <c r="BH244" s="14">
        <f>Tabla13[[#This Row],[Uso y acceso May/2025]]</f>
        <v>0</v>
      </c>
      <c r="BI244" s="14">
        <f>Tabla58[[#This Row],[Integración May/2025]]</f>
        <v>0</v>
      </c>
      <c r="BJ244" s="20">
        <f>AVERAGE(Tabla4[[#This Row],[Creación y captura May/2025]:[Compartición e Interoperabilidad May/2025]])</f>
        <v>0</v>
      </c>
      <c r="BK244" s="14"/>
      <c r="BL244" s="14"/>
      <c r="BM244" s="14">
        <f>AVERAGE('Calidad de Datos'!AQ248:AT248)</f>
        <v>1</v>
      </c>
      <c r="BN244" s="14">
        <f>Tabla13[[#This Row],[Uso y acceso Dic/2025]]</f>
        <v>1</v>
      </c>
      <c r="BO244" s="14">
        <f>Tabla58[[#This Row],[Integración Dic/2025]]</f>
        <v>1</v>
      </c>
      <c r="BP244" s="20">
        <f>AVERAGE(Tabla4[[#This Row],[Creación y captura Dic/2025]:[Compartición e Interoperabilidad Dic/2025]])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313A-83C0-439F-ACA7-96127AB5C959}">
  <dimension ref="B5:B11"/>
  <sheetViews>
    <sheetView workbookViewId="0">
      <selection activeCell="B5" sqref="B5:B11"/>
    </sheetView>
  </sheetViews>
  <sheetFormatPr baseColWidth="10" defaultColWidth="11.3984375" defaultRowHeight="14.25" x14ac:dyDescent="0.45"/>
  <sheetData>
    <row r="5" spans="2:2" ht="14.65" x14ac:dyDescent="0.45">
      <c r="B5" s="18" t="s">
        <v>203</v>
      </c>
    </row>
    <row r="6" spans="2:2" ht="14.65" x14ac:dyDescent="0.45">
      <c r="B6" s="19" t="s">
        <v>204</v>
      </c>
    </row>
    <row r="7" spans="2:2" ht="14.65" x14ac:dyDescent="0.45">
      <c r="B7" s="19" t="s">
        <v>206</v>
      </c>
    </row>
    <row r="8" spans="2:2" ht="14.65" x14ac:dyDescent="0.45">
      <c r="B8" s="18" t="s">
        <v>209</v>
      </c>
    </row>
    <row r="9" spans="2:2" ht="14.65" x14ac:dyDescent="0.45">
      <c r="B9" s="19" t="s">
        <v>210</v>
      </c>
    </row>
    <row r="10" spans="2:2" ht="14.65" x14ac:dyDescent="0.45">
      <c r="B10" s="18" t="s">
        <v>211</v>
      </c>
    </row>
    <row r="11" spans="2:2" ht="14.65" x14ac:dyDescent="0.45">
      <c r="B11" s="19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6B53-02F0-4496-86E8-69B764E91BA4}">
  <dimension ref="A1:D121"/>
  <sheetViews>
    <sheetView tabSelected="1" workbookViewId="0">
      <selection activeCell="B2" sqref="B2"/>
    </sheetView>
  </sheetViews>
  <sheetFormatPr baseColWidth="10" defaultRowHeight="14.25" x14ac:dyDescent="0.45"/>
  <sheetData>
    <row r="1" spans="1:4" x14ac:dyDescent="0.45">
      <c r="A1" t="s">
        <v>390</v>
      </c>
      <c r="B1" t="s">
        <v>391</v>
      </c>
      <c r="C1" t="s">
        <v>392</v>
      </c>
      <c r="D1" t="s">
        <v>393</v>
      </c>
    </row>
    <row r="2" spans="1:4" x14ac:dyDescent="0.45">
      <c r="A2" t="s">
        <v>386</v>
      </c>
      <c r="B2" t="s">
        <v>375</v>
      </c>
      <c r="C2">
        <v>1</v>
      </c>
      <c r="D2" s="28">
        <v>0.95342105263157906</v>
      </c>
    </row>
    <row r="3" spans="1:4" x14ac:dyDescent="0.45">
      <c r="A3" t="s">
        <v>386</v>
      </c>
      <c r="B3" t="s">
        <v>376</v>
      </c>
      <c r="C3">
        <v>1</v>
      </c>
      <c r="D3" s="28">
        <v>0.99710526315789472</v>
      </c>
    </row>
    <row r="4" spans="1:4" x14ac:dyDescent="0.45">
      <c r="A4" t="s">
        <v>386</v>
      </c>
      <c r="B4" t="s">
        <v>377</v>
      </c>
      <c r="C4">
        <v>1</v>
      </c>
      <c r="D4" s="28">
        <v>0.99210526315789482</v>
      </c>
    </row>
    <row r="5" spans="1:4" x14ac:dyDescent="0.45">
      <c r="A5" t="s">
        <v>386</v>
      </c>
      <c r="B5" t="s">
        <v>378</v>
      </c>
      <c r="C5">
        <v>1</v>
      </c>
      <c r="D5" s="28">
        <v>0.79999999999999993</v>
      </c>
    </row>
    <row r="6" spans="1:4" x14ac:dyDescent="0.45">
      <c r="A6" t="s">
        <v>386</v>
      </c>
      <c r="B6" t="s">
        <v>375</v>
      </c>
      <c r="C6">
        <v>2</v>
      </c>
      <c r="D6" s="28">
        <v>0.95342105263157906</v>
      </c>
    </row>
    <row r="7" spans="1:4" x14ac:dyDescent="0.45">
      <c r="A7" t="s">
        <v>386</v>
      </c>
      <c r="B7" t="s">
        <v>376</v>
      </c>
      <c r="C7">
        <v>2</v>
      </c>
      <c r="D7" s="28">
        <v>1</v>
      </c>
    </row>
    <row r="8" spans="1:4" x14ac:dyDescent="0.45">
      <c r="A8" t="s">
        <v>386</v>
      </c>
      <c r="B8" t="s">
        <v>377</v>
      </c>
      <c r="C8">
        <v>2</v>
      </c>
      <c r="D8" s="28">
        <v>0.99210526315789482</v>
      </c>
    </row>
    <row r="9" spans="1:4" x14ac:dyDescent="0.45">
      <c r="A9" t="s">
        <v>386</v>
      </c>
      <c r="B9" t="s">
        <v>378</v>
      </c>
      <c r="C9">
        <v>2</v>
      </c>
      <c r="D9" s="28">
        <v>0.85</v>
      </c>
    </row>
    <row r="10" spans="1:4" x14ac:dyDescent="0.45">
      <c r="A10" t="s">
        <v>386</v>
      </c>
      <c r="B10" t="s">
        <v>375</v>
      </c>
      <c r="C10">
        <v>3</v>
      </c>
      <c r="D10" s="28">
        <v>0.95342105263157906</v>
      </c>
    </row>
    <row r="11" spans="1:4" x14ac:dyDescent="0.45">
      <c r="A11" t="s">
        <v>386</v>
      </c>
      <c r="B11" t="s">
        <v>376</v>
      </c>
      <c r="C11">
        <v>3</v>
      </c>
      <c r="D11" s="28">
        <v>0.99763157894736831</v>
      </c>
    </row>
    <row r="12" spans="1:4" x14ac:dyDescent="0.45">
      <c r="A12" t="s">
        <v>386</v>
      </c>
      <c r="B12" t="s">
        <v>377</v>
      </c>
      <c r="C12">
        <v>3</v>
      </c>
      <c r="D12" s="28">
        <v>0.99447368421052629</v>
      </c>
    </row>
    <row r="13" spans="1:4" x14ac:dyDescent="0.45">
      <c r="A13" t="s">
        <v>386</v>
      </c>
      <c r="B13" t="s">
        <v>378</v>
      </c>
      <c r="C13">
        <v>3</v>
      </c>
      <c r="D13" s="28">
        <v>0.85</v>
      </c>
    </row>
    <row r="14" spans="1:4" x14ac:dyDescent="0.45">
      <c r="A14" t="s">
        <v>386</v>
      </c>
      <c r="B14" t="s">
        <v>375</v>
      </c>
      <c r="C14">
        <v>4</v>
      </c>
      <c r="D14" s="28">
        <v>0.93142857142857161</v>
      </c>
    </row>
    <row r="15" spans="1:4" x14ac:dyDescent="0.45">
      <c r="A15" t="s">
        <v>386</v>
      </c>
      <c r="B15" t="s">
        <v>376</v>
      </c>
      <c r="C15">
        <v>4</v>
      </c>
      <c r="D15" s="28">
        <v>1</v>
      </c>
    </row>
    <row r="16" spans="1:4" x14ac:dyDescent="0.45">
      <c r="A16" t="s">
        <v>386</v>
      </c>
      <c r="B16" t="s">
        <v>377</v>
      </c>
      <c r="C16">
        <v>4</v>
      </c>
      <c r="D16" s="28">
        <v>0.96785714285714264</v>
      </c>
    </row>
    <row r="17" spans="1:4" x14ac:dyDescent="0.45">
      <c r="A17" t="s">
        <v>386</v>
      </c>
      <c r="B17" t="s">
        <v>378</v>
      </c>
      <c r="C17">
        <v>4</v>
      </c>
      <c r="D17" s="28">
        <v>0.90000000000000013</v>
      </c>
    </row>
    <row r="18" spans="1:4" x14ac:dyDescent="0.45">
      <c r="A18" t="s">
        <v>386</v>
      </c>
      <c r="B18" t="s">
        <v>375</v>
      </c>
      <c r="C18">
        <v>5</v>
      </c>
      <c r="D18" s="28">
        <v>0.93142857142857161</v>
      </c>
    </row>
    <row r="19" spans="1:4" x14ac:dyDescent="0.45">
      <c r="A19" t="s">
        <v>386</v>
      </c>
      <c r="B19" t="s">
        <v>376</v>
      </c>
      <c r="C19">
        <v>5</v>
      </c>
      <c r="D19" s="28">
        <v>0.99839285714285708</v>
      </c>
    </row>
    <row r="20" spans="1:4" x14ac:dyDescent="0.45">
      <c r="A20" t="s">
        <v>386</v>
      </c>
      <c r="B20" t="s">
        <v>377</v>
      </c>
      <c r="C20">
        <v>5</v>
      </c>
      <c r="D20" s="28">
        <v>0.97089285714285689</v>
      </c>
    </row>
    <row r="21" spans="1:4" x14ac:dyDescent="0.45">
      <c r="A21" t="s">
        <v>386</v>
      </c>
      <c r="B21" t="s">
        <v>378</v>
      </c>
      <c r="C21">
        <v>5</v>
      </c>
      <c r="D21" s="28">
        <v>0.95000000000000007</v>
      </c>
    </row>
    <row r="22" spans="1:4" x14ac:dyDescent="0.45">
      <c r="A22" t="s">
        <v>386</v>
      </c>
      <c r="B22" t="s">
        <v>375</v>
      </c>
      <c r="C22">
        <v>6</v>
      </c>
      <c r="D22" s="28">
        <v>0.96035714285714291</v>
      </c>
    </row>
    <row r="23" spans="1:4" x14ac:dyDescent="0.45">
      <c r="A23" t="s">
        <v>386</v>
      </c>
      <c r="B23" t="s">
        <v>376</v>
      </c>
      <c r="C23">
        <v>6</v>
      </c>
      <c r="D23" s="28">
        <v>1</v>
      </c>
    </row>
    <row r="24" spans="1:4" x14ac:dyDescent="0.45">
      <c r="A24" t="s">
        <v>386</v>
      </c>
      <c r="B24" t="s">
        <v>377</v>
      </c>
      <c r="C24">
        <v>6</v>
      </c>
      <c r="D24" s="28">
        <v>0.97285714285714264</v>
      </c>
    </row>
    <row r="25" spans="1:4" x14ac:dyDescent="0.45">
      <c r="A25" t="s">
        <v>386</v>
      </c>
      <c r="B25" t="s">
        <v>378</v>
      </c>
      <c r="C25">
        <v>6</v>
      </c>
      <c r="D25" s="28">
        <v>0.97499999999999987</v>
      </c>
    </row>
    <row r="26" spans="1:4" x14ac:dyDescent="0.45">
      <c r="A26" t="s">
        <v>386</v>
      </c>
      <c r="B26" t="s">
        <v>375</v>
      </c>
      <c r="C26">
        <v>7</v>
      </c>
      <c r="D26" s="28">
        <v>0.96321428571428558</v>
      </c>
    </row>
    <row r="27" spans="1:4" x14ac:dyDescent="0.45">
      <c r="A27" t="s">
        <v>386</v>
      </c>
      <c r="B27" t="s">
        <v>376</v>
      </c>
      <c r="C27">
        <v>7</v>
      </c>
      <c r="D27" s="28">
        <v>1</v>
      </c>
    </row>
    <row r="28" spans="1:4" x14ac:dyDescent="0.45">
      <c r="A28" t="s">
        <v>386</v>
      </c>
      <c r="B28" t="s">
        <v>377</v>
      </c>
      <c r="C28">
        <v>7</v>
      </c>
      <c r="D28" s="28">
        <v>0.97750000000000015</v>
      </c>
    </row>
    <row r="29" spans="1:4" x14ac:dyDescent="0.45">
      <c r="A29" t="s">
        <v>386</v>
      </c>
      <c r="B29" t="s">
        <v>378</v>
      </c>
      <c r="C29">
        <v>7</v>
      </c>
      <c r="D29" s="28">
        <v>1</v>
      </c>
    </row>
    <row r="30" spans="1:4" x14ac:dyDescent="0.45">
      <c r="A30" t="s">
        <v>386</v>
      </c>
      <c r="B30" t="s">
        <v>375</v>
      </c>
      <c r="C30">
        <v>8</v>
      </c>
      <c r="D30" s="28">
        <v>0.96589285714285711</v>
      </c>
    </row>
    <row r="31" spans="1:4" x14ac:dyDescent="0.45">
      <c r="A31" t="s">
        <v>386</v>
      </c>
      <c r="B31" t="s">
        <v>376</v>
      </c>
      <c r="C31">
        <v>8</v>
      </c>
      <c r="D31" s="28">
        <v>1</v>
      </c>
    </row>
    <row r="32" spans="1:4" x14ac:dyDescent="0.45">
      <c r="A32" t="s">
        <v>386</v>
      </c>
      <c r="B32" t="s">
        <v>377</v>
      </c>
      <c r="C32">
        <v>8</v>
      </c>
      <c r="D32" s="28">
        <v>0.97750000000000015</v>
      </c>
    </row>
    <row r="33" spans="1:4" x14ac:dyDescent="0.45">
      <c r="A33" t="s">
        <v>386</v>
      </c>
      <c r="B33" t="s">
        <v>378</v>
      </c>
      <c r="C33">
        <v>8</v>
      </c>
      <c r="D33" s="28">
        <v>1</v>
      </c>
    </row>
    <row r="34" spans="1:4" x14ac:dyDescent="0.45">
      <c r="A34" t="s">
        <v>386</v>
      </c>
      <c r="B34" t="s">
        <v>375</v>
      </c>
      <c r="C34">
        <v>9</v>
      </c>
      <c r="D34" s="28">
        <v>0.97271428571428598</v>
      </c>
    </row>
    <row r="35" spans="1:4" x14ac:dyDescent="0.45">
      <c r="A35" t="s">
        <v>386</v>
      </c>
      <c r="B35" t="s">
        <v>376</v>
      </c>
      <c r="C35">
        <v>9</v>
      </c>
      <c r="D35" s="28">
        <v>0.92285714285714282</v>
      </c>
    </row>
    <row r="36" spans="1:4" x14ac:dyDescent="0.45">
      <c r="A36" t="s">
        <v>386</v>
      </c>
      <c r="B36" t="s">
        <v>377</v>
      </c>
      <c r="C36">
        <v>9</v>
      </c>
      <c r="D36" s="28">
        <v>0.88571428571428557</v>
      </c>
    </row>
    <row r="37" spans="1:4" x14ac:dyDescent="0.45">
      <c r="A37" t="s">
        <v>386</v>
      </c>
      <c r="B37" t="s">
        <v>378</v>
      </c>
      <c r="C37">
        <v>9</v>
      </c>
      <c r="D37" s="28">
        <v>0.95714285714285718</v>
      </c>
    </row>
    <row r="38" spans="1:4" x14ac:dyDescent="0.45">
      <c r="A38" t="s">
        <v>386</v>
      </c>
      <c r="B38" t="s">
        <v>375</v>
      </c>
      <c r="C38">
        <v>10</v>
      </c>
      <c r="D38" s="28">
        <v>0.98690476190476195</v>
      </c>
    </row>
    <row r="39" spans="1:4" x14ac:dyDescent="0.45">
      <c r="A39" t="s">
        <v>386</v>
      </c>
      <c r="B39" t="s">
        <v>376</v>
      </c>
      <c r="C39">
        <v>10</v>
      </c>
      <c r="D39" s="28">
        <v>1</v>
      </c>
    </row>
    <row r="40" spans="1:4" x14ac:dyDescent="0.45">
      <c r="A40" t="s">
        <v>386</v>
      </c>
      <c r="B40" t="s">
        <v>377</v>
      </c>
      <c r="C40">
        <v>10</v>
      </c>
      <c r="D40" s="28">
        <v>0.99761904761904763</v>
      </c>
    </row>
    <row r="41" spans="1:4" x14ac:dyDescent="0.45">
      <c r="A41" t="s">
        <v>386</v>
      </c>
      <c r="B41" t="s">
        <v>378</v>
      </c>
      <c r="C41">
        <v>10</v>
      </c>
      <c r="D41" s="28">
        <v>1</v>
      </c>
    </row>
    <row r="42" spans="1:4" x14ac:dyDescent="0.45">
      <c r="A42" t="s">
        <v>387</v>
      </c>
      <c r="B42" t="s">
        <v>379</v>
      </c>
      <c r="C42">
        <v>1</v>
      </c>
      <c r="D42" s="28">
        <v>0.88676470588235323</v>
      </c>
    </row>
    <row r="43" spans="1:4" x14ac:dyDescent="0.45">
      <c r="A43" t="s">
        <v>387</v>
      </c>
      <c r="B43" t="s">
        <v>379</v>
      </c>
      <c r="C43">
        <v>2</v>
      </c>
      <c r="D43" s="28">
        <v>0.88872549019607872</v>
      </c>
    </row>
    <row r="44" spans="1:4" x14ac:dyDescent="0.45">
      <c r="A44" t="s">
        <v>387</v>
      </c>
      <c r="B44" t="s">
        <v>379</v>
      </c>
      <c r="C44">
        <v>3</v>
      </c>
      <c r="D44" s="28">
        <v>0.95097087378640877</v>
      </c>
    </row>
    <row r="45" spans="1:4" x14ac:dyDescent="0.45">
      <c r="A45" t="s">
        <v>387</v>
      </c>
      <c r="B45" t="s">
        <v>379</v>
      </c>
      <c r="C45">
        <v>4</v>
      </c>
      <c r="D45" s="28">
        <v>0.95376213592233106</v>
      </c>
    </row>
    <row r="46" spans="1:4" x14ac:dyDescent="0.45">
      <c r="A46" t="s">
        <v>387</v>
      </c>
      <c r="B46" t="s">
        <v>379</v>
      </c>
      <c r="C46">
        <v>5</v>
      </c>
      <c r="D46" s="28">
        <v>0.96696601941747662</v>
      </c>
    </row>
    <row r="47" spans="1:4" x14ac:dyDescent="0.45">
      <c r="A47" t="s">
        <v>387</v>
      </c>
      <c r="B47" t="s">
        <v>379</v>
      </c>
      <c r="C47">
        <v>6</v>
      </c>
      <c r="D47" s="28">
        <v>0.96696601941747662</v>
      </c>
    </row>
    <row r="48" spans="1:4" x14ac:dyDescent="0.45">
      <c r="A48" t="s">
        <v>387</v>
      </c>
      <c r="B48" t="s">
        <v>379</v>
      </c>
      <c r="C48">
        <v>7</v>
      </c>
      <c r="D48" s="28">
        <v>0.96854761904761988</v>
      </c>
    </row>
    <row r="49" spans="1:4" x14ac:dyDescent="0.45">
      <c r="A49" t="s">
        <v>387</v>
      </c>
      <c r="B49" t="s">
        <v>379</v>
      </c>
      <c r="C49">
        <v>8</v>
      </c>
      <c r="D49" s="28">
        <v>0.96854761904761988</v>
      </c>
    </row>
    <row r="50" spans="1:4" x14ac:dyDescent="0.45">
      <c r="A50" t="s">
        <v>387</v>
      </c>
      <c r="B50" t="s">
        <v>379</v>
      </c>
      <c r="C50">
        <v>9</v>
      </c>
      <c r="D50" s="28">
        <v>0.96942129629629714</v>
      </c>
    </row>
    <row r="51" spans="1:4" x14ac:dyDescent="0.45">
      <c r="A51" t="s">
        <v>387</v>
      </c>
      <c r="B51" t="s">
        <v>379</v>
      </c>
      <c r="C51">
        <v>10</v>
      </c>
      <c r="D51" s="28">
        <v>0.98730769230769255</v>
      </c>
    </row>
    <row r="52" spans="1:4" x14ac:dyDescent="0.45">
      <c r="A52" t="s">
        <v>388</v>
      </c>
      <c r="B52" t="s">
        <v>380</v>
      </c>
      <c r="C52">
        <v>1</v>
      </c>
      <c r="D52" s="28">
        <v>0.98684210526315785</v>
      </c>
    </row>
    <row r="53" spans="1:4" x14ac:dyDescent="0.45">
      <c r="A53" t="s">
        <v>388</v>
      </c>
      <c r="B53" t="s">
        <v>380</v>
      </c>
      <c r="C53">
        <v>2</v>
      </c>
      <c r="D53" s="28">
        <v>0.96666666666666679</v>
      </c>
    </row>
    <row r="54" spans="1:4" x14ac:dyDescent="0.45">
      <c r="A54" t="s">
        <v>388</v>
      </c>
      <c r="B54" t="s">
        <v>380</v>
      </c>
      <c r="C54">
        <v>3</v>
      </c>
      <c r="D54" s="28">
        <v>0.79901960784313752</v>
      </c>
    </row>
    <row r="55" spans="1:4" x14ac:dyDescent="0.45">
      <c r="A55" t="s">
        <v>388</v>
      </c>
      <c r="B55" t="s">
        <v>380</v>
      </c>
      <c r="C55">
        <v>4</v>
      </c>
      <c r="D55" s="28">
        <v>0.86923076923076925</v>
      </c>
    </row>
    <row r="56" spans="1:4" x14ac:dyDescent="0.45">
      <c r="A56" t="s">
        <v>388</v>
      </c>
      <c r="B56" t="s">
        <v>380</v>
      </c>
      <c r="C56">
        <v>5</v>
      </c>
      <c r="D56" s="28">
        <v>0.98867924528301876</v>
      </c>
    </row>
    <row r="57" spans="1:4" x14ac:dyDescent="0.45">
      <c r="A57" t="s">
        <v>388</v>
      </c>
      <c r="B57" t="s">
        <v>380</v>
      </c>
      <c r="C57">
        <v>6</v>
      </c>
      <c r="D57" s="28">
        <v>0.98333333333333339</v>
      </c>
    </row>
    <row r="58" spans="1:4" x14ac:dyDescent="0.45">
      <c r="A58" t="s">
        <v>388</v>
      </c>
      <c r="B58" t="s">
        <v>380</v>
      </c>
      <c r="C58">
        <v>7</v>
      </c>
      <c r="D58" s="28">
        <v>0.94090909090909058</v>
      </c>
    </row>
    <row r="59" spans="1:4" x14ac:dyDescent="0.45">
      <c r="A59" t="s">
        <v>388</v>
      </c>
      <c r="B59" t="s">
        <v>380</v>
      </c>
      <c r="C59">
        <v>8</v>
      </c>
      <c r="D59" s="28">
        <v>0.94090909090909058</v>
      </c>
    </row>
    <row r="60" spans="1:4" x14ac:dyDescent="0.45">
      <c r="A60" t="s">
        <v>388</v>
      </c>
      <c r="B60" t="s">
        <v>380</v>
      </c>
      <c r="C60">
        <v>9</v>
      </c>
      <c r="D60" s="28">
        <v>0.82643678160919465</v>
      </c>
    </row>
    <row r="61" spans="1:4" x14ac:dyDescent="0.45">
      <c r="A61" t="s">
        <v>388</v>
      </c>
      <c r="B61" t="s">
        <v>380</v>
      </c>
      <c r="C61">
        <v>10</v>
      </c>
      <c r="D61" s="28">
        <v>0.74466019417475637</v>
      </c>
    </row>
    <row r="62" spans="1:4" x14ac:dyDescent="0.45">
      <c r="A62" t="s">
        <v>389</v>
      </c>
      <c r="B62" t="s">
        <v>381</v>
      </c>
      <c r="C62">
        <v>1</v>
      </c>
      <c r="D62" s="28">
        <v>0.99605263157894741</v>
      </c>
    </row>
    <row r="63" spans="1:4" x14ac:dyDescent="0.45">
      <c r="A63" t="s">
        <v>389</v>
      </c>
      <c r="B63" t="s">
        <v>382</v>
      </c>
      <c r="C63">
        <v>1</v>
      </c>
      <c r="D63" s="28">
        <v>0.98684210526315785</v>
      </c>
    </row>
    <row r="64" spans="1:4" x14ac:dyDescent="0.45">
      <c r="A64" t="s">
        <v>389</v>
      </c>
      <c r="B64" t="s">
        <v>383</v>
      </c>
      <c r="C64">
        <v>1</v>
      </c>
      <c r="D64" s="28">
        <v>0.93565789473684213</v>
      </c>
    </row>
    <row r="65" spans="1:4" x14ac:dyDescent="0.45">
      <c r="A65" t="s">
        <v>389</v>
      </c>
      <c r="B65" t="s">
        <v>379</v>
      </c>
      <c r="C65">
        <v>1</v>
      </c>
      <c r="D65" s="28">
        <v>0.88676470588235323</v>
      </c>
    </row>
    <row r="66" spans="1:4" x14ac:dyDescent="0.45">
      <c r="A66" t="s">
        <v>389</v>
      </c>
      <c r="B66" t="s">
        <v>384</v>
      </c>
      <c r="C66">
        <v>1</v>
      </c>
      <c r="D66" s="28">
        <v>0.98684210526315785</v>
      </c>
    </row>
    <row r="67" spans="1:4" x14ac:dyDescent="0.45">
      <c r="A67" t="s">
        <v>389</v>
      </c>
      <c r="B67" t="s">
        <v>385</v>
      </c>
      <c r="C67">
        <v>1</v>
      </c>
      <c r="D67" s="28">
        <v>0.52703104575163451</v>
      </c>
    </row>
    <row r="68" spans="1:4" x14ac:dyDescent="0.45">
      <c r="A68" t="s">
        <v>389</v>
      </c>
      <c r="B68" t="s">
        <v>381</v>
      </c>
      <c r="C68">
        <v>2</v>
      </c>
      <c r="D68" s="28">
        <v>0.97948717948717956</v>
      </c>
    </row>
    <row r="69" spans="1:4" x14ac:dyDescent="0.45">
      <c r="A69" t="s">
        <v>389</v>
      </c>
      <c r="B69" t="s">
        <v>382</v>
      </c>
      <c r="C69">
        <v>2</v>
      </c>
      <c r="D69" s="28">
        <v>0.96666666666666679</v>
      </c>
    </row>
    <row r="70" spans="1:4" x14ac:dyDescent="0.45">
      <c r="A70" t="s">
        <v>389</v>
      </c>
      <c r="B70" t="s">
        <v>383</v>
      </c>
      <c r="C70">
        <v>2</v>
      </c>
      <c r="D70" s="28">
        <v>0.94888157894736858</v>
      </c>
    </row>
    <row r="71" spans="1:4" x14ac:dyDescent="0.45">
      <c r="A71" t="s">
        <v>389</v>
      </c>
      <c r="B71" t="s">
        <v>379</v>
      </c>
      <c r="C71">
        <v>2</v>
      </c>
      <c r="D71" s="28">
        <v>0.88872549019607872</v>
      </c>
    </row>
    <row r="72" spans="1:4" x14ac:dyDescent="0.45">
      <c r="A72" t="s">
        <v>389</v>
      </c>
      <c r="B72" t="s">
        <v>384</v>
      </c>
      <c r="C72">
        <v>2</v>
      </c>
      <c r="D72" s="28">
        <v>0.96666666666666679</v>
      </c>
    </row>
    <row r="73" spans="1:4" x14ac:dyDescent="0.45">
      <c r="A73" t="s">
        <v>389</v>
      </c>
      <c r="B73" t="s">
        <v>385</v>
      </c>
      <c r="C73">
        <v>2</v>
      </c>
      <c r="D73" s="28">
        <v>0.52633252032520372</v>
      </c>
    </row>
    <row r="74" spans="1:4" x14ac:dyDescent="0.45">
      <c r="A74" t="s">
        <v>389</v>
      </c>
      <c r="B74" t="s">
        <v>381</v>
      </c>
      <c r="C74">
        <v>3</v>
      </c>
      <c r="D74" s="28">
        <v>0.86666666666666659</v>
      </c>
    </row>
    <row r="75" spans="1:4" x14ac:dyDescent="0.45">
      <c r="A75" t="s">
        <v>389</v>
      </c>
      <c r="B75" t="s">
        <v>382</v>
      </c>
      <c r="C75">
        <v>3</v>
      </c>
      <c r="D75" s="28">
        <v>0.79901960784313752</v>
      </c>
    </row>
    <row r="76" spans="1:4" x14ac:dyDescent="0.45">
      <c r="A76" t="s">
        <v>389</v>
      </c>
      <c r="B76" t="s">
        <v>383</v>
      </c>
      <c r="C76">
        <v>3</v>
      </c>
      <c r="D76" s="28">
        <v>0.94888157894736858</v>
      </c>
    </row>
    <row r="77" spans="1:4" x14ac:dyDescent="0.45">
      <c r="A77" t="s">
        <v>389</v>
      </c>
      <c r="B77" t="s">
        <v>379</v>
      </c>
      <c r="C77">
        <v>3</v>
      </c>
      <c r="D77" s="28">
        <v>0.95097087378640877</v>
      </c>
    </row>
    <row r="78" spans="1:4" x14ac:dyDescent="0.45">
      <c r="A78" t="s">
        <v>389</v>
      </c>
      <c r="B78" t="s">
        <v>384</v>
      </c>
      <c r="C78">
        <v>3</v>
      </c>
      <c r="D78" s="28">
        <v>0.79901960784313752</v>
      </c>
    </row>
    <row r="79" spans="1:4" x14ac:dyDescent="0.45">
      <c r="A79" t="s">
        <v>389</v>
      </c>
      <c r="B79" t="s">
        <v>385</v>
      </c>
      <c r="C79">
        <v>3</v>
      </c>
      <c r="D79" s="28">
        <v>0.55869660194174808</v>
      </c>
    </row>
    <row r="80" spans="1:4" x14ac:dyDescent="0.45">
      <c r="A80" t="s">
        <v>389</v>
      </c>
      <c r="B80" t="s">
        <v>381</v>
      </c>
      <c r="C80">
        <v>4</v>
      </c>
      <c r="D80" s="28">
        <v>0.96785714285714275</v>
      </c>
    </row>
    <row r="81" spans="1:4" x14ac:dyDescent="0.45">
      <c r="A81" t="s">
        <v>389</v>
      </c>
      <c r="B81" t="s">
        <v>382</v>
      </c>
      <c r="C81">
        <v>4</v>
      </c>
      <c r="D81" s="28">
        <v>0.91730769230769227</v>
      </c>
    </row>
    <row r="82" spans="1:4" x14ac:dyDescent="0.45">
      <c r="A82" t="s">
        <v>389</v>
      </c>
      <c r="B82" t="s">
        <v>383</v>
      </c>
      <c r="C82">
        <v>4</v>
      </c>
      <c r="D82" s="28">
        <v>0.94982142857142871</v>
      </c>
    </row>
    <row r="83" spans="1:4" x14ac:dyDescent="0.45">
      <c r="A83" t="s">
        <v>389</v>
      </c>
      <c r="B83" t="s">
        <v>379</v>
      </c>
      <c r="C83">
        <v>4</v>
      </c>
      <c r="D83" s="28">
        <v>0.95376213592233106</v>
      </c>
    </row>
    <row r="84" spans="1:4" x14ac:dyDescent="0.45">
      <c r="A84" t="s">
        <v>389</v>
      </c>
      <c r="B84" t="s">
        <v>384</v>
      </c>
      <c r="C84">
        <v>4</v>
      </c>
      <c r="D84" s="28">
        <v>0.86923076923076925</v>
      </c>
    </row>
    <row r="85" spans="1:4" x14ac:dyDescent="0.45">
      <c r="A85" t="s">
        <v>389</v>
      </c>
      <c r="B85" t="s">
        <v>385</v>
      </c>
      <c r="C85">
        <v>4</v>
      </c>
      <c r="D85" s="28">
        <v>0.59552123786407807</v>
      </c>
    </row>
    <row r="86" spans="1:4" x14ac:dyDescent="0.45">
      <c r="A86" t="s">
        <v>389</v>
      </c>
      <c r="B86" t="s">
        <v>381</v>
      </c>
      <c r="C86">
        <v>5</v>
      </c>
      <c r="D86" s="28">
        <v>0.97142857142857142</v>
      </c>
    </row>
    <row r="87" spans="1:4" x14ac:dyDescent="0.45">
      <c r="A87" t="s">
        <v>389</v>
      </c>
      <c r="B87" t="s">
        <v>382</v>
      </c>
      <c r="C87">
        <v>5</v>
      </c>
      <c r="D87" s="28">
        <v>0.98867924528301876</v>
      </c>
    </row>
    <row r="88" spans="1:4" x14ac:dyDescent="0.45">
      <c r="A88" t="s">
        <v>389</v>
      </c>
      <c r="B88" t="s">
        <v>383</v>
      </c>
      <c r="C88">
        <v>5</v>
      </c>
      <c r="D88" s="28">
        <v>0.96267857142857172</v>
      </c>
    </row>
    <row r="89" spans="1:4" x14ac:dyDescent="0.45">
      <c r="A89" t="s">
        <v>389</v>
      </c>
      <c r="B89" t="s">
        <v>379</v>
      </c>
      <c r="C89">
        <v>5</v>
      </c>
      <c r="D89" s="28">
        <v>0.96696601941747662</v>
      </c>
    </row>
    <row r="90" spans="1:4" x14ac:dyDescent="0.45">
      <c r="A90" t="s">
        <v>389</v>
      </c>
      <c r="B90" t="s">
        <v>384</v>
      </c>
      <c r="C90">
        <v>5</v>
      </c>
      <c r="D90" s="28">
        <v>0.98867924528301876</v>
      </c>
    </row>
    <row r="91" spans="1:4" x14ac:dyDescent="0.45">
      <c r="A91" t="s">
        <v>389</v>
      </c>
      <c r="B91" t="s">
        <v>385</v>
      </c>
      <c r="C91">
        <v>5</v>
      </c>
      <c r="D91" s="28">
        <v>0.61116565533980616</v>
      </c>
    </row>
    <row r="92" spans="1:4" x14ac:dyDescent="0.45">
      <c r="A92" t="s">
        <v>389</v>
      </c>
      <c r="B92" t="s">
        <v>381</v>
      </c>
      <c r="C92">
        <v>6</v>
      </c>
      <c r="D92" s="28">
        <v>0.98571428571428588</v>
      </c>
    </row>
    <row r="93" spans="1:4" x14ac:dyDescent="0.45">
      <c r="A93" t="s">
        <v>389</v>
      </c>
      <c r="B93" t="s">
        <v>382</v>
      </c>
      <c r="C93">
        <v>6</v>
      </c>
      <c r="D93" s="28">
        <v>0.98611111111111116</v>
      </c>
    </row>
    <row r="94" spans="1:4" x14ac:dyDescent="0.45">
      <c r="A94" t="s">
        <v>389</v>
      </c>
      <c r="B94" t="s">
        <v>383</v>
      </c>
      <c r="C94">
        <v>6</v>
      </c>
      <c r="D94" s="28">
        <v>0.97705357142857108</v>
      </c>
    </row>
    <row r="95" spans="1:4" x14ac:dyDescent="0.45">
      <c r="A95" t="s">
        <v>389</v>
      </c>
      <c r="B95" t="s">
        <v>379</v>
      </c>
      <c r="C95">
        <v>6</v>
      </c>
      <c r="D95" s="28">
        <v>0.96696601941747662</v>
      </c>
    </row>
    <row r="96" spans="1:4" x14ac:dyDescent="0.45">
      <c r="A96" t="s">
        <v>389</v>
      </c>
      <c r="B96" t="s">
        <v>384</v>
      </c>
      <c r="C96">
        <v>6</v>
      </c>
      <c r="D96" s="28">
        <v>0.98333333333333339</v>
      </c>
    </row>
    <row r="97" spans="1:4" x14ac:dyDescent="0.45">
      <c r="A97" t="s">
        <v>389</v>
      </c>
      <c r="B97" t="s">
        <v>385</v>
      </c>
      <c r="C97">
        <v>6</v>
      </c>
      <c r="D97" s="28">
        <v>0.61370509708737908</v>
      </c>
    </row>
    <row r="98" spans="1:4" x14ac:dyDescent="0.45">
      <c r="A98" t="s">
        <v>389</v>
      </c>
      <c r="B98" t="s">
        <v>381</v>
      </c>
      <c r="C98">
        <v>7</v>
      </c>
      <c r="D98" s="28">
        <v>0.9893442622950821</v>
      </c>
    </row>
    <row r="99" spans="1:4" x14ac:dyDescent="0.45">
      <c r="A99" t="s">
        <v>389</v>
      </c>
      <c r="B99" t="s">
        <v>382</v>
      </c>
      <c r="C99">
        <v>7</v>
      </c>
      <c r="D99" s="28">
        <v>0.99344262295081953</v>
      </c>
    </row>
    <row r="100" spans="1:4" x14ac:dyDescent="0.45">
      <c r="A100" t="s">
        <v>389</v>
      </c>
      <c r="B100" t="s">
        <v>383</v>
      </c>
      <c r="C100">
        <v>7</v>
      </c>
      <c r="D100" s="28">
        <v>0.98616666666666652</v>
      </c>
    </row>
    <row r="101" spans="1:4" x14ac:dyDescent="0.45">
      <c r="A101" t="s">
        <v>389</v>
      </c>
      <c r="B101" t="s">
        <v>379</v>
      </c>
      <c r="C101">
        <v>7</v>
      </c>
      <c r="D101" s="28">
        <v>0.96854761904761988</v>
      </c>
    </row>
    <row r="102" spans="1:4" x14ac:dyDescent="0.45">
      <c r="A102" t="s">
        <v>389</v>
      </c>
      <c r="B102" t="s">
        <v>384</v>
      </c>
      <c r="C102">
        <v>7</v>
      </c>
      <c r="D102" s="28">
        <v>0.94090909090909058</v>
      </c>
    </row>
    <row r="103" spans="1:4" x14ac:dyDescent="0.45">
      <c r="A103" t="s">
        <v>389</v>
      </c>
      <c r="B103" t="s">
        <v>385</v>
      </c>
      <c r="C103">
        <v>7</v>
      </c>
      <c r="D103" s="28">
        <v>0.63120476190476238</v>
      </c>
    </row>
    <row r="104" spans="1:4" x14ac:dyDescent="0.45">
      <c r="A104" t="s">
        <v>389</v>
      </c>
      <c r="B104" t="s">
        <v>381</v>
      </c>
      <c r="C104">
        <v>8</v>
      </c>
      <c r="D104" s="28">
        <v>0.9916666666666667</v>
      </c>
    </row>
    <row r="105" spans="1:4" x14ac:dyDescent="0.45">
      <c r="A105" t="s">
        <v>389</v>
      </c>
      <c r="B105" t="s">
        <v>382</v>
      </c>
      <c r="C105">
        <v>8</v>
      </c>
      <c r="D105" s="28">
        <v>1</v>
      </c>
    </row>
    <row r="106" spans="1:4" x14ac:dyDescent="0.45">
      <c r="A106" t="s">
        <v>389</v>
      </c>
      <c r="B106" t="s">
        <v>383</v>
      </c>
      <c r="C106">
        <v>8</v>
      </c>
      <c r="D106" s="28">
        <v>0.98679166666666673</v>
      </c>
    </row>
    <row r="107" spans="1:4" x14ac:dyDescent="0.45">
      <c r="A107" t="s">
        <v>389</v>
      </c>
      <c r="B107" t="s">
        <v>379</v>
      </c>
      <c r="C107">
        <v>8</v>
      </c>
      <c r="D107" s="28">
        <v>0.96854761904761988</v>
      </c>
    </row>
    <row r="108" spans="1:4" x14ac:dyDescent="0.45">
      <c r="A108" t="s">
        <v>389</v>
      </c>
      <c r="B108" t="s">
        <v>384</v>
      </c>
      <c r="C108">
        <v>8</v>
      </c>
      <c r="D108" s="28">
        <v>0.94090909090909058</v>
      </c>
    </row>
    <row r="109" spans="1:4" x14ac:dyDescent="0.45">
      <c r="A109" t="s">
        <v>389</v>
      </c>
      <c r="B109" t="s">
        <v>385</v>
      </c>
      <c r="C109">
        <v>8</v>
      </c>
      <c r="D109" s="28">
        <v>0.63176428571428622</v>
      </c>
    </row>
    <row r="110" spans="1:4" x14ac:dyDescent="0.45">
      <c r="A110" t="s">
        <v>389</v>
      </c>
      <c r="B110" t="s">
        <v>381</v>
      </c>
      <c r="C110">
        <v>9</v>
      </c>
      <c r="D110" s="28">
        <v>0.9574999999999998</v>
      </c>
    </row>
    <row r="111" spans="1:4" x14ac:dyDescent="0.45">
      <c r="A111" t="s">
        <v>389</v>
      </c>
      <c r="B111" t="s">
        <v>382</v>
      </c>
      <c r="C111">
        <v>9</v>
      </c>
      <c r="D111" s="28">
        <v>0.90249999999999986</v>
      </c>
    </row>
    <row r="112" spans="1:4" x14ac:dyDescent="0.45">
      <c r="A112" t="s">
        <v>389</v>
      </c>
      <c r="B112" t="s">
        <v>383</v>
      </c>
      <c r="C112">
        <v>9</v>
      </c>
      <c r="D112" s="28">
        <v>0.93965624999999997</v>
      </c>
    </row>
    <row r="113" spans="1:4" x14ac:dyDescent="0.45">
      <c r="A113" t="s">
        <v>389</v>
      </c>
      <c r="B113" t="s">
        <v>379</v>
      </c>
      <c r="C113">
        <v>9</v>
      </c>
      <c r="D113" s="28">
        <v>0.96942129629629714</v>
      </c>
    </row>
    <row r="114" spans="1:4" x14ac:dyDescent="0.45">
      <c r="A114" t="s">
        <v>389</v>
      </c>
      <c r="B114" t="s">
        <v>384</v>
      </c>
      <c r="C114">
        <v>9</v>
      </c>
      <c r="D114" s="28">
        <v>0.82643678160919465</v>
      </c>
    </row>
    <row r="115" spans="1:4" x14ac:dyDescent="0.45">
      <c r="A115" t="s">
        <v>389</v>
      </c>
      <c r="B115" t="s">
        <v>385</v>
      </c>
      <c r="C115">
        <v>9</v>
      </c>
      <c r="D115" s="28">
        <v>0.65311805555555591</v>
      </c>
    </row>
    <row r="116" spans="1:4" x14ac:dyDescent="0.45">
      <c r="A116" t="s">
        <v>389</v>
      </c>
      <c r="B116" t="s">
        <v>381</v>
      </c>
      <c r="C116">
        <v>10</v>
      </c>
      <c r="D116" s="28">
        <v>0.92699999999999916</v>
      </c>
    </row>
    <row r="117" spans="1:4" x14ac:dyDescent="0.45">
      <c r="A117" t="s">
        <v>389</v>
      </c>
      <c r="B117" t="s">
        <v>382</v>
      </c>
      <c r="C117">
        <v>10</v>
      </c>
      <c r="D117" s="28">
        <v>0.83700000000000019</v>
      </c>
    </row>
    <row r="118" spans="1:4" x14ac:dyDescent="0.45">
      <c r="A118" t="s">
        <v>389</v>
      </c>
      <c r="B118" t="s">
        <v>383</v>
      </c>
      <c r="C118">
        <v>10</v>
      </c>
      <c r="D118" s="28">
        <v>0.99687499999999996</v>
      </c>
    </row>
    <row r="119" spans="1:4" x14ac:dyDescent="0.45">
      <c r="A119" t="s">
        <v>389</v>
      </c>
      <c r="B119" t="s">
        <v>379</v>
      </c>
      <c r="C119">
        <v>10</v>
      </c>
      <c r="D119" s="28">
        <v>0.98730769230769255</v>
      </c>
    </row>
    <row r="120" spans="1:4" x14ac:dyDescent="0.45">
      <c r="A120" t="s">
        <v>389</v>
      </c>
      <c r="B120" t="s">
        <v>384</v>
      </c>
      <c r="C120">
        <v>10</v>
      </c>
      <c r="D120" s="28">
        <v>0.74466019417475637</v>
      </c>
    </row>
    <row r="121" spans="1:4" x14ac:dyDescent="0.45">
      <c r="A121" t="s">
        <v>389</v>
      </c>
      <c r="B121" t="s">
        <v>385</v>
      </c>
      <c r="C121">
        <v>10</v>
      </c>
      <c r="D121" s="28">
        <v>0.67195851851851873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D0FBA3AAEBBC408EA02E21302C3A18" ma:contentTypeVersion="14" ma:contentTypeDescription="Crear nuevo documento." ma:contentTypeScope="" ma:versionID="e0f5c34af321ca04af09735a924e1f9e">
  <xsd:schema xmlns:xsd="http://www.w3.org/2001/XMLSchema" xmlns:xs="http://www.w3.org/2001/XMLSchema" xmlns:p="http://schemas.microsoft.com/office/2006/metadata/properties" xmlns:ns2="09e877d9-6041-4919-8d9e-7589ec597d8d" xmlns:ns3="cb7bceb2-51ec-48c9-bbfc-3b50f55faf52" targetNamespace="http://schemas.microsoft.com/office/2006/metadata/properties" ma:root="true" ma:fieldsID="cf1b6a182ae4c3e387c077f6dddddef6" ns2:_="" ns3:_="">
    <xsd:import namespace="09e877d9-6041-4919-8d9e-7589ec597d8d"/>
    <xsd:import namespace="cb7bceb2-51ec-48c9-bbfc-3b50f55faf5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877d9-6041-4919-8d9e-7589ec597d8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8833d16-c2e2-4626-9305-9056de80c054}" ma:internalName="TaxCatchAll" ma:showField="CatchAllData" ma:web="09e877d9-6041-4919-8d9e-7589ec597d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bceb2-51ec-48c9-bbfc-3b50f55faf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2693bb8-02b1-4da4-a796-6d5ad87b3c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bceb2-51ec-48c9-bbfc-3b50f55faf52">
      <Terms xmlns="http://schemas.microsoft.com/office/infopath/2007/PartnerControls"/>
    </lcf76f155ced4ddcb4097134ff3c332f>
    <TaxCatchAll xmlns="09e877d9-6041-4919-8d9e-7589ec597d8d" xsi:nil="true"/>
    <SharedWithUsers xmlns="09e877d9-6041-4919-8d9e-7589ec597d8d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A9F72B-B57A-4A61-8F50-758DA7DA9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e877d9-6041-4919-8d9e-7589ec597d8d"/>
    <ds:schemaRef ds:uri="cb7bceb2-51ec-48c9-bbfc-3b50f55faf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012D69-D611-4677-868C-FD7FBA26F8AD}">
  <ds:schemaRefs>
    <ds:schemaRef ds:uri="http://schemas.microsoft.com/office/2006/metadata/properties"/>
    <ds:schemaRef ds:uri="http://schemas.microsoft.com/office/infopath/2007/PartnerControls"/>
    <ds:schemaRef ds:uri="cb7bceb2-51ec-48c9-bbfc-3b50f55faf52"/>
    <ds:schemaRef ds:uri="09e877d9-6041-4919-8d9e-7589ec597d8d"/>
  </ds:schemaRefs>
</ds:datastoreItem>
</file>

<file path=customXml/itemProps3.xml><?xml version="1.0" encoding="utf-8"?>
<ds:datastoreItem xmlns:ds="http://schemas.openxmlformats.org/officeDocument/2006/customXml" ds:itemID="{49CFA9D2-0D47-4A16-87DF-BA2B2D78B6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Calidad de Datos</vt:lpstr>
      <vt:lpstr>Uso-Acceso Datos</vt:lpstr>
      <vt:lpstr>Integracion-Flujo Datos</vt:lpstr>
      <vt:lpstr>Gestion Ciclo-Vida Datos</vt:lpstr>
      <vt:lpstr>Hoja1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Yaina Karina Muñoz Garces</dc:creator>
  <cp:keywords/>
  <dc:description/>
  <cp:lastModifiedBy>Yuri Ontibon</cp:lastModifiedBy>
  <cp:revision/>
  <dcterms:created xsi:type="dcterms:W3CDTF">2024-12-12T20:22:37Z</dcterms:created>
  <dcterms:modified xsi:type="dcterms:W3CDTF">2026-03-05T16:28:52Z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0x010100B3D0FBA3AAEBBC408EA02E21302C3A18</vt:lpwstr>
  </property>
  <property fmtid="{D5CDD505-2E9C-101B-9397-08002B2CF9AE}" pid="3" name="MediaServiceImageTags">
    <vt:lpwstr/>
  </property>
  <property fmtid="{D5CDD505-2E9C-101B-9397-08002B2CF9AE}" pid="4" name="Order">
    <vt:r8>88700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