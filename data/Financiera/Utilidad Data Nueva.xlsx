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DY.OROZCO\Documents\"/>
    </mc:Choice>
  </mc:AlternateContent>
  <xr:revisionPtr revIDLastSave="0" documentId="13_ncr:1_{E91AF24A-809C-4701-BE96-8799BE386421}" xr6:coauthVersionLast="47" xr6:coauthVersionMax="47" xr10:uidLastSave="{00000000-0000-0000-0000-000000000000}"/>
  <bookViews>
    <workbookView xWindow="-110" yWindow="-110" windowWidth="19420" windowHeight="10300" xr2:uid="{4A9F7C51-3E5E-4076-B467-BBD4DA7F11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80" i="1" l="1"/>
  <c r="AA80" i="1"/>
  <c r="Y80" i="1"/>
  <c r="V80" i="1"/>
  <c r="U80" i="1"/>
  <c r="R80" i="1"/>
  <c r="Q80" i="1"/>
  <c r="M80" i="1"/>
  <c r="B80" i="1"/>
  <c r="AB79" i="1"/>
  <c r="AA79" i="1"/>
  <c r="Y79" i="1"/>
  <c r="V79" i="1"/>
  <c r="U79" i="1"/>
  <c r="R79" i="1"/>
  <c r="Q79" i="1"/>
  <c r="M79" i="1"/>
  <c r="B79" i="1"/>
  <c r="AB78" i="1"/>
  <c r="AA78" i="1"/>
  <c r="Y78" i="1"/>
  <c r="V78" i="1"/>
  <c r="U78" i="1"/>
  <c r="R78" i="1"/>
  <c r="Q78" i="1"/>
  <c r="M78" i="1"/>
  <c r="AB77" i="1"/>
  <c r="AA77" i="1"/>
  <c r="Y77" i="1"/>
  <c r="V77" i="1"/>
  <c r="U77" i="1"/>
  <c r="R77" i="1"/>
  <c r="Q77" i="1"/>
  <c r="M77" i="1"/>
  <c r="B77" i="1"/>
  <c r="AB76" i="1"/>
  <c r="AA76" i="1"/>
  <c r="Y76" i="1"/>
  <c r="V76" i="1"/>
  <c r="U76" i="1"/>
  <c r="R76" i="1"/>
  <c r="Q76" i="1"/>
  <c r="M76" i="1"/>
  <c r="B76" i="1"/>
  <c r="AB75" i="1"/>
  <c r="AA75" i="1"/>
  <c r="Y75" i="1"/>
  <c r="V75" i="1"/>
  <c r="T75" i="1"/>
  <c r="U75" i="1" s="1"/>
  <c r="R75" i="1"/>
  <c r="Q75" i="1"/>
  <c r="M75" i="1"/>
  <c r="B75" i="1"/>
  <c r="AB74" i="1"/>
  <c r="AA74" i="1"/>
  <c r="Y74" i="1"/>
  <c r="V74" i="1"/>
  <c r="U74" i="1"/>
  <c r="R74" i="1"/>
  <c r="Q74" i="1"/>
  <c r="M74" i="1"/>
  <c r="B74" i="1"/>
  <c r="AB73" i="1"/>
  <c r="AA73" i="1"/>
  <c r="Y73" i="1"/>
  <c r="V73" i="1"/>
  <c r="U73" i="1"/>
  <c r="R73" i="1"/>
  <c r="Q73" i="1"/>
  <c r="M73" i="1"/>
  <c r="B73" i="1"/>
  <c r="AB72" i="1"/>
  <c r="AA72" i="1"/>
  <c r="Y72" i="1"/>
  <c r="V72" i="1"/>
  <c r="U72" i="1"/>
  <c r="R72" i="1"/>
  <c r="Q72" i="1"/>
  <c r="M72" i="1"/>
  <c r="B72" i="1"/>
  <c r="AB71" i="1"/>
  <c r="AA71" i="1"/>
  <c r="Y71" i="1"/>
  <c r="V71" i="1"/>
  <c r="U71" i="1"/>
  <c r="R71" i="1"/>
  <c r="Q71" i="1"/>
  <c r="M71" i="1"/>
  <c r="B71" i="1"/>
  <c r="AB70" i="1"/>
  <c r="AA70" i="1"/>
  <c r="Y70" i="1"/>
  <c r="V70" i="1"/>
  <c r="U70" i="1"/>
  <c r="R70" i="1"/>
  <c r="Q70" i="1"/>
  <c r="M70" i="1"/>
  <c r="B70" i="1"/>
  <c r="AA69" i="1"/>
  <c r="Y69" i="1"/>
  <c r="T69" i="1"/>
  <c r="R69" i="1"/>
  <c r="Q69" i="1"/>
  <c r="M69" i="1"/>
  <c r="B69" i="1"/>
  <c r="W68" i="1"/>
  <c r="Y68" i="1" s="1"/>
  <c r="S68" i="1"/>
  <c r="R68" i="1"/>
  <c r="Q68" i="1"/>
  <c r="P68" i="1"/>
  <c r="O68" i="1"/>
  <c r="N68" i="1"/>
  <c r="M68" i="1"/>
  <c r="B68" i="1"/>
  <c r="W67" i="1"/>
  <c r="S67" i="1"/>
  <c r="U67" i="1" s="1"/>
  <c r="P67" i="1"/>
  <c r="R67" i="1" s="1"/>
  <c r="O67" i="1"/>
  <c r="Q67" i="1" s="1"/>
  <c r="N67" i="1"/>
  <c r="M67" i="1"/>
  <c r="B67" i="1"/>
  <c r="AB66" i="1"/>
  <c r="AA66" i="1"/>
  <c r="Y66" i="1"/>
  <c r="V66" i="1"/>
  <c r="U66" i="1"/>
  <c r="R66" i="1"/>
  <c r="Q66" i="1"/>
  <c r="M66" i="1"/>
  <c r="B66" i="1"/>
  <c r="AD65" i="1"/>
  <c r="AA65" i="1"/>
  <c r="V65" i="1"/>
  <c r="U65" i="1"/>
  <c r="Q65" i="1"/>
  <c r="P65" i="1"/>
  <c r="Y65" i="1" s="1"/>
  <c r="M65" i="1"/>
  <c r="B65" i="1"/>
  <c r="AD64" i="1"/>
  <c r="AB64" i="1"/>
  <c r="AA64" i="1"/>
  <c r="V64" i="1"/>
  <c r="U64" i="1"/>
  <c r="Q64" i="1"/>
  <c r="P64" i="1"/>
  <c r="Y64" i="1" s="1"/>
  <c r="M64" i="1"/>
  <c r="B64" i="1"/>
  <c r="AB63" i="1"/>
  <c r="AA63" i="1"/>
  <c r="Y63" i="1"/>
  <c r="V63" i="1"/>
  <c r="U63" i="1"/>
  <c r="R63" i="1"/>
  <c r="Q63" i="1"/>
  <c r="M63" i="1"/>
  <c r="B63" i="1"/>
  <c r="X62" i="1"/>
  <c r="AB62" i="1" s="1"/>
  <c r="W62" i="1"/>
  <c r="T62" i="1"/>
  <c r="S62" i="1"/>
  <c r="U62" i="1" s="1"/>
  <c r="P62" i="1"/>
  <c r="R62" i="1" s="1"/>
  <c r="O62" i="1"/>
  <c r="Q62" i="1" s="1"/>
  <c r="N62" i="1"/>
  <c r="M62" i="1"/>
  <c r="B62" i="1"/>
  <c r="X61" i="1"/>
  <c r="W61" i="1"/>
  <c r="T61" i="1"/>
  <c r="S61" i="1"/>
  <c r="P61" i="1"/>
  <c r="O61" i="1"/>
  <c r="N61" i="1"/>
  <c r="Q61" i="1" s="1"/>
  <c r="M61" i="1"/>
  <c r="B61" i="1"/>
  <c r="AB60" i="1"/>
  <c r="AA60" i="1"/>
  <c r="Y60" i="1"/>
  <c r="V60" i="1"/>
  <c r="U60" i="1"/>
  <c r="R60" i="1"/>
  <c r="Q60" i="1"/>
  <c r="M60" i="1"/>
  <c r="B60" i="1"/>
  <c r="AB59" i="1"/>
  <c r="AA59" i="1"/>
  <c r="Y59" i="1"/>
  <c r="V59" i="1"/>
  <c r="U59" i="1"/>
  <c r="R59" i="1"/>
  <c r="Q59" i="1"/>
  <c r="M59" i="1"/>
  <c r="B59" i="1"/>
  <c r="AB58" i="1"/>
  <c r="AA58" i="1"/>
  <c r="Y58" i="1"/>
  <c r="V58" i="1"/>
  <c r="U58" i="1"/>
  <c r="R58" i="1"/>
  <c r="Q58" i="1"/>
  <c r="M58" i="1"/>
  <c r="B58" i="1"/>
  <c r="AA57" i="1"/>
  <c r="T57" i="1"/>
  <c r="Q57" i="1"/>
  <c r="P57" i="1"/>
  <c r="R57" i="1" s="1"/>
  <c r="M57" i="1"/>
  <c r="B57" i="1"/>
  <c r="AB56" i="1"/>
  <c r="AA56" i="1"/>
  <c r="Y56" i="1"/>
  <c r="V56" i="1"/>
  <c r="U56" i="1"/>
  <c r="R56" i="1"/>
  <c r="Q56" i="1"/>
  <c r="M56" i="1"/>
  <c r="B56" i="1"/>
  <c r="AB55" i="1"/>
  <c r="AA55" i="1"/>
  <c r="Y55" i="1"/>
  <c r="V55" i="1"/>
  <c r="U55" i="1"/>
  <c r="R55" i="1"/>
  <c r="Q55" i="1"/>
  <c r="M55" i="1"/>
  <c r="B55" i="1"/>
  <c r="AB54" i="1"/>
  <c r="AA54" i="1"/>
  <c r="V54" i="1"/>
  <c r="U54" i="1"/>
  <c r="R54" i="1"/>
  <c r="Q54" i="1"/>
  <c r="M54" i="1"/>
  <c r="G54" i="1"/>
  <c r="B54" i="1"/>
  <c r="AB53" i="1"/>
  <c r="AA53" i="1"/>
  <c r="Y53" i="1"/>
  <c r="V53" i="1"/>
  <c r="U53" i="1"/>
  <c r="R53" i="1"/>
  <c r="Q53" i="1"/>
  <c r="M53" i="1"/>
  <c r="B53" i="1"/>
  <c r="AB52" i="1"/>
  <c r="AA52" i="1"/>
  <c r="Y52" i="1"/>
  <c r="V52" i="1"/>
  <c r="U52" i="1"/>
  <c r="R52" i="1"/>
  <c r="Q52" i="1"/>
  <c r="M52" i="1"/>
  <c r="B52" i="1"/>
  <c r="AB51" i="1"/>
  <c r="AA51" i="1"/>
  <c r="Y51" i="1"/>
  <c r="V51" i="1"/>
  <c r="U51" i="1"/>
  <c r="R51" i="1"/>
  <c r="Q51" i="1"/>
  <c r="M51" i="1"/>
  <c r="B51" i="1"/>
  <c r="AB50" i="1"/>
  <c r="AA50" i="1"/>
  <c r="Y50" i="1"/>
  <c r="V50" i="1"/>
  <c r="U50" i="1"/>
  <c r="R50" i="1"/>
  <c r="Q50" i="1"/>
  <c r="M50" i="1"/>
  <c r="B50" i="1"/>
  <c r="AD49" i="1"/>
  <c r="AB49" i="1"/>
  <c r="AA49" i="1"/>
  <c r="Y49" i="1"/>
  <c r="V49" i="1"/>
  <c r="U49" i="1"/>
  <c r="R49" i="1"/>
  <c r="Q49" i="1"/>
  <c r="M49" i="1"/>
  <c r="B49" i="1"/>
  <c r="AD48" i="1"/>
  <c r="AA48" i="1"/>
  <c r="Y48" i="1"/>
  <c r="T48" i="1"/>
  <c r="V48" i="1" s="1"/>
  <c r="R48" i="1"/>
  <c r="Q48" i="1"/>
  <c r="M48" i="1"/>
  <c r="G48" i="1"/>
  <c r="B48" i="1"/>
  <c r="AD47" i="1"/>
  <c r="AE47" i="1" s="1"/>
  <c r="AB47" i="1"/>
  <c r="AA47" i="1"/>
  <c r="Y47" i="1"/>
  <c r="V47" i="1"/>
  <c r="U47" i="1"/>
  <c r="R47" i="1"/>
  <c r="Q47" i="1"/>
  <c r="M47" i="1"/>
  <c r="B47" i="1"/>
  <c r="AB46" i="1"/>
  <c r="AA46" i="1"/>
  <c r="Y46" i="1"/>
  <c r="V46" i="1"/>
  <c r="U46" i="1"/>
  <c r="R46" i="1"/>
  <c r="Q46" i="1"/>
  <c r="M46" i="1"/>
  <c r="B46" i="1"/>
  <c r="AB45" i="1"/>
  <c r="AA45" i="1"/>
  <c r="Y45" i="1"/>
  <c r="V45" i="1"/>
  <c r="U45" i="1"/>
  <c r="R45" i="1"/>
  <c r="Q45" i="1"/>
  <c r="M45" i="1"/>
  <c r="B45" i="1"/>
  <c r="AA44" i="1"/>
  <c r="Y44" i="1"/>
  <c r="X44" i="1"/>
  <c r="AB44" i="1" s="1"/>
  <c r="V44" i="1"/>
  <c r="U44" i="1"/>
  <c r="R44" i="1"/>
  <c r="Q44" i="1"/>
  <c r="M44" i="1"/>
  <c r="B44" i="1"/>
  <c r="AB43" i="1"/>
  <c r="AA43" i="1"/>
  <c r="Y43" i="1"/>
  <c r="V43" i="1"/>
  <c r="U43" i="1"/>
  <c r="R43" i="1"/>
  <c r="Q43" i="1"/>
  <c r="M43" i="1"/>
  <c r="B43" i="1"/>
  <c r="AB42" i="1"/>
  <c r="AA42" i="1"/>
  <c r="Y42" i="1"/>
  <c r="V42" i="1"/>
  <c r="U42" i="1"/>
  <c r="R42" i="1"/>
  <c r="Q42" i="1"/>
  <c r="M42" i="1"/>
  <c r="B42" i="1"/>
  <c r="AB41" i="1"/>
  <c r="AA41" i="1"/>
  <c r="Y41" i="1"/>
  <c r="V41" i="1"/>
  <c r="U41" i="1"/>
  <c r="R41" i="1"/>
  <c r="Q41" i="1"/>
  <c r="M41" i="1"/>
  <c r="B41" i="1"/>
  <c r="AB40" i="1"/>
  <c r="AA40" i="1"/>
  <c r="Y40" i="1"/>
  <c r="V40" i="1"/>
  <c r="U40" i="1"/>
  <c r="R40" i="1"/>
  <c r="Q40" i="1"/>
  <c r="M40" i="1"/>
  <c r="AB39" i="1"/>
  <c r="AA39" i="1"/>
  <c r="Y39" i="1"/>
  <c r="V39" i="1"/>
  <c r="U39" i="1"/>
  <c r="R39" i="1"/>
  <c r="Q39" i="1"/>
  <c r="M39" i="1"/>
  <c r="B39" i="1"/>
  <c r="AB38" i="1"/>
  <c r="AA38" i="1"/>
  <c r="Y38" i="1"/>
  <c r="V38" i="1"/>
  <c r="U38" i="1"/>
  <c r="R38" i="1"/>
  <c r="Q38" i="1"/>
  <c r="M38" i="1"/>
  <c r="B38" i="1"/>
  <c r="AB37" i="1"/>
  <c r="AA37" i="1"/>
  <c r="Y37" i="1"/>
  <c r="V37" i="1"/>
  <c r="U37" i="1"/>
  <c r="R37" i="1"/>
  <c r="Q37" i="1"/>
  <c r="M37" i="1"/>
  <c r="B37" i="1"/>
  <c r="AB36" i="1"/>
  <c r="AA36" i="1"/>
  <c r="Y36" i="1"/>
  <c r="V36" i="1"/>
  <c r="U36" i="1"/>
  <c r="R36" i="1"/>
  <c r="Q36" i="1"/>
  <c r="M36" i="1"/>
  <c r="B36" i="1"/>
  <c r="AB35" i="1"/>
  <c r="AA35" i="1"/>
  <c r="Y35" i="1"/>
  <c r="V35" i="1"/>
  <c r="U35" i="1"/>
  <c r="R35" i="1"/>
  <c r="Q35" i="1"/>
  <c r="M35" i="1"/>
  <c r="B35" i="1"/>
  <c r="AB34" i="1"/>
  <c r="AA34" i="1"/>
  <c r="Y34" i="1"/>
  <c r="V34" i="1"/>
  <c r="U34" i="1"/>
  <c r="R34" i="1"/>
  <c r="Q34" i="1"/>
  <c r="M34" i="1"/>
  <c r="B34" i="1"/>
  <c r="AB33" i="1"/>
  <c r="AA33" i="1"/>
  <c r="Y33" i="1"/>
  <c r="V33" i="1"/>
  <c r="U33" i="1"/>
  <c r="R33" i="1"/>
  <c r="Q33" i="1"/>
  <c r="M33" i="1"/>
  <c r="B33" i="1"/>
  <c r="AB32" i="1"/>
  <c r="AA32" i="1"/>
  <c r="Y32" i="1"/>
  <c r="V32" i="1"/>
  <c r="U32" i="1"/>
  <c r="R32" i="1"/>
  <c r="Q32" i="1"/>
  <c r="M32" i="1"/>
  <c r="B32" i="1"/>
  <c r="AB31" i="1"/>
  <c r="AA31" i="1"/>
  <c r="Y31" i="1"/>
  <c r="V31" i="1"/>
  <c r="U31" i="1"/>
  <c r="R31" i="1"/>
  <c r="Q31" i="1"/>
  <c r="M31" i="1"/>
  <c r="B31" i="1"/>
  <c r="AB30" i="1"/>
  <c r="AA30" i="1"/>
  <c r="Y30" i="1"/>
  <c r="V30" i="1"/>
  <c r="U30" i="1"/>
  <c r="R30" i="1"/>
  <c r="Q30" i="1"/>
  <c r="M30" i="1"/>
  <c r="B30" i="1"/>
  <c r="AB29" i="1"/>
  <c r="AA29" i="1"/>
  <c r="Y29" i="1"/>
  <c r="V29" i="1"/>
  <c r="U29" i="1"/>
  <c r="R29" i="1"/>
  <c r="Q29" i="1"/>
  <c r="M29" i="1"/>
  <c r="B29" i="1"/>
  <c r="AB28" i="1"/>
  <c r="AA28" i="1"/>
  <c r="Y28" i="1"/>
  <c r="V28" i="1"/>
  <c r="U28" i="1"/>
  <c r="R28" i="1"/>
  <c r="Q28" i="1"/>
  <c r="M28" i="1"/>
  <c r="B28" i="1"/>
  <c r="AB27" i="1"/>
  <c r="AA27" i="1"/>
  <c r="V27" i="1"/>
  <c r="U27" i="1"/>
  <c r="R27" i="1"/>
  <c r="Q27" i="1"/>
  <c r="M27" i="1"/>
  <c r="B27" i="1"/>
  <c r="AB26" i="1"/>
  <c r="AA26" i="1"/>
  <c r="Y26" i="1"/>
  <c r="V26" i="1"/>
  <c r="U26" i="1"/>
  <c r="R26" i="1"/>
  <c r="Q26" i="1"/>
  <c r="M26" i="1"/>
  <c r="B26" i="1"/>
  <c r="AB25" i="1"/>
  <c r="AA25" i="1"/>
  <c r="Y25" i="1"/>
  <c r="V25" i="1"/>
  <c r="U25" i="1"/>
  <c r="R25" i="1"/>
  <c r="Q25" i="1"/>
  <c r="M25" i="1"/>
  <c r="B25" i="1"/>
  <c r="AB24" i="1"/>
  <c r="AA24" i="1"/>
  <c r="Y24" i="1"/>
  <c r="V24" i="1"/>
  <c r="U24" i="1"/>
  <c r="R24" i="1"/>
  <c r="Q24" i="1"/>
  <c r="M24" i="1"/>
  <c r="B24" i="1"/>
  <c r="AB23" i="1"/>
  <c r="AA23" i="1"/>
  <c r="V23" i="1"/>
  <c r="U23" i="1"/>
  <c r="Q23" i="1"/>
  <c r="P23" i="1"/>
  <c r="Y23" i="1" s="1"/>
  <c r="M23" i="1"/>
  <c r="B23" i="1"/>
  <c r="AB22" i="1"/>
  <c r="AA22" i="1"/>
  <c r="Y22" i="1"/>
  <c r="V22" i="1"/>
  <c r="U22" i="1"/>
  <c r="R22" i="1"/>
  <c r="Q22" i="1"/>
  <c r="M22" i="1"/>
  <c r="B22" i="1"/>
  <c r="AA21" i="1"/>
  <c r="V21" i="1"/>
  <c r="U21" i="1"/>
  <c r="Q21" i="1"/>
  <c r="P21" i="1"/>
  <c r="Y21" i="1" s="1"/>
  <c r="M21" i="1"/>
  <c r="B21" i="1"/>
  <c r="AD20" i="1"/>
  <c r="AE20" i="1" s="1"/>
  <c r="AB20" i="1"/>
  <c r="AA20" i="1"/>
  <c r="Y20" i="1"/>
  <c r="V20" i="1"/>
  <c r="U20" i="1"/>
  <c r="R20" i="1"/>
  <c r="Q20" i="1"/>
  <c r="M20" i="1"/>
  <c r="B20" i="1"/>
  <c r="AB19" i="1"/>
  <c r="AA19" i="1"/>
  <c r="Y19" i="1"/>
  <c r="V19" i="1"/>
  <c r="U19" i="1"/>
  <c r="R19" i="1"/>
  <c r="Q19" i="1"/>
  <c r="M19" i="1"/>
  <c r="B19" i="1"/>
  <c r="AB18" i="1"/>
  <c r="AA18" i="1"/>
  <c r="Y18" i="1"/>
  <c r="V18" i="1"/>
  <c r="U18" i="1"/>
  <c r="R18" i="1"/>
  <c r="Q18" i="1"/>
  <c r="M18" i="1"/>
  <c r="B18" i="1"/>
  <c r="AB17" i="1"/>
  <c r="AA17" i="1"/>
  <c r="Y17" i="1"/>
  <c r="V17" i="1"/>
  <c r="U17" i="1"/>
  <c r="R17" i="1"/>
  <c r="Q17" i="1"/>
  <c r="M17" i="1"/>
  <c r="B17" i="1"/>
  <c r="AB16" i="1"/>
  <c r="AA16" i="1"/>
  <c r="Y16" i="1"/>
  <c r="V16" i="1"/>
  <c r="U16" i="1"/>
  <c r="R16" i="1"/>
  <c r="Q16" i="1"/>
  <c r="M16" i="1"/>
  <c r="B16" i="1"/>
  <c r="AB15" i="1"/>
  <c r="AA15" i="1"/>
  <c r="Y15" i="1"/>
  <c r="V15" i="1"/>
  <c r="U15" i="1"/>
  <c r="R15" i="1"/>
  <c r="Q15" i="1"/>
  <c r="M15" i="1"/>
  <c r="B15" i="1"/>
  <c r="AB14" i="1"/>
  <c r="AA14" i="1"/>
  <c r="Y14" i="1"/>
  <c r="V14" i="1"/>
  <c r="U14" i="1"/>
  <c r="R14" i="1"/>
  <c r="Q14" i="1"/>
  <c r="M14" i="1"/>
  <c r="B14" i="1"/>
  <c r="AB13" i="1"/>
  <c r="AA13" i="1"/>
  <c r="Y13" i="1"/>
  <c r="V13" i="1"/>
  <c r="U13" i="1"/>
  <c r="R13" i="1"/>
  <c r="Q13" i="1"/>
  <c r="M13" i="1"/>
  <c r="B13" i="1"/>
  <c r="AB12" i="1"/>
  <c r="AA12" i="1"/>
  <c r="Y12" i="1"/>
  <c r="V12" i="1"/>
  <c r="U12" i="1"/>
  <c r="R12" i="1"/>
  <c r="Q12" i="1"/>
  <c r="M12" i="1"/>
  <c r="B12" i="1"/>
  <c r="AB11" i="1"/>
  <c r="AA11" i="1"/>
  <c r="Y11" i="1"/>
  <c r="V11" i="1"/>
  <c r="U11" i="1"/>
  <c r="R11" i="1"/>
  <c r="Q11" i="1"/>
  <c r="M11" i="1"/>
  <c r="B11" i="1"/>
  <c r="AB10" i="1"/>
  <c r="AA10" i="1"/>
  <c r="Y10" i="1"/>
  <c r="V10" i="1"/>
  <c r="U10" i="1"/>
  <c r="R10" i="1"/>
  <c r="Q10" i="1"/>
  <c r="M10" i="1"/>
  <c r="B10" i="1"/>
  <c r="AB9" i="1"/>
  <c r="AA9" i="1"/>
  <c r="Y9" i="1"/>
  <c r="V9" i="1"/>
  <c r="U9" i="1"/>
  <c r="R9" i="1"/>
  <c r="Q9" i="1"/>
  <c r="M9" i="1"/>
  <c r="B9" i="1"/>
  <c r="AA8" i="1"/>
  <c r="V8" i="1"/>
  <c r="U8" i="1"/>
  <c r="Q8" i="1"/>
  <c r="P8" i="1"/>
  <c r="Y8" i="1" s="1"/>
  <c r="M8" i="1"/>
  <c r="B8" i="1"/>
  <c r="AB7" i="1"/>
  <c r="AA7" i="1"/>
  <c r="V7" i="1"/>
  <c r="U7" i="1"/>
  <c r="Q7" i="1"/>
  <c r="P7" i="1"/>
  <c r="Y7" i="1" s="1"/>
  <c r="M7" i="1"/>
  <c r="AA6" i="1"/>
  <c r="V6" i="1"/>
  <c r="U6" i="1"/>
  <c r="Q6" i="1"/>
  <c r="P6" i="1"/>
  <c r="R6" i="1" s="1"/>
  <c r="M6" i="1"/>
  <c r="AD5" i="1"/>
  <c r="X5" i="1"/>
  <c r="AB5" i="1" s="1"/>
  <c r="W5" i="1"/>
  <c r="T5" i="1"/>
  <c r="S5" i="1"/>
  <c r="U5" i="1" s="1"/>
  <c r="P5" i="1"/>
  <c r="O5" i="1"/>
  <c r="N5" i="1"/>
  <c r="M5" i="1"/>
  <c r="X4" i="1"/>
  <c r="W4" i="1"/>
  <c r="T4" i="1"/>
  <c r="V4" i="1" s="1"/>
  <c r="S4" i="1"/>
  <c r="P4" i="1"/>
  <c r="R4" i="1" s="1"/>
  <c r="O4" i="1"/>
  <c r="Q4" i="1" s="1"/>
  <c r="N4" i="1"/>
  <c r="M4" i="1"/>
  <c r="AB3" i="1"/>
  <c r="AA3" i="1"/>
  <c r="Y3" i="1"/>
  <c r="V3" i="1"/>
  <c r="U3" i="1"/>
  <c r="R3" i="1"/>
  <c r="Q3" i="1"/>
  <c r="M3" i="1"/>
  <c r="AA2" i="1"/>
  <c r="V2" i="1"/>
  <c r="U2" i="1"/>
  <c r="Q2" i="1"/>
  <c r="P2" i="1"/>
  <c r="M2" i="1"/>
  <c r="AE64" i="1" l="1"/>
  <c r="V62" i="1"/>
  <c r="V67" i="1"/>
  <c r="R61" i="1"/>
  <c r="AB67" i="1"/>
  <c r="AB57" i="1"/>
  <c r="AA61" i="1"/>
  <c r="Y67" i="1"/>
  <c r="Y5" i="1"/>
  <c r="Y6" i="1"/>
  <c r="V57" i="1"/>
  <c r="Y62" i="1"/>
  <c r="AA67" i="1"/>
  <c r="Y57" i="1"/>
  <c r="Y61" i="1"/>
  <c r="AA62" i="1"/>
  <c r="AB6" i="1"/>
  <c r="AB21" i="1"/>
  <c r="AE49" i="1"/>
  <c r="AB48" i="1"/>
  <c r="AE48" i="1" s="1"/>
  <c r="AB65" i="1"/>
  <c r="AE65" i="1" s="1"/>
  <c r="AA4" i="1"/>
  <c r="AB8" i="1"/>
  <c r="AB4" i="1"/>
  <c r="U61" i="1"/>
  <c r="AD79" i="1"/>
  <c r="AE79" i="1" s="1"/>
  <c r="AD50" i="1"/>
  <c r="AE50" i="1" s="1"/>
  <c r="AD36" i="1"/>
  <c r="AE36" i="1" s="1"/>
  <c r="AD25" i="1"/>
  <c r="AE25" i="1" s="1"/>
  <c r="AD11" i="1"/>
  <c r="AE11" i="1" s="1"/>
  <c r="AD4" i="1"/>
  <c r="AE4" i="1" s="1"/>
  <c r="AD69" i="1"/>
  <c r="AD68" i="1"/>
  <c r="AD61" i="1"/>
  <c r="AD29" i="1"/>
  <c r="AE29" i="1" s="1"/>
  <c r="AD56" i="1"/>
  <c r="AE56" i="1" s="1"/>
  <c r="AD42" i="1"/>
  <c r="AE42" i="1" s="1"/>
  <c r="AD80" i="1"/>
  <c r="AE80" i="1" s="1"/>
  <c r="AD51" i="1"/>
  <c r="AE51" i="1" s="1"/>
  <c r="AD37" i="1"/>
  <c r="AE37" i="1" s="1"/>
  <c r="AD26" i="1"/>
  <c r="AE26" i="1" s="1"/>
  <c r="AD12" i="1"/>
  <c r="AE12" i="1" s="1"/>
  <c r="AD52" i="1"/>
  <c r="AE52" i="1" s="1"/>
  <c r="AD38" i="1"/>
  <c r="AE38" i="1" s="1"/>
  <c r="AD13" i="1"/>
  <c r="AE13" i="1" s="1"/>
  <c r="AD71" i="1"/>
  <c r="AE71" i="1" s="1"/>
  <c r="AD54" i="1"/>
  <c r="AE54" i="1" s="1"/>
  <c r="AD28" i="1"/>
  <c r="AE28" i="1" s="1"/>
  <c r="AD15" i="1"/>
  <c r="AE15" i="1" s="1"/>
  <c r="AD72" i="1"/>
  <c r="AE72" i="1" s="1"/>
  <c r="AD57" i="1"/>
  <c r="AD55" i="1"/>
  <c r="AE55" i="1" s="1"/>
  <c r="AD40" i="1"/>
  <c r="AE40" i="1" s="1"/>
  <c r="AD16" i="1"/>
  <c r="AE16" i="1" s="1"/>
  <c r="AD3" i="1"/>
  <c r="AE3" i="1" s="1"/>
  <c r="AD73" i="1"/>
  <c r="AE73" i="1" s="1"/>
  <c r="AD67" i="1"/>
  <c r="AD58" i="1"/>
  <c r="AE58" i="1" s="1"/>
  <c r="AD41" i="1"/>
  <c r="AE41" i="1" s="1"/>
  <c r="AD30" i="1"/>
  <c r="AE30" i="1" s="1"/>
  <c r="AD17" i="1"/>
  <c r="AE17" i="1" s="1"/>
  <c r="AD75" i="1"/>
  <c r="AE75" i="1" s="1"/>
  <c r="AD74" i="1"/>
  <c r="AE74" i="1" s="1"/>
  <c r="AD59" i="1"/>
  <c r="AE59" i="1" s="1"/>
  <c r="AD31" i="1"/>
  <c r="AE31" i="1" s="1"/>
  <c r="AD18" i="1"/>
  <c r="AE18" i="1" s="1"/>
  <c r="AD70" i="1"/>
  <c r="AE70" i="1" s="1"/>
  <c r="AD53" i="1"/>
  <c r="AE53" i="1" s="1"/>
  <c r="AD39" i="1"/>
  <c r="AE39" i="1" s="1"/>
  <c r="AD27" i="1"/>
  <c r="AE27" i="1" s="1"/>
  <c r="AD14" i="1"/>
  <c r="AE14" i="1" s="1"/>
  <c r="AD2" i="1"/>
  <c r="AD19" i="1"/>
  <c r="AE19" i="1" s="1"/>
  <c r="AD46" i="1"/>
  <c r="AE46" i="1" s="1"/>
  <c r="V61" i="1"/>
  <c r="Q5" i="1"/>
  <c r="AD45" i="1"/>
  <c r="AE45" i="1" s="1"/>
  <c r="AD63" i="1"/>
  <c r="AE63" i="1" s="1"/>
  <c r="AD8" i="1"/>
  <c r="AE8" i="1" s="1"/>
  <c r="AD35" i="1"/>
  <c r="AE35" i="1" s="1"/>
  <c r="AB61" i="1"/>
  <c r="AD34" i="1"/>
  <c r="AE34" i="1" s="1"/>
  <c r="AD44" i="1"/>
  <c r="AE44" i="1" s="1"/>
  <c r="AD62" i="1"/>
  <c r="AE62" i="1" s="1"/>
  <c r="AA68" i="1"/>
  <c r="V68" i="1"/>
  <c r="AD7" i="1"/>
  <c r="AE7" i="1" s="1"/>
  <c r="AD24" i="1"/>
  <c r="AE24" i="1" s="1"/>
  <c r="AD33" i="1"/>
  <c r="AE33" i="1" s="1"/>
  <c r="AD43" i="1"/>
  <c r="AE43" i="1" s="1"/>
  <c r="U68" i="1"/>
  <c r="AD76" i="1"/>
  <c r="AE76" i="1" s="1"/>
  <c r="AD23" i="1"/>
  <c r="AE23" i="1" s="1"/>
  <c r="AD10" i="1"/>
  <c r="AE10" i="1" s="1"/>
  <c r="AD9" i="1"/>
  <c r="AE9" i="1" s="1"/>
  <c r="AD32" i="1"/>
  <c r="AE32" i="1" s="1"/>
  <c r="Y2" i="1"/>
  <c r="AB2" i="1"/>
  <c r="AE5" i="1"/>
  <c r="R2" i="1"/>
  <c r="V69" i="1"/>
  <c r="U69" i="1"/>
  <c r="AB69" i="1"/>
  <c r="AD78" i="1"/>
  <c r="AE78" i="1" s="1"/>
  <c r="R5" i="1"/>
  <c r="AD77" i="1"/>
  <c r="AE77" i="1" s="1"/>
  <c r="AD60" i="1"/>
  <c r="AE60" i="1" s="1"/>
  <c r="U4" i="1"/>
  <c r="AD6" i="1"/>
  <c r="AD22" i="1"/>
  <c r="AE22" i="1" s="1"/>
  <c r="AA5" i="1"/>
  <c r="AD21" i="1"/>
  <c r="AE21" i="1" s="1"/>
  <c r="U57" i="1"/>
  <c r="AD66" i="1"/>
  <c r="AE66" i="1" s="1"/>
  <c r="Y4" i="1"/>
  <c r="R7" i="1"/>
  <c r="R8" i="1"/>
  <c r="R21" i="1"/>
  <c r="U48" i="1"/>
  <c r="R64" i="1"/>
  <c r="R65" i="1"/>
  <c r="AB68" i="1"/>
  <c r="R23" i="1"/>
  <c r="V5" i="1"/>
  <c r="AE57" i="1" l="1"/>
  <c r="AE6" i="1"/>
  <c r="AE2" i="1"/>
  <c r="AE67" i="1"/>
  <c r="AE68" i="1"/>
  <c r="AE61" i="1"/>
  <c r="AE6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Karen Julieth Bejarano Sanabria</author>
    <author>Kelly Johanna Murcia Velasco</author>
  </authors>
  <commentList>
    <comment ref="T1" authorId="0" shapeId="0" xr:uid="{C700A58E-D0E9-4386-AF3D-6792F107A984}">
      <text>
        <r>
          <rPr>
            <sz val="9"/>
            <color indexed="81"/>
            <rFont val="Tahoma"/>
            <family val="2"/>
          </rPr>
          <t>Se actualiza mes a mes con el corte contable</t>
        </r>
      </text>
    </comment>
    <comment ref="D3" authorId="0" shapeId="0" xr:uid="{C6809FB9-F545-4C2C-83FA-52EA0097049E}">
      <text>
        <r>
          <rPr>
            <b/>
            <sz val="9"/>
            <color indexed="81"/>
            <rFont val="Tahoma"/>
            <family val="2"/>
          </rPr>
          <t>Karen Julieth Bejarano Sanabria:</t>
        </r>
        <r>
          <rPr>
            <sz val="9"/>
            <color indexed="81"/>
            <rFont val="Tahoma"/>
            <family val="2"/>
          </rPr>
          <t xml:space="preserve">
Se aplica descuento</t>
        </r>
      </text>
    </comment>
    <comment ref="D6" authorId="1" shapeId="0" xr:uid="{6106923A-AACF-4EAB-94E3-F37082E9ADB1}">
      <text>
        <r>
          <rPr>
            <b/>
            <sz val="9"/>
            <color indexed="81"/>
            <rFont val="Tahoma"/>
            <family val="2"/>
          </rPr>
          <t>Kelly Johanna Murcia Velasco: Revisar costo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" authorId="0" shapeId="0" xr:uid="{BF8D6351-DE8F-4FD9-8265-9DB8D5E4CE29}">
      <text>
        <r>
          <rPr>
            <b/>
            <sz val="9"/>
            <color indexed="81"/>
            <rFont val="Tahoma"/>
            <family val="2"/>
          </rPr>
          <t>Karen Julieth Bejarano Sanabria:</t>
        </r>
        <r>
          <rPr>
            <sz val="9"/>
            <color indexed="81"/>
            <rFont val="Tahoma"/>
            <family val="2"/>
          </rPr>
          <t xml:space="preserve">
Pendiente ANS's</t>
        </r>
      </text>
    </comment>
    <comment ref="N7" authorId="0" shapeId="0" xr:uid="{7B3ACDC7-B8AD-49D6-BE56-D2279E71C62B}">
      <text>
        <r>
          <rPr>
            <b/>
            <sz val="9"/>
            <color indexed="81"/>
            <rFont val="Tahoma"/>
            <family val="2"/>
          </rPr>
          <t>Karen Julieth Bejarano Sanabria:</t>
        </r>
        <r>
          <rPr>
            <sz val="9"/>
            <color indexed="81"/>
            <rFont val="Tahoma"/>
            <family val="2"/>
          </rPr>
          <t xml:space="preserve">
Se aplican ANS</t>
        </r>
      </text>
    </comment>
    <comment ref="N8" authorId="0" shapeId="0" xr:uid="{D1B654C2-7BED-480B-87ED-5AB7D6AA1E66}">
      <text>
        <r>
          <rPr>
            <b/>
            <sz val="9"/>
            <color indexed="81"/>
            <rFont val="Tahoma"/>
            <family val="2"/>
          </rPr>
          <t>Karen Julieth Bejarano Sanabria:</t>
        </r>
        <r>
          <rPr>
            <sz val="9"/>
            <color indexed="81"/>
            <rFont val="Tahoma"/>
            <family val="2"/>
          </rPr>
          <t xml:space="preserve">
Se restan ANS de acuerdo con información de la PMO
$1.714.358</t>
        </r>
      </text>
    </comment>
    <comment ref="D21" authorId="0" shapeId="0" xr:uid="{EF91562D-43CA-4418-A903-A233FF18A1DB}">
      <text>
        <r>
          <rPr>
            <b/>
            <sz val="9"/>
            <color indexed="81"/>
            <rFont val="Tahoma"/>
            <family val="2"/>
          </rPr>
          <t>Karen Julieth Bejarano Sanabria:</t>
        </r>
        <r>
          <rPr>
            <sz val="9"/>
            <color indexed="81"/>
            <rFont val="Tahoma"/>
            <family val="2"/>
          </rPr>
          <t xml:space="preserve">
Proyecto Inactivo</t>
        </r>
      </text>
    </comment>
    <comment ref="D64" authorId="1" shapeId="0" xr:uid="{DE6E2160-F230-480D-9117-B30F8C9C89CC}">
      <text>
        <r>
          <rPr>
            <b/>
            <sz val="9"/>
            <color indexed="81"/>
            <rFont val="Tahoma"/>
            <family val="2"/>
          </rPr>
          <t>Kelly Johanna Murcia Velasco:</t>
        </r>
        <r>
          <rPr>
            <sz val="9"/>
            <color indexed="81"/>
            <rFont val="Tahoma"/>
            <family val="2"/>
          </rPr>
          <t xml:space="preserve">
aAfectar ingresos en los 44 mm de reduccion del contrato </t>
        </r>
      </text>
    </comment>
    <comment ref="D73" authorId="0" shapeId="0" xr:uid="{CFE813AF-45D8-448A-8EA4-73483667E668}">
      <text>
        <r>
          <rPr>
            <b/>
            <sz val="9"/>
            <color indexed="81"/>
            <rFont val="Tahoma"/>
            <family val="2"/>
          </rPr>
          <t>Karen Julieth Bejarano Sanabria:</t>
        </r>
        <r>
          <rPr>
            <sz val="9"/>
            <color indexed="81"/>
            <rFont val="Tahoma"/>
            <family val="2"/>
          </rPr>
          <t xml:space="preserve">
Son 2 contratos - falta 1</t>
        </r>
      </text>
    </comment>
    <comment ref="L73" authorId="0" shapeId="0" xr:uid="{0A00FBE4-0159-45F7-AC49-97C69BCFECA5}">
      <text>
        <r>
          <rPr>
            <b/>
            <sz val="9"/>
            <color indexed="81"/>
            <rFont val="Tahoma"/>
            <family val="2"/>
          </rPr>
          <t>Karen Julieth Bejarano Sanabria:</t>
        </r>
        <r>
          <rPr>
            <sz val="9"/>
            <color indexed="81"/>
            <rFont val="Tahoma"/>
            <family val="2"/>
          </rPr>
          <t xml:space="preserve">
Fceha tentativa 07/06/2025</t>
        </r>
      </text>
    </comment>
  </commentList>
</comments>
</file>

<file path=xl/sharedStrings.xml><?xml version="1.0" encoding="utf-8"?>
<sst xmlns="http://schemas.openxmlformats.org/spreadsheetml/2006/main" count="512" uniqueCount="191">
  <si>
    <t>filtro</t>
  </si>
  <si>
    <t>CC</t>
  </si>
  <si>
    <t>Nombre del proyecto</t>
  </si>
  <si>
    <t>Línea de negocio</t>
  </si>
  <si>
    <t>% línea sobre el proyecto</t>
  </si>
  <si>
    <t>No. Personas</t>
  </si>
  <si>
    <t xml:space="preserve">Cliente Directo </t>
  </si>
  <si>
    <t xml:space="preserve">Cliente Final </t>
  </si>
  <si>
    <t>Fecha Incio</t>
  </si>
  <si>
    <t>AÑO</t>
  </si>
  <si>
    <t>Presupuesto ingreso al corte</t>
  </si>
  <si>
    <t>Facturación Real a diciembre 31</t>
  </si>
  <si>
    <t xml:space="preserve">% avance de proyección de facturación </t>
  </si>
  <si>
    <t>% avance de facturación contra presupuesto al corte</t>
  </si>
  <si>
    <t>Costo modelo a Corte</t>
  </si>
  <si>
    <t>Costo Contable a Corte</t>
  </si>
  <si>
    <t>Costo pendiente por ejecutar</t>
  </si>
  <si>
    <t>% Costo Proyectados vs Ejecutado</t>
  </si>
  <si>
    <t>Gasto Modelo a Corte</t>
  </si>
  <si>
    <t>Gasto Ejecutado a Corte</t>
  </si>
  <si>
    <t xml:space="preserve">Gasto Ejecutado con % Avance </t>
  </si>
  <si>
    <t>Utilidad Operacional Total  de MF</t>
  </si>
  <si>
    <t>Utilidad Operativa del modelo a Corte</t>
  </si>
  <si>
    <t>Estado</t>
  </si>
  <si>
    <t>Ponderado</t>
  </si>
  <si>
    <t>Utilidad al Corte</t>
  </si>
  <si>
    <t>UT1</t>
  </si>
  <si>
    <t>UT GROW SVE</t>
  </si>
  <si>
    <t>TI</t>
  </si>
  <si>
    <t>ARN</t>
  </si>
  <si>
    <t>Seguridad Electronica</t>
  </si>
  <si>
    <t>Inactivo</t>
  </si>
  <si>
    <t>UT6</t>
  </si>
  <si>
    <t>UT PGD 2024</t>
  </si>
  <si>
    <t>CONSULTORIA</t>
  </si>
  <si>
    <t>MINTIC</t>
  </si>
  <si>
    <t>Arquitectura Empresarial</t>
  </si>
  <si>
    <t>UT7</t>
  </si>
  <si>
    <t>UT GROW BISA CNE - GOBIERNO DE DATOS CNE</t>
  </si>
  <si>
    <t>CNE</t>
  </si>
  <si>
    <t>Gobierno de Datos</t>
  </si>
  <si>
    <t>DATOS Y S.I.</t>
  </si>
  <si>
    <t>UT8</t>
  </si>
  <si>
    <t>UT CIBERSEGURIDAD MT</t>
  </si>
  <si>
    <t>MINISTERIO DE TRANSPORTE</t>
  </si>
  <si>
    <t>Ciberseguridad</t>
  </si>
  <si>
    <t>UT9</t>
  </si>
  <si>
    <t>UT CENTRO DE SERVICIOS-DNP 2025</t>
  </si>
  <si>
    <t>DNP</t>
  </si>
  <si>
    <t>Servicios gestionados , Ciberseguridad</t>
  </si>
  <si>
    <t>ETB MESA DE AYUDA</t>
  </si>
  <si>
    <t>ETB</t>
  </si>
  <si>
    <t>SECRETARIA DISTRITAL DE BOGOTA</t>
  </si>
  <si>
    <t>Servicios gestionados</t>
  </si>
  <si>
    <t>UT TRANSITO DE PASTO-RENOVACIÓN FORTINET</t>
  </si>
  <si>
    <t>UT TRANSITO DE PASTO</t>
  </si>
  <si>
    <t>Infraestructura</t>
  </si>
  <si>
    <t>RNEC ANI SRCWEB V3</t>
  </si>
  <si>
    <t>RNEC</t>
  </si>
  <si>
    <t>ANI</t>
  </si>
  <si>
    <t>Desarrollo</t>
  </si>
  <si>
    <t>DIGSA DATACENTER AD 1 2023</t>
  </si>
  <si>
    <t>DIGSA</t>
  </si>
  <si>
    <t>RUNT INFRAESTUCTURA BACKEND</t>
  </si>
  <si>
    <t>RUNT</t>
  </si>
  <si>
    <t>TPS RNEC ANALITICA IDC</t>
  </si>
  <si>
    <t>Analítica</t>
  </si>
  <si>
    <t>INTEMPO RUNT BI - ADICION (NO HAY MODELO)</t>
  </si>
  <si>
    <t>INTEMPO</t>
  </si>
  <si>
    <t>DIGSA SOPORTE Y MANTENIMIENTO 2023</t>
  </si>
  <si>
    <t>PEOPLE CONTAC RNEC CALL CENTER 2023</t>
  </si>
  <si>
    <t>PEOPLE</t>
  </si>
  <si>
    <t>Servicios gestionados (80%) Infraestructura (20%)</t>
  </si>
  <si>
    <t>RUNT MEGA HOPEX</t>
  </si>
  <si>
    <t>FONDO ACCIÓN-SNR-SECUENCIALES PUERTO CARREÑO</t>
  </si>
  <si>
    <t>FONDO ACCION</t>
  </si>
  <si>
    <t>SNR</t>
  </si>
  <si>
    <t>TPS – RNEC – BI Elecciones Regionales</t>
  </si>
  <si>
    <t>TPS</t>
  </si>
  <si>
    <t>COMREDES- PGN-ARANDA 2023</t>
  </si>
  <si>
    <t>ERT</t>
  </si>
  <si>
    <t>PGN</t>
  </si>
  <si>
    <t>TELEFÓNICA-RNEC-ELECCIONES 2023</t>
  </si>
  <si>
    <t>TELEFONICA</t>
  </si>
  <si>
    <t>DIGSA- SOPORTE SALUD SIS 2023</t>
  </si>
  <si>
    <t>RAMA JUDICIAL ARQUITECTURA EMPRESARIAL AJUSTADO</t>
  </si>
  <si>
    <t>MSL</t>
  </si>
  <si>
    <t xml:space="preserve">RAMA JUDICIAL DE COLOMBIA </t>
  </si>
  <si>
    <t>IDU – ACT UALIZACIÓN MEGA</t>
  </si>
  <si>
    <t>IDU</t>
  </si>
  <si>
    <t>USAID NUEVO</t>
  </si>
  <si>
    <t>USAID</t>
  </si>
  <si>
    <t>MINISTERIO DE SALUD Y PROCTECCION SOCIAL DE COLOMBIA</t>
  </si>
  <si>
    <t>ERT RNEC- SALA ANALITICA 2023</t>
  </si>
  <si>
    <t xml:space="preserve">ALDESARROLLO - CEDAE RNEC </t>
  </si>
  <si>
    <t>CEDAE</t>
  </si>
  <si>
    <t xml:space="preserve">CORP. COLOMBIA DIGITAL- DEFENSORIA GENERAL DE LA NACIÓN - CABLEADO </t>
  </si>
  <si>
    <t>CCD</t>
  </si>
  <si>
    <t>DEFENSORIA DEL PUEBLO DE COLOMBIA</t>
  </si>
  <si>
    <t>U NACIONAL-CANCILLERIA</t>
  </si>
  <si>
    <t>U NACIONAL</t>
  </si>
  <si>
    <t>MINISTERIO DE RELACIONES EXTERIORES</t>
  </si>
  <si>
    <t>DPC- ARQUITECTURA ERP</t>
  </si>
  <si>
    <t xml:space="preserve">ESU - DESARROLLO MÓDULO MEDELLÍN DECIDE </t>
  </si>
  <si>
    <t>EMPRESA PARA LA SEGURIDAD Y SOLUCIONES URBANAS</t>
  </si>
  <si>
    <t xml:space="preserve">ESU-SISTEMA DE INTELIGENCIA TURISTICA DE MEDELLIN </t>
  </si>
  <si>
    <t>RUNT 2.0 - LICENCIAMIENTO MEGA</t>
  </si>
  <si>
    <t>ALDESARROLLO – RNEC – CEDAE_MIGRACION SITIO WEB</t>
  </si>
  <si>
    <t>ALDESARROLLO</t>
  </si>
  <si>
    <t xml:space="preserve">CORP. COLOMBIA DIGITAL ICFES CIBER </t>
  </si>
  <si>
    <t>ICFES</t>
  </si>
  <si>
    <t>Seguridad y Ciberseguridad</t>
  </si>
  <si>
    <t>ALDESARROLLO-INM-AE2</t>
  </si>
  <si>
    <t>INSTITUTO NACIONAL DE METROLOGIA INM</t>
  </si>
  <si>
    <t>Procesos</t>
  </si>
  <si>
    <t>MINCIENCIA BARRACUDA 2023</t>
  </si>
  <si>
    <t>MINISTERIO DE CIENCIAS</t>
  </si>
  <si>
    <t>MINISTERIO DE CIENCIAS TECNOLOGIA E INNOVACION</t>
  </si>
  <si>
    <t>TELEFONICA-PROCURADURIA SALA DE ANALITICA</t>
  </si>
  <si>
    <t>308-1</t>
  </si>
  <si>
    <t>RUNT - INSTALACION CP4D</t>
  </si>
  <si>
    <t>SMARTBIT - COLJUEGOS - PETI</t>
  </si>
  <si>
    <t>SMARTBIT</t>
  </si>
  <si>
    <t>COLJUEGOS</t>
  </si>
  <si>
    <t>Transformación Digital</t>
  </si>
  <si>
    <t>RUNT - DESARROLLO MÓDULO DE CARGA</t>
  </si>
  <si>
    <t>ERT -CNE TI FASE 3</t>
  </si>
  <si>
    <t>Infraestructura, servicios gestionados, ciberseguridad</t>
  </si>
  <si>
    <t>TELEFONICA – DPC  SALA DE ANALITICA</t>
  </si>
  <si>
    <t>CORP. COLOMBIA DIGITAL-FNA-AE</t>
  </si>
  <si>
    <t>FNA</t>
  </si>
  <si>
    <t>DIGSA - ADICIÓN SOPORTE 2024</t>
  </si>
  <si>
    <t>TELEFONICA SENA MS</t>
  </si>
  <si>
    <t>SERVICIO NACIONAL DE APRENDIZAJE SENA</t>
  </si>
  <si>
    <t>INFOTIC-DPC-SOC</t>
  </si>
  <si>
    <t>INFOTIC</t>
  </si>
  <si>
    <t>ERT-MINTRAN–DISPOSITIVOS IOT Y ANALITICA</t>
  </si>
  <si>
    <t>Analítica e IA</t>
  </si>
  <si>
    <t>RUNT – DISEÑO,IMPLEMENTACION MDM</t>
  </si>
  <si>
    <t>ICFES - FABRICA DE SOFTWARE PRUEBAS</t>
  </si>
  <si>
    <t>ALDESARROLLO - ICFES - SOSTENIBILIDAD</t>
  </si>
  <si>
    <t>Sostenibilidad</t>
  </si>
  <si>
    <t>INFOTIC - ICFES - PRUEBAS CSJ</t>
  </si>
  <si>
    <t>Infraestructura, Servicios gestionados</t>
  </si>
  <si>
    <t>FONDO ACCION - MEJORAS APLICATIVO ASEC</t>
  </si>
  <si>
    <t>INM-ALDESARROLLO-DATOS Y PROCESOS</t>
  </si>
  <si>
    <t>INM</t>
  </si>
  <si>
    <t>RUNT – ANALITICA BI/BA</t>
  </si>
  <si>
    <t>RUNT - MEGA</t>
  </si>
  <si>
    <t xml:space="preserve">UT SERT PASTO - VENTA DE EQUIPOS </t>
  </si>
  <si>
    <t>UT SERT PASTO</t>
  </si>
  <si>
    <t>UT SERVICIOS DE TRANSITO DE PASTO</t>
  </si>
  <si>
    <t>SNR- MIGRACION</t>
  </si>
  <si>
    <t xml:space="preserve">SNR </t>
  </si>
  <si>
    <t>Migración</t>
  </si>
  <si>
    <t>TELEFONICA CORMAGDALENA SALA DE ANALITCA</t>
  </si>
  <si>
    <t>CORPORACION AUTONOMA REGIIONAL DEL RIO GRANDE DE LA MAGDALENA</t>
  </si>
  <si>
    <t>EXPERTIX - DEFENSORIA – RENOVACIÓN MEGA</t>
  </si>
  <si>
    <t>EXPERTIX</t>
  </si>
  <si>
    <t>ELECTROHUILA- FORTINET</t>
  </si>
  <si>
    <t xml:space="preserve">ELECTROHUILA </t>
  </si>
  <si>
    <t>BISA - RUNT - CSE</t>
  </si>
  <si>
    <t>BISA</t>
  </si>
  <si>
    <t>ADRES-MEHA HOPEX</t>
  </si>
  <si>
    <t>ADRES</t>
  </si>
  <si>
    <t>CCD- ANT- ARQUITECTURA Y DESARROLLOS</t>
  </si>
  <si>
    <t>AGENCIA NACIONAL DE TIERRAS</t>
  </si>
  <si>
    <t>TELEFONICA-RNEC-ELECCIONES 2024</t>
  </si>
  <si>
    <t>RUNT- MIGRACIÓN MEGA</t>
  </si>
  <si>
    <t>ERT-URT-SERVIDORES</t>
  </si>
  <si>
    <t>URT</t>
  </si>
  <si>
    <t>SNR-MIGRACION FOLIO A SIR-BID</t>
  </si>
  <si>
    <t>UNIEMPRESARIAL-INFRAESTRUC ALIBABA</t>
  </si>
  <si>
    <t>UNIEMPRESARIAL</t>
  </si>
  <si>
    <t>DNP- LICENCIAMIENTO MEGAHOPEX</t>
  </si>
  <si>
    <t>UT TRANSITO PASTO - FRIREWALL SEMAFOROS</t>
  </si>
  <si>
    <t>COMREDES - URT - SOLUCIÓN HCI FASE II</t>
  </si>
  <si>
    <t>COMREDES</t>
  </si>
  <si>
    <t>PHARMBILLS - SEGURIDAD Y UPS</t>
  </si>
  <si>
    <t>PHARMBILLS</t>
  </si>
  <si>
    <t>Infraestructura, ciberseguridad</t>
  </si>
  <si>
    <t>362-1</t>
  </si>
  <si>
    <t>CCD- PGN - PGN MDA INTEGRAL</t>
  </si>
  <si>
    <t>Infraestructura, servicios gestionados</t>
  </si>
  <si>
    <t>CCD-CONSEJO NACIONAL CNE-LICENCIAMIENTO</t>
  </si>
  <si>
    <t>Infrestructura, Ciberseguridad</t>
  </si>
  <si>
    <t>SOPORTE - MEGA HOPEX - IDU</t>
  </si>
  <si>
    <t>Categoría de proyecto</t>
  </si>
  <si>
    <t>Utilidad del proyecto</t>
  </si>
  <si>
    <t>Fecha de finalización</t>
  </si>
  <si>
    <t>Monto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</si>
</sst>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0.000%"/>
    <numFmt numFmtId="165" formatCode="_-&quot;$&quot;\ * #,##0_-;\-&quot;$&quot;\ * #,##0_-;_-&quot;$&quot;\ * &quot;-&quot;??_-;_-@_-"/>
    <numFmt numFmtId="166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b/>
      <sz val="10"/>
      <name val="Century Gothic"/>
      <family val="2"/>
    </font>
    <font>
      <b/>
      <sz val="10"/>
      <color theme="0"/>
      <name val="Century Gothic"/>
      <family val="2"/>
    </font>
    <font>
      <sz val="10"/>
      <color rgb="FFFF0000"/>
      <name val="Century Gothic"/>
      <family val="2"/>
    </font>
    <font>
      <sz val="10"/>
      <name val="Century Gothic"/>
      <family val="2"/>
    </font>
    <font>
      <b/>
      <sz val="10"/>
      <color theme="6" tint="0.39997558519241921"/>
      <name val="Century Gothic"/>
      <family val="2"/>
    </font>
    <font>
      <b/>
      <sz val="10"/>
      <color rgb="FF00B05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54">
    <xf numFmtId="0" fontId="0" fillId="0" borderId="0" xfId="0"/>
    <xf numFmtId="0" fontId="2" fillId="0" borderId="0" xfId="0" applyFont="1"/>
    <xf numFmtId="1" fontId="2" fillId="0" borderId="0" xfId="0" applyNumberFormat="1" applyFont="1" applyAlignment="1">
      <alignment horizontal="center"/>
    </xf>
    <xf numFmtId="164" fontId="2" fillId="0" borderId="0" xfId="2" applyNumberFormat="1" applyFont="1"/>
    <xf numFmtId="165" fontId="2" fillId="0" borderId="0" xfId="0" applyNumberFormat="1" applyFont="1"/>
    <xf numFmtId="165" fontId="2" fillId="0" borderId="0" xfId="1" applyNumberFormat="1" applyFont="1"/>
    <xf numFmtId="9" fontId="2" fillId="0" borderId="0" xfId="2" applyFont="1"/>
    <xf numFmtId="165" fontId="4" fillId="2" borderId="1" xfId="3" applyNumberFormat="1" applyFont="1" applyFill="1" applyBorder="1" applyAlignment="1">
      <alignment horizontal="center" vertical="center" wrapText="1"/>
    </xf>
    <xf numFmtId="14" fontId="4" fillId="2" borderId="1" xfId="3" applyNumberFormat="1" applyFont="1" applyFill="1" applyBorder="1" applyAlignment="1">
      <alignment horizontal="center" vertical="center" wrapText="1"/>
    </xf>
    <xf numFmtId="1" fontId="3" fillId="3" borderId="1" xfId="3" applyNumberFormat="1" applyFont="1" applyFill="1" applyBorder="1" applyAlignment="1">
      <alignment horizontal="center" vertical="center" wrapText="1"/>
    </xf>
    <xf numFmtId="165" fontId="4" fillId="4" borderId="1" xfId="3" applyNumberFormat="1" applyFont="1" applyFill="1" applyBorder="1" applyAlignment="1">
      <alignment horizontal="center" vertical="center" wrapText="1"/>
    </xf>
    <xf numFmtId="9" fontId="4" fillId="4" borderId="1" xfId="4" applyFont="1" applyFill="1" applyBorder="1" applyAlignment="1">
      <alignment horizontal="center" vertical="center" wrapText="1"/>
    </xf>
    <xf numFmtId="165" fontId="4" fillId="5" borderId="1" xfId="3" applyNumberFormat="1" applyFont="1" applyFill="1" applyBorder="1" applyAlignment="1">
      <alignment horizontal="center" vertical="center" wrapText="1"/>
    </xf>
    <xf numFmtId="165" fontId="3" fillId="6" borderId="1" xfId="3" applyNumberFormat="1" applyFont="1" applyFill="1" applyBorder="1" applyAlignment="1">
      <alignment horizontal="center" vertical="center" wrapText="1"/>
    </xf>
    <xf numFmtId="165" fontId="4" fillId="7" borderId="1" xfId="3" applyNumberFormat="1" applyFont="1" applyFill="1" applyBorder="1" applyAlignment="1">
      <alignment horizontal="center" vertical="center" wrapText="1"/>
    </xf>
    <xf numFmtId="165" fontId="3" fillId="8" borderId="1" xfId="3" applyNumberFormat="1" applyFont="1" applyFill="1" applyBorder="1" applyAlignment="1">
      <alignment horizontal="center" vertical="center" wrapText="1"/>
    </xf>
    <xf numFmtId="10" fontId="4" fillId="7" borderId="1" xfId="2" applyNumberFormat="1" applyFont="1" applyFill="1" applyBorder="1" applyAlignment="1">
      <alignment horizontal="center" vertical="center" wrapText="1"/>
    </xf>
    <xf numFmtId="10" fontId="4" fillId="9" borderId="2" xfId="2" applyNumberFormat="1" applyFont="1" applyFill="1" applyBorder="1" applyAlignment="1">
      <alignment horizontal="center" vertical="center" wrapText="1"/>
    </xf>
    <xf numFmtId="165" fontId="4" fillId="7" borderId="2" xfId="3" applyNumberFormat="1" applyFont="1" applyFill="1" applyBorder="1" applyAlignment="1">
      <alignment horizontal="center" vertical="center" wrapText="1"/>
    </xf>
    <xf numFmtId="0" fontId="2" fillId="0" borderId="0" xfId="5" applyAlignment="1">
      <alignment horizontal="center"/>
    </xf>
    <xf numFmtId="0" fontId="2" fillId="0" borderId="0" xfId="5"/>
    <xf numFmtId="9" fontId="2" fillId="0" borderId="0" xfId="5" applyNumberFormat="1"/>
    <xf numFmtId="1" fontId="2" fillId="0" borderId="0" xfId="5" applyNumberFormat="1"/>
    <xf numFmtId="0" fontId="2" fillId="0" borderId="0" xfId="0" applyFont="1" applyProtection="1">
      <protection locked="0"/>
    </xf>
    <xf numFmtId="0" fontId="2" fillId="10" borderId="0" xfId="0" applyFont="1" applyFill="1" applyProtection="1">
      <protection locked="0"/>
    </xf>
    <xf numFmtId="14" fontId="2" fillId="0" borderId="0" xfId="0" applyNumberFormat="1" applyFont="1" applyProtection="1">
      <protection locked="0"/>
    </xf>
    <xf numFmtId="1" fontId="2" fillId="0" borderId="0" xfId="0" applyNumberFormat="1" applyFont="1" applyAlignment="1" applyProtection="1">
      <alignment horizontal="center"/>
      <protection locked="0"/>
    </xf>
    <xf numFmtId="165" fontId="2" fillId="0" borderId="0" xfId="1" applyNumberFormat="1" applyFont="1" applyFill="1"/>
    <xf numFmtId="9" fontId="2" fillId="0" borderId="0" xfId="2" applyFont="1" applyAlignment="1">
      <alignment horizontal="center"/>
    </xf>
    <xf numFmtId="165" fontId="2" fillId="0" borderId="0" xfId="1" applyNumberFormat="1" applyFont="1" applyAlignment="1">
      <alignment horizontal="center"/>
    </xf>
    <xf numFmtId="10" fontId="2" fillId="6" borderId="0" xfId="2" applyNumberFormat="1" applyFont="1" applyFill="1" applyAlignment="1">
      <alignment horizontal="center"/>
    </xf>
    <xf numFmtId="10" fontId="2" fillId="0" borderId="0" xfId="2" applyNumberFormat="1" applyFont="1" applyAlignment="1">
      <alignment horizontal="center"/>
    </xf>
    <xf numFmtId="14" fontId="2" fillId="0" borderId="0" xfId="5" applyNumberFormat="1"/>
    <xf numFmtId="165" fontId="2" fillId="0" borderId="0" xfId="1" applyNumberFormat="1" applyFont="1" applyFill="1" applyAlignment="1">
      <alignment horizontal="center"/>
    </xf>
    <xf numFmtId="9" fontId="2" fillId="0" borderId="0" xfId="2" applyFont="1" applyFill="1" applyAlignment="1">
      <alignment horizontal="center"/>
    </xf>
    <xf numFmtId="0" fontId="2" fillId="10" borderId="0" xfId="5" applyFill="1"/>
    <xf numFmtId="14" fontId="5" fillId="0" borderId="0" xfId="5" applyNumberFormat="1" applyFont="1"/>
    <xf numFmtId="9" fontId="2" fillId="11" borderId="0" xfId="2" applyFont="1" applyFill="1" applyAlignment="1">
      <alignment horizontal="center"/>
    </xf>
    <xf numFmtId="0" fontId="6" fillId="0" borderId="0" xfId="5" applyFont="1"/>
    <xf numFmtId="165" fontId="7" fillId="0" borderId="0" xfId="1" applyNumberFormat="1" applyFont="1" applyFill="1"/>
    <xf numFmtId="165" fontId="8" fillId="0" borderId="0" xfId="1" applyNumberFormat="1" applyFont="1" applyFill="1"/>
    <xf numFmtId="165" fontId="8" fillId="0" borderId="0" xfId="1" applyNumberFormat="1" applyFont="1" applyFill="1" applyAlignment="1">
      <alignment horizontal="center"/>
    </xf>
    <xf numFmtId="165" fontId="8" fillId="0" borderId="0" xfId="1" applyNumberFormat="1" applyFont="1"/>
    <xf numFmtId="165" fontId="2" fillId="8" borderId="0" xfId="1" applyNumberFormat="1" applyFont="1" applyFill="1"/>
    <xf numFmtId="165" fontId="8" fillId="0" borderId="0" xfId="1" applyNumberFormat="1" applyFont="1" applyAlignment="1">
      <alignment horizontal="center"/>
    </xf>
    <xf numFmtId="165" fontId="7" fillId="0" borderId="0" xfId="1" applyNumberFormat="1" applyFont="1"/>
    <xf numFmtId="0" fontId="6" fillId="10" borderId="0" xfId="0" applyFont="1" applyFill="1" applyProtection="1">
      <protection locked="0"/>
    </xf>
    <xf numFmtId="10" fontId="2" fillId="12" borderId="0" xfId="2" applyNumberFormat="1" applyFont="1" applyFill="1" applyAlignment="1">
      <alignment horizontal="center"/>
    </xf>
    <xf numFmtId="9" fontId="2" fillId="0" borderId="0" xfId="0" applyNumberFormat="1" applyFont="1"/>
    <xf numFmtId="0" fontId="2" fillId="10" borderId="0" xfId="0" applyFont="1" applyFill="1"/>
    <xf numFmtId="9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</cellXfs>
  <cellStyles count="6">
    <cellStyle name="Moneda" xfId="1" builtinId="4"/>
    <cellStyle name="Moneda 2 2" xfId="3" xr:uid="{E77C11EF-9F09-492C-8BC4-59C8F438A86D}"/>
    <cellStyle name="Normal" xfId="0" builtinId="0"/>
    <cellStyle name="Normal 2 2" xfId="5" xr:uid="{4C4DA6FB-8372-419C-A767-B97892475532}"/>
    <cellStyle name="Porcentaje" xfId="2" builtinId="5"/>
    <cellStyle name="Porcentaje 2 2" xfId="4" xr:uid="{0C689526-1B23-416E-91D2-1B882C5F5CEC}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&quot;$&quot;\ * #,##0_-;\-&quot;$&quot;\ * #,##0_-;_-&quot;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&quot;$&quot;\ * #,##0_-;\-&quot;$&quot;\ * #,##0_-;_-&quot;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&quot;$&quot;\ * #,##0_-;\-&quot;$&quot;\ * #,##0_-;_-&quot;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&quot;$&quot;\ * #,##0_-;\-&quot;$&quot;\ * #,##0_-;_-&quot;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6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&quot;$&quot;\ * #,##0_-;\-&quot;$&quot;\ * #,##0_-;_-&quot;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&quot;$&quot;\ * #,##0_-;\-&quot;$&quot;\ * #,##0_-;_-&quot;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&quot;$&quot;\ * #,##0_-;\-&quot;$&quot;\ * #,##0_-;_-&quot;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6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  <numFmt numFmtId="1" formatCode="0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ill>
        <patternFill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CFFA57-9AAA-4865-8F4D-98DF543A9B03}" name="Tabla1" displayName="Tabla1" ref="B1:AE81" totalsRowCount="1" headerRowDxfId="68" dataDxfId="67">
  <autoFilter ref="B1:AE80" xr:uid="{A0CFFA57-9AAA-4865-8F4D-98DF543A9B03}"/>
  <tableColumns count="30">
    <tableColumn id="41" xr3:uid="{B1007A1C-4474-4F61-B91A-46317B7DE0AC}" name="filtro" dataDxfId="66" totalsRowDxfId="65"/>
    <tableColumn id="1" xr3:uid="{D6E1344A-8826-4ABF-8F53-D68F15FF4D97}" name="CC" dataDxfId="64" totalsRowDxfId="63"/>
    <tableColumn id="2" xr3:uid="{59074078-5BB1-4C23-934A-4B9227215475}" name="Nombre del proyecto" dataDxfId="62" totalsRowDxfId="61"/>
    <tableColumn id="4" xr3:uid="{A8CC2690-3CEF-4E79-A9B7-8E8DDBA06A00}" name="Línea de negocio" dataDxfId="60" totalsRowDxfId="59"/>
    <tableColumn id="17" xr3:uid="{8A621142-1820-4835-867D-A09F98ADAF40}" name="% línea sobre el proyecto" dataDxfId="58" totalsRowDxfId="57" dataCellStyle="Normal 2 2"/>
    <tableColumn id="8" xr3:uid="{DA9725DE-615D-4B94-83C6-25B7BAB72E0F}" name="No. Personas" dataDxfId="56" totalsRowDxfId="55" dataCellStyle="Normal 2 2" totalsRowCellStyle="Normal 2 2"/>
    <tableColumn id="5" xr3:uid="{B6B5D035-50F1-4B1F-AD9D-39CABB8D0D1E}" name="Cliente Directo " dataDxfId="54" totalsRowDxfId="53"/>
    <tableColumn id="3" xr3:uid="{42035404-AB83-4410-BA1A-356627920067}" name="Cliente Final " dataDxfId="52" totalsRowDxfId="51" dataCellStyle="Normal 2 2"/>
    <tableColumn id="40" xr3:uid="{E939C71B-B6E0-4DE8-9B4E-5DC3C7C4C3F4}" name="Categoría de proyecto" dataDxfId="50" totalsRowDxfId="49" dataCellStyle="Normal 2 2"/>
    <tableColumn id="6" xr3:uid="{B78D2A7B-B6C5-4CF3-A438-F161AA4130CC}" name="Fecha Incio" dataDxfId="48" totalsRowDxfId="47"/>
    <tableColumn id="7" xr3:uid="{55D41A47-CF72-4E46-9FB7-B75F91640EEF}" name="Fecha de finalización" dataDxfId="46" totalsRowDxfId="45"/>
    <tableColumn id="31" xr3:uid="{77842290-FE7A-4778-BEE3-DAE08D71D101}" name="AÑO" dataDxfId="44" totalsRowDxfId="17">
      <calculatedColumnFormula>IF(Tabla1[[#This Row],[CC]]="","",YEAR(Tabla1[[#This Row],[Fecha Incio]]))</calculatedColumnFormula>
    </tableColumn>
    <tableColumn id="11" xr3:uid="{7D5EC796-F724-46B0-938F-45E09459045C}" name="Monto del Proyecto" dataDxfId="43" totalsRowDxfId="42"/>
    <tableColumn id="13" xr3:uid="{AF055216-ED68-44D3-8D7C-456AC00D4D6D}" name="Presupuesto ingreso al corte" dataDxfId="41" totalsRowDxfId="16" dataCellStyle="Moneda"/>
    <tableColumn id="14" xr3:uid="{B64A1C5B-545E-4051-AF35-9607C2D0700A}" name="Facturación Real a diciembre 31" dataDxfId="40" totalsRowDxfId="15" dataCellStyle="Moneda"/>
    <tableColumn id="15" xr3:uid="{DD61EDB6-4C53-40D3-B10C-27C9D721E932}" name="% avance de proyección de facturación " dataDxfId="39" totalsRowDxfId="14" dataCellStyle="Porcentaje">
      <calculatedColumnFormula>IFERROR(O2/N2,0)</calculatedColumnFormula>
    </tableColumn>
    <tableColumn id="16" xr3:uid="{822AAE5D-D7B4-4149-B165-498885430EE2}" name="% avance de facturación contra presupuesto al corte" dataDxfId="38" totalsRowDxfId="13" dataCellStyle="Porcentaje">
      <calculatedColumnFormula>+IFERROR(P2/N2,0)</calculatedColumnFormula>
    </tableColumn>
    <tableColumn id="20" xr3:uid="{6BEC9503-E591-4564-9D60-BB0A2429E5A1}" name="Costo modelo a Corte" dataDxfId="37" totalsRowDxfId="12" dataCellStyle="Moneda"/>
    <tableColumn id="23" xr3:uid="{7F515093-6DB7-4C38-9856-FEE873DAB4F0}" name="Costo Contable a Corte" dataDxfId="36" totalsRowDxfId="11" dataCellStyle="Moneda"/>
    <tableColumn id="24" xr3:uid="{1722E37D-CD25-4837-9074-4270D42B437E}" name="Costo pendiente por ejecutar" dataDxfId="35" totalsRowDxfId="10" dataCellStyle="Moneda">
      <calculatedColumnFormula>+Tabla1[[#This Row],[Costo modelo a Corte]]-Tabla1[[#This Row],[Costo Contable a Corte]]</calculatedColumnFormula>
    </tableColumn>
    <tableColumn id="25" xr3:uid="{53D286F1-2C79-4D3F-80D6-D4298ECFA31F}" name="% Costo Proyectados vs Ejecutado" dataDxfId="34" totalsRowDxfId="9" dataCellStyle="Porcentaje">
      <calculatedColumnFormula>+IFERROR(T2/Tabla1[[#This Row],[Costo modelo a Corte]],0)</calculatedColumnFormula>
    </tableColumn>
    <tableColumn id="26" xr3:uid="{9135EF4D-F4DB-40E7-95E6-66CE6EDF310F}" name="Gasto Modelo a Corte" dataDxfId="33" totalsRowDxfId="8" dataCellStyle="Moneda"/>
    <tableColumn id="27" xr3:uid="{8A748D18-49F4-427E-8BA2-ED432121BE71}" name="Gasto Ejecutado a Corte" dataDxfId="32" totalsRowDxfId="7" dataCellStyle="Moneda"/>
    <tableColumn id="32" xr3:uid="{16067F4C-392C-4160-9AEA-6EA6E1625B22}" name="Gasto Ejecutado con % Avance " dataDxfId="31" totalsRowDxfId="6" dataCellStyle="Moneda">
      <calculatedColumnFormula>+(Tabla1[[#This Row],[Facturación Real a diciembre 31]]/Tabla1[[#This Row],[Monto del Proyecto]])*Tabla1[[#This Row],[Gasto Modelo a Corte]]</calculatedColumnFormula>
    </tableColumn>
    <tableColumn id="28" xr3:uid="{C6B0D7D4-49C8-40E1-B662-3F00C2AE73B4}" name="Utilidad Operacional Total  de MF" dataDxfId="30" totalsRowDxfId="5" dataCellStyle="Porcentaje"/>
    <tableColumn id="29" xr3:uid="{6C33EB80-4589-4ADB-AEC8-CDDB7E750B7D}" name="Utilidad Operativa del modelo a Corte" dataDxfId="29" totalsRowDxfId="4" dataCellStyle="Porcentaje">
      <calculatedColumnFormula>IFERROR((O2-S2-W2)/O2,0)</calculatedColumnFormula>
    </tableColumn>
    <tableColumn id="33" xr3:uid="{1A7C4605-D0AC-4150-91B2-EA5F43696502}" name="Utilidad del proyecto" dataDxfId="28" totalsRowDxfId="3" dataCellStyle="Porcentaje">
      <calculatedColumnFormula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calculatedColumnFormula>
    </tableColumn>
    <tableColumn id="34" xr3:uid="{500761B0-BF9A-4F12-ABB0-BFC00DED5E91}" name="Estado" dataDxfId="27" totalsRowDxfId="2" dataCellStyle="Porcentaje"/>
    <tableColumn id="35" xr3:uid="{CFD8769C-30F7-409A-8600-FEA986618D4B}" name="Ponderado" dataDxfId="26" totalsRowDxfId="1" dataCellStyle="Porcentaje">
      <calculatedColumnFormula>+Tabla1[[#This Row],[Monto del Proyecto]]/#REF!</calculatedColumnFormula>
    </tableColumn>
    <tableColumn id="36" xr3:uid="{B51FE41A-2351-452D-8395-9AF776F46E16}" name="Utilidad al Corte" dataDxfId="25" totalsRowDxfId="0" dataCellStyle="Porcentaje">
      <calculatedColumnFormula>+AD2*AB2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9AB0-D9EE-44A7-9384-0EE3882D1545}">
  <dimension ref="B1:AF85"/>
  <sheetViews>
    <sheetView tabSelected="1" topLeftCell="I1" workbookViewId="0">
      <selection activeCell="N1" sqref="N1"/>
    </sheetView>
  </sheetViews>
  <sheetFormatPr baseColWidth="10" defaultColWidth="11.453125" defaultRowHeight="14.5" x14ac:dyDescent="0.35"/>
  <cols>
    <col min="1" max="1" width="4.54296875" style="1" customWidth="1"/>
    <col min="2" max="2" width="5.453125" style="1" hidden="1" customWidth="1"/>
    <col min="3" max="3" width="10.26953125" style="1" bestFit="1" customWidth="1"/>
    <col min="4" max="4" width="47.81640625" style="1" bestFit="1" customWidth="1"/>
    <col min="5" max="5" width="27.453125" style="1" customWidth="1"/>
    <col min="6" max="6" width="10.81640625" style="1" customWidth="1"/>
    <col min="7" max="7" width="14.1796875" style="1" customWidth="1"/>
    <col min="8" max="8" width="26.54296875" style="1" customWidth="1"/>
    <col min="9" max="9" width="43.7265625" style="1" customWidth="1"/>
    <col min="10" max="10" width="26.54296875" style="1" customWidth="1"/>
    <col min="11" max="11" width="18.26953125" style="1" customWidth="1"/>
    <col min="12" max="12" width="16.453125" style="1" customWidth="1"/>
    <col min="13" max="13" width="11.54296875" style="2" customWidth="1"/>
    <col min="14" max="14" width="23.1796875" style="1" customWidth="1"/>
    <col min="15" max="15" width="21.7265625" style="1" customWidth="1"/>
    <col min="16" max="16" width="23.54296875" style="1" customWidth="1"/>
    <col min="17" max="18" width="23.26953125" style="1" customWidth="1"/>
    <col min="19" max="19" width="23.1796875" style="1" customWidth="1"/>
    <col min="20" max="20" width="21.7265625" style="1" customWidth="1"/>
    <col min="21" max="21" width="23.54296875" style="1" customWidth="1"/>
    <col min="22" max="22" width="19.26953125" style="1" customWidth="1"/>
    <col min="23" max="23" width="20.54296875" style="1" customWidth="1"/>
    <col min="24" max="25" width="22.26953125" style="1" customWidth="1"/>
    <col min="26" max="26" width="23.81640625" style="1" customWidth="1"/>
    <col min="27" max="27" width="32.81640625" style="1" customWidth="1"/>
    <col min="28" max="28" width="22.7265625" style="1" customWidth="1"/>
    <col min="29" max="29" width="17.81640625" style="1" bestFit="1" customWidth="1"/>
    <col min="30" max="30" width="15.7265625" style="1" customWidth="1"/>
    <col min="31" max="31" width="11.453125" style="1"/>
    <col min="33" max="16384" width="11.453125" style="1"/>
  </cols>
  <sheetData>
    <row r="1" spans="2:31" ht="37.5" x14ac:dyDescent="0.35">
      <c r="B1" s="1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187</v>
      </c>
      <c r="K1" s="8" t="s">
        <v>8</v>
      </c>
      <c r="L1" s="8" t="s">
        <v>189</v>
      </c>
      <c r="M1" s="9" t="s">
        <v>9</v>
      </c>
      <c r="N1" s="10" t="s">
        <v>190</v>
      </c>
      <c r="O1" s="10" t="s">
        <v>10</v>
      </c>
      <c r="P1" s="10" t="s">
        <v>11</v>
      </c>
      <c r="Q1" s="10" t="s">
        <v>12</v>
      </c>
      <c r="R1" s="11" t="s">
        <v>13</v>
      </c>
      <c r="S1" s="12" t="s">
        <v>14</v>
      </c>
      <c r="T1" s="12" t="s">
        <v>15</v>
      </c>
      <c r="U1" s="13" t="s">
        <v>16</v>
      </c>
      <c r="V1" s="12" t="s">
        <v>17</v>
      </c>
      <c r="W1" s="14" t="s">
        <v>18</v>
      </c>
      <c r="X1" s="14" t="s">
        <v>19</v>
      </c>
      <c r="Y1" s="14" t="s">
        <v>20</v>
      </c>
      <c r="Z1" s="15" t="s">
        <v>21</v>
      </c>
      <c r="AA1" s="16" t="s">
        <v>22</v>
      </c>
      <c r="AB1" s="17" t="s">
        <v>188</v>
      </c>
      <c r="AC1" s="18" t="s">
        <v>23</v>
      </c>
      <c r="AD1" s="18" t="s">
        <v>24</v>
      </c>
      <c r="AE1" s="18" t="s">
        <v>25</v>
      </c>
    </row>
    <row r="2" spans="2:31" x14ac:dyDescent="0.35">
      <c r="B2" s="1">
        <v>0</v>
      </c>
      <c r="C2" s="19" t="s">
        <v>26</v>
      </c>
      <c r="D2" s="20" t="s">
        <v>27</v>
      </c>
      <c r="E2" s="20" t="s">
        <v>28</v>
      </c>
      <c r="F2" s="21">
        <v>1</v>
      </c>
      <c r="G2" s="22">
        <v>2</v>
      </c>
      <c r="H2" s="23" t="s">
        <v>29</v>
      </c>
      <c r="I2" s="23" t="s">
        <v>29</v>
      </c>
      <c r="J2" s="24" t="s">
        <v>30</v>
      </c>
      <c r="K2" s="25">
        <v>44896</v>
      </c>
      <c r="L2" s="25">
        <v>45627</v>
      </c>
      <c r="M2" s="26">
        <f>IF(Tabla1[[#This Row],[CC]]="","",YEAR(Tabla1[[#This Row],[Fecha Incio]]))</f>
        <v>2022</v>
      </c>
      <c r="N2" s="5">
        <v>3146418000</v>
      </c>
      <c r="O2" s="27">
        <v>3150483053.0924377</v>
      </c>
      <c r="P2" s="5">
        <f>(2474303673.75+1503741858.86+230254937.54)*0.75</f>
        <v>3156225352.6124997</v>
      </c>
      <c r="Q2" s="28">
        <f t="shared" ref="Q2:Q65" si="0">IFERROR(O2/N2,0)</f>
        <v>1.0012919621907952</v>
      </c>
      <c r="R2" s="28">
        <f t="shared" ref="R2:R65" si="1">+IFERROR(P2/N2,0)</f>
        <v>1.003116989736424</v>
      </c>
      <c r="S2" s="5">
        <v>2058544144.8054767</v>
      </c>
      <c r="T2" s="27">
        <v>1798114968.7049997</v>
      </c>
      <c r="U2" s="27">
        <f>+Tabla1[[#This Row],[Costo modelo a Corte]]-Tabla1[[#This Row],[Costo Contable a Corte]]</f>
        <v>260429176.10047698</v>
      </c>
      <c r="V2" s="28">
        <f>+IFERROR(T2/Tabla1[[#This Row],[Costo modelo a Corte]],0)</f>
        <v>0.87348866102403333</v>
      </c>
      <c r="W2" s="29">
        <v>508745199.16189325</v>
      </c>
      <c r="X2" s="29">
        <v>1321050343.0274999</v>
      </c>
      <c r="Y2" s="29">
        <f>+(Tabla1[[#This Row],[Facturación Real a diciembre 31]]/Tabla1[[#This Row],[Monto del Proyecto]])*Tabla1[[#This Row],[Gasto Modelo a Corte]]</f>
        <v>510330952.72613585</v>
      </c>
      <c r="Z2" s="28">
        <v>5.8139016235694597E-2</v>
      </c>
      <c r="AA2" s="28">
        <f t="shared" ref="AA2:AA65" si="2">IFERROR((O2-S2-W2)/O2,0)</f>
        <v>0.18511247300715331</v>
      </c>
      <c r="AB2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1.1741886823551569E-2</v>
      </c>
      <c r="AC2" s="30" t="s">
        <v>31</v>
      </c>
      <c r="AD2" s="31" t="e">
        <f>+Tabla1[[#This Row],[Monto del Proyecto]]/#REF!</f>
        <v>#REF!</v>
      </c>
      <c r="AE2" s="31" t="e">
        <f>+AD2*AB2</f>
        <v>#REF!</v>
      </c>
    </row>
    <row r="3" spans="2:31" x14ac:dyDescent="0.35">
      <c r="B3" s="1">
        <v>0</v>
      </c>
      <c r="C3" s="19" t="s">
        <v>32</v>
      </c>
      <c r="D3" s="20" t="s">
        <v>33</v>
      </c>
      <c r="E3" s="20" t="s">
        <v>34</v>
      </c>
      <c r="F3" s="21">
        <v>1</v>
      </c>
      <c r="G3" s="22">
        <v>29</v>
      </c>
      <c r="H3" s="20" t="s">
        <v>35</v>
      </c>
      <c r="I3" s="20" t="s">
        <v>35</v>
      </c>
      <c r="J3" s="24" t="s">
        <v>36</v>
      </c>
      <c r="K3" s="32">
        <v>45550</v>
      </c>
      <c r="L3" s="32">
        <v>45687</v>
      </c>
      <c r="M3" s="26">
        <f>IF(Tabla1[[#This Row],[CC]]="","",YEAR(Tabla1[[#This Row],[Fecha Incio]]))</f>
        <v>2024</v>
      </c>
      <c r="N3" s="27">
        <v>1835052775.0113449</v>
      </c>
      <c r="O3" s="27">
        <v>2205000000</v>
      </c>
      <c r="P3" s="27">
        <v>1835052775.0113449</v>
      </c>
      <c r="Q3" s="28">
        <f t="shared" si="0"/>
        <v>1.2016003190896611</v>
      </c>
      <c r="R3" s="28">
        <f t="shared" si="1"/>
        <v>1</v>
      </c>
      <c r="S3" s="27">
        <v>1655464471.2</v>
      </c>
      <c r="T3" s="27">
        <v>1367779984.0964999</v>
      </c>
      <c r="U3" s="27">
        <f>+Tabla1[[#This Row],[Costo modelo a Corte]]-Tabla1[[#This Row],[Costo Contable a Corte]]</f>
        <v>287684487.10350013</v>
      </c>
      <c r="V3" s="28">
        <f>+IFERROR(T3/Tabla1[[#This Row],[Costo modelo a Corte]],0)</f>
        <v>0.82622128586367927</v>
      </c>
      <c r="W3" s="33">
        <v>147401568.79238817</v>
      </c>
      <c r="X3" s="33">
        <v>208375541.33399999</v>
      </c>
      <c r="Y3" s="33">
        <f>+(Tabla1[[#This Row],[Facturación Real a diciembre 31]]/Tabla1[[#This Row],[Monto del Proyecto]])*Tabla1[[#This Row],[Gasto Modelo a Corte]]</f>
        <v>147401568.79238817</v>
      </c>
      <c r="Z3" s="28">
        <v>0.18939503940356883</v>
      </c>
      <c r="AA3" s="28">
        <f t="shared" si="2"/>
        <v>0.18237367800798718</v>
      </c>
      <c r="AB3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0.14108436177223529</v>
      </c>
      <c r="AC3" s="30" t="s">
        <v>31</v>
      </c>
      <c r="AD3" s="31" t="e">
        <f>+Tabla1[[#This Row],[Monto del Proyecto]]/#REF!</f>
        <v>#REF!</v>
      </c>
      <c r="AE3" s="31" t="e">
        <f t="shared" ref="AE3:AE66" si="3">+AD3*AB3</f>
        <v>#REF!</v>
      </c>
    </row>
    <row r="4" spans="2:31" x14ac:dyDescent="0.35">
      <c r="B4" s="1">
        <v>0</v>
      </c>
      <c r="C4" s="19" t="s">
        <v>37</v>
      </c>
      <c r="D4" s="20" t="s">
        <v>38</v>
      </c>
      <c r="E4" s="20" t="s">
        <v>34</v>
      </c>
      <c r="F4" s="21">
        <v>0.8</v>
      </c>
      <c r="G4" s="22">
        <v>9</v>
      </c>
      <c r="H4" s="20" t="s">
        <v>39</v>
      </c>
      <c r="I4" s="20" t="s">
        <v>39</v>
      </c>
      <c r="J4" s="24" t="s">
        <v>40</v>
      </c>
      <c r="K4" s="32">
        <v>45566</v>
      </c>
      <c r="L4" s="32">
        <v>45657</v>
      </c>
      <c r="M4" s="26">
        <f>IF(Tabla1[[#This Row],[CC]]="","",YEAR(Tabla1[[#This Row],[Fecha Incio]]))</f>
        <v>2024</v>
      </c>
      <c r="N4" s="27">
        <f>2300969705.88235*0.8</f>
        <v>1840775764.7058802</v>
      </c>
      <c r="O4" s="27">
        <f>2070872943.35882*0.8</f>
        <v>1656698354.6870561</v>
      </c>
      <c r="P4" s="27">
        <f>2300969705.88235*0.8</f>
        <v>1840775764.7058802</v>
      </c>
      <c r="Q4" s="28">
        <f t="shared" si="0"/>
        <v>0.90000009042479101</v>
      </c>
      <c r="R4" s="28">
        <f t="shared" si="1"/>
        <v>1</v>
      </c>
      <c r="S4" s="27">
        <f>812393767.057559*0.8</f>
        <v>649915013.64604723</v>
      </c>
      <c r="T4" s="27">
        <f>637309398.761*0.8</f>
        <v>509847519.00880003</v>
      </c>
      <c r="U4" s="27">
        <f>+Tabla1[[#This Row],[Costo modelo a Corte]]-Tabla1[[#This Row],[Costo Contable a Corte]]</f>
        <v>140067494.6372472</v>
      </c>
      <c r="V4" s="28">
        <f>+IFERROR(T4/Tabla1[[#This Row],[Costo modelo a Corte]],0)</f>
        <v>0.78448336829231968</v>
      </c>
      <c r="W4" s="33">
        <f>483600605.358042*0.8</f>
        <v>386880484.28643364</v>
      </c>
      <c r="X4" s="33">
        <f>1643430383.644*0.8</f>
        <v>1314744306.9152002</v>
      </c>
      <c r="Y4" s="33">
        <f>+(Tabla1[[#This Row],[Facturación Real a diciembre 31]]/Tabla1[[#This Row],[Monto del Proyecto]])*Tabla1[[#This Row],[Gasto Modelo a Corte]]</f>
        <v>386880484.28643364</v>
      </c>
      <c r="Z4" s="28">
        <v>0.3847858379805551</v>
      </c>
      <c r="AA4" s="28">
        <f t="shared" si="2"/>
        <v>0.37417967791226092</v>
      </c>
      <c r="AB4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8.7919121341027522E-3</v>
      </c>
      <c r="AC4" s="30" t="s">
        <v>31</v>
      </c>
      <c r="AD4" s="31" t="e">
        <f>+Tabla1[[#This Row],[Monto del Proyecto]]/#REF!</f>
        <v>#REF!</v>
      </c>
      <c r="AE4" s="31" t="e">
        <f t="shared" si="3"/>
        <v>#REF!</v>
      </c>
    </row>
    <row r="5" spans="2:31" x14ac:dyDescent="0.35">
      <c r="B5" s="1">
        <v>0</v>
      </c>
      <c r="C5" s="19" t="s">
        <v>37</v>
      </c>
      <c r="D5" s="20" t="s">
        <v>38</v>
      </c>
      <c r="E5" s="20" t="s">
        <v>41</v>
      </c>
      <c r="F5" s="21">
        <v>0.2</v>
      </c>
      <c r="G5" s="22">
        <v>9</v>
      </c>
      <c r="H5" s="20" t="s">
        <v>39</v>
      </c>
      <c r="I5" s="20" t="s">
        <v>39</v>
      </c>
      <c r="J5" s="24" t="s">
        <v>40</v>
      </c>
      <c r="K5" s="32">
        <v>45566</v>
      </c>
      <c r="L5" s="32">
        <v>45657</v>
      </c>
      <c r="M5" s="26">
        <f>IF(Tabla1[[#This Row],[CC]]="","",YEAR(Tabla1[[#This Row],[Fecha Incio]]))</f>
        <v>2024</v>
      </c>
      <c r="N5" s="27">
        <f>2300969705.88235*0.2</f>
        <v>460193941.17647004</v>
      </c>
      <c r="O5" s="27">
        <f>2070872943.35882*0.2</f>
        <v>414174588.67176402</v>
      </c>
      <c r="P5" s="27">
        <f>2300969705.88235*0.2</f>
        <v>460193941.17647004</v>
      </c>
      <c r="Q5" s="28">
        <f t="shared" si="0"/>
        <v>0.90000009042479101</v>
      </c>
      <c r="R5" s="28">
        <f t="shared" si="1"/>
        <v>1</v>
      </c>
      <c r="S5" s="27">
        <f>812393767.057559*0.2</f>
        <v>162478753.41151181</v>
      </c>
      <c r="T5" s="27">
        <f>637309398.761*0.2</f>
        <v>127461879.75220001</v>
      </c>
      <c r="U5" s="27">
        <f>+Tabla1[[#This Row],[Costo modelo a Corte]]-Tabla1[[#This Row],[Costo Contable a Corte]]</f>
        <v>35016873.659311801</v>
      </c>
      <c r="V5" s="28">
        <f>+IFERROR(T5/Tabla1[[#This Row],[Costo modelo a Corte]],0)</f>
        <v>0.78448336829231968</v>
      </c>
      <c r="W5" s="33">
        <f>483600605.358042*0.2</f>
        <v>96720121.071608409</v>
      </c>
      <c r="X5" s="33">
        <f>1643430383.644*0.2</f>
        <v>328686076.72880006</v>
      </c>
      <c r="Y5" s="33">
        <f>+(Tabla1[[#This Row],[Facturación Real a diciembre 31]]/Tabla1[[#This Row],[Monto del Proyecto]])*Tabla1[[#This Row],[Gasto Modelo a Corte]]</f>
        <v>96720121.071608409</v>
      </c>
      <c r="Z5" s="28">
        <v>0.3847858379805551</v>
      </c>
      <c r="AA5" s="28">
        <f t="shared" si="2"/>
        <v>0.37417967791226092</v>
      </c>
      <c r="AB5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8.7919121341027522E-3</v>
      </c>
      <c r="AC5" s="30" t="s">
        <v>31</v>
      </c>
      <c r="AD5" s="31" t="e">
        <f>+Tabla1[[#This Row],[Monto del Proyecto]]/#REF!</f>
        <v>#REF!</v>
      </c>
      <c r="AE5" s="31" t="e">
        <f t="shared" si="3"/>
        <v>#REF!</v>
      </c>
    </row>
    <row r="6" spans="2:31" x14ac:dyDescent="0.35">
      <c r="B6" s="1">
        <v>0</v>
      </c>
      <c r="C6" s="19" t="s">
        <v>42</v>
      </c>
      <c r="D6" s="20" t="s">
        <v>43</v>
      </c>
      <c r="E6" s="20" t="s">
        <v>28</v>
      </c>
      <c r="F6" s="21">
        <v>1</v>
      </c>
      <c r="G6" s="22">
        <v>1</v>
      </c>
      <c r="H6" s="20" t="s">
        <v>44</v>
      </c>
      <c r="I6" s="20" t="s">
        <v>44</v>
      </c>
      <c r="J6" s="24" t="s">
        <v>45</v>
      </c>
      <c r="K6" s="32">
        <v>45559</v>
      </c>
      <c r="L6" s="32">
        <v>45991</v>
      </c>
      <c r="M6" s="26">
        <f>IF(Tabla1[[#This Row],[CC]]="","",YEAR(Tabla1[[#This Row],[Fecha Incio]]))</f>
        <v>2024</v>
      </c>
      <c r="N6" s="27">
        <v>4424125443</v>
      </c>
      <c r="O6" s="27">
        <v>4424128751.7199993</v>
      </c>
      <c r="P6" s="27">
        <f>+(7713203302)*59%</f>
        <v>4550789948.1799994</v>
      </c>
      <c r="Q6" s="28">
        <f t="shared" si="0"/>
        <v>1.0000007478811443</v>
      </c>
      <c r="R6" s="28">
        <f t="shared" si="1"/>
        <v>1.0286304054466657</v>
      </c>
      <c r="S6" s="27">
        <v>3340768703.918426</v>
      </c>
      <c r="T6" s="27">
        <v>3128799314.0909996</v>
      </c>
      <c r="U6" s="27">
        <f>+Tabla1[[#This Row],[Costo modelo a Corte]]-Tabla1[[#This Row],[Costo Contable a Corte]]</f>
        <v>211969389.82742643</v>
      </c>
      <c r="V6" s="28">
        <f>+IFERROR(T6/Tabla1[[#This Row],[Costo modelo a Corte]],0)</f>
        <v>0.93655071373878562</v>
      </c>
      <c r="W6" s="33">
        <v>647874446.9514761</v>
      </c>
      <c r="X6" s="33">
        <v>629866792.89779997</v>
      </c>
      <c r="Y6" s="33">
        <f>+(Tabla1[[#This Row],[Facturación Real a diciembre 31]]/Tabla1[[#This Row],[Monto del Proyecto]])*Tabla1[[#This Row],[Gasto Modelo a Corte]]</f>
        <v>666423355.04623115</v>
      </c>
      <c r="Z6" s="28">
        <v>8.4339131692564448E-2</v>
      </c>
      <c r="AA6" s="28">
        <f t="shared" si="2"/>
        <v>9.8434205984803319E-2</v>
      </c>
      <c r="AB6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0.17010589281254709</v>
      </c>
      <c r="AC6" s="30" t="s">
        <v>31</v>
      </c>
      <c r="AD6" s="31" t="e">
        <f>+Tabla1[[#This Row],[Monto del Proyecto]]/#REF!</f>
        <v>#REF!</v>
      </c>
      <c r="AE6" s="31" t="e">
        <f t="shared" si="3"/>
        <v>#REF!</v>
      </c>
    </row>
    <row r="7" spans="2:31" x14ac:dyDescent="0.35">
      <c r="B7" s="1">
        <v>0</v>
      </c>
      <c r="C7" s="19" t="s">
        <v>46</v>
      </c>
      <c r="D7" s="20" t="s">
        <v>47</v>
      </c>
      <c r="E7" s="20" t="s">
        <v>28</v>
      </c>
      <c r="F7" s="21">
        <v>1</v>
      </c>
      <c r="G7" s="22">
        <v>42</v>
      </c>
      <c r="H7" s="20" t="s">
        <v>48</v>
      </c>
      <c r="I7" s="20" t="s">
        <v>48</v>
      </c>
      <c r="J7" s="24" t="s">
        <v>49</v>
      </c>
      <c r="K7" s="32">
        <v>45649</v>
      </c>
      <c r="L7" s="32">
        <v>45929</v>
      </c>
      <c r="M7" s="26">
        <f>IF(Tabla1[[#This Row],[CC]]="","",YEAR(Tabla1[[#This Row],[Fecha Incio]]))</f>
        <v>2024</v>
      </c>
      <c r="N7" s="27">
        <v>2769912216</v>
      </c>
      <c r="O7" s="27">
        <v>2804682599.9638977</v>
      </c>
      <c r="P7" s="27">
        <f>5541286114.05*50%</f>
        <v>2770643057.0250001</v>
      </c>
      <c r="Q7" s="28">
        <f t="shared" si="0"/>
        <v>1.0125528829986206</v>
      </c>
      <c r="R7" s="28">
        <f t="shared" si="1"/>
        <v>1.000263849886931</v>
      </c>
      <c r="S7" s="27">
        <v>1699832346.0389168</v>
      </c>
      <c r="T7" s="27">
        <v>1488102595.0870602</v>
      </c>
      <c r="U7" s="27">
        <f>+Tabla1[[#This Row],[Costo modelo a Corte]]-Tabla1[[#This Row],[Costo Contable a Corte]]</f>
        <v>211729750.95185661</v>
      </c>
      <c r="V7" s="28">
        <f>+IFERROR(T7/Tabla1[[#This Row],[Costo modelo a Corte]],0)</f>
        <v>0.87544080365028587</v>
      </c>
      <c r="W7" s="33">
        <v>736894731.77456796</v>
      </c>
      <c r="X7" s="33">
        <v>136027741.14293963</v>
      </c>
      <c r="Y7" s="33">
        <f>+(Tabla1[[#This Row],[Facturación Real a diciembre 31]]/Tabla1[[#This Row],[Monto del Proyecto]])*Tabla1[[#This Row],[Gasto Modelo a Corte]]</f>
        <v>737089161.36622667</v>
      </c>
      <c r="Z7" s="28">
        <v>0.12529951156543309</v>
      </c>
      <c r="AA7" s="28">
        <f t="shared" si="2"/>
        <v>0.13119328445762429</v>
      </c>
      <c r="AB7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0.19693829877503716</v>
      </c>
      <c r="AC7" s="30" t="s">
        <v>31</v>
      </c>
      <c r="AD7" s="31" t="e">
        <f>+Tabla1[[#This Row],[Monto del Proyecto]]/#REF!</f>
        <v>#REF!</v>
      </c>
      <c r="AE7" s="31" t="e">
        <f t="shared" si="3"/>
        <v>#REF!</v>
      </c>
    </row>
    <row r="8" spans="2:31" x14ac:dyDescent="0.35">
      <c r="B8" s="1">
        <f>+Tabla1[[#This Row],[CC]]</f>
        <v>174</v>
      </c>
      <c r="C8" s="19">
        <v>174</v>
      </c>
      <c r="D8" s="20" t="s">
        <v>50</v>
      </c>
      <c r="E8" s="20" t="s">
        <v>28</v>
      </c>
      <c r="F8" s="21">
        <v>1</v>
      </c>
      <c r="G8" s="22">
        <v>34</v>
      </c>
      <c r="H8" s="20" t="s">
        <v>51</v>
      </c>
      <c r="I8" s="20" t="s">
        <v>52</v>
      </c>
      <c r="J8" s="24" t="s">
        <v>53</v>
      </c>
      <c r="K8" s="32">
        <v>44384</v>
      </c>
      <c r="L8" s="32">
        <v>45602</v>
      </c>
      <c r="M8" s="26">
        <f>IF(Tabla1[[#This Row],[CC]]="","",YEAR(Tabla1[[#This Row],[Fecha Incio]]))</f>
        <v>2021</v>
      </c>
      <c r="N8" s="27">
        <v>4364676239</v>
      </c>
      <c r="O8" s="27">
        <v>4349795350.3199997</v>
      </c>
      <c r="P8" s="27">
        <f>+(460170680+1311262844.32+1172256755+1275356219)+130748852</f>
        <v>4349795350.3199997</v>
      </c>
      <c r="Q8" s="28">
        <f t="shared" si="0"/>
        <v>0.99659060881835082</v>
      </c>
      <c r="R8" s="28">
        <f t="shared" si="1"/>
        <v>0.99659060881835082</v>
      </c>
      <c r="S8" s="27">
        <v>3633522499.9029055</v>
      </c>
      <c r="T8" s="27">
        <v>3227105029.6665001</v>
      </c>
      <c r="U8" s="27">
        <f>+Tabla1[[#This Row],[Costo modelo a Corte]]-Tabla1[[#This Row],[Costo Contable a Corte]]</f>
        <v>406417470.23640537</v>
      </c>
      <c r="V8" s="28">
        <f>+IFERROR(T8/Tabla1[[#This Row],[Costo modelo a Corte]],0)</f>
        <v>0.88814780416324224</v>
      </c>
      <c r="W8" s="33">
        <v>240306100.87610757</v>
      </c>
      <c r="X8" s="33">
        <v>43904495.960000008</v>
      </c>
      <c r="Y8" s="33">
        <f>+(Tabla1[[#This Row],[Facturación Real a diciembre 31]]/Tabla1[[#This Row],[Monto del Proyecto]])*Tabla1[[#This Row],[Gasto Modelo a Corte]]</f>
        <v>239486803.37488407</v>
      </c>
      <c r="Z8" s="34">
        <v>9.0547838501323086E-2</v>
      </c>
      <c r="AA8" s="28">
        <f t="shared" si="2"/>
        <v>0.109422791466723</v>
      </c>
      <c r="AB8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0.20285649064213512</v>
      </c>
      <c r="AC8" s="30" t="s">
        <v>31</v>
      </c>
      <c r="AD8" s="31" t="e">
        <f>+Tabla1[[#This Row],[Monto del Proyecto]]/#REF!</f>
        <v>#REF!</v>
      </c>
      <c r="AE8" s="31" t="e">
        <f t="shared" si="3"/>
        <v>#REF!</v>
      </c>
    </row>
    <row r="9" spans="2:31" x14ac:dyDescent="0.35">
      <c r="B9" s="1">
        <f>+Tabla1[[#This Row],[CC]]</f>
        <v>207</v>
      </c>
      <c r="C9" s="19">
        <v>207</v>
      </c>
      <c r="D9" s="20" t="s">
        <v>54</v>
      </c>
      <c r="E9" s="20" t="s">
        <v>28</v>
      </c>
      <c r="F9" s="21">
        <v>1</v>
      </c>
      <c r="G9" s="22">
        <v>1</v>
      </c>
      <c r="H9" s="20" t="s">
        <v>55</v>
      </c>
      <c r="I9" s="20" t="s">
        <v>55</v>
      </c>
      <c r="J9" s="24" t="s">
        <v>56</v>
      </c>
      <c r="K9" s="32">
        <v>45672</v>
      </c>
      <c r="L9" s="32">
        <v>45688</v>
      </c>
      <c r="M9" s="26">
        <f>IF(Tabla1[[#This Row],[CC]]="","",YEAR(Tabla1[[#This Row],[Fecha Incio]]))</f>
        <v>2025</v>
      </c>
      <c r="N9" s="5">
        <v>6218479.923750001</v>
      </c>
      <c r="O9" s="5">
        <v>6218479.923750001</v>
      </c>
      <c r="P9" s="5">
        <v>6218479.923750001</v>
      </c>
      <c r="Q9" s="28">
        <f t="shared" si="0"/>
        <v>1</v>
      </c>
      <c r="R9" s="28">
        <f t="shared" si="1"/>
        <v>1</v>
      </c>
      <c r="S9" s="5">
        <v>4974783.9390000002</v>
      </c>
      <c r="T9" s="5">
        <v>4527673.79</v>
      </c>
      <c r="U9" s="27">
        <f>+Tabla1[[#This Row],[Costo modelo a Corte]]-Tabla1[[#This Row],[Costo Contable a Corte]]</f>
        <v>447110.14900000021</v>
      </c>
      <c r="V9" s="28">
        <f>+IFERROR(T9/Tabla1[[#This Row],[Costo modelo a Corte]],0)</f>
        <v>0.91012471004120121</v>
      </c>
      <c r="W9" s="29">
        <v>353672.4330396076</v>
      </c>
      <c r="X9" s="29">
        <v>159222.6</v>
      </c>
      <c r="Y9" s="29">
        <f>+(Tabla1[[#This Row],[Facturación Real a diciembre 31]]/Tabla1[[#This Row],[Monto del Proyecto]])*Tabla1[[#This Row],[Gasto Modelo a Corte]]</f>
        <v>353672.4330396076</v>
      </c>
      <c r="Z9" s="28">
        <v>0.13036973012926401</v>
      </c>
      <c r="AA9" s="28">
        <f t="shared" si="2"/>
        <v>0.1431255809496402</v>
      </c>
      <c r="AB9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0.21502581291667924</v>
      </c>
      <c r="AC9" s="30" t="s">
        <v>31</v>
      </c>
      <c r="AD9" s="31" t="e">
        <f>+Tabla1[[#This Row],[Monto del Proyecto]]/#REF!</f>
        <v>#REF!</v>
      </c>
      <c r="AE9" s="31" t="e">
        <f t="shared" si="3"/>
        <v>#REF!</v>
      </c>
    </row>
    <row r="10" spans="2:31" x14ac:dyDescent="0.35">
      <c r="B10" s="1">
        <f>+Tabla1[[#This Row],[CC]]</f>
        <v>269</v>
      </c>
      <c r="C10" s="19">
        <v>269</v>
      </c>
      <c r="D10" s="20" t="s">
        <v>57</v>
      </c>
      <c r="E10" s="20" t="s">
        <v>41</v>
      </c>
      <c r="F10" s="21">
        <v>1</v>
      </c>
      <c r="G10" s="22">
        <v>28</v>
      </c>
      <c r="H10" s="20" t="s">
        <v>58</v>
      </c>
      <c r="I10" s="20" t="s">
        <v>59</v>
      </c>
      <c r="J10" s="24" t="s">
        <v>60</v>
      </c>
      <c r="K10" s="32">
        <v>44986</v>
      </c>
      <c r="L10" s="32">
        <v>45291</v>
      </c>
      <c r="M10" s="26">
        <f>IF(Tabla1[[#This Row],[CC]]="","",YEAR(Tabla1[[#This Row],[Fecha Incio]]))</f>
        <v>2023</v>
      </c>
      <c r="N10" s="27">
        <v>3483803840</v>
      </c>
      <c r="O10" s="27">
        <v>3483803840</v>
      </c>
      <c r="P10" s="27">
        <v>3483803840</v>
      </c>
      <c r="Q10" s="28">
        <f t="shared" si="0"/>
        <v>1</v>
      </c>
      <c r="R10" s="28">
        <f t="shared" si="1"/>
        <v>1</v>
      </c>
      <c r="S10" s="27">
        <v>2166701677</v>
      </c>
      <c r="T10" s="27">
        <v>1921726300</v>
      </c>
      <c r="U10" s="27">
        <f>+Tabla1[[#This Row],[Costo modelo a Corte]]-Tabla1[[#This Row],[Costo Contable a Corte]]</f>
        <v>244975377</v>
      </c>
      <c r="V10" s="28">
        <f>+IFERROR(T10/Tabla1[[#This Row],[Costo modelo a Corte]],0)</f>
        <v>0.88693626833796924</v>
      </c>
      <c r="W10" s="33">
        <v>743413820</v>
      </c>
      <c r="X10" s="33">
        <v>743413820</v>
      </c>
      <c r="Y10" s="33">
        <f>+(Tabla1[[#This Row],[Facturación Real a diciembre 31]]/Tabla1[[#This Row],[Monto del Proyecto]])*Tabla1[[#This Row],[Gasto Modelo a Corte]]</f>
        <v>743413820</v>
      </c>
      <c r="Z10" s="34">
        <v>0.16010308070044277</v>
      </c>
      <c r="AA10" s="28">
        <f t="shared" si="2"/>
        <v>0.16467297510068765</v>
      </c>
      <c r="AB10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0.23499133636640115</v>
      </c>
      <c r="AC10" s="30" t="s">
        <v>31</v>
      </c>
      <c r="AD10" s="31" t="e">
        <f>+Tabla1[[#This Row],[Monto del Proyecto]]/#REF!</f>
        <v>#REF!</v>
      </c>
      <c r="AE10" s="31" t="e">
        <f t="shared" si="3"/>
        <v>#REF!</v>
      </c>
    </row>
    <row r="11" spans="2:31" x14ac:dyDescent="0.35">
      <c r="B11" s="1">
        <f>+Tabla1[[#This Row],[CC]]</f>
        <v>270</v>
      </c>
      <c r="C11" s="19">
        <v>270</v>
      </c>
      <c r="D11" s="20" t="s">
        <v>61</v>
      </c>
      <c r="E11" s="20" t="s">
        <v>28</v>
      </c>
      <c r="F11" s="21">
        <v>1</v>
      </c>
      <c r="G11" s="22">
        <v>1</v>
      </c>
      <c r="H11" s="20" t="s">
        <v>62</v>
      </c>
      <c r="I11" s="20" t="s">
        <v>62</v>
      </c>
      <c r="J11" s="35" t="s">
        <v>56</v>
      </c>
      <c r="K11" s="32">
        <v>44944</v>
      </c>
      <c r="L11" s="32">
        <v>45033</v>
      </c>
      <c r="M11" s="26">
        <f>IF(Tabla1[[#This Row],[CC]]="","",YEAR(Tabla1[[#This Row],[Fecha Incio]]))</f>
        <v>2023</v>
      </c>
      <c r="N11" s="27">
        <v>350000000</v>
      </c>
      <c r="O11" s="27">
        <v>350000000</v>
      </c>
      <c r="P11" s="27">
        <v>350000000</v>
      </c>
      <c r="Q11" s="28">
        <f t="shared" si="0"/>
        <v>1</v>
      </c>
      <c r="R11" s="28">
        <f t="shared" si="1"/>
        <v>1</v>
      </c>
      <c r="S11" s="27">
        <v>315126361</v>
      </c>
      <c r="T11" s="27">
        <v>308826362</v>
      </c>
      <c r="U11" s="27">
        <f>+Tabla1[[#This Row],[Costo modelo a Corte]]-Tabla1[[#This Row],[Costo Contable a Corte]]</f>
        <v>6299999</v>
      </c>
      <c r="V11" s="28">
        <f>+IFERROR(T11/Tabla1[[#This Row],[Costo modelo a Corte]],0)</f>
        <v>0.98000802287689281</v>
      </c>
      <c r="W11" s="33">
        <v>11831600</v>
      </c>
      <c r="X11" s="33">
        <v>11831600</v>
      </c>
      <c r="Y11" s="33">
        <f>+(Tabla1[[#This Row],[Facturación Real a diciembre 31]]/Tabla1[[#This Row],[Monto del Proyecto]])*Tabla1[[#This Row],[Gasto Modelo a Corte]]</f>
        <v>11831600</v>
      </c>
      <c r="Z11" s="34">
        <v>6.5834397142857146E-2</v>
      </c>
      <c r="AA11" s="28">
        <f t="shared" si="2"/>
        <v>6.5834397142857146E-2</v>
      </c>
      <c r="AB11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8.3834394285714292E-2</v>
      </c>
      <c r="AC11" s="30" t="s">
        <v>31</v>
      </c>
      <c r="AD11" s="31" t="e">
        <f>+Tabla1[[#This Row],[Monto del Proyecto]]/#REF!</f>
        <v>#REF!</v>
      </c>
      <c r="AE11" s="31" t="e">
        <f t="shared" si="3"/>
        <v>#REF!</v>
      </c>
    </row>
    <row r="12" spans="2:31" x14ac:dyDescent="0.35">
      <c r="B12" s="1">
        <f>+Tabla1[[#This Row],[CC]]</f>
        <v>271</v>
      </c>
      <c r="C12" s="19">
        <v>271</v>
      </c>
      <c r="D12" s="20" t="s">
        <v>63</v>
      </c>
      <c r="E12" s="20" t="s">
        <v>28</v>
      </c>
      <c r="F12" s="21">
        <v>1</v>
      </c>
      <c r="G12" s="22">
        <v>1</v>
      </c>
      <c r="H12" s="20" t="s">
        <v>64</v>
      </c>
      <c r="I12" s="20" t="s">
        <v>64</v>
      </c>
      <c r="J12" s="35" t="s">
        <v>56</v>
      </c>
      <c r="K12" s="32">
        <v>44958</v>
      </c>
      <c r="L12" s="32">
        <v>44986</v>
      </c>
      <c r="M12" s="26">
        <f>IF(Tabla1[[#This Row],[CC]]="","",YEAR(Tabla1[[#This Row],[Fecha Incio]]))</f>
        <v>2023</v>
      </c>
      <c r="N12" s="27">
        <v>13430180</v>
      </c>
      <c r="O12" s="27">
        <v>13430180</v>
      </c>
      <c r="P12" s="27">
        <v>13430180</v>
      </c>
      <c r="Q12" s="28">
        <f t="shared" si="0"/>
        <v>1</v>
      </c>
      <c r="R12" s="28">
        <f t="shared" si="1"/>
        <v>1</v>
      </c>
      <c r="S12" s="27">
        <v>5963000</v>
      </c>
      <c r="T12" s="27">
        <v>7951584</v>
      </c>
      <c r="U12" s="27">
        <f>+Tabla1[[#This Row],[Costo modelo a Corte]]-Tabla1[[#This Row],[Costo Contable a Corte]]</f>
        <v>-1988584</v>
      </c>
      <c r="V12" s="28">
        <f>+IFERROR(T12/Tabla1[[#This Row],[Costo modelo a Corte]],0)</f>
        <v>1.3334871708871374</v>
      </c>
      <c r="W12" s="33">
        <v>2774832</v>
      </c>
      <c r="X12" s="33">
        <v>2774832</v>
      </c>
      <c r="Y12" s="33">
        <f>+(Tabla1[[#This Row],[Facturación Real a diciembre 31]]/Tabla1[[#This Row],[Monto del Proyecto]])*Tabla1[[#This Row],[Gasto Modelo a Corte]]</f>
        <v>2774832</v>
      </c>
      <c r="Z12" s="34">
        <v>0.34938831795255165</v>
      </c>
      <c r="AA12" s="28">
        <f t="shared" si="2"/>
        <v>0.34938831795255165</v>
      </c>
      <c r="AB12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0.20132001209216854</v>
      </c>
      <c r="AC12" s="30" t="s">
        <v>31</v>
      </c>
      <c r="AD12" s="31" t="e">
        <f>+Tabla1[[#This Row],[Monto del Proyecto]]/#REF!</f>
        <v>#REF!</v>
      </c>
      <c r="AE12" s="31" t="e">
        <f t="shared" si="3"/>
        <v>#REF!</v>
      </c>
    </row>
    <row r="13" spans="2:31" x14ac:dyDescent="0.35">
      <c r="B13" s="1">
        <f>+Tabla1[[#This Row],[CC]]</f>
        <v>273</v>
      </c>
      <c r="C13" s="19">
        <v>273</v>
      </c>
      <c r="D13" s="20" t="s">
        <v>65</v>
      </c>
      <c r="E13" s="20" t="s">
        <v>41</v>
      </c>
      <c r="F13" s="21">
        <v>1</v>
      </c>
      <c r="G13" s="22">
        <v>3</v>
      </c>
      <c r="H13" s="20" t="s">
        <v>58</v>
      </c>
      <c r="I13" s="20" t="s">
        <v>58</v>
      </c>
      <c r="J13" s="35" t="s">
        <v>66</v>
      </c>
      <c r="K13" s="32">
        <v>44956</v>
      </c>
      <c r="L13" s="32">
        <v>45229</v>
      </c>
      <c r="M13" s="26">
        <f>IF(Tabla1[[#This Row],[CC]]="","",YEAR(Tabla1[[#This Row],[Fecha Incio]]))</f>
        <v>2023</v>
      </c>
      <c r="N13" s="27">
        <v>1150000000</v>
      </c>
      <c r="O13" s="27">
        <v>1150000000</v>
      </c>
      <c r="P13" s="27">
        <v>1150000000</v>
      </c>
      <c r="Q13" s="28">
        <f t="shared" si="0"/>
        <v>1</v>
      </c>
      <c r="R13" s="28">
        <f t="shared" si="1"/>
        <v>1</v>
      </c>
      <c r="S13" s="27">
        <v>787320400</v>
      </c>
      <c r="T13" s="27">
        <v>746691112</v>
      </c>
      <c r="U13" s="27">
        <f>+Tabla1[[#This Row],[Costo modelo a Corte]]-Tabla1[[#This Row],[Costo Contable a Corte]]</f>
        <v>40629288</v>
      </c>
      <c r="V13" s="28">
        <f>+IFERROR(T13/Tabla1[[#This Row],[Costo modelo a Corte]],0)</f>
        <v>0.94839548422725994</v>
      </c>
      <c r="W13" s="33">
        <v>242553654</v>
      </c>
      <c r="X13" s="33">
        <v>242553654</v>
      </c>
      <c r="Y13" s="33">
        <f>+(Tabla1[[#This Row],[Facturación Real a diciembre 31]]/Tabla1[[#This Row],[Monto del Proyecto]])*Tabla1[[#This Row],[Gasto Modelo a Corte]]</f>
        <v>242553654</v>
      </c>
      <c r="Z13" s="34">
        <v>0.10445734434782608</v>
      </c>
      <c r="AA13" s="28">
        <f t="shared" si="2"/>
        <v>0.10445734434782608</v>
      </c>
      <c r="AB13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0.13978715999999999</v>
      </c>
      <c r="AC13" s="30" t="s">
        <v>31</v>
      </c>
      <c r="AD13" s="31" t="e">
        <f>+Tabla1[[#This Row],[Monto del Proyecto]]/#REF!</f>
        <v>#REF!</v>
      </c>
      <c r="AE13" s="31" t="e">
        <f t="shared" si="3"/>
        <v>#REF!</v>
      </c>
    </row>
    <row r="14" spans="2:31" x14ac:dyDescent="0.35">
      <c r="B14" s="1">
        <f>+Tabla1[[#This Row],[CC]]</f>
        <v>274</v>
      </c>
      <c r="C14" s="19">
        <v>274</v>
      </c>
      <c r="D14" s="20" t="s">
        <v>67</v>
      </c>
      <c r="E14" s="20" t="s">
        <v>28</v>
      </c>
      <c r="F14" s="21">
        <v>1</v>
      </c>
      <c r="G14" s="22">
        <v>1</v>
      </c>
      <c r="H14" s="20" t="s">
        <v>68</v>
      </c>
      <c r="I14" s="20" t="s">
        <v>68</v>
      </c>
      <c r="J14" s="24" t="s">
        <v>60</v>
      </c>
      <c r="K14" s="32">
        <v>44988</v>
      </c>
      <c r="L14" s="36">
        <v>45080</v>
      </c>
      <c r="M14" s="26">
        <f>IF(Tabla1[[#This Row],[CC]]="","",YEAR(Tabla1[[#This Row],[Fecha Incio]]))</f>
        <v>2023</v>
      </c>
      <c r="N14" s="27">
        <v>601506000</v>
      </c>
      <c r="O14" s="27">
        <v>601506000</v>
      </c>
      <c r="P14" s="27">
        <v>601506000</v>
      </c>
      <c r="Q14" s="28">
        <f t="shared" si="0"/>
        <v>1</v>
      </c>
      <c r="R14" s="28">
        <f t="shared" si="1"/>
        <v>1</v>
      </c>
      <c r="S14" s="27">
        <v>309625171</v>
      </c>
      <c r="T14" s="27">
        <v>402512722.30000001</v>
      </c>
      <c r="U14" s="27">
        <f>+Tabla1[[#This Row],[Costo modelo a Corte]]-Tabla1[[#This Row],[Costo Contable a Corte]]</f>
        <v>-92887551.300000012</v>
      </c>
      <c r="V14" s="28">
        <f>+IFERROR(T14/Tabla1[[#This Row],[Costo modelo a Corte]],0)</f>
        <v>1.3</v>
      </c>
      <c r="W14" s="33">
        <v>158797584</v>
      </c>
      <c r="X14" s="33">
        <v>158797584</v>
      </c>
      <c r="Y14" s="33">
        <f>+(Tabla1[[#This Row],[Facturación Real a diciembre 31]]/Tabla1[[#This Row],[Monto del Proyecto]])*Tabla1[[#This Row],[Gasto Modelo a Corte]]</f>
        <v>158797584</v>
      </c>
      <c r="Z14" s="34">
        <v>0.22125007065598681</v>
      </c>
      <c r="AA14" s="28">
        <f t="shared" si="2"/>
        <v>0.22125007065598681</v>
      </c>
      <c r="AB14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6.6825091852782834E-2</v>
      </c>
      <c r="AC14" s="30" t="s">
        <v>31</v>
      </c>
      <c r="AD14" s="31" t="e">
        <f>+Tabla1[[#This Row],[Monto del Proyecto]]/#REF!</f>
        <v>#REF!</v>
      </c>
      <c r="AE14" s="31" t="e">
        <f t="shared" si="3"/>
        <v>#REF!</v>
      </c>
    </row>
    <row r="15" spans="2:31" x14ac:dyDescent="0.35">
      <c r="B15" s="1">
        <f>+Tabla1[[#This Row],[CC]]</f>
        <v>276</v>
      </c>
      <c r="C15" s="19">
        <v>276</v>
      </c>
      <c r="D15" s="20" t="s">
        <v>69</v>
      </c>
      <c r="E15" s="20" t="s">
        <v>41</v>
      </c>
      <c r="F15" s="21">
        <v>1</v>
      </c>
      <c r="G15" s="22">
        <v>6</v>
      </c>
      <c r="H15" s="20" t="s">
        <v>62</v>
      </c>
      <c r="I15" s="20" t="s">
        <v>62</v>
      </c>
      <c r="J15" s="24" t="s">
        <v>60</v>
      </c>
      <c r="K15" s="32">
        <v>44927</v>
      </c>
      <c r="L15" s="32">
        <v>44977</v>
      </c>
      <c r="M15" s="26">
        <f>IF(Tabla1[[#This Row],[CC]]="","",YEAR(Tabla1[[#This Row],[Fecha Incio]]))</f>
        <v>2023</v>
      </c>
      <c r="N15" s="27">
        <v>271974790</v>
      </c>
      <c r="O15" s="27">
        <v>271974790</v>
      </c>
      <c r="P15" s="27">
        <v>271974790</v>
      </c>
      <c r="Q15" s="28">
        <f t="shared" si="0"/>
        <v>1</v>
      </c>
      <c r="R15" s="28">
        <f t="shared" si="1"/>
        <v>1</v>
      </c>
      <c r="S15" s="27">
        <v>191122982</v>
      </c>
      <c r="T15" s="27">
        <v>196388628</v>
      </c>
      <c r="U15" s="27">
        <f>+Tabla1[[#This Row],[Costo modelo a Corte]]-Tabla1[[#This Row],[Costo Contable a Corte]]</f>
        <v>-5265646</v>
      </c>
      <c r="V15" s="28">
        <f>+IFERROR(T15/Tabla1[[#This Row],[Costo modelo a Corte]],0)</f>
        <v>1.0275510874982057</v>
      </c>
      <c r="W15" s="33">
        <v>12719309</v>
      </c>
      <c r="X15" s="33">
        <v>12719309</v>
      </c>
      <c r="Y15" s="33">
        <f>+(Tabla1[[#This Row],[Facturación Real a diciembre 31]]/Tabla1[[#This Row],[Monto del Proyecto]])*Tabla1[[#This Row],[Gasto Modelo a Corte]]</f>
        <v>12719309</v>
      </c>
      <c r="Z15" s="34">
        <v>0.25051034693325802</v>
      </c>
      <c r="AA15" s="28">
        <f t="shared" si="2"/>
        <v>0.25051034693325802</v>
      </c>
      <c r="AB15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0.2311495598544262</v>
      </c>
      <c r="AC15" s="30" t="s">
        <v>31</v>
      </c>
      <c r="AD15" s="31" t="e">
        <f>+Tabla1[[#This Row],[Monto del Proyecto]]/#REF!</f>
        <v>#REF!</v>
      </c>
      <c r="AE15" s="31" t="e">
        <f t="shared" si="3"/>
        <v>#REF!</v>
      </c>
    </row>
    <row r="16" spans="2:31" x14ac:dyDescent="0.35">
      <c r="B16" s="1">
        <f>+Tabla1[[#This Row],[CC]]</f>
        <v>278</v>
      </c>
      <c r="C16" s="19">
        <v>278</v>
      </c>
      <c r="D16" s="20" t="s">
        <v>70</v>
      </c>
      <c r="E16" s="20" t="s">
        <v>28</v>
      </c>
      <c r="F16" s="21">
        <v>1</v>
      </c>
      <c r="G16" s="22">
        <v>2</v>
      </c>
      <c r="H16" s="20" t="s">
        <v>71</v>
      </c>
      <c r="I16" s="20" t="s">
        <v>58</v>
      </c>
      <c r="J16" s="35" t="s">
        <v>72</v>
      </c>
      <c r="K16" s="32">
        <v>44986</v>
      </c>
      <c r="L16" s="32">
        <v>45261</v>
      </c>
      <c r="M16" s="26">
        <f>IF(Tabla1[[#This Row],[CC]]="","",YEAR(Tabla1[[#This Row],[Fecha Incio]]))</f>
        <v>2023</v>
      </c>
      <c r="N16" s="27">
        <v>1770038362</v>
      </c>
      <c r="O16" s="27">
        <v>1770038362</v>
      </c>
      <c r="P16" s="27">
        <v>1770038362</v>
      </c>
      <c r="Q16" s="28">
        <f t="shared" si="0"/>
        <v>1</v>
      </c>
      <c r="R16" s="28">
        <f t="shared" si="1"/>
        <v>1</v>
      </c>
      <c r="S16" s="27">
        <v>967896607</v>
      </c>
      <c r="T16" s="27">
        <v>967896607.63217747</v>
      </c>
      <c r="U16" s="27">
        <f>+Tabla1[[#This Row],[Costo modelo a Corte]]-Tabla1[[#This Row],[Costo Contable a Corte]]</f>
        <v>-0.63217747211456299</v>
      </c>
      <c r="V16" s="28">
        <f>+IFERROR(T16/Tabla1[[#This Row],[Costo modelo a Corte]],0)</f>
        <v>1.0000000006531458</v>
      </c>
      <c r="W16" s="33">
        <v>224229743</v>
      </c>
      <c r="X16" s="33">
        <v>224229743</v>
      </c>
      <c r="Y16" s="33">
        <f>+(Tabla1[[#This Row],[Facturación Real a diciembre 31]]/Tabla1[[#This Row],[Monto del Proyecto]])*Tabla1[[#This Row],[Gasto Modelo a Corte]]</f>
        <v>224229743</v>
      </c>
      <c r="Z16" s="34">
        <v>0.32649688526920184</v>
      </c>
      <c r="AA16" s="28">
        <f t="shared" si="2"/>
        <v>0.32649688526920184</v>
      </c>
      <c r="AB16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0.3264968849120472</v>
      </c>
      <c r="AC16" s="30" t="s">
        <v>31</v>
      </c>
      <c r="AD16" s="31" t="e">
        <f>+Tabla1[[#This Row],[Monto del Proyecto]]/#REF!</f>
        <v>#REF!</v>
      </c>
      <c r="AE16" s="31" t="e">
        <f t="shared" si="3"/>
        <v>#REF!</v>
      </c>
    </row>
    <row r="17" spans="2:31" x14ac:dyDescent="0.35">
      <c r="B17" s="1">
        <f>+Tabla1[[#This Row],[CC]]</f>
        <v>280</v>
      </c>
      <c r="C17" s="19">
        <v>280</v>
      </c>
      <c r="D17" s="20" t="s">
        <v>73</v>
      </c>
      <c r="E17" s="20" t="s">
        <v>34</v>
      </c>
      <c r="F17" s="21">
        <v>1</v>
      </c>
      <c r="G17" s="22">
        <v>2</v>
      </c>
      <c r="H17" s="20" t="s">
        <v>64</v>
      </c>
      <c r="I17" s="20" t="s">
        <v>64</v>
      </c>
      <c r="J17" s="35" t="s">
        <v>36</v>
      </c>
      <c r="K17" s="32">
        <v>45017</v>
      </c>
      <c r="L17" s="32">
        <v>45078</v>
      </c>
      <c r="M17" s="26">
        <f>IF(Tabla1[[#This Row],[CC]]="","",YEAR(Tabla1[[#This Row],[Fecha Incio]]))</f>
        <v>2023</v>
      </c>
      <c r="N17" s="27">
        <v>258000000</v>
      </c>
      <c r="O17" s="27">
        <v>258000000</v>
      </c>
      <c r="P17" s="27">
        <v>258000000</v>
      </c>
      <c r="Q17" s="28">
        <f t="shared" si="0"/>
        <v>1</v>
      </c>
      <c r="R17" s="28">
        <f t="shared" si="1"/>
        <v>1</v>
      </c>
      <c r="S17" s="27">
        <v>160064378</v>
      </c>
      <c r="T17" s="27">
        <v>155666201</v>
      </c>
      <c r="U17" s="27">
        <f>+Tabla1[[#This Row],[Costo modelo a Corte]]-Tabla1[[#This Row],[Costo Contable a Corte]]</f>
        <v>4398177</v>
      </c>
      <c r="V17" s="28">
        <f>+IFERROR(T17/Tabla1[[#This Row],[Costo modelo a Corte]],0)</f>
        <v>0.97252244968583823</v>
      </c>
      <c r="W17" s="33">
        <v>42320028</v>
      </c>
      <c r="X17" s="33">
        <v>42320028</v>
      </c>
      <c r="Y17" s="33">
        <f>+(Tabla1[[#This Row],[Facturación Real a diciembre 31]]/Tabla1[[#This Row],[Monto del Proyecto]])*Tabla1[[#This Row],[Gasto Modelo a Corte]]</f>
        <v>42320028</v>
      </c>
      <c r="Z17" s="34">
        <v>0.21556431782945737</v>
      </c>
      <c r="AA17" s="28">
        <f t="shared" si="2"/>
        <v>0.21556431782945737</v>
      </c>
      <c r="AB17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0.23261151550387596</v>
      </c>
      <c r="AC17" s="30" t="s">
        <v>31</v>
      </c>
      <c r="AD17" s="31" t="e">
        <f>+Tabla1[[#This Row],[Monto del Proyecto]]/#REF!</f>
        <v>#REF!</v>
      </c>
      <c r="AE17" s="31" t="e">
        <f t="shared" si="3"/>
        <v>#REF!</v>
      </c>
    </row>
    <row r="18" spans="2:31" x14ac:dyDescent="0.35">
      <c r="B18" s="1">
        <f>+Tabla1[[#This Row],[CC]]</f>
        <v>281</v>
      </c>
      <c r="C18" s="19">
        <v>281</v>
      </c>
      <c r="D18" s="20" t="s">
        <v>74</v>
      </c>
      <c r="E18" s="20" t="s">
        <v>41</v>
      </c>
      <c r="F18" s="21">
        <v>1</v>
      </c>
      <c r="G18" s="22">
        <v>6</v>
      </c>
      <c r="H18" s="20" t="s">
        <v>75</v>
      </c>
      <c r="I18" s="20" t="s">
        <v>76</v>
      </c>
      <c r="J18" s="24" t="s">
        <v>60</v>
      </c>
      <c r="K18" s="32">
        <v>45006</v>
      </c>
      <c r="L18" s="32">
        <v>45067</v>
      </c>
      <c r="M18" s="26">
        <f>IF(Tabla1[[#This Row],[CC]]="","",YEAR(Tabla1[[#This Row],[Fecha Incio]]))</f>
        <v>2023</v>
      </c>
      <c r="N18" s="27">
        <v>38400000</v>
      </c>
      <c r="O18" s="27">
        <v>38400000</v>
      </c>
      <c r="P18" s="27">
        <v>38400000</v>
      </c>
      <c r="Q18" s="28">
        <f t="shared" si="0"/>
        <v>1</v>
      </c>
      <c r="R18" s="28">
        <f t="shared" si="1"/>
        <v>1</v>
      </c>
      <c r="S18" s="27">
        <v>27636371</v>
      </c>
      <c r="T18" s="27">
        <v>25573631</v>
      </c>
      <c r="U18" s="27">
        <f>+Tabla1[[#This Row],[Costo modelo a Corte]]-Tabla1[[#This Row],[Costo Contable a Corte]]</f>
        <v>2062740</v>
      </c>
      <c r="V18" s="28">
        <f>+IFERROR(T18/Tabla1[[#This Row],[Costo modelo a Corte]],0)</f>
        <v>0.92536140146620549</v>
      </c>
      <c r="W18" s="33">
        <v>2784261.4840000002</v>
      </c>
      <c r="X18" s="33">
        <v>2432649.4523999998</v>
      </c>
      <c r="Y18" s="33">
        <f>+(Tabla1[[#This Row],[Facturación Real a diciembre 31]]/Tabla1[[#This Row],[Monto del Proyecto]])*Tabla1[[#This Row],[Gasto Modelo a Corte]]</f>
        <v>2784261.4840000002</v>
      </c>
      <c r="Z18" s="34">
        <v>0.20779600723531946</v>
      </c>
      <c r="AA18" s="28">
        <f t="shared" si="2"/>
        <v>0.2077960290625</v>
      </c>
      <c r="AB18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0.26151321656250009</v>
      </c>
      <c r="AC18" s="30" t="s">
        <v>31</v>
      </c>
      <c r="AD18" s="31" t="e">
        <f>+Tabla1[[#This Row],[Monto del Proyecto]]/#REF!</f>
        <v>#REF!</v>
      </c>
      <c r="AE18" s="31" t="e">
        <f t="shared" si="3"/>
        <v>#REF!</v>
      </c>
    </row>
    <row r="19" spans="2:31" x14ac:dyDescent="0.35">
      <c r="B19" s="1">
        <f>+Tabla1[[#This Row],[CC]]</f>
        <v>282</v>
      </c>
      <c r="C19" s="19">
        <v>282</v>
      </c>
      <c r="D19" s="20" t="s">
        <v>77</v>
      </c>
      <c r="E19" s="20" t="s">
        <v>41</v>
      </c>
      <c r="F19" s="21">
        <v>1</v>
      </c>
      <c r="G19" s="22">
        <v>8</v>
      </c>
      <c r="H19" s="20" t="s">
        <v>78</v>
      </c>
      <c r="I19" s="20" t="s">
        <v>58</v>
      </c>
      <c r="J19" s="35" t="s">
        <v>66</v>
      </c>
      <c r="K19" s="32">
        <v>45078</v>
      </c>
      <c r="L19" s="32">
        <v>45291</v>
      </c>
      <c r="M19" s="26">
        <f>IF(Tabla1[[#This Row],[CC]]="","",YEAR(Tabla1[[#This Row],[Fecha Incio]]))</f>
        <v>2023</v>
      </c>
      <c r="N19" s="27">
        <v>8703361345</v>
      </c>
      <c r="O19" s="27">
        <v>8703361345</v>
      </c>
      <c r="P19" s="27">
        <v>8703361345</v>
      </c>
      <c r="Q19" s="28">
        <f t="shared" si="0"/>
        <v>1</v>
      </c>
      <c r="R19" s="28">
        <f t="shared" si="1"/>
        <v>1</v>
      </c>
      <c r="S19" s="27">
        <v>4498648463</v>
      </c>
      <c r="T19" s="27">
        <v>4157515937.5999999</v>
      </c>
      <c r="U19" s="27">
        <f>+Tabla1[[#This Row],[Costo modelo a Corte]]-Tabla1[[#This Row],[Costo Contable a Corte]]</f>
        <v>341132525.4000001</v>
      </c>
      <c r="V19" s="28">
        <f>+IFERROR(T19/Tabla1[[#This Row],[Costo modelo a Corte]],0)</f>
        <v>0.92416999723234428</v>
      </c>
      <c r="W19" s="33">
        <v>2516922092</v>
      </c>
      <c r="X19" s="33">
        <v>2516922092</v>
      </c>
      <c r="Y19" s="33">
        <f>+(Tabla1[[#This Row],[Facturación Real a diciembre 31]]/Tabla1[[#This Row],[Monto del Proyecto]])*Tabla1[[#This Row],[Gasto Modelo a Corte]]</f>
        <v>2516922092</v>
      </c>
      <c r="Z19" s="34">
        <v>0.19392401660648276</v>
      </c>
      <c r="AA19" s="28">
        <f t="shared" si="2"/>
        <v>0.19392401660648276</v>
      </c>
      <c r="AB19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0.23311950808127685</v>
      </c>
      <c r="AC19" s="30" t="s">
        <v>31</v>
      </c>
      <c r="AD19" s="31" t="e">
        <f>+Tabla1[[#This Row],[Monto del Proyecto]]/#REF!</f>
        <v>#REF!</v>
      </c>
      <c r="AE19" s="31" t="e">
        <f t="shared" si="3"/>
        <v>#REF!</v>
      </c>
    </row>
    <row r="20" spans="2:31" x14ac:dyDescent="0.35">
      <c r="B20" s="1">
        <f>+Tabla1[[#This Row],[CC]]</f>
        <v>283</v>
      </c>
      <c r="C20" s="19">
        <v>283</v>
      </c>
      <c r="D20" s="20" t="s">
        <v>79</v>
      </c>
      <c r="E20" s="20" t="s">
        <v>28</v>
      </c>
      <c r="F20" s="21">
        <v>1</v>
      </c>
      <c r="G20" s="22">
        <v>1</v>
      </c>
      <c r="H20" s="20" t="s">
        <v>80</v>
      </c>
      <c r="I20" s="20" t="s">
        <v>81</v>
      </c>
      <c r="J20" s="35" t="s">
        <v>56</v>
      </c>
      <c r="K20" s="32">
        <v>45017</v>
      </c>
      <c r="L20" s="32">
        <v>45047</v>
      </c>
      <c r="M20" s="26">
        <f>IF(Tabla1[[#This Row],[CC]]="","",YEAR(Tabla1[[#This Row],[Fecha Incio]]))</f>
        <v>2023</v>
      </c>
      <c r="N20" s="27">
        <v>220000000</v>
      </c>
      <c r="O20" s="27">
        <v>220000000</v>
      </c>
      <c r="P20" s="27">
        <v>220000000</v>
      </c>
      <c r="Q20" s="28">
        <f t="shared" si="0"/>
        <v>1</v>
      </c>
      <c r="R20" s="28">
        <f t="shared" si="1"/>
        <v>1</v>
      </c>
      <c r="S20" s="27">
        <v>178715793</v>
      </c>
      <c r="T20" s="27">
        <v>170270273</v>
      </c>
      <c r="U20" s="27">
        <f>+Tabla1[[#This Row],[Costo modelo a Corte]]-Tabla1[[#This Row],[Costo Contable a Corte]]</f>
        <v>8445520</v>
      </c>
      <c r="V20" s="28">
        <f>+IFERROR(T20/Tabla1[[#This Row],[Costo modelo a Corte]],0)</f>
        <v>0.95274329225061827</v>
      </c>
      <c r="W20" s="33">
        <v>12988459</v>
      </c>
      <c r="X20" s="33">
        <v>12988459</v>
      </c>
      <c r="Y20" s="33">
        <f>+(Tabla1[[#This Row],[Facturación Real a diciembre 31]]/Tabla1[[#This Row],[Monto del Proyecto]])*Tabla1[[#This Row],[Gasto Modelo a Corte]]</f>
        <v>12988459</v>
      </c>
      <c r="Z20" s="34">
        <v>0.12861703636363636</v>
      </c>
      <c r="AA20" s="28">
        <f t="shared" si="2"/>
        <v>0.12861703636363636</v>
      </c>
      <c r="AB20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0.16700576363636363</v>
      </c>
      <c r="AC20" s="30" t="s">
        <v>31</v>
      </c>
      <c r="AD20" s="31" t="e">
        <f>+Tabla1[[#This Row],[Monto del Proyecto]]/#REF!</f>
        <v>#REF!</v>
      </c>
      <c r="AE20" s="31" t="e">
        <f t="shared" si="3"/>
        <v>#REF!</v>
      </c>
    </row>
    <row r="21" spans="2:31" x14ac:dyDescent="0.35">
      <c r="B21" s="1">
        <f>+Tabla1[[#This Row],[CC]]</f>
        <v>287</v>
      </c>
      <c r="C21" s="19">
        <v>287</v>
      </c>
      <c r="D21" s="20" t="s">
        <v>82</v>
      </c>
      <c r="E21" s="20" t="s">
        <v>28</v>
      </c>
      <c r="F21" s="21">
        <v>1</v>
      </c>
      <c r="G21" s="22">
        <v>79</v>
      </c>
      <c r="H21" s="20" t="s">
        <v>83</v>
      </c>
      <c r="I21" s="20" t="s">
        <v>58</v>
      </c>
      <c r="J21" s="24" t="s">
        <v>53</v>
      </c>
      <c r="K21" s="32">
        <v>45078</v>
      </c>
      <c r="L21" s="32">
        <v>45289</v>
      </c>
      <c r="M21" s="26">
        <f>IF(Tabla1[[#This Row],[CC]]="","",YEAR(Tabla1[[#This Row],[Fecha Incio]]))</f>
        <v>2023</v>
      </c>
      <c r="N21" s="5">
        <v>20841820000</v>
      </c>
      <c r="O21" s="5">
        <v>20841820000</v>
      </c>
      <c r="P21" s="5">
        <f>(18757638000+2210848909)</f>
        <v>20968486909</v>
      </c>
      <c r="Q21" s="28">
        <f t="shared" si="0"/>
        <v>1</v>
      </c>
      <c r="R21" s="28">
        <f t="shared" si="1"/>
        <v>1.0060775358869811</v>
      </c>
      <c r="S21" s="5">
        <v>8634392094.0664101</v>
      </c>
      <c r="T21" s="27">
        <v>8634392094.0664101</v>
      </c>
      <c r="U21" s="27">
        <f>+Tabla1[[#This Row],[Costo modelo a Corte]]-Tabla1[[#This Row],[Costo Contable a Corte]]</f>
        <v>0</v>
      </c>
      <c r="V21" s="28">
        <f>+IFERROR(T21/Tabla1[[#This Row],[Costo modelo a Corte]],0)</f>
        <v>1</v>
      </c>
      <c r="W21" s="29">
        <v>7450593722.080267</v>
      </c>
      <c r="X21" s="29">
        <v>2275258429</v>
      </c>
      <c r="Y21" s="29">
        <f>+(Tabla1[[#This Row],[Facturación Real a diciembre 31]]/Tabla1[[#This Row],[Monto del Proyecto]])*Tabla1[[#This Row],[Gasto Modelo a Corte]]</f>
        <v>7495874972.8055258</v>
      </c>
      <c r="Z21" s="28">
        <v>0.22823506698653506</v>
      </c>
      <c r="AA21" s="28">
        <f t="shared" si="2"/>
        <v>0.22823506698807125</v>
      </c>
      <c r="AB21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0.23289716201493055</v>
      </c>
      <c r="AC21" s="31" t="s">
        <v>31</v>
      </c>
      <c r="AD21" s="31" t="e">
        <f>+Tabla1[[#This Row],[Monto del Proyecto]]/#REF!</f>
        <v>#REF!</v>
      </c>
      <c r="AE21" s="31" t="e">
        <f t="shared" si="3"/>
        <v>#REF!</v>
      </c>
    </row>
    <row r="22" spans="2:31" x14ac:dyDescent="0.35">
      <c r="B22" s="1">
        <f>+Tabla1[[#This Row],[CC]]</f>
        <v>285</v>
      </c>
      <c r="C22" s="19">
        <v>285</v>
      </c>
      <c r="D22" s="20" t="s">
        <v>84</v>
      </c>
      <c r="E22" s="20" t="s">
        <v>28</v>
      </c>
      <c r="F22" s="21">
        <v>1</v>
      </c>
      <c r="G22" s="22">
        <v>1</v>
      </c>
      <c r="H22" s="20" t="s">
        <v>62</v>
      </c>
      <c r="I22" s="20" t="s">
        <v>62</v>
      </c>
      <c r="J22" s="24" t="s">
        <v>53</v>
      </c>
      <c r="K22" s="32">
        <v>45027</v>
      </c>
      <c r="L22" s="32">
        <v>45072</v>
      </c>
      <c r="M22" s="26">
        <f>IF(Tabla1[[#This Row],[CC]]="","",YEAR(Tabla1[[#This Row],[Fecha Incio]]))</f>
        <v>2023</v>
      </c>
      <c r="N22" s="5">
        <v>144957983.19</v>
      </c>
      <c r="O22" s="5">
        <v>144957983.19</v>
      </c>
      <c r="P22" s="27">
        <v>144957983.19</v>
      </c>
      <c r="Q22" s="28">
        <f t="shared" si="0"/>
        <v>1</v>
      </c>
      <c r="R22" s="28">
        <f t="shared" si="1"/>
        <v>1</v>
      </c>
      <c r="S22" s="5">
        <v>129992134.79831932</v>
      </c>
      <c r="T22" s="5">
        <v>127398191</v>
      </c>
      <c r="U22" s="27">
        <f>+Tabla1[[#This Row],[Costo modelo a Corte]]-Tabla1[[#This Row],[Costo Contable a Corte]]</f>
        <v>2593943.7983193249</v>
      </c>
      <c r="V22" s="28">
        <f>+IFERROR(T22/Tabla1[[#This Row],[Costo modelo a Corte]],0)</f>
        <v>0.98004537888123933</v>
      </c>
      <c r="W22" s="29">
        <v>4930018.4922856549</v>
      </c>
      <c r="X22" s="29">
        <v>3550682.4775596042</v>
      </c>
      <c r="Y22" s="29">
        <f>+(Tabla1[[#This Row],[Facturación Real a diciembre 31]]/Tabla1[[#This Row],[Monto del Proyecto]])*Tabla1[[#This Row],[Gasto Modelo a Corte]]</f>
        <v>4930018.4922856549</v>
      </c>
      <c r="Z22" s="28">
        <v>6.9232675936136787E-2</v>
      </c>
      <c r="AA22" s="28">
        <f t="shared" si="2"/>
        <v>6.9232681626377274E-2</v>
      </c>
      <c r="AB22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8.7127134496346945E-2</v>
      </c>
      <c r="AC22" s="30" t="s">
        <v>31</v>
      </c>
      <c r="AD22" s="31" t="e">
        <f>+Tabla1[[#This Row],[Monto del Proyecto]]/#REF!</f>
        <v>#REF!</v>
      </c>
      <c r="AE22" s="31" t="e">
        <f t="shared" si="3"/>
        <v>#REF!</v>
      </c>
    </row>
    <row r="23" spans="2:31" x14ac:dyDescent="0.35">
      <c r="B23" s="1">
        <f>+Tabla1[[#This Row],[CC]]</f>
        <v>286</v>
      </c>
      <c r="C23" s="19">
        <v>286</v>
      </c>
      <c r="D23" s="20" t="s">
        <v>84</v>
      </c>
      <c r="E23" s="20" t="s">
        <v>41</v>
      </c>
      <c r="F23" s="21">
        <v>1</v>
      </c>
      <c r="G23" s="22">
        <v>10</v>
      </c>
      <c r="H23" s="20" t="s">
        <v>62</v>
      </c>
      <c r="I23" s="20" t="s">
        <v>62</v>
      </c>
      <c r="J23" s="24" t="s">
        <v>60</v>
      </c>
      <c r="K23" s="32">
        <v>45051</v>
      </c>
      <c r="L23" s="32">
        <v>45291</v>
      </c>
      <c r="M23" s="26">
        <f>IF(Tabla1[[#This Row],[CC]]="","",YEAR(Tabla1[[#This Row],[Fecha Incio]]))</f>
        <v>2023</v>
      </c>
      <c r="N23" s="5">
        <v>1219000000</v>
      </c>
      <c r="O23" s="5">
        <v>1104000000</v>
      </c>
      <c r="P23" s="27">
        <f>(89608577.31+666437886.54)+354683347</f>
        <v>1110729810.8499999</v>
      </c>
      <c r="Q23" s="28">
        <f t="shared" si="0"/>
        <v>0.90566037735849059</v>
      </c>
      <c r="R23" s="28">
        <f t="shared" si="1"/>
        <v>0.91118114097620995</v>
      </c>
      <c r="S23" s="5">
        <v>866136682.66666687</v>
      </c>
      <c r="T23" s="5">
        <v>874334241.72000003</v>
      </c>
      <c r="U23" s="27">
        <f>+Tabla1[[#This Row],[Costo modelo a Corte]]-Tabla1[[#This Row],[Costo Contable a Corte]]</f>
        <v>-8197559.0533331633</v>
      </c>
      <c r="V23" s="28">
        <f>+IFERROR(T23/Tabla1[[#This Row],[Costo modelo a Corte]],0)</f>
        <v>1.0094645097216002</v>
      </c>
      <c r="W23" s="29">
        <v>55304997.730666667</v>
      </c>
      <c r="X23" s="29">
        <v>38714371.762379996</v>
      </c>
      <c r="Y23" s="29">
        <f>+(Tabla1[[#This Row],[Facturación Real a diciembre 31]]/Tabla1[[#This Row],[Monto del Proyecto]])*Tabla1[[#This Row],[Gasto Modelo a Corte]]</f>
        <v>50392870.933915555</v>
      </c>
      <c r="Z23" s="28">
        <v>0.24714969293478262</v>
      </c>
      <c r="AA23" s="28">
        <f t="shared" si="2"/>
        <v>0.16536079674154572</v>
      </c>
      <c r="AB23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0.16303746386418799</v>
      </c>
      <c r="AC23" s="30" t="s">
        <v>31</v>
      </c>
      <c r="AD23" s="31" t="e">
        <f>+Tabla1[[#This Row],[Monto del Proyecto]]/#REF!</f>
        <v>#REF!</v>
      </c>
      <c r="AE23" s="31" t="e">
        <f t="shared" si="3"/>
        <v>#REF!</v>
      </c>
    </row>
    <row r="24" spans="2:31" x14ac:dyDescent="0.35">
      <c r="B24" s="1">
        <f>+Tabla1[[#This Row],[CC]]</f>
        <v>289</v>
      </c>
      <c r="C24" s="19">
        <v>289</v>
      </c>
      <c r="D24" s="20" t="s">
        <v>85</v>
      </c>
      <c r="E24" s="20" t="s">
        <v>34</v>
      </c>
      <c r="F24" s="21">
        <v>1</v>
      </c>
      <c r="G24" s="22">
        <v>15</v>
      </c>
      <c r="H24" s="20" t="s">
        <v>86</v>
      </c>
      <c r="I24" s="20" t="s">
        <v>87</v>
      </c>
      <c r="J24" s="24" t="s">
        <v>36</v>
      </c>
      <c r="K24" s="32">
        <v>45078</v>
      </c>
      <c r="L24" s="32">
        <v>45260</v>
      </c>
      <c r="M24" s="26">
        <f>IF(Tabla1[[#This Row],[CC]]="","",YEAR(Tabla1[[#This Row],[Fecha Incio]]))</f>
        <v>2023</v>
      </c>
      <c r="N24" s="27">
        <v>1662500000</v>
      </c>
      <c r="O24" s="27">
        <v>1662500000</v>
      </c>
      <c r="P24" s="27">
        <v>1662500000</v>
      </c>
      <c r="Q24" s="28">
        <f t="shared" si="0"/>
        <v>1</v>
      </c>
      <c r="R24" s="28">
        <f t="shared" si="1"/>
        <v>1</v>
      </c>
      <c r="S24" s="27">
        <v>1373168966.7138665</v>
      </c>
      <c r="T24" s="27">
        <v>1507589107</v>
      </c>
      <c r="U24" s="27">
        <f>+Tabla1[[#This Row],[Costo modelo a Corte]]-Tabla1[[#This Row],[Costo Contable a Corte]]</f>
        <v>-134420140.28613353</v>
      </c>
      <c r="V24" s="28">
        <f>+IFERROR(T24/Tabla1[[#This Row],[Costo modelo a Corte]],0)</f>
        <v>1.0978904588907326</v>
      </c>
      <c r="W24" s="33">
        <v>101166975.74240521</v>
      </c>
      <c r="X24" s="33">
        <v>101166975.74240521</v>
      </c>
      <c r="Y24" s="33">
        <f>+(Tabla1[[#This Row],[Facturación Real a diciembre 31]]/Tabla1[[#This Row],[Monto del Proyecto]])*Tabla1[[#This Row],[Gasto Modelo a Corte]]</f>
        <v>101166975.74240521</v>
      </c>
      <c r="Z24" s="34">
        <v>0.11318138812424951</v>
      </c>
      <c r="AA24" s="28">
        <f t="shared" si="2"/>
        <v>0.11318138799622757</v>
      </c>
      <c r="AB24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3.2327168275245004E-2</v>
      </c>
      <c r="AC24" s="30" t="s">
        <v>31</v>
      </c>
      <c r="AD24" s="31" t="e">
        <f>+Tabla1[[#This Row],[Monto del Proyecto]]/#REF!</f>
        <v>#REF!</v>
      </c>
      <c r="AE24" s="31" t="e">
        <f t="shared" si="3"/>
        <v>#REF!</v>
      </c>
    </row>
    <row r="25" spans="2:31" x14ac:dyDescent="0.35">
      <c r="B25" s="1">
        <f>+Tabla1[[#This Row],[CC]]</f>
        <v>290</v>
      </c>
      <c r="C25" s="19">
        <v>290</v>
      </c>
      <c r="D25" s="20" t="s">
        <v>88</v>
      </c>
      <c r="E25" s="20" t="s">
        <v>34</v>
      </c>
      <c r="F25" s="21">
        <v>1</v>
      </c>
      <c r="G25" s="22">
        <v>1</v>
      </c>
      <c r="H25" s="20" t="s">
        <v>89</v>
      </c>
      <c r="I25" s="20" t="s">
        <v>89</v>
      </c>
      <c r="J25" s="35" t="s">
        <v>36</v>
      </c>
      <c r="K25" s="32">
        <v>45078</v>
      </c>
      <c r="L25" s="32">
        <v>45108</v>
      </c>
      <c r="M25" s="26">
        <f>IF(Tabla1[[#This Row],[CC]]="","",YEAR(Tabla1[[#This Row],[Fecha Incio]]))</f>
        <v>2023</v>
      </c>
      <c r="N25" s="27">
        <v>64279450</v>
      </c>
      <c r="O25" s="27">
        <v>64279450</v>
      </c>
      <c r="P25" s="27">
        <v>64279450</v>
      </c>
      <c r="Q25" s="28">
        <f t="shared" si="0"/>
        <v>1</v>
      </c>
      <c r="R25" s="28">
        <f t="shared" si="1"/>
        <v>1</v>
      </c>
      <c r="S25" s="27">
        <v>44616325</v>
      </c>
      <c r="T25" s="27">
        <v>45250535</v>
      </c>
      <c r="U25" s="27">
        <f>+Tabla1[[#This Row],[Costo modelo a Corte]]-Tabla1[[#This Row],[Costo Contable a Corte]]</f>
        <v>-634210</v>
      </c>
      <c r="V25" s="28">
        <f>+IFERROR(T25/Tabla1[[#This Row],[Costo modelo a Corte]],0)</f>
        <v>1.0142147521114748</v>
      </c>
      <c r="W25" s="33">
        <v>3699822</v>
      </c>
      <c r="X25" s="33">
        <v>3699822</v>
      </c>
      <c r="Y25" s="33">
        <f>+(Tabla1[[#This Row],[Facturación Real a diciembre 31]]/Tabla1[[#This Row],[Monto del Proyecto]])*Tabla1[[#This Row],[Gasto Modelo a Corte]]</f>
        <v>3699822</v>
      </c>
      <c r="Z25" s="37">
        <v>0.24834224623888351</v>
      </c>
      <c r="AA25" s="28">
        <f t="shared" si="2"/>
        <v>0.24834224623888351</v>
      </c>
      <c r="AB25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0.23847579591922458</v>
      </c>
      <c r="AC25" s="30" t="s">
        <v>31</v>
      </c>
      <c r="AD25" s="31" t="e">
        <f>+Tabla1[[#This Row],[Monto del Proyecto]]/#REF!</f>
        <v>#REF!</v>
      </c>
      <c r="AE25" s="31" t="e">
        <f t="shared" si="3"/>
        <v>#REF!</v>
      </c>
    </row>
    <row r="26" spans="2:31" x14ac:dyDescent="0.35">
      <c r="B26" s="1">
        <f>+Tabla1[[#This Row],[CC]]</f>
        <v>292</v>
      </c>
      <c r="C26" s="19">
        <v>292</v>
      </c>
      <c r="D26" s="20" t="s">
        <v>90</v>
      </c>
      <c r="E26" s="20" t="s">
        <v>34</v>
      </c>
      <c r="F26" s="21">
        <v>1</v>
      </c>
      <c r="G26" s="22">
        <v>1</v>
      </c>
      <c r="H26" s="20" t="s">
        <v>91</v>
      </c>
      <c r="I26" s="20" t="s">
        <v>92</v>
      </c>
      <c r="J26" s="35" t="s">
        <v>36</v>
      </c>
      <c r="K26" s="32">
        <v>45108</v>
      </c>
      <c r="L26" s="32">
        <v>45200</v>
      </c>
      <c r="M26" s="26">
        <f>IF(Tabla1[[#This Row],[CC]]="","",YEAR(Tabla1[[#This Row],[Fecha Incio]]))</f>
        <v>2023</v>
      </c>
      <c r="N26" s="27">
        <v>189472449</v>
      </c>
      <c r="O26" s="27">
        <v>189472449</v>
      </c>
      <c r="P26" s="27">
        <v>189472449</v>
      </c>
      <c r="Q26" s="28">
        <f t="shared" si="0"/>
        <v>1</v>
      </c>
      <c r="R26" s="28">
        <f t="shared" si="1"/>
        <v>1</v>
      </c>
      <c r="S26" s="27">
        <v>159229129</v>
      </c>
      <c r="T26" s="27">
        <v>144394286</v>
      </c>
      <c r="U26" s="27">
        <f>+Tabla1[[#This Row],[Costo modelo a Corte]]-Tabla1[[#This Row],[Costo Contable a Corte]]</f>
        <v>14834843</v>
      </c>
      <c r="V26" s="28">
        <f>+IFERROR(T26/Tabla1[[#This Row],[Costo modelo a Corte]],0)</f>
        <v>0.90683335961725953</v>
      </c>
      <c r="W26" s="33">
        <v>36252625</v>
      </c>
      <c r="X26" s="33">
        <v>36252625</v>
      </c>
      <c r="Y26" s="33">
        <f>+(Tabla1[[#This Row],[Facturación Real a diciembre 31]]/Tabla1[[#This Row],[Monto del Proyecto]])*Tabla1[[#This Row],[Gasto Modelo a Corte]]</f>
        <v>36252625</v>
      </c>
      <c r="Z26" s="34">
        <v>-3.1715983150669043E-2</v>
      </c>
      <c r="AA26" s="28">
        <f t="shared" si="2"/>
        <v>-3.1715983150669043E-2</v>
      </c>
      <c r="AB26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4.6579531993065651E-2</v>
      </c>
      <c r="AC26" s="30" t="s">
        <v>31</v>
      </c>
      <c r="AD26" s="31" t="e">
        <f>+Tabla1[[#This Row],[Monto del Proyecto]]/#REF!</f>
        <v>#REF!</v>
      </c>
      <c r="AE26" s="31" t="e">
        <f t="shared" si="3"/>
        <v>#REF!</v>
      </c>
    </row>
    <row r="27" spans="2:31" x14ac:dyDescent="0.35">
      <c r="B27" s="1">
        <f>+Tabla1[[#This Row],[CC]]</f>
        <v>293</v>
      </c>
      <c r="C27" s="19">
        <v>293</v>
      </c>
      <c r="D27" s="20" t="s">
        <v>93</v>
      </c>
      <c r="E27" s="20" t="s">
        <v>41</v>
      </c>
      <c r="F27" s="21">
        <v>1</v>
      </c>
      <c r="G27" s="22">
        <v>3</v>
      </c>
      <c r="H27" s="20" t="s">
        <v>80</v>
      </c>
      <c r="I27" s="20" t="s">
        <v>58</v>
      </c>
      <c r="J27" s="35" t="s">
        <v>66</v>
      </c>
      <c r="K27" s="32">
        <v>45117</v>
      </c>
      <c r="L27" s="32">
        <v>45260</v>
      </c>
      <c r="M27" s="26">
        <f>IF(Tabla1[[#This Row],[CC]]="","",YEAR(Tabla1[[#This Row],[Fecha Incio]]))</f>
        <v>2023</v>
      </c>
      <c r="N27" s="27">
        <v>4436962101</v>
      </c>
      <c r="O27" s="27">
        <v>4436962101</v>
      </c>
      <c r="P27" s="27">
        <v>4436962101</v>
      </c>
      <c r="Q27" s="28">
        <f t="shared" si="0"/>
        <v>1</v>
      </c>
      <c r="R27" s="28">
        <f t="shared" si="1"/>
        <v>1</v>
      </c>
      <c r="S27" s="27">
        <v>2051079483</v>
      </c>
      <c r="T27" s="27">
        <v>2051079483</v>
      </c>
      <c r="U27" s="27">
        <f>+Tabla1[[#This Row],[Costo modelo a Corte]]-Tabla1[[#This Row],[Costo Contable a Corte]]</f>
        <v>0</v>
      </c>
      <c r="V27" s="28">
        <f>+IFERROR(T27/Tabla1[[#This Row],[Costo modelo a Corte]],0)</f>
        <v>1</v>
      </c>
      <c r="W27" s="33">
        <v>908602706</v>
      </c>
      <c r="X27" s="33">
        <v>932977495.95000005</v>
      </c>
      <c r="Y27" s="33">
        <v>932977495.95000005</v>
      </c>
      <c r="Z27" s="34">
        <v>0.33294850809454773</v>
      </c>
      <c r="AA27" s="28">
        <f t="shared" si="2"/>
        <v>0.33294850809454773</v>
      </c>
      <c r="AB27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0.32745493177021845</v>
      </c>
      <c r="AC27" s="30" t="s">
        <v>31</v>
      </c>
      <c r="AD27" s="31" t="e">
        <f>+Tabla1[[#This Row],[Monto del Proyecto]]/#REF!</f>
        <v>#REF!</v>
      </c>
      <c r="AE27" s="31" t="e">
        <f t="shared" si="3"/>
        <v>#REF!</v>
      </c>
    </row>
    <row r="28" spans="2:31" x14ac:dyDescent="0.35">
      <c r="B28" s="1">
        <f>+Tabla1[[#This Row],[CC]]</f>
        <v>294</v>
      </c>
      <c r="C28" s="19">
        <v>294</v>
      </c>
      <c r="D28" s="20" t="s">
        <v>94</v>
      </c>
      <c r="E28" s="20" t="s">
        <v>41</v>
      </c>
      <c r="F28" s="21">
        <v>1</v>
      </c>
      <c r="G28" s="22">
        <v>2</v>
      </c>
      <c r="H28" s="20" t="s">
        <v>95</v>
      </c>
      <c r="I28" s="20" t="s">
        <v>58</v>
      </c>
      <c r="J28" s="35" t="s">
        <v>66</v>
      </c>
      <c r="K28" s="32">
        <v>45139</v>
      </c>
      <c r="L28" s="32">
        <v>45260</v>
      </c>
      <c r="M28" s="26">
        <f>IF(Tabla1[[#This Row],[CC]]="","",YEAR(Tabla1[[#This Row],[Fecha Incio]]))</f>
        <v>2023</v>
      </c>
      <c r="N28" s="27">
        <v>239495798</v>
      </c>
      <c r="O28" s="27">
        <v>239495798</v>
      </c>
      <c r="P28" s="27">
        <v>239495798</v>
      </c>
      <c r="Q28" s="28">
        <f t="shared" si="0"/>
        <v>1</v>
      </c>
      <c r="R28" s="28">
        <f t="shared" si="1"/>
        <v>1</v>
      </c>
      <c r="S28" s="27">
        <v>179505868</v>
      </c>
      <c r="T28" s="27">
        <v>168213444.85999998</v>
      </c>
      <c r="U28" s="27">
        <f>+Tabla1[[#This Row],[Costo modelo a Corte]]-Tabla1[[#This Row],[Costo Contable a Corte]]</f>
        <v>11292423.140000015</v>
      </c>
      <c r="V28" s="28">
        <f>+IFERROR(T28/Tabla1[[#This Row],[Costo modelo a Corte]],0)</f>
        <v>0.93709162120538581</v>
      </c>
      <c r="W28" s="33">
        <v>36139100</v>
      </c>
      <c r="X28" s="33">
        <v>70400438</v>
      </c>
      <c r="Y28" s="33">
        <f>+(Tabla1[[#This Row],[Facturación Real a diciembre 31]]/Tabla1[[#This Row],[Monto del Proyecto]])*Tabla1[[#This Row],[Gasto Modelo a Corte]]</f>
        <v>36139100</v>
      </c>
      <c r="Z28" s="34">
        <v>9.9587676273134446E-2</v>
      </c>
      <c r="AA28" s="28">
        <f t="shared" si="2"/>
        <v>9.9587676273134446E-2</v>
      </c>
      <c r="AB28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3.6823825192958729E-3</v>
      </c>
      <c r="AC28" s="30" t="s">
        <v>31</v>
      </c>
      <c r="AD28" s="31" t="e">
        <f>+Tabla1[[#This Row],[Monto del Proyecto]]/#REF!</f>
        <v>#REF!</v>
      </c>
      <c r="AE28" s="31" t="e">
        <f t="shared" si="3"/>
        <v>#REF!</v>
      </c>
    </row>
    <row r="29" spans="2:31" x14ac:dyDescent="0.35">
      <c r="B29" s="1">
        <f>+Tabla1[[#This Row],[CC]]</f>
        <v>295</v>
      </c>
      <c r="C29" s="19">
        <v>295</v>
      </c>
      <c r="D29" s="20" t="s">
        <v>96</v>
      </c>
      <c r="E29" s="20" t="s">
        <v>28</v>
      </c>
      <c r="F29" s="21">
        <v>1</v>
      </c>
      <c r="G29" s="22">
        <v>1</v>
      </c>
      <c r="H29" s="20" t="s">
        <v>97</v>
      </c>
      <c r="I29" s="20" t="s">
        <v>98</v>
      </c>
      <c r="J29" s="35" t="s">
        <v>53</v>
      </c>
      <c r="K29" s="32">
        <v>45139</v>
      </c>
      <c r="L29" s="32">
        <v>45199</v>
      </c>
      <c r="M29" s="26">
        <f>IF(Tabla1[[#This Row],[CC]]="","",YEAR(Tabla1[[#This Row],[Fecha Incio]]))</f>
        <v>2023</v>
      </c>
      <c r="N29" s="27">
        <v>1021102566</v>
      </c>
      <c r="O29" s="27">
        <v>1021102566</v>
      </c>
      <c r="P29" s="27">
        <v>1021102566</v>
      </c>
      <c r="Q29" s="28">
        <f t="shared" si="0"/>
        <v>1</v>
      </c>
      <c r="R29" s="28">
        <f t="shared" si="1"/>
        <v>1</v>
      </c>
      <c r="S29" s="27">
        <v>496733136</v>
      </c>
      <c r="T29" s="27">
        <v>496775681</v>
      </c>
      <c r="U29" s="27">
        <f>+Tabla1[[#This Row],[Costo modelo a Corte]]-Tabla1[[#This Row],[Costo Contable a Corte]]</f>
        <v>-42545</v>
      </c>
      <c r="V29" s="28">
        <f>+IFERROR(T29/Tabla1[[#This Row],[Costo modelo a Corte]],0)</f>
        <v>1.0000856496112633</v>
      </c>
      <c r="W29" s="33">
        <v>229439872</v>
      </c>
      <c r="X29" s="33">
        <v>234374832</v>
      </c>
      <c r="Y29" s="33">
        <f>+(Tabla1[[#This Row],[Facturación Real a diciembre 31]]/Tabla1[[#This Row],[Monto del Proyecto]])*Tabla1[[#This Row],[Gasto Modelo a Corte]]</f>
        <v>229439872</v>
      </c>
      <c r="Z29" s="34">
        <v>0.28883441078337274</v>
      </c>
      <c r="AA29" s="28">
        <f t="shared" si="2"/>
        <v>0.28883441078337274</v>
      </c>
      <c r="AB29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0.28395977314584481</v>
      </c>
      <c r="AC29" s="30" t="s">
        <v>31</v>
      </c>
      <c r="AD29" s="31" t="e">
        <f>+Tabla1[[#This Row],[Monto del Proyecto]]/#REF!</f>
        <v>#REF!</v>
      </c>
      <c r="AE29" s="31" t="e">
        <f t="shared" si="3"/>
        <v>#REF!</v>
      </c>
    </row>
    <row r="30" spans="2:31" x14ac:dyDescent="0.35">
      <c r="B30" s="1">
        <f>+Tabla1[[#This Row],[CC]]</f>
        <v>297</v>
      </c>
      <c r="C30" s="19">
        <v>297</v>
      </c>
      <c r="D30" s="20" t="s">
        <v>99</v>
      </c>
      <c r="E30" s="20" t="s">
        <v>34</v>
      </c>
      <c r="F30" s="21">
        <v>1</v>
      </c>
      <c r="G30" s="22">
        <v>5</v>
      </c>
      <c r="H30" s="20" t="s">
        <v>100</v>
      </c>
      <c r="I30" s="20" t="s">
        <v>101</v>
      </c>
      <c r="J30" s="24" t="s">
        <v>36</v>
      </c>
      <c r="K30" s="32">
        <v>45152</v>
      </c>
      <c r="L30" s="32">
        <v>45291</v>
      </c>
      <c r="M30" s="26">
        <f>IF(Tabla1[[#This Row],[CC]]="","",YEAR(Tabla1[[#This Row],[Fecha Incio]]))</f>
        <v>2023</v>
      </c>
      <c r="N30" s="27">
        <v>549504202</v>
      </c>
      <c r="O30" s="27">
        <v>549504202</v>
      </c>
      <c r="P30" s="27">
        <v>549504202</v>
      </c>
      <c r="Q30" s="28">
        <f t="shared" si="0"/>
        <v>1</v>
      </c>
      <c r="R30" s="28">
        <f t="shared" si="1"/>
        <v>1</v>
      </c>
      <c r="S30" s="27">
        <v>298693825.57533336</v>
      </c>
      <c r="T30" s="27">
        <v>297006786</v>
      </c>
      <c r="U30" s="27">
        <f>+Tabla1[[#This Row],[Costo modelo a Corte]]-Tabla1[[#This Row],[Costo Contable a Corte]]</f>
        <v>1687039.5753333569</v>
      </c>
      <c r="V30" s="28">
        <f>+IFERROR(T30/Tabla1[[#This Row],[Costo modelo a Corte]],0)</f>
        <v>0.99435194359279488</v>
      </c>
      <c r="W30" s="33">
        <v>124290506.20341156</v>
      </c>
      <c r="X30" s="33">
        <v>124290506.20341156</v>
      </c>
      <c r="Y30" s="33">
        <f>+(Tabla1[[#This Row],[Facturación Real a diciembre 31]]/Tabla1[[#This Row],[Monto del Proyecto]])*Tabla1[[#This Row],[Gasto Modelo a Corte]]</f>
        <v>124290506.20341156</v>
      </c>
      <c r="Z30" s="34">
        <v>0.23024368105060475</v>
      </c>
      <c r="AA30" s="28">
        <f t="shared" si="2"/>
        <v>0.23024368105060475</v>
      </c>
      <c r="AB30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0.23331379328849686</v>
      </c>
      <c r="AC30" s="30" t="s">
        <v>31</v>
      </c>
      <c r="AD30" s="31" t="e">
        <f>+Tabla1[[#This Row],[Monto del Proyecto]]/#REF!</f>
        <v>#REF!</v>
      </c>
      <c r="AE30" s="31" t="e">
        <f t="shared" si="3"/>
        <v>#REF!</v>
      </c>
    </row>
    <row r="31" spans="2:31" x14ac:dyDescent="0.35">
      <c r="B31" s="1">
        <f>+Tabla1[[#This Row],[CC]]</f>
        <v>299</v>
      </c>
      <c r="C31" s="19">
        <v>299</v>
      </c>
      <c r="D31" s="20" t="s">
        <v>102</v>
      </c>
      <c r="E31" s="20" t="s">
        <v>34</v>
      </c>
      <c r="F31" s="21">
        <v>1</v>
      </c>
      <c r="G31" s="22">
        <v>3</v>
      </c>
      <c r="H31" s="38" t="s">
        <v>97</v>
      </c>
      <c r="I31" s="20" t="s">
        <v>98</v>
      </c>
      <c r="J31" s="35" t="s">
        <v>36</v>
      </c>
      <c r="K31" s="32">
        <v>45224</v>
      </c>
      <c r="L31" s="32">
        <v>45270</v>
      </c>
      <c r="M31" s="26">
        <f>IF(Tabla1[[#This Row],[CC]]="","",YEAR(Tabla1[[#This Row],[Fecha Incio]]))</f>
        <v>2023</v>
      </c>
      <c r="N31" s="27">
        <v>445824369.74789917</v>
      </c>
      <c r="O31" s="27">
        <v>445824369.74789917</v>
      </c>
      <c r="P31" s="27">
        <v>445824369.74789917</v>
      </c>
      <c r="Q31" s="28">
        <f t="shared" si="0"/>
        <v>1</v>
      </c>
      <c r="R31" s="28">
        <f t="shared" si="1"/>
        <v>1</v>
      </c>
      <c r="S31" s="27">
        <v>160198559</v>
      </c>
      <c r="T31" s="27">
        <v>160198559</v>
      </c>
      <c r="U31" s="27">
        <f>+Tabla1[[#This Row],[Costo modelo a Corte]]-Tabla1[[#This Row],[Costo Contable a Corte]]</f>
        <v>0</v>
      </c>
      <c r="V31" s="28">
        <f>+IFERROR(T31/Tabla1[[#This Row],[Costo modelo a Corte]],0)</f>
        <v>1</v>
      </c>
      <c r="W31" s="33">
        <v>57135238.216959082</v>
      </c>
      <c r="X31" s="33">
        <v>75388575</v>
      </c>
      <c r="Y31" s="33">
        <f>+(Tabla1[[#This Row],[Facturación Real a diciembre 31]]/Tabla1[[#This Row],[Monto del Proyecto]])*Tabla1[[#This Row],[Gasto Modelo a Corte]]</f>
        <v>57135238.216959082</v>
      </c>
      <c r="Z31" s="34">
        <v>0.51251252294742189</v>
      </c>
      <c r="AA31" s="28">
        <f t="shared" si="2"/>
        <v>0.51251252294742189</v>
      </c>
      <c r="AB31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0.47156963596849194</v>
      </c>
      <c r="AC31" s="30" t="s">
        <v>31</v>
      </c>
      <c r="AD31" s="31" t="e">
        <f>+Tabla1[[#This Row],[Monto del Proyecto]]/#REF!</f>
        <v>#REF!</v>
      </c>
      <c r="AE31" s="31" t="e">
        <f t="shared" si="3"/>
        <v>#REF!</v>
      </c>
    </row>
    <row r="32" spans="2:31" x14ac:dyDescent="0.35">
      <c r="B32" s="1">
        <f>+Tabla1[[#This Row],[CC]]</f>
        <v>300</v>
      </c>
      <c r="C32" s="19">
        <v>300</v>
      </c>
      <c r="D32" s="20" t="s">
        <v>103</v>
      </c>
      <c r="E32" s="20" t="s">
        <v>41</v>
      </c>
      <c r="F32" s="21">
        <v>1</v>
      </c>
      <c r="G32" s="22">
        <v>1</v>
      </c>
      <c r="H32" s="20" t="s">
        <v>104</v>
      </c>
      <c r="I32" s="20" t="s">
        <v>104</v>
      </c>
      <c r="J32" s="24" t="s">
        <v>60</v>
      </c>
      <c r="K32" s="32">
        <v>45138</v>
      </c>
      <c r="L32" s="32">
        <v>45245</v>
      </c>
      <c r="M32" s="26">
        <f>IF(Tabla1[[#This Row],[CC]]="","",YEAR(Tabla1[[#This Row],[Fecha Incio]]))</f>
        <v>2023</v>
      </c>
      <c r="N32" s="27">
        <v>597000000</v>
      </c>
      <c r="O32" s="27">
        <v>597000000</v>
      </c>
      <c r="P32" s="27">
        <v>597000000</v>
      </c>
      <c r="Q32" s="28">
        <f t="shared" si="0"/>
        <v>1</v>
      </c>
      <c r="R32" s="28">
        <f t="shared" si="1"/>
        <v>1</v>
      </c>
      <c r="S32" s="27">
        <v>526317621</v>
      </c>
      <c r="T32" s="27">
        <v>526965975</v>
      </c>
      <c r="U32" s="27">
        <f>+Tabla1[[#This Row],[Costo modelo a Corte]]-Tabla1[[#This Row],[Costo Contable a Corte]]</f>
        <v>-648354</v>
      </c>
      <c r="V32" s="28">
        <f>+IFERROR(T32/Tabla1[[#This Row],[Costo modelo a Corte]],0)</f>
        <v>1.0012318683132215</v>
      </c>
      <c r="W32" s="33">
        <v>25985270</v>
      </c>
      <c r="X32" s="33">
        <v>25985270</v>
      </c>
      <c r="Y32" s="33">
        <f>+(Tabla1[[#This Row],[Facturación Real a diciembre 31]]/Tabla1[[#This Row],[Monto del Proyecto]])*Tabla1[[#This Row],[Gasto Modelo a Corte]]</f>
        <v>25985270</v>
      </c>
      <c r="Z32" s="34">
        <v>7.4869529313232833E-2</v>
      </c>
      <c r="AA32" s="28">
        <f t="shared" si="2"/>
        <v>7.4869529313232833E-2</v>
      </c>
      <c r="AB32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7.3783509212730317E-2</v>
      </c>
      <c r="AC32" s="30" t="s">
        <v>31</v>
      </c>
      <c r="AD32" s="31" t="e">
        <f>+Tabla1[[#This Row],[Monto del Proyecto]]/#REF!</f>
        <v>#REF!</v>
      </c>
      <c r="AE32" s="31" t="e">
        <f t="shared" si="3"/>
        <v>#REF!</v>
      </c>
    </row>
    <row r="33" spans="2:31" x14ac:dyDescent="0.35">
      <c r="B33" s="1">
        <f>+Tabla1[[#This Row],[CC]]</f>
        <v>301</v>
      </c>
      <c r="C33" s="19">
        <v>301</v>
      </c>
      <c r="D33" s="20" t="s">
        <v>105</v>
      </c>
      <c r="E33" s="20" t="s">
        <v>41</v>
      </c>
      <c r="F33" s="21">
        <v>1</v>
      </c>
      <c r="G33" s="22">
        <v>1</v>
      </c>
      <c r="H33" s="20" t="s">
        <v>104</v>
      </c>
      <c r="I33" s="20" t="s">
        <v>104</v>
      </c>
      <c r="J33" s="24" t="s">
        <v>60</v>
      </c>
      <c r="K33" s="32">
        <v>45142</v>
      </c>
      <c r="L33" s="32">
        <v>45291</v>
      </c>
      <c r="M33" s="26">
        <f>IF(Tabla1[[#This Row],[CC]]="","",YEAR(Tabla1[[#This Row],[Fecha Incio]]))</f>
        <v>2023</v>
      </c>
      <c r="N33" s="27">
        <v>185000277</v>
      </c>
      <c r="O33" s="27">
        <v>185000277</v>
      </c>
      <c r="P33" s="27">
        <v>185000277</v>
      </c>
      <c r="Q33" s="28">
        <f t="shared" si="0"/>
        <v>1</v>
      </c>
      <c r="R33" s="28">
        <f t="shared" si="1"/>
        <v>1</v>
      </c>
      <c r="S33" s="27">
        <v>160826359</v>
      </c>
      <c r="T33" s="27">
        <v>163378545</v>
      </c>
      <c r="U33" s="27">
        <f>+Tabla1[[#This Row],[Costo modelo a Corte]]-Tabla1[[#This Row],[Costo Contable a Corte]]</f>
        <v>-2552186</v>
      </c>
      <c r="V33" s="28">
        <f>+IFERROR(T33/Tabla1[[#This Row],[Costo modelo a Corte]],0)</f>
        <v>1.0158692021374431</v>
      </c>
      <c r="W33" s="33">
        <v>8043305</v>
      </c>
      <c r="X33" s="33">
        <v>8043305</v>
      </c>
      <c r="Y33" s="33">
        <f>+(Tabla1[[#This Row],[Facturación Real a diciembre 31]]/Tabla1[[#This Row],[Monto del Proyecto]])*Tabla1[[#This Row],[Gasto Modelo a Corte]]</f>
        <v>8043305</v>
      </c>
      <c r="Z33" s="34">
        <v>8.7191005405405406E-2</v>
      </c>
      <c r="AA33" s="28">
        <f t="shared" si="2"/>
        <v>8.7192372149799538E-2</v>
      </c>
      <c r="AB33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7.339679280588321E-2</v>
      </c>
      <c r="AC33" s="30" t="s">
        <v>31</v>
      </c>
      <c r="AD33" s="31" t="e">
        <f>+Tabla1[[#This Row],[Monto del Proyecto]]/#REF!</f>
        <v>#REF!</v>
      </c>
      <c r="AE33" s="31" t="e">
        <f t="shared" si="3"/>
        <v>#REF!</v>
      </c>
    </row>
    <row r="34" spans="2:31" x14ac:dyDescent="0.35">
      <c r="B34" s="1">
        <f>+Tabla1[[#This Row],[CC]]</f>
        <v>303</v>
      </c>
      <c r="C34" s="19">
        <v>303</v>
      </c>
      <c r="D34" s="20" t="s">
        <v>106</v>
      </c>
      <c r="E34" s="20" t="s">
        <v>34</v>
      </c>
      <c r="F34" s="21">
        <v>1</v>
      </c>
      <c r="G34" s="22">
        <v>1</v>
      </c>
      <c r="H34" s="20" t="s">
        <v>64</v>
      </c>
      <c r="I34" s="20" t="s">
        <v>64</v>
      </c>
      <c r="J34" s="24" t="s">
        <v>36</v>
      </c>
      <c r="K34" s="32">
        <v>45200</v>
      </c>
      <c r="L34" s="32">
        <v>45229</v>
      </c>
      <c r="M34" s="26">
        <f>IF(Tabla1[[#This Row],[CC]]="","",YEAR(Tabla1[[#This Row],[Fecha Incio]]))</f>
        <v>2023</v>
      </c>
      <c r="N34" s="27">
        <v>381241661</v>
      </c>
      <c r="O34" s="27">
        <v>381241661</v>
      </c>
      <c r="P34" s="27">
        <v>381241661</v>
      </c>
      <c r="Q34" s="28">
        <f t="shared" si="0"/>
        <v>1</v>
      </c>
      <c r="R34" s="28">
        <f t="shared" si="1"/>
        <v>1</v>
      </c>
      <c r="S34" s="27">
        <v>326303693.63200003</v>
      </c>
      <c r="T34" s="27">
        <v>294869702</v>
      </c>
      <c r="U34" s="27">
        <f>+Tabla1[[#This Row],[Costo modelo a Corte]]-Tabla1[[#This Row],[Costo Contable a Corte]]</f>
        <v>31433991.632000029</v>
      </c>
      <c r="V34" s="28">
        <f>+IFERROR(T34/Tabla1[[#This Row],[Costo modelo a Corte]],0)</f>
        <v>0.9036664547614629</v>
      </c>
      <c r="W34" s="33">
        <v>62056301.123800561</v>
      </c>
      <c r="X34" s="33">
        <v>62056301.123800561</v>
      </c>
      <c r="Y34" s="33">
        <f>+(Tabla1[[#This Row],[Facturación Real a diciembre 31]]/Tabla1[[#This Row],[Monto del Proyecto]])*Tabla1[[#This Row],[Gasto Modelo a Corte]]</f>
        <v>62056301.123800561</v>
      </c>
      <c r="Z34" s="34">
        <v>8.1399704744507695E-2</v>
      </c>
      <c r="AA34" s="28">
        <f t="shared" si="2"/>
        <v>-1.8671447756074565E-2</v>
      </c>
      <c r="AB34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6.3780169807306095E-2</v>
      </c>
      <c r="AC34" s="30" t="s">
        <v>31</v>
      </c>
      <c r="AD34" s="31" t="e">
        <f>+Tabla1[[#This Row],[Monto del Proyecto]]/#REF!</f>
        <v>#REF!</v>
      </c>
      <c r="AE34" s="31" t="e">
        <f t="shared" si="3"/>
        <v>#REF!</v>
      </c>
    </row>
    <row r="35" spans="2:31" x14ac:dyDescent="0.35">
      <c r="B35" s="1">
        <f>+Tabla1[[#This Row],[CC]]</f>
        <v>304</v>
      </c>
      <c r="C35" s="19">
        <v>304</v>
      </c>
      <c r="D35" s="20" t="s">
        <v>107</v>
      </c>
      <c r="E35" s="20" t="s">
        <v>41</v>
      </c>
      <c r="F35" s="21">
        <v>1</v>
      </c>
      <c r="G35" s="22">
        <v>1</v>
      </c>
      <c r="H35" s="20" t="s">
        <v>108</v>
      </c>
      <c r="I35" s="20" t="s">
        <v>58</v>
      </c>
      <c r="J35" s="35" t="s">
        <v>66</v>
      </c>
      <c r="K35" s="32">
        <v>45201</v>
      </c>
      <c r="L35" s="32">
        <v>45245</v>
      </c>
      <c r="M35" s="26">
        <f>IF(Tabla1[[#This Row],[CC]]="","",YEAR(Tabla1[[#This Row],[Fecha Incio]]))</f>
        <v>2023</v>
      </c>
      <c r="N35" s="27">
        <v>85000000</v>
      </c>
      <c r="O35" s="27">
        <v>85000000</v>
      </c>
      <c r="P35" s="27">
        <v>85000000</v>
      </c>
      <c r="Q35" s="28">
        <f t="shared" si="0"/>
        <v>1</v>
      </c>
      <c r="R35" s="28">
        <f t="shared" si="1"/>
        <v>1</v>
      </c>
      <c r="S35" s="27">
        <v>47093333</v>
      </c>
      <c r="T35" s="27">
        <v>47093333</v>
      </c>
      <c r="U35" s="27">
        <f>+Tabla1[[#This Row],[Costo modelo a Corte]]-Tabla1[[#This Row],[Costo Contable a Corte]]</f>
        <v>0</v>
      </c>
      <c r="V35" s="28">
        <f>+IFERROR(T35/Tabla1[[#This Row],[Costo modelo a Corte]],0)</f>
        <v>1</v>
      </c>
      <c r="W35" s="33">
        <v>12044984</v>
      </c>
      <c r="X35" s="33">
        <v>12044984</v>
      </c>
      <c r="Y35" s="33">
        <f>+(Tabla1[[#This Row],[Facturación Real a diciembre 31]]/Tabla1[[#This Row],[Monto del Proyecto]])*Tabla1[[#This Row],[Gasto Modelo a Corte]]</f>
        <v>12044984</v>
      </c>
      <c r="Z35" s="34">
        <v>0.30425509411764706</v>
      </c>
      <c r="AA35" s="28">
        <f t="shared" si="2"/>
        <v>0.30425509411764706</v>
      </c>
      <c r="AB35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0.30425509411764706</v>
      </c>
      <c r="AC35" s="30" t="s">
        <v>31</v>
      </c>
      <c r="AD35" s="31" t="e">
        <f>+Tabla1[[#This Row],[Monto del Proyecto]]/#REF!</f>
        <v>#REF!</v>
      </c>
      <c r="AE35" s="31" t="e">
        <f t="shared" si="3"/>
        <v>#REF!</v>
      </c>
    </row>
    <row r="36" spans="2:31" x14ac:dyDescent="0.35">
      <c r="B36" s="1">
        <f>+Tabla1[[#This Row],[CC]]</f>
        <v>305</v>
      </c>
      <c r="C36" s="19">
        <v>305</v>
      </c>
      <c r="D36" s="20" t="s">
        <v>109</v>
      </c>
      <c r="E36" s="20" t="s">
        <v>34</v>
      </c>
      <c r="F36" s="21">
        <v>1</v>
      </c>
      <c r="G36" s="22">
        <v>1</v>
      </c>
      <c r="H36" s="20" t="s">
        <v>97</v>
      </c>
      <c r="I36" s="20" t="s">
        <v>110</v>
      </c>
      <c r="J36" s="35" t="s">
        <v>111</v>
      </c>
      <c r="K36" s="32">
        <v>45200</v>
      </c>
      <c r="L36" s="32">
        <v>45566</v>
      </c>
      <c r="M36" s="26">
        <f>IF(Tabla1[[#This Row],[CC]]="","",YEAR(Tabla1[[#This Row],[Fecha Incio]]))</f>
        <v>2023</v>
      </c>
      <c r="N36" s="27">
        <v>3248848740</v>
      </c>
      <c r="O36" s="27">
        <v>3248848740</v>
      </c>
      <c r="P36" s="27">
        <v>3248848740</v>
      </c>
      <c r="Q36" s="28">
        <f t="shared" si="0"/>
        <v>1</v>
      </c>
      <c r="R36" s="28">
        <f t="shared" si="1"/>
        <v>1</v>
      </c>
      <c r="S36" s="27">
        <v>1184453950</v>
      </c>
      <c r="T36" s="27">
        <v>1210567491</v>
      </c>
      <c r="U36" s="27">
        <f>+Tabla1[[#This Row],[Costo modelo a Corte]]-Tabla1[[#This Row],[Costo Contable a Corte]]</f>
        <v>-26113541</v>
      </c>
      <c r="V36" s="28">
        <f>+IFERROR(T36/Tabla1[[#This Row],[Costo modelo a Corte]],0)</f>
        <v>1.0220469027098944</v>
      </c>
      <c r="W36" s="33">
        <v>866130553</v>
      </c>
      <c r="X36" s="33">
        <v>1337381651</v>
      </c>
      <c r="Y36" s="33">
        <f>+(Tabla1[[#This Row],[Facturación Real a diciembre 31]]/Tabla1[[#This Row],[Monto del Proyecto]])*Tabla1[[#This Row],[Gasto Modelo a Corte]]</f>
        <v>866130553</v>
      </c>
      <c r="Z36" s="34">
        <v>0.36882733924043115</v>
      </c>
      <c r="AA36" s="28">
        <f t="shared" si="2"/>
        <v>0.36882733943470697</v>
      </c>
      <c r="AB36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0.21573783641278418</v>
      </c>
      <c r="AC36" s="30" t="s">
        <v>31</v>
      </c>
      <c r="AD36" s="31" t="e">
        <f>+Tabla1[[#This Row],[Monto del Proyecto]]/#REF!</f>
        <v>#REF!</v>
      </c>
      <c r="AE36" s="31" t="e">
        <f t="shared" si="3"/>
        <v>#REF!</v>
      </c>
    </row>
    <row r="37" spans="2:31" x14ac:dyDescent="0.35">
      <c r="B37" s="1">
        <f>+Tabla1[[#This Row],[CC]]</f>
        <v>306</v>
      </c>
      <c r="C37" s="19">
        <v>306</v>
      </c>
      <c r="D37" s="20" t="s">
        <v>112</v>
      </c>
      <c r="E37" s="20" t="s">
        <v>34</v>
      </c>
      <c r="F37" s="21">
        <v>1</v>
      </c>
      <c r="G37" s="22">
        <v>5</v>
      </c>
      <c r="H37" s="20" t="s">
        <v>108</v>
      </c>
      <c r="I37" s="20" t="s">
        <v>113</v>
      </c>
      <c r="J37" s="24" t="s">
        <v>114</v>
      </c>
      <c r="K37" s="32">
        <v>45200</v>
      </c>
      <c r="L37" s="32">
        <v>45291</v>
      </c>
      <c r="M37" s="26">
        <f>IF(Tabla1[[#This Row],[CC]]="","",YEAR(Tabla1[[#This Row],[Fecha Incio]]))</f>
        <v>2023</v>
      </c>
      <c r="N37" s="27">
        <v>270677013.44537818</v>
      </c>
      <c r="O37" s="27">
        <v>270677013.44537818</v>
      </c>
      <c r="P37" s="27">
        <v>270677013.44537818</v>
      </c>
      <c r="Q37" s="28">
        <f t="shared" si="0"/>
        <v>1</v>
      </c>
      <c r="R37" s="28">
        <f t="shared" si="1"/>
        <v>1</v>
      </c>
      <c r="S37" s="27">
        <v>166841626</v>
      </c>
      <c r="T37" s="27">
        <v>156586550</v>
      </c>
      <c r="U37" s="27">
        <f>+Tabla1[[#This Row],[Costo modelo a Corte]]-Tabla1[[#This Row],[Costo Contable a Corte]]</f>
        <v>10255076</v>
      </c>
      <c r="V37" s="28">
        <f>+IFERROR(T37/Tabla1[[#This Row],[Costo modelo a Corte]],0)</f>
        <v>0.93853406823067043</v>
      </c>
      <c r="W37" s="33">
        <v>48412302</v>
      </c>
      <c r="X37" s="33">
        <v>48412302</v>
      </c>
      <c r="Y37" s="33">
        <f>+(Tabla1[[#This Row],[Facturación Real a diciembre 31]]/Tabla1[[#This Row],[Monto del Proyecto]])*Tabla1[[#This Row],[Gasto Modelo a Corte]]</f>
        <v>48412302</v>
      </c>
      <c r="Z37" s="34">
        <v>0.20475726675092193</v>
      </c>
      <c r="AA37" s="28">
        <f t="shared" si="2"/>
        <v>0.20475726675092193</v>
      </c>
      <c r="AB37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0.24264403027570658</v>
      </c>
      <c r="AC37" s="30" t="s">
        <v>31</v>
      </c>
      <c r="AD37" s="31" t="e">
        <f>+Tabla1[[#This Row],[Monto del Proyecto]]/#REF!</f>
        <v>#REF!</v>
      </c>
      <c r="AE37" s="31" t="e">
        <f t="shared" si="3"/>
        <v>#REF!</v>
      </c>
    </row>
    <row r="38" spans="2:31" x14ac:dyDescent="0.35">
      <c r="B38" s="1">
        <f>+Tabla1[[#This Row],[CC]]</f>
        <v>307</v>
      </c>
      <c r="C38" s="19">
        <v>307</v>
      </c>
      <c r="D38" s="20" t="s">
        <v>115</v>
      </c>
      <c r="E38" s="20" t="s">
        <v>28</v>
      </c>
      <c r="F38" s="21">
        <v>1</v>
      </c>
      <c r="G38" s="22">
        <v>1</v>
      </c>
      <c r="H38" s="20" t="s">
        <v>116</v>
      </c>
      <c r="I38" s="20" t="s">
        <v>117</v>
      </c>
      <c r="J38" s="35" t="s">
        <v>56</v>
      </c>
      <c r="K38" s="32">
        <v>45078</v>
      </c>
      <c r="L38" s="32">
        <v>45108</v>
      </c>
      <c r="M38" s="26">
        <f>IF(Tabla1[[#This Row],[CC]]="","",YEAR(Tabla1[[#This Row],[Fecha Incio]]))</f>
        <v>2023</v>
      </c>
      <c r="N38" s="27">
        <v>299038429</v>
      </c>
      <c r="O38" s="27">
        <v>299038429</v>
      </c>
      <c r="P38" s="27">
        <v>299038429</v>
      </c>
      <c r="Q38" s="28">
        <f t="shared" si="0"/>
        <v>1</v>
      </c>
      <c r="R38" s="28">
        <f t="shared" si="1"/>
        <v>1</v>
      </c>
      <c r="S38" s="27">
        <v>196321560</v>
      </c>
      <c r="T38" s="27">
        <v>196321560</v>
      </c>
      <c r="U38" s="27">
        <f>+Tabla1[[#This Row],[Costo modelo a Corte]]-Tabla1[[#This Row],[Costo Contable a Corte]]</f>
        <v>0</v>
      </c>
      <c r="V38" s="28">
        <f>+IFERROR(T38/Tabla1[[#This Row],[Costo modelo a Corte]],0)</f>
        <v>1</v>
      </c>
      <c r="W38" s="33">
        <v>16622177</v>
      </c>
      <c r="X38" s="33">
        <v>16622177</v>
      </c>
      <c r="Y38" s="33">
        <f>+(Tabla1[[#This Row],[Facturación Real a diciembre 31]]/Tabla1[[#This Row],[Monto del Proyecto]])*Tabla1[[#This Row],[Gasto Modelo a Corte]]</f>
        <v>16622177</v>
      </c>
      <c r="Z38" s="34">
        <v>0.28790510830266935</v>
      </c>
      <c r="AA38" s="28">
        <f t="shared" si="2"/>
        <v>0.28790511068395158</v>
      </c>
      <c r="AB38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0.28790511068395158</v>
      </c>
      <c r="AC38" s="30" t="s">
        <v>31</v>
      </c>
      <c r="AD38" s="31" t="e">
        <f>+Tabla1[[#This Row],[Monto del Proyecto]]/#REF!</f>
        <v>#REF!</v>
      </c>
      <c r="AE38" s="31" t="e">
        <f t="shared" si="3"/>
        <v>#REF!</v>
      </c>
    </row>
    <row r="39" spans="2:31" ht="12.75" customHeight="1" x14ac:dyDescent="0.35">
      <c r="B39" s="1">
        <f>+Tabla1[[#This Row],[CC]]</f>
        <v>308</v>
      </c>
      <c r="C39" s="19">
        <v>308</v>
      </c>
      <c r="D39" s="20" t="s">
        <v>118</v>
      </c>
      <c r="E39" s="20" t="s">
        <v>41</v>
      </c>
      <c r="F39" s="21">
        <v>1</v>
      </c>
      <c r="G39" s="22">
        <v>6</v>
      </c>
      <c r="H39" s="20" t="s">
        <v>83</v>
      </c>
      <c r="I39" s="20" t="s">
        <v>81</v>
      </c>
      <c r="J39" s="35" t="s">
        <v>66</v>
      </c>
      <c r="K39" s="32">
        <v>45231</v>
      </c>
      <c r="L39" s="32">
        <v>45306</v>
      </c>
      <c r="M39" s="26">
        <f>IF(Tabla1[[#This Row],[CC]]="","",YEAR(Tabla1[[#This Row],[Fecha Incio]]))</f>
        <v>2023</v>
      </c>
      <c r="N39" s="27">
        <v>647458789.46000004</v>
      </c>
      <c r="O39" s="27">
        <v>647458789.46000004</v>
      </c>
      <c r="P39" s="27">
        <v>647458789.46000004</v>
      </c>
      <c r="Q39" s="28">
        <f t="shared" si="0"/>
        <v>1</v>
      </c>
      <c r="R39" s="28">
        <f t="shared" si="1"/>
        <v>1</v>
      </c>
      <c r="S39" s="27">
        <v>412929083.69999999</v>
      </c>
      <c r="T39" s="27">
        <v>412929083.69999999</v>
      </c>
      <c r="U39" s="27">
        <f>+Tabla1[[#This Row],[Costo modelo a Corte]]-Tabla1[[#This Row],[Costo Contable a Corte]]</f>
        <v>0</v>
      </c>
      <c r="V39" s="28">
        <f>+IFERROR(T39/Tabla1[[#This Row],[Costo modelo a Corte]],0)</f>
        <v>1</v>
      </c>
      <c r="W39" s="33">
        <v>118866638.94000001</v>
      </c>
      <c r="X39" s="33">
        <v>118866638.94000001</v>
      </c>
      <c r="Y39" s="33">
        <f>+(Tabla1[[#This Row],[Facturación Real a diciembre 31]]/Tabla1[[#This Row],[Monto del Proyecto]])*Tabla1[[#This Row],[Gasto Modelo a Corte]]</f>
        <v>118866638.94000001</v>
      </c>
      <c r="Z39" s="34">
        <v>0.17864158878199257</v>
      </c>
      <c r="AA39" s="28">
        <f t="shared" si="2"/>
        <v>0.17864158878199257</v>
      </c>
      <c r="AB39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0.1786415887819926</v>
      </c>
      <c r="AC39" s="30" t="s">
        <v>31</v>
      </c>
      <c r="AD39" s="31" t="e">
        <f>+Tabla1[[#This Row],[Monto del Proyecto]]/#REF!</f>
        <v>#REF!</v>
      </c>
      <c r="AE39" s="31" t="e">
        <f t="shared" si="3"/>
        <v>#REF!</v>
      </c>
    </row>
    <row r="40" spans="2:31" x14ac:dyDescent="0.35">
      <c r="B40" s="1">
        <v>308</v>
      </c>
      <c r="C40" s="19" t="s">
        <v>119</v>
      </c>
      <c r="D40" s="20" t="s">
        <v>118</v>
      </c>
      <c r="E40" s="20" t="s">
        <v>28</v>
      </c>
      <c r="F40" s="21">
        <v>1</v>
      </c>
      <c r="G40" s="22">
        <v>1</v>
      </c>
      <c r="H40" s="20" t="s">
        <v>83</v>
      </c>
      <c r="I40" s="20" t="s">
        <v>81</v>
      </c>
      <c r="J40" s="24" t="s">
        <v>56</v>
      </c>
      <c r="K40" s="32">
        <v>45231</v>
      </c>
      <c r="L40" s="36">
        <v>45306</v>
      </c>
      <c r="M40" s="26">
        <f>IF(Tabla1[[#This Row],[CC]]="","",YEAR(Tabla1[[#This Row],[Fecha Incio]]))</f>
        <v>2023</v>
      </c>
      <c r="N40" s="27">
        <v>3977246849.54</v>
      </c>
      <c r="O40" s="27">
        <v>3977246849.54</v>
      </c>
      <c r="P40" s="27">
        <v>3977246849.54</v>
      </c>
      <c r="Q40" s="28">
        <f t="shared" si="0"/>
        <v>1</v>
      </c>
      <c r="R40" s="28">
        <f t="shared" si="1"/>
        <v>1</v>
      </c>
      <c r="S40" s="27">
        <v>2578771587.2999997</v>
      </c>
      <c r="T40" s="27">
        <v>2387814287.2199998</v>
      </c>
      <c r="U40" s="27">
        <f>+Tabla1[[#This Row],[Costo modelo a Corte]]-Tabla1[[#This Row],[Costo Contable a Corte]]</f>
        <v>190957300.07999992</v>
      </c>
      <c r="V40" s="28">
        <f>+IFERROR(T40/Tabla1[[#This Row],[Costo modelo a Corte]],0)</f>
        <v>0.92595028539152857</v>
      </c>
      <c r="W40" s="33">
        <v>730180782.05999994</v>
      </c>
      <c r="X40" s="33">
        <v>730180782.05999994</v>
      </c>
      <c r="Y40" s="33">
        <f>+(Tabla1[[#This Row],[Facturación Real a diciembre 31]]/Tabla1[[#This Row],[Monto del Proyecto]])*Tabla1[[#This Row],[Gasto Modelo a Corte]]</f>
        <v>730180782.05999994</v>
      </c>
      <c r="Z40" s="34">
        <v>0.16802941971210408</v>
      </c>
      <c r="AA40" s="28">
        <f t="shared" si="2"/>
        <v>0.16802941971210408</v>
      </c>
      <c r="AB40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0.21604185326323899</v>
      </c>
      <c r="AC40" s="30" t="s">
        <v>31</v>
      </c>
      <c r="AD40" s="31" t="e">
        <f>+Tabla1[[#This Row],[Monto del Proyecto]]/#REF!</f>
        <v>#REF!</v>
      </c>
      <c r="AE40" s="31" t="e">
        <f t="shared" si="3"/>
        <v>#REF!</v>
      </c>
    </row>
    <row r="41" spans="2:31" x14ac:dyDescent="0.35">
      <c r="B41" s="1">
        <f>+Tabla1[[#This Row],[CC]]</f>
        <v>310</v>
      </c>
      <c r="C41" s="19">
        <v>310</v>
      </c>
      <c r="D41" s="20" t="s">
        <v>120</v>
      </c>
      <c r="E41" s="20" t="s">
        <v>41</v>
      </c>
      <c r="F41" s="21">
        <v>1</v>
      </c>
      <c r="G41" s="22">
        <v>1</v>
      </c>
      <c r="H41" s="20" t="s">
        <v>64</v>
      </c>
      <c r="I41" s="20" t="s">
        <v>64</v>
      </c>
      <c r="J41" s="35" t="s">
        <v>66</v>
      </c>
      <c r="K41" s="32">
        <v>45244</v>
      </c>
      <c r="L41" s="32">
        <v>45291</v>
      </c>
      <c r="M41" s="26">
        <f>IF(Tabla1[[#This Row],[CC]]="","",YEAR(Tabla1[[#This Row],[Fecha Incio]]))</f>
        <v>2023</v>
      </c>
      <c r="N41" s="27">
        <v>70000000</v>
      </c>
      <c r="O41" s="27">
        <v>70000000</v>
      </c>
      <c r="P41" s="27">
        <v>70000000</v>
      </c>
      <c r="Q41" s="28">
        <f t="shared" si="0"/>
        <v>1</v>
      </c>
      <c r="R41" s="28">
        <f t="shared" si="1"/>
        <v>1</v>
      </c>
      <c r="S41" s="27">
        <v>58342960.888888888</v>
      </c>
      <c r="T41" s="5">
        <v>58342960.888888888</v>
      </c>
      <c r="U41" s="27">
        <f>+Tabla1[[#This Row],[Costo modelo a Corte]]-Tabla1[[#This Row],[Costo Contable a Corte]]</f>
        <v>0</v>
      </c>
      <c r="V41" s="28">
        <f>+IFERROR(T41/Tabla1[[#This Row],[Costo modelo a Corte]],0)</f>
        <v>1</v>
      </c>
      <c r="W41" s="33">
        <v>9046029.8898941427</v>
      </c>
      <c r="X41" s="33">
        <v>9046029.8898941427</v>
      </c>
      <c r="Y41" s="33">
        <f>+(Tabla1[[#This Row],[Facturación Real a diciembre 31]]/Tabla1[[#This Row],[Monto del Proyecto]])*Tabla1[[#This Row],[Gasto Modelo a Corte]]</f>
        <v>9046029.8898941427</v>
      </c>
      <c r="Z41" s="34">
        <v>0.45575610633484559</v>
      </c>
      <c r="AA41" s="28">
        <f t="shared" si="2"/>
        <v>3.7300131731670988E-2</v>
      </c>
      <c r="AB41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3.7300131731670988E-2</v>
      </c>
      <c r="AC41" s="30" t="s">
        <v>31</v>
      </c>
      <c r="AD41" s="31" t="e">
        <f>+Tabla1[[#This Row],[Monto del Proyecto]]/#REF!</f>
        <v>#REF!</v>
      </c>
      <c r="AE41" s="31" t="e">
        <f t="shared" si="3"/>
        <v>#REF!</v>
      </c>
    </row>
    <row r="42" spans="2:31" x14ac:dyDescent="0.35">
      <c r="B42" s="1">
        <f>+Tabla1[[#This Row],[CC]]</f>
        <v>311</v>
      </c>
      <c r="C42" s="19">
        <v>311</v>
      </c>
      <c r="D42" s="20" t="s">
        <v>121</v>
      </c>
      <c r="E42" s="20" t="s">
        <v>34</v>
      </c>
      <c r="F42" s="21">
        <v>1</v>
      </c>
      <c r="G42" s="22">
        <v>4</v>
      </c>
      <c r="H42" s="20" t="s">
        <v>122</v>
      </c>
      <c r="I42" s="20" t="s">
        <v>123</v>
      </c>
      <c r="J42" s="24" t="s">
        <v>124</v>
      </c>
      <c r="K42" s="32">
        <v>45200</v>
      </c>
      <c r="L42" s="32">
        <v>45291</v>
      </c>
      <c r="M42" s="26">
        <f>IF(Tabla1[[#This Row],[CC]]="","",YEAR(Tabla1[[#This Row],[Fecha Incio]]))</f>
        <v>2023</v>
      </c>
      <c r="N42" s="27">
        <v>350000000</v>
      </c>
      <c r="O42" s="27">
        <v>319600000</v>
      </c>
      <c r="P42" s="27">
        <v>319600000</v>
      </c>
      <c r="Q42" s="28">
        <f t="shared" si="0"/>
        <v>0.91314285714285715</v>
      </c>
      <c r="R42" s="28">
        <f t="shared" si="1"/>
        <v>0.91314285714285715</v>
      </c>
      <c r="S42" s="27">
        <v>195345700</v>
      </c>
      <c r="T42" s="39">
        <v>195345700</v>
      </c>
      <c r="U42" s="27">
        <f>+Tabla1[[#This Row],[Costo modelo a Corte]]-Tabla1[[#This Row],[Costo Contable a Corte]]</f>
        <v>0</v>
      </c>
      <c r="V42" s="28">
        <f>+IFERROR(T42/Tabla1[[#This Row],[Costo modelo a Corte]],0)</f>
        <v>1</v>
      </c>
      <c r="W42" s="33">
        <v>22337733.731053274</v>
      </c>
      <c r="X42" s="33">
        <v>22337733.731053274</v>
      </c>
      <c r="Y42" s="33">
        <f>+(Tabla1[[#This Row],[Facturación Real a diciembre 31]]/Tabla1[[#This Row],[Monto del Proyecto]])*Tabla1[[#This Row],[Gasto Modelo a Corte]]</f>
        <v>20397542.001270361</v>
      </c>
      <c r="Z42" s="34">
        <v>0.37286717932119273</v>
      </c>
      <c r="AA42" s="28">
        <f t="shared" si="2"/>
        <v>0.31888787943975822</v>
      </c>
      <c r="AB42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0.31888787943975816</v>
      </c>
      <c r="AC42" s="30" t="s">
        <v>31</v>
      </c>
      <c r="AD42" s="31" t="e">
        <f>+Tabla1[[#This Row],[Monto del Proyecto]]/#REF!</f>
        <v>#REF!</v>
      </c>
      <c r="AE42" s="31" t="e">
        <f t="shared" si="3"/>
        <v>#REF!</v>
      </c>
    </row>
    <row r="43" spans="2:31" x14ac:dyDescent="0.35">
      <c r="B43" s="1">
        <f>+Tabla1[[#This Row],[CC]]</f>
        <v>312</v>
      </c>
      <c r="C43" s="19">
        <v>312</v>
      </c>
      <c r="D43" s="20" t="s">
        <v>125</v>
      </c>
      <c r="E43" s="20" t="s">
        <v>41</v>
      </c>
      <c r="F43" s="21">
        <v>1</v>
      </c>
      <c r="G43" s="22">
        <v>22</v>
      </c>
      <c r="H43" s="20" t="s">
        <v>64</v>
      </c>
      <c r="I43" s="20" t="s">
        <v>64</v>
      </c>
      <c r="J43" s="24" t="s">
        <v>60</v>
      </c>
      <c r="K43" s="32">
        <v>45261</v>
      </c>
      <c r="L43" s="32">
        <v>45473</v>
      </c>
      <c r="M43" s="26">
        <f>IF(Tabla1[[#This Row],[CC]]="","",YEAR(Tabla1[[#This Row],[Fecha Incio]]))</f>
        <v>2023</v>
      </c>
      <c r="N43" s="27">
        <v>2529130894</v>
      </c>
      <c r="O43" s="27">
        <v>2529130894</v>
      </c>
      <c r="P43" s="27">
        <v>2529130894</v>
      </c>
      <c r="Q43" s="28">
        <f t="shared" si="0"/>
        <v>1</v>
      </c>
      <c r="R43" s="28">
        <f t="shared" si="1"/>
        <v>1</v>
      </c>
      <c r="S43" s="27">
        <v>1479199056.3684034</v>
      </c>
      <c r="T43" s="27">
        <v>1548643879</v>
      </c>
      <c r="U43" s="27">
        <f>+Tabla1[[#This Row],[Costo modelo a Corte]]-Tabla1[[#This Row],[Costo Contable a Corte]]</f>
        <v>-69444822.631596565</v>
      </c>
      <c r="V43" s="28">
        <f>+IFERROR(T43/Tabla1[[#This Row],[Costo modelo a Corte]],0)</f>
        <v>1.0469475844597218</v>
      </c>
      <c r="W43" s="33">
        <v>357387557.23910695</v>
      </c>
      <c r="X43" s="33">
        <v>1021021677</v>
      </c>
      <c r="Y43" s="33">
        <f>+(Tabla1[[#This Row],[Facturación Real a diciembre 31]]/Tabla1[[#This Row],[Monto del Proyecto]])*Tabla1[[#This Row],[Gasto Modelo a Corte]]</f>
        <v>357387557.23910695</v>
      </c>
      <c r="Z43" s="34">
        <v>0.27382698223941337</v>
      </c>
      <c r="AA43" s="28">
        <f t="shared" si="2"/>
        <v>0.27382698223941337</v>
      </c>
      <c r="AB43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-1.6027111169359665E-2</v>
      </c>
      <c r="AC43" s="30" t="s">
        <v>31</v>
      </c>
      <c r="AD43" s="31" t="e">
        <f>+Tabla1[[#This Row],[Monto del Proyecto]]/#REF!</f>
        <v>#REF!</v>
      </c>
      <c r="AE43" s="31" t="e">
        <f t="shared" si="3"/>
        <v>#REF!</v>
      </c>
    </row>
    <row r="44" spans="2:31" x14ac:dyDescent="0.35">
      <c r="B44" s="1">
        <f>+Tabla1[[#This Row],[CC]]</f>
        <v>313</v>
      </c>
      <c r="C44" s="19">
        <v>313</v>
      </c>
      <c r="D44" s="20" t="s">
        <v>126</v>
      </c>
      <c r="E44" s="20" t="s">
        <v>28</v>
      </c>
      <c r="F44" s="21">
        <v>1</v>
      </c>
      <c r="G44" s="22">
        <v>3</v>
      </c>
      <c r="H44" s="20" t="s">
        <v>80</v>
      </c>
      <c r="I44" s="20" t="s">
        <v>39</v>
      </c>
      <c r="J44" s="24" t="s">
        <v>127</v>
      </c>
      <c r="K44" s="32">
        <v>45245</v>
      </c>
      <c r="L44" s="32">
        <v>45427</v>
      </c>
      <c r="M44" s="26">
        <f>IF(Tabla1[[#This Row],[CC]]="","",YEAR(Tabla1[[#This Row],[Fecha Incio]]))</f>
        <v>2023</v>
      </c>
      <c r="N44" s="27">
        <v>8880042000</v>
      </c>
      <c r="O44" s="27">
        <v>8880042000</v>
      </c>
      <c r="P44" s="27">
        <v>8880042000</v>
      </c>
      <c r="Q44" s="28">
        <f t="shared" si="0"/>
        <v>1</v>
      </c>
      <c r="R44" s="28">
        <f t="shared" si="1"/>
        <v>1</v>
      </c>
      <c r="S44" s="27">
        <v>4976657748.5296116</v>
      </c>
      <c r="T44" s="40">
        <v>4092979792.4952111</v>
      </c>
      <c r="U44" s="27">
        <f>+Tabla1[[#This Row],[Costo modelo a Corte]]-Tabla1[[#This Row],[Costo Contable a Corte]]</f>
        <v>883677956.03440046</v>
      </c>
      <c r="V44" s="28">
        <f>+IFERROR(T44/Tabla1[[#This Row],[Costo modelo a Corte]],0)</f>
        <v>0.82243545755271408</v>
      </c>
      <c r="W44" s="33">
        <v>2369009744.5036812</v>
      </c>
      <c r="X44" s="41">
        <f>2369009744.50368+16985925.9819943</f>
        <v>2385995670.4856744</v>
      </c>
      <c r="Y44" s="33">
        <f>+(Tabla1[[#This Row],[Facturación Real a diciembre 31]]/Tabla1[[#This Row],[Monto del Proyecto]])*Tabla1[[#This Row],[Gasto Modelo a Corte]]</f>
        <v>2369009744.5036812</v>
      </c>
      <c r="Z44" s="34">
        <v>0.1727891047099977</v>
      </c>
      <c r="AA44" s="28">
        <f t="shared" si="2"/>
        <v>0.17278910470994474</v>
      </c>
      <c r="AB44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0.27038909692309054</v>
      </c>
      <c r="AC44" s="30" t="s">
        <v>31</v>
      </c>
      <c r="AD44" s="31" t="e">
        <f>+Tabla1[[#This Row],[Monto del Proyecto]]/#REF!</f>
        <v>#REF!</v>
      </c>
      <c r="AE44" s="31" t="e">
        <f t="shared" si="3"/>
        <v>#REF!</v>
      </c>
    </row>
    <row r="45" spans="2:31" x14ac:dyDescent="0.35">
      <c r="B45" s="1">
        <f>+Tabla1[[#This Row],[CC]]</f>
        <v>314</v>
      </c>
      <c r="C45" s="19">
        <v>314</v>
      </c>
      <c r="D45" s="20" t="s">
        <v>128</v>
      </c>
      <c r="E45" s="20" t="s">
        <v>28</v>
      </c>
      <c r="F45" s="21">
        <v>1</v>
      </c>
      <c r="G45" s="22">
        <v>4</v>
      </c>
      <c r="H45" s="20" t="s">
        <v>83</v>
      </c>
      <c r="I45" s="20" t="s">
        <v>98</v>
      </c>
      <c r="J45" s="24" t="s">
        <v>56</v>
      </c>
      <c r="K45" s="32">
        <v>45306</v>
      </c>
      <c r="L45" s="32">
        <v>45412</v>
      </c>
      <c r="M45" s="26">
        <f>IF(Tabla1[[#This Row],[CC]]="","",YEAR(Tabla1[[#This Row],[Fecha Incio]]))</f>
        <v>2024</v>
      </c>
      <c r="N45" s="5">
        <v>1398804915.279757</v>
      </c>
      <c r="O45" s="5">
        <v>1398804915</v>
      </c>
      <c r="P45" s="27">
        <v>1398804915.279757</v>
      </c>
      <c r="Q45" s="28">
        <f t="shared" si="0"/>
        <v>0.99999999980000287</v>
      </c>
      <c r="R45" s="28">
        <f t="shared" si="1"/>
        <v>1</v>
      </c>
      <c r="S45" s="5">
        <v>970233948.25617909</v>
      </c>
      <c r="T45" s="42">
        <v>970233948.25617909</v>
      </c>
      <c r="U45" s="27">
        <f>+Tabla1[[#This Row],[Costo modelo a Corte]]-Tabla1[[#This Row],[Costo Contable a Corte]]</f>
        <v>0</v>
      </c>
      <c r="V45" s="28">
        <f>+IFERROR(T45/Tabla1[[#This Row],[Costo modelo a Corte]],0)</f>
        <v>1</v>
      </c>
      <c r="W45" s="29">
        <v>273302489.2026</v>
      </c>
      <c r="X45" s="29">
        <v>16506991.1</v>
      </c>
      <c r="Y45" s="29">
        <f>+(Tabla1[[#This Row],[Facturación Real a diciembre 31]]/Tabla1[[#This Row],[Monto del Proyecto]])*Tabla1[[#This Row],[Gasto Modelo a Corte]]</f>
        <v>273302489.2026</v>
      </c>
      <c r="Z45" s="28">
        <v>0.11100080958581549</v>
      </c>
      <c r="AA45" s="28">
        <f t="shared" si="2"/>
        <v>0.11100080924524125</v>
      </c>
      <c r="AB45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0.11100080942303857</v>
      </c>
      <c r="AC45" s="30" t="s">
        <v>31</v>
      </c>
      <c r="AD45" s="31" t="e">
        <f>+Tabla1[[#This Row],[Monto del Proyecto]]/#REF!</f>
        <v>#REF!</v>
      </c>
      <c r="AE45" s="31" t="e">
        <f t="shared" si="3"/>
        <v>#REF!</v>
      </c>
    </row>
    <row r="46" spans="2:31" x14ac:dyDescent="0.35">
      <c r="B46" s="1">
        <f>+Tabla1[[#This Row],[CC]]</f>
        <v>315</v>
      </c>
      <c r="C46" s="19">
        <v>315</v>
      </c>
      <c r="D46" s="20" t="s">
        <v>129</v>
      </c>
      <c r="E46" s="20" t="s">
        <v>34</v>
      </c>
      <c r="F46" s="21">
        <v>1</v>
      </c>
      <c r="G46" s="22">
        <v>9</v>
      </c>
      <c r="H46" s="38" t="s">
        <v>97</v>
      </c>
      <c r="I46" s="20" t="s">
        <v>130</v>
      </c>
      <c r="J46" s="24" t="s">
        <v>36</v>
      </c>
      <c r="K46" s="32">
        <v>45292</v>
      </c>
      <c r="L46" s="32">
        <v>45536</v>
      </c>
      <c r="M46" s="26">
        <f>IF(Tabla1[[#This Row],[CC]]="","",YEAR(Tabla1[[#This Row],[Fecha Incio]]))</f>
        <v>2024</v>
      </c>
      <c r="N46" s="5">
        <v>4181856435.0504203</v>
      </c>
      <c r="O46" s="5">
        <v>4198119926.0504198</v>
      </c>
      <c r="P46" s="43">
        <v>4181856435</v>
      </c>
      <c r="Q46" s="28">
        <f t="shared" si="0"/>
        <v>1.0038890600986887</v>
      </c>
      <c r="R46" s="28">
        <f t="shared" si="1"/>
        <v>0.99999999998794309</v>
      </c>
      <c r="S46" s="5">
        <v>1899311341.3359334</v>
      </c>
      <c r="T46" s="5">
        <v>1614489894.28</v>
      </c>
      <c r="U46" s="27">
        <f>+Tabla1[[#This Row],[Costo modelo a Corte]]-Tabla1[[#This Row],[Costo Contable a Corte]]</f>
        <v>284821447.05593348</v>
      </c>
      <c r="V46" s="28">
        <f>+IFERROR(T46/Tabla1[[#This Row],[Costo modelo a Corte]],0)</f>
        <v>0.85003962180545056</v>
      </c>
      <c r="W46" s="29">
        <v>2170346485.7342062</v>
      </c>
      <c r="X46" s="29">
        <v>1650334627.99</v>
      </c>
      <c r="Y46" s="29">
        <f>+(Tabla1[[#This Row],[Facturación Real a diciembre 31]]/Tabla1[[#This Row],[Monto del Proyecto]])*Tabla1[[#This Row],[Gasto Modelo a Corte]]</f>
        <v>2170346485.7080383</v>
      </c>
      <c r="Z46" s="28">
        <v>0.14598406756487639</v>
      </c>
      <c r="AA46" s="28">
        <f t="shared" si="2"/>
        <v>3.0599911685023427E-2</v>
      </c>
      <c r="AB46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9.4938709914319144E-2</v>
      </c>
      <c r="AC46" s="30" t="s">
        <v>31</v>
      </c>
      <c r="AD46" s="31" t="e">
        <f>+Tabla1[[#This Row],[Monto del Proyecto]]/#REF!</f>
        <v>#REF!</v>
      </c>
      <c r="AE46" s="31" t="e">
        <f t="shared" si="3"/>
        <v>#REF!</v>
      </c>
    </row>
    <row r="47" spans="2:31" x14ac:dyDescent="0.35">
      <c r="B47" s="1">
        <f>+Tabla1[[#This Row],[CC]]</f>
        <v>317</v>
      </c>
      <c r="C47" s="19">
        <v>317</v>
      </c>
      <c r="D47" s="20" t="s">
        <v>131</v>
      </c>
      <c r="E47" s="20" t="s">
        <v>41</v>
      </c>
      <c r="F47" s="21">
        <v>1</v>
      </c>
      <c r="G47" s="22">
        <v>12</v>
      </c>
      <c r="H47" s="20" t="s">
        <v>62</v>
      </c>
      <c r="I47" s="20" t="s">
        <v>62</v>
      </c>
      <c r="J47" s="24" t="s">
        <v>60</v>
      </c>
      <c r="K47" s="32">
        <v>45292</v>
      </c>
      <c r="L47" s="32">
        <v>45393</v>
      </c>
      <c r="M47" s="26">
        <f>IF(Tabla1[[#This Row],[CC]]="","",YEAR(Tabla1[[#This Row],[Fecha Incio]]))</f>
        <v>2024</v>
      </c>
      <c r="N47" s="5">
        <v>487400000</v>
      </c>
      <c r="O47" s="5">
        <v>484800000</v>
      </c>
      <c r="P47" s="27">
        <v>484800000</v>
      </c>
      <c r="Q47" s="28">
        <f t="shared" si="0"/>
        <v>0.99466557242511289</v>
      </c>
      <c r="R47" s="28">
        <f t="shared" si="1"/>
        <v>0.99466557242511289</v>
      </c>
      <c r="S47" s="5">
        <v>393080632.73949599</v>
      </c>
      <c r="T47" s="5">
        <v>364021726.01999998</v>
      </c>
      <c r="U47" s="27">
        <f>+Tabla1[[#This Row],[Costo modelo a Corte]]-Tabla1[[#This Row],[Costo Contable a Corte]]</f>
        <v>29058906.719496012</v>
      </c>
      <c r="V47" s="28">
        <f>+IFERROR(T47/Tabla1[[#This Row],[Costo modelo a Corte]],0)</f>
        <v>0.92607392911480824</v>
      </c>
      <c r="W47" s="29">
        <v>37454555.402401298</v>
      </c>
      <c r="X47" s="29">
        <v>3846888.24</v>
      </c>
      <c r="Y47" s="29">
        <f>+(Tabla1[[#This Row],[Facturación Real a diciembre 31]]/Tabla1[[#This Row],[Monto del Proyecto]])*Tabla1[[#This Row],[Gasto Modelo a Corte]]</f>
        <v>37254756.789257593</v>
      </c>
      <c r="Z47" s="28">
        <v>0.1175734188094205</v>
      </c>
      <c r="AA47" s="28">
        <f t="shared" si="2"/>
        <v>0.11193236769410625</v>
      </c>
      <c r="AB47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0.17187235680197749</v>
      </c>
      <c r="AC47" s="30" t="s">
        <v>31</v>
      </c>
      <c r="AD47" s="31" t="e">
        <f>+Tabla1[[#This Row],[Monto del Proyecto]]/#REF!</f>
        <v>#REF!</v>
      </c>
      <c r="AE47" s="31" t="e">
        <f t="shared" si="3"/>
        <v>#REF!</v>
      </c>
    </row>
    <row r="48" spans="2:31" x14ac:dyDescent="0.35">
      <c r="B48" s="1">
        <f>+Tabla1[[#This Row],[CC]]</f>
        <v>319</v>
      </c>
      <c r="C48" s="19">
        <v>319</v>
      </c>
      <c r="D48" s="20" t="s">
        <v>132</v>
      </c>
      <c r="E48" s="20" t="s">
        <v>28</v>
      </c>
      <c r="F48" s="21">
        <v>1</v>
      </c>
      <c r="G48" s="22">
        <f>21+550</f>
        <v>571</v>
      </c>
      <c r="H48" s="20" t="s">
        <v>83</v>
      </c>
      <c r="I48" s="20" t="s">
        <v>133</v>
      </c>
      <c r="J48" s="24" t="s">
        <v>53</v>
      </c>
      <c r="K48" s="32">
        <v>45292</v>
      </c>
      <c r="L48" s="32">
        <v>45381</v>
      </c>
      <c r="M48" s="26">
        <f>IF(Tabla1[[#This Row],[CC]]="","",YEAR(Tabla1[[#This Row],[Fecha Incio]]))</f>
        <v>2024</v>
      </c>
      <c r="N48" s="5">
        <v>10250672943</v>
      </c>
      <c r="O48" s="5">
        <v>10250672943</v>
      </c>
      <c r="P48" s="5">
        <v>10210050195</v>
      </c>
      <c r="Q48" s="28">
        <f t="shared" si="0"/>
        <v>1</v>
      </c>
      <c r="R48" s="28">
        <f t="shared" si="1"/>
        <v>0.99603706525162916</v>
      </c>
      <c r="S48" s="5">
        <v>7806909724.9579439</v>
      </c>
      <c r="T48" s="42">
        <f>4773067697.01+2342072917.48738</f>
        <v>7115140614.4973803</v>
      </c>
      <c r="U48" s="27">
        <f>+Tabla1[[#This Row],[Costo modelo a Corte]]-Tabla1[[#This Row],[Costo Contable a Corte]]</f>
        <v>691769110.46056366</v>
      </c>
      <c r="V48" s="28">
        <f>+IFERROR(T48/Tabla1[[#This Row],[Costo modelo a Corte]],0)</f>
        <v>0.91139014862064516</v>
      </c>
      <c r="W48" s="29">
        <v>1163163871.9644024</v>
      </c>
      <c r="X48" s="44">
        <v>1472540096.0580399</v>
      </c>
      <c r="Y48" s="29">
        <f>+(Tabla1[[#This Row],[Facturación Real a diciembre 31]]/Tabla1[[#This Row],[Monto del Proyecto]])*Tabla1[[#This Row],[Gasto Modelo a Corte]]</f>
        <v>1158554329.4381452</v>
      </c>
      <c r="Z48" s="28">
        <v>0.12492831965178</v>
      </c>
      <c r="AA48" s="28">
        <f t="shared" si="2"/>
        <v>0.12492831965262845</v>
      </c>
      <c r="AB48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0.15889926625816939</v>
      </c>
      <c r="AC48" s="30" t="s">
        <v>31</v>
      </c>
      <c r="AD48" s="31" t="e">
        <f>+Tabla1[[#This Row],[Monto del Proyecto]]/#REF!</f>
        <v>#REF!</v>
      </c>
      <c r="AE48" s="31" t="e">
        <f t="shared" si="3"/>
        <v>#REF!</v>
      </c>
    </row>
    <row r="49" spans="2:31" x14ac:dyDescent="0.35">
      <c r="B49" s="1">
        <f>+Tabla1[[#This Row],[CC]]</f>
        <v>320</v>
      </c>
      <c r="C49" s="19">
        <v>320</v>
      </c>
      <c r="D49" s="20" t="s">
        <v>134</v>
      </c>
      <c r="E49" s="20" t="s">
        <v>28</v>
      </c>
      <c r="F49" s="21">
        <v>1</v>
      </c>
      <c r="G49" s="22">
        <v>3</v>
      </c>
      <c r="H49" s="20" t="s">
        <v>135</v>
      </c>
      <c r="I49" s="20" t="s">
        <v>98</v>
      </c>
      <c r="J49" s="24" t="s">
        <v>45</v>
      </c>
      <c r="K49" s="32">
        <v>45300</v>
      </c>
      <c r="L49" s="32">
        <v>45473</v>
      </c>
      <c r="M49" s="26">
        <f>IF(Tabla1[[#This Row],[CC]]="","",YEAR(Tabla1[[#This Row],[Fecha Incio]]))</f>
        <v>2024</v>
      </c>
      <c r="N49" s="5">
        <v>10721037621.008404</v>
      </c>
      <c r="O49" s="5">
        <v>10721037621.008404</v>
      </c>
      <c r="P49" s="27">
        <v>10721037621.008404</v>
      </c>
      <c r="Q49" s="28">
        <f t="shared" si="0"/>
        <v>1</v>
      </c>
      <c r="R49" s="28">
        <f t="shared" si="1"/>
        <v>1</v>
      </c>
      <c r="S49" s="5">
        <v>5280083723.0520496</v>
      </c>
      <c r="T49" s="5">
        <v>4028844875.0100002</v>
      </c>
      <c r="U49" s="27">
        <f>+Tabla1[[#This Row],[Costo modelo a Corte]]-Tabla1[[#This Row],[Costo Contable a Corte]]</f>
        <v>1251238848.0420494</v>
      </c>
      <c r="V49" s="28">
        <f>+IFERROR(T49/Tabla1[[#This Row],[Costo modelo a Corte]],0)</f>
        <v>0.76302670304651998</v>
      </c>
      <c r="W49" s="29">
        <v>3337377928.4472599</v>
      </c>
      <c r="X49" s="29">
        <v>4888685259.5699997</v>
      </c>
      <c r="Y49" s="29">
        <f>+(Tabla1[[#This Row],[Facturación Real a diciembre 31]]/Tabla1[[#This Row],[Monto del Proyecto]])*Tabla1[[#This Row],[Gasto Modelo a Corte]]</f>
        <v>3337377928.4472599</v>
      </c>
      <c r="Z49" s="28">
        <v>0.1952562531762437</v>
      </c>
      <c r="AA49" s="28">
        <f t="shared" si="2"/>
        <v>0.1962101098672607</v>
      </c>
      <c r="AB49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0.16822135600889429</v>
      </c>
      <c r="AC49" s="30" t="s">
        <v>31</v>
      </c>
      <c r="AD49" s="31" t="e">
        <f>+Tabla1[[#This Row],[Monto del Proyecto]]/#REF!</f>
        <v>#REF!</v>
      </c>
      <c r="AE49" s="31" t="e">
        <f t="shared" si="3"/>
        <v>#REF!</v>
      </c>
    </row>
    <row r="50" spans="2:31" x14ac:dyDescent="0.35">
      <c r="B50" s="1">
        <f>+Tabla1[[#This Row],[CC]]</f>
        <v>322</v>
      </c>
      <c r="C50" s="19">
        <v>322</v>
      </c>
      <c r="D50" s="20" t="s">
        <v>136</v>
      </c>
      <c r="E50" s="20" t="s">
        <v>41</v>
      </c>
      <c r="F50" s="21">
        <v>1</v>
      </c>
      <c r="G50" s="22">
        <v>13</v>
      </c>
      <c r="H50" s="20" t="s">
        <v>80</v>
      </c>
      <c r="I50" s="20" t="s">
        <v>44</v>
      </c>
      <c r="J50" s="24" t="s">
        <v>137</v>
      </c>
      <c r="K50" s="32">
        <v>45345</v>
      </c>
      <c r="L50" s="32">
        <v>45587</v>
      </c>
      <c r="M50" s="26">
        <f>IF(Tabla1[[#This Row],[CC]]="","",YEAR(Tabla1[[#This Row],[Fecha Incio]]))</f>
        <v>2024</v>
      </c>
      <c r="N50" s="5">
        <v>5903764610.9243698</v>
      </c>
      <c r="O50" s="5">
        <v>5903764611.2268906</v>
      </c>
      <c r="P50" s="27">
        <v>5903764611</v>
      </c>
      <c r="Q50" s="28">
        <f t="shared" si="0"/>
        <v>1.0000000000512419</v>
      </c>
      <c r="R50" s="28">
        <f t="shared" si="1"/>
        <v>1.0000000000128104</v>
      </c>
      <c r="S50" s="5">
        <v>4004446788.9381514</v>
      </c>
      <c r="T50" s="42">
        <v>3374528701.658</v>
      </c>
      <c r="U50" s="27">
        <f>+Tabla1[[#This Row],[Costo modelo a Corte]]-Tabla1[[#This Row],[Costo Contable a Corte]]</f>
        <v>629918087.28015137</v>
      </c>
      <c r="V50" s="28">
        <f>+IFERROR(T50/Tabla1[[#This Row],[Costo modelo a Corte]],0)</f>
        <v>0.84269535332065548</v>
      </c>
      <c r="W50" s="29">
        <v>915101801.50297964</v>
      </c>
      <c r="X50" s="44">
        <v>733414821.00974131</v>
      </c>
      <c r="Y50" s="29">
        <f>+(Tabla1[[#This Row],[Facturación Real a diciembre 31]]/Tabla1[[#This Row],[Monto del Proyecto]])*Tabla1[[#This Row],[Gasto Modelo a Corte]]</f>
        <v>915101801.51470244</v>
      </c>
      <c r="Z50" s="28">
        <v>0.16670990231276225</v>
      </c>
      <c r="AA50" s="28">
        <f t="shared" si="2"/>
        <v>0.16670990217227255</v>
      </c>
      <c r="AB50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0.27340759908203949</v>
      </c>
      <c r="AC50" s="30" t="s">
        <v>31</v>
      </c>
      <c r="AD50" s="31" t="e">
        <f>+Tabla1[[#This Row],[Monto del Proyecto]]/#REF!</f>
        <v>#REF!</v>
      </c>
      <c r="AE50" s="31" t="e">
        <f t="shared" si="3"/>
        <v>#REF!</v>
      </c>
    </row>
    <row r="51" spans="2:31" x14ac:dyDescent="0.35">
      <c r="B51" s="1">
        <f>+Tabla1[[#This Row],[CC]]</f>
        <v>324</v>
      </c>
      <c r="C51" s="19">
        <v>324</v>
      </c>
      <c r="D51" s="20" t="s">
        <v>138</v>
      </c>
      <c r="E51" s="20" t="s">
        <v>41</v>
      </c>
      <c r="F51" s="21">
        <v>1</v>
      </c>
      <c r="G51" s="22">
        <v>1</v>
      </c>
      <c r="H51" s="20" t="s">
        <v>64</v>
      </c>
      <c r="I51" s="20" t="s">
        <v>64</v>
      </c>
      <c r="J51" s="35" t="s">
        <v>66</v>
      </c>
      <c r="K51" s="32">
        <v>45383</v>
      </c>
      <c r="L51" s="32">
        <v>45551</v>
      </c>
      <c r="M51" s="26">
        <f>IF(Tabla1[[#This Row],[CC]]="","",YEAR(Tabla1[[#This Row],[Fecha Incio]]))</f>
        <v>2024</v>
      </c>
      <c r="N51" s="27">
        <v>444642857.14285713</v>
      </c>
      <c r="O51" s="27">
        <v>444642857.14285713</v>
      </c>
      <c r="P51" s="27">
        <v>370535715</v>
      </c>
      <c r="Q51" s="28">
        <f t="shared" si="0"/>
        <v>1</v>
      </c>
      <c r="R51" s="28">
        <f t="shared" si="1"/>
        <v>0.83333333493975903</v>
      </c>
      <c r="S51" s="27">
        <v>372376515.77428573</v>
      </c>
      <c r="T51" s="27">
        <v>342117403.14999986</v>
      </c>
      <c r="U51" s="27">
        <f>+Tabla1[[#This Row],[Costo modelo a Corte]]-Tabla1[[#This Row],[Costo Contable a Corte]]</f>
        <v>30259112.624285877</v>
      </c>
      <c r="V51" s="28">
        <f>+IFERROR(T51/Tabla1[[#This Row],[Costo modelo a Corte]],0)</f>
        <v>0.91874054527480653</v>
      </c>
      <c r="W51" s="33">
        <v>39711891.782523125</v>
      </c>
      <c r="X51" s="33">
        <v>4404114.8100000005</v>
      </c>
      <c r="Y51" s="33">
        <f>+(Tabla1[[#This Row],[Facturación Real a diciembre 31]]/Tabla1[[#This Row],[Monto del Proyecto]])*Tabla1[[#This Row],[Gasto Modelo a Corte]]</f>
        <v>33093243.215896808</v>
      </c>
      <c r="Z51" s="34">
        <v>7.3214826144062106E-2</v>
      </c>
      <c r="AA51" s="28">
        <f t="shared" si="2"/>
        <v>7.3214826378261183E-2</v>
      </c>
      <c r="AB51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-3.047905903624705E-2</v>
      </c>
      <c r="AC51" s="30" t="s">
        <v>31</v>
      </c>
      <c r="AD51" s="31" t="e">
        <f>+Tabla1[[#This Row],[Monto del Proyecto]]/#REF!</f>
        <v>#REF!</v>
      </c>
      <c r="AE51" s="31" t="e">
        <f t="shared" si="3"/>
        <v>#REF!</v>
      </c>
    </row>
    <row r="52" spans="2:31" x14ac:dyDescent="0.35">
      <c r="B52" s="1">
        <f>+Tabla1[[#This Row],[CC]]</f>
        <v>326</v>
      </c>
      <c r="C52" s="19">
        <v>326</v>
      </c>
      <c r="D52" s="20" t="s">
        <v>139</v>
      </c>
      <c r="E52" s="20" t="s">
        <v>41</v>
      </c>
      <c r="F52" s="21">
        <v>1</v>
      </c>
      <c r="G52" s="22">
        <v>11</v>
      </c>
      <c r="H52" s="20" t="s">
        <v>110</v>
      </c>
      <c r="I52" s="20" t="s">
        <v>110</v>
      </c>
      <c r="J52" s="24" t="s">
        <v>60</v>
      </c>
      <c r="K52" s="32">
        <v>45402</v>
      </c>
      <c r="L52" s="32">
        <v>45656</v>
      </c>
      <c r="M52" s="26">
        <f>IF(Tabla1[[#This Row],[CC]]="","",YEAR(Tabla1[[#This Row],[Fecha Incio]]))</f>
        <v>2024</v>
      </c>
      <c r="N52" s="5">
        <v>2660847478.9924369</v>
      </c>
      <c r="O52" s="5">
        <v>2660847478.9915967</v>
      </c>
      <c r="P52" s="27">
        <v>2660847478.9924369</v>
      </c>
      <c r="Q52" s="28">
        <f t="shared" si="0"/>
        <v>0.99999999999968425</v>
      </c>
      <c r="R52" s="28">
        <f t="shared" si="1"/>
        <v>1</v>
      </c>
      <c r="S52" s="5">
        <v>1566562163.8097477</v>
      </c>
      <c r="T52" s="5">
        <v>1705571065.6499999</v>
      </c>
      <c r="U52" s="27">
        <f>+Tabla1[[#This Row],[Costo modelo a Corte]]-Tabla1[[#This Row],[Costo Contable a Corte]]</f>
        <v>-139008901.84025216</v>
      </c>
      <c r="V52" s="28">
        <f>+IFERROR(T52/Tabla1[[#This Row],[Costo modelo a Corte]],0)</f>
        <v>1.0887350052564746</v>
      </c>
      <c r="W52" s="29">
        <v>724515051.48195148</v>
      </c>
      <c r="X52" s="29">
        <v>863828555.38999999</v>
      </c>
      <c r="Y52" s="29">
        <f>+(Tabla1[[#This Row],[Facturación Real a diciembre 31]]/Tabla1[[#This Row],[Monto del Proyecto]])*Tabla1[[#This Row],[Gasto Modelo a Corte]]</f>
        <v>724515051.48195148</v>
      </c>
      <c r="Z52" s="28">
        <v>0.13873637199688263</v>
      </c>
      <c r="AA52" s="28">
        <f t="shared" si="2"/>
        <v>0.13896710225571907</v>
      </c>
      <c r="AB52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3.4367944301364105E-2</v>
      </c>
      <c r="AC52" s="30" t="s">
        <v>31</v>
      </c>
      <c r="AD52" s="31" t="e">
        <f>+Tabla1[[#This Row],[Monto del Proyecto]]/#REF!</f>
        <v>#REF!</v>
      </c>
      <c r="AE52" s="31" t="e">
        <f t="shared" si="3"/>
        <v>#REF!</v>
      </c>
    </row>
    <row r="53" spans="2:31" x14ac:dyDescent="0.35">
      <c r="B53" s="1">
        <f>+Tabla1[[#This Row],[CC]]</f>
        <v>327</v>
      </c>
      <c r="C53" s="19">
        <v>327</v>
      </c>
      <c r="D53" s="20" t="s">
        <v>140</v>
      </c>
      <c r="E53" s="20" t="s">
        <v>34</v>
      </c>
      <c r="F53" s="21">
        <v>1</v>
      </c>
      <c r="G53" s="22">
        <v>10</v>
      </c>
      <c r="H53" s="20" t="s">
        <v>108</v>
      </c>
      <c r="I53" s="20" t="s">
        <v>110</v>
      </c>
      <c r="J53" s="24" t="s">
        <v>141</v>
      </c>
      <c r="K53" s="32">
        <v>45369</v>
      </c>
      <c r="L53" s="32">
        <v>45552</v>
      </c>
      <c r="M53" s="26">
        <f>IF(Tabla1[[#This Row],[CC]]="","",YEAR(Tabla1[[#This Row],[Fecha Incio]]))</f>
        <v>2024</v>
      </c>
      <c r="N53" s="5">
        <v>2294401987.394958</v>
      </c>
      <c r="O53" s="5">
        <v>2294401987.3865547</v>
      </c>
      <c r="P53" s="27">
        <v>2294401987.394958</v>
      </c>
      <c r="Q53" s="28">
        <f t="shared" si="0"/>
        <v>0.99999999999633749</v>
      </c>
      <c r="R53" s="28">
        <f t="shared" si="1"/>
        <v>1</v>
      </c>
      <c r="S53" s="5">
        <v>1087776079.4954622</v>
      </c>
      <c r="T53" s="5">
        <v>1087776079.4954622</v>
      </c>
      <c r="U53" s="27">
        <f>+Tabla1[[#This Row],[Costo modelo a Corte]]-Tabla1[[#This Row],[Costo Contable a Corte]]</f>
        <v>0</v>
      </c>
      <c r="V53" s="28">
        <f>+IFERROR(T53/Tabla1[[#This Row],[Costo modelo a Corte]],0)</f>
        <v>1</v>
      </c>
      <c r="W53" s="29">
        <v>611384010.80907309</v>
      </c>
      <c r="X53" s="29">
        <v>611384010.80907309</v>
      </c>
      <c r="Y53" s="29">
        <f>+(Tabla1[[#This Row],[Facturación Real a diciembre 31]]/Tabla1[[#This Row],[Monto del Proyecto]])*Tabla1[[#This Row],[Gasto Modelo a Corte]]</f>
        <v>611384010.80907309</v>
      </c>
      <c r="Z53" s="28">
        <v>0.25943226180693435</v>
      </c>
      <c r="AA53" s="28">
        <f t="shared" si="2"/>
        <v>0.25943226180693446</v>
      </c>
      <c r="AB53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0.2594322618096469</v>
      </c>
      <c r="AC53" s="30" t="s">
        <v>31</v>
      </c>
      <c r="AD53" s="31" t="e">
        <f>+Tabla1[[#This Row],[Monto del Proyecto]]/#REF!</f>
        <v>#REF!</v>
      </c>
      <c r="AE53" s="31" t="e">
        <f t="shared" si="3"/>
        <v>#REF!</v>
      </c>
    </row>
    <row r="54" spans="2:31" x14ac:dyDescent="0.35">
      <c r="B54" s="1">
        <f>+Tabla1[[#This Row],[CC]]</f>
        <v>328</v>
      </c>
      <c r="C54" s="19">
        <v>328</v>
      </c>
      <c r="D54" s="20" t="s">
        <v>142</v>
      </c>
      <c r="E54" s="20" t="s">
        <v>28</v>
      </c>
      <c r="F54" s="21">
        <v>1</v>
      </c>
      <c r="G54" s="22">
        <f>5+257</f>
        <v>262</v>
      </c>
      <c r="H54" s="20" t="s">
        <v>135</v>
      </c>
      <c r="I54" s="20" t="s">
        <v>110</v>
      </c>
      <c r="J54" s="24" t="s">
        <v>143</v>
      </c>
      <c r="K54" s="32">
        <v>45414</v>
      </c>
      <c r="L54" s="32">
        <v>45596</v>
      </c>
      <c r="M54" s="26">
        <f>IF(Tabla1[[#This Row],[CC]]="","",YEAR(Tabla1[[#This Row],[Fecha Incio]]))</f>
        <v>2024</v>
      </c>
      <c r="N54" s="5">
        <v>1867953050.4200001</v>
      </c>
      <c r="O54" s="5">
        <v>1867952793</v>
      </c>
      <c r="P54" s="27">
        <v>1867952793</v>
      </c>
      <c r="Q54" s="28">
        <f t="shared" si="0"/>
        <v>0.99999986219139714</v>
      </c>
      <c r="R54" s="28">
        <f t="shared" si="1"/>
        <v>0.99999986219139714</v>
      </c>
      <c r="S54" s="5">
        <v>830180855.96000004</v>
      </c>
      <c r="T54" s="42">
        <v>996217026.93333364</v>
      </c>
      <c r="U54" s="27">
        <f>+Tabla1[[#This Row],[Costo modelo a Corte]]-Tabla1[[#This Row],[Costo Contable a Corte]]</f>
        <v>-166036170.9733336</v>
      </c>
      <c r="V54" s="28">
        <f>+IFERROR(T54/Tabla1[[#This Row],[Costo modelo a Corte]],0)</f>
        <v>1.199999999736604</v>
      </c>
      <c r="W54" s="29">
        <v>187812782.21805373</v>
      </c>
      <c r="X54" s="45">
        <v>268055584</v>
      </c>
      <c r="Y54" s="29">
        <v>268055584</v>
      </c>
      <c r="Z54" s="28">
        <v>0.33725742531640485</v>
      </c>
      <c r="AA54" s="28">
        <f t="shared" si="2"/>
        <v>0.45502175323011296</v>
      </c>
      <c r="AB54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0.32317742949870487</v>
      </c>
      <c r="AC54" s="30" t="s">
        <v>31</v>
      </c>
      <c r="AD54" s="31" t="e">
        <f>+Tabla1[[#This Row],[Monto del Proyecto]]/#REF!</f>
        <v>#REF!</v>
      </c>
      <c r="AE54" s="31" t="e">
        <f t="shared" si="3"/>
        <v>#REF!</v>
      </c>
    </row>
    <row r="55" spans="2:31" x14ac:dyDescent="0.35">
      <c r="B55" s="1">
        <f>+Tabla1[[#This Row],[CC]]</f>
        <v>329</v>
      </c>
      <c r="C55" s="19">
        <v>329</v>
      </c>
      <c r="D55" s="20" t="s">
        <v>144</v>
      </c>
      <c r="E55" s="20" t="s">
        <v>41</v>
      </c>
      <c r="F55" s="21">
        <v>1</v>
      </c>
      <c r="G55" s="22">
        <v>5</v>
      </c>
      <c r="H55" s="20" t="s">
        <v>75</v>
      </c>
      <c r="I55" s="20" t="s">
        <v>76</v>
      </c>
      <c r="J55" s="24" t="s">
        <v>60</v>
      </c>
      <c r="K55" s="32">
        <v>45450</v>
      </c>
      <c r="L55" s="32">
        <v>45510</v>
      </c>
      <c r="M55" s="26">
        <f>IF(Tabla1[[#This Row],[CC]]="","",YEAR(Tabla1[[#This Row],[Fecha Incio]]))</f>
        <v>2024</v>
      </c>
      <c r="N55" s="5">
        <v>102600000</v>
      </c>
      <c r="O55" s="5">
        <v>102600000</v>
      </c>
      <c r="P55" s="27">
        <v>102600000</v>
      </c>
      <c r="Q55" s="28">
        <f t="shared" si="0"/>
        <v>1</v>
      </c>
      <c r="R55" s="28">
        <f t="shared" si="1"/>
        <v>1</v>
      </c>
      <c r="S55" s="5">
        <v>63538000</v>
      </c>
      <c r="T55" s="5">
        <v>63538000</v>
      </c>
      <c r="U55" s="27">
        <f>+Tabla1[[#This Row],[Costo modelo a Corte]]-Tabla1[[#This Row],[Costo Contable a Corte]]</f>
        <v>0</v>
      </c>
      <c r="V55" s="28">
        <f>+IFERROR(T55/Tabla1[[#This Row],[Costo modelo a Corte]],0)</f>
        <v>1</v>
      </c>
      <c r="W55" s="29">
        <v>7398488</v>
      </c>
      <c r="X55" s="29">
        <v>7398488</v>
      </c>
      <c r="Y55" s="29">
        <f>+(Tabla1[[#This Row],[Facturación Real a diciembre 31]]/Tabla1[[#This Row],[Monto del Proyecto]])*Tabla1[[#This Row],[Gasto Modelo a Corte]]</f>
        <v>7398488</v>
      </c>
      <c r="Z55" s="28">
        <v>0.30861124082641622</v>
      </c>
      <c r="AA55" s="28">
        <f t="shared" si="2"/>
        <v>0.30861122807017544</v>
      </c>
      <c r="AB55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0.30861122807017544</v>
      </c>
      <c r="AC55" s="30" t="s">
        <v>31</v>
      </c>
      <c r="AD55" s="31" t="e">
        <f>+Tabla1[[#This Row],[Monto del Proyecto]]/#REF!</f>
        <v>#REF!</v>
      </c>
      <c r="AE55" s="31" t="e">
        <f t="shared" si="3"/>
        <v>#REF!</v>
      </c>
    </row>
    <row r="56" spans="2:31" x14ac:dyDescent="0.35">
      <c r="B56" s="1">
        <f>+Tabla1[[#This Row],[CC]]</f>
        <v>331</v>
      </c>
      <c r="C56" s="19">
        <v>331</v>
      </c>
      <c r="D56" s="20" t="s">
        <v>145</v>
      </c>
      <c r="E56" s="20" t="s">
        <v>34</v>
      </c>
      <c r="F56" s="21">
        <v>1</v>
      </c>
      <c r="G56" s="22">
        <v>7</v>
      </c>
      <c r="H56" s="20" t="s">
        <v>146</v>
      </c>
      <c r="I56" s="20" t="s">
        <v>113</v>
      </c>
      <c r="J56" s="24" t="s">
        <v>114</v>
      </c>
      <c r="K56" s="32">
        <v>45413</v>
      </c>
      <c r="L56" s="32">
        <v>45534</v>
      </c>
      <c r="M56" s="26">
        <f>IF(Tabla1[[#This Row],[CC]]="","",YEAR(Tabla1[[#This Row],[Fecha Incio]]))</f>
        <v>2024</v>
      </c>
      <c r="N56" s="5">
        <v>382322826.89075631</v>
      </c>
      <c r="O56" s="5">
        <v>377503954</v>
      </c>
      <c r="P56" s="27">
        <v>382322827</v>
      </c>
      <c r="Q56" s="28">
        <f t="shared" si="0"/>
        <v>0.9873958012657893</v>
      </c>
      <c r="R56" s="28">
        <f t="shared" si="1"/>
        <v>1.0000000002857368</v>
      </c>
      <c r="S56" s="5">
        <v>218649690</v>
      </c>
      <c r="T56" s="5">
        <v>197025910.19999999</v>
      </c>
      <c r="U56" s="27">
        <f>+Tabla1[[#This Row],[Costo modelo a Corte]]-Tabla1[[#This Row],[Costo Contable a Corte]]</f>
        <v>21623779.800000012</v>
      </c>
      <c r="V56" s="28">
        <f>+IFERROR(T56/Tabla1[[#This Row],[Costo modelo a Corte]],0)</f>
        <v>0.9011030850306716</v>
      </c>
      <c r="W56" s="29">
        <v>72216046.920000002</v>
      </c>
      <c r="X56" s="29">
        <v>3773734.7199999997</v>
      </c>
      <c r="Y56" s="29">
        <f>+(Tabla1[[#This Row],[Facturación Real a diciembre 31]]/Tabla1[[#This Row],[Monto del Proyecto]])*Tabla1[[#This Row],[Gasto Modelo a Corte]]</f>
        <v>72216046.940634787</v>
      </c>
      <c r="Z56" s="28">
        <v>0.22950280934131626</v>
      </c>
      <c r="AA56" s="28">
        <f t="shared" si="2"/>
        <v>0.22950280695602993</v>
      </c>
      <c r="AB56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0.29577326252612168</v>
      </c>
      <c r="AC56" s="30" t="s">
        <v>31</v>
      </c>
      <c r="AD56" s="31" t="e">
        <f>+Tabla1[[#This Row],[Monto del Proyecto]]/#REF!</f>
        <v>#REF!</v>
      </c>
      <c r="AE56" s="31" t="e">
        <f t="shared" si="3"/>
        <v>#REF!</v>
      </c>
    </row>
    <row r="57" spans="2:31" x14ac:dyDescent="0.35">
      <c r="B57" s="1">
        <f>+Tabla1[[#This Row],[CC]]</f>
        <v>332</v>
      </c>
      <c r="C57" s="19">
        <v>332</v>
      </c>
      <c r="D57" s="20" t="s">
        <v>147</v>
      </c>
      <c r="E57" s="20" t="s">
        <v>41</v>
      </c>
      <c r="F57" s="21">
        <v>1</v>
      </c>
      <c r="G57" s="22">
        <v>3</v>
      </c>
      <c r="H57" s="20" t="s">
        <v>64</v>
      </c>
      <c r="I57" s="20" t="s">
        <v>64</v>
      </c>
      <c r="J57" s="35" t="s">
        <v>66</v>
      </c>
      <c r="K57" s="32">
        <v>45456</v>
      </c>
      <c r="L57" s="32">
        <v>45503</v>
      </c>
      <c r="M57" s="26">
        <f>IF(Tabla1[[#This Row],[CC]]="","",YEAR(Tabla1[[#This Row],[Fecha Incio]]))</f>
        <v>2024</v>
      </c>
      <c r="N57" s="5">
        <v>310000000</v>
      </c>
      <c r="O57" s="5">
        <v>310000000</v>
      </c>
      <c r="P57" s="27">
        <f>155000000+155000000</f>
        <v>310000000</v>
      </c>
      <c r="Q57" s="28">
        <f t="shared" si="0"/>
        <v>1</v>
      </c>
      <c r="R57" s="28">
        <f t="shared" si="1"/>
        <v>1</v>
      </c>
      <c r="S57" s="5">
        <v>234252950</v>
      </c>
      <c r="T57" s="42">
        <f>234252950-3000000</f>
        <v>231252950</v>
      </c>
      <c r="U57" s="27">
        <f>+Tabla1[[#This Row],[Costo modelo a Corte]]-Tabla1[[#This Row],[Costo Contable a Corte]]</f>
        <v>3000000</v>
      </c>
      <c r="V57" s="28">
        <f>+IFERROR(T57/Tabla1[[#This Row],[Costo modelo a Corte]],0)</f>
        <v>0.98719333096979145</v>
      </c>
      <c r="W57" s="5">
        <v>27223752.157016471</v>
      </c>
      <c r="X57" s="5">
        <v>2593006.39</v>
      </c>
      <c r="Y57" s="5">
        <f>+(Tabla1[[#This Row],[Facturación Real a diciembre 31]]/Tabla1[[#This Row],[Monto del Proyecto]])*Tabla1[[#This Row],[Gasto Modelo a Corte]]</f>
        <v>27223752.157016471</v>
      </c>
      <c r="Z57" s="28">
        <v>0.15652676939457058</v>
      </c>
      <c r="AA57" s="28">
        <f t="shared" si="2"/>
        <v>0.15652676723543074</v>
      </c>
      <c r="AB57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0.1662041865902695</v>
      </c>
      <c r="AC57" s="30" t="s">
        <v>31</v>
      </c>
      <c r="AD57" s="31" t="e">
        <f>+Tabla1[[#This Row],[Monto del Proyecto]]/#REF!</f>
        <v>#REF!</v>
      </c>
      <c r="AE57" s="31" t="e">
        <f t="shared" si="3"/>
        <v>#REF!</v>
      </c>
    </row>
    <row r="58" spans="2:31" x14ac:dyDescent="0.35">
      <c r="B58" s="1">
        <f>+Tabla1[[#This Row],[CC]]</f>
        <v>333</v>
      </c>
      <c r="C58" s="19">
        <v>333</v>
      </c>
      <c r="D58" s="20" t="s">
        <v>148</v>
      </c>
      <c r="E58" s="20" t="s">
        <v>34</v>
      </c>
      <c r="F58" s="21">
        <v>1</v>
      </c>
      <c r="G58" s="22">
        <v>1</v>
      </c>
      <c r="H58" s="20" t="s">
        <v>64</v>
      </c>
      <c r="I58" s="20" t="s">
        <v>64</v>
      </c>
      <c r="J58" s="24" t="s">
        <v>36</v>
      </c>
      <c r="K58" s="32">
        <v>45444</v>
      </c>
      <c r="L58" s="32">
        <v>45595</v>
      </c>
      <c r="M58" s="26">
        <f>IF(Tabla1[[#This Row],[CC]]="","",YEAR(Tabla1[[#This Row],[Fecha Incio]]))</f>
        <v>2024</v>
      </c>
      <c r="N58" s="5">
        <v>145000000</v>
      </c>
      <c r="O58" s="5">
        <v>145000000</v>
      </c>
      <c r="P58" s="27">
        <v>121800000</v>
      </c>
      <c r="Q58" s="28">
        <f t="shared" si="0"/>
        <v>1</v>
      </c>
      <c r="R58" s="28">
        <f t="shared" si="1"/>
        <v>0.84</v>
      </c>
      <c r="S58" s="5">
        <v>81162216.666666657</v>
      </c>
      <c r="T58" s="5">
        <v>72857907</v>
      </c>
      <c r="U58" s="27">
        <f>+Tabla1[[#This Row],[Costo modelo a Corte]]-Tabla1[[#This Row],[Costo Contable a Corte]]</f>
        <v>8304309.6666666567</v>
      </c>
      <c r="V58" s="28">
        <f>+IFERROR(T58/Tabla1[[#This Row],[Costo modelo a Corte]],0)</f>
        <v>0.89768256699083926</v>
      </c>
      <c r="W58" s="29">
        <v>19659598.484885626</v>
      </c>
      <c r="X58" s="29">
        <v>1558467.49</v>
      </c>
      <c r="Y58" s="29">
        <f>+(Tabla1[[#This Row],[Facturación Real a diciembre 31]]/Tabla1[[#This Row],[Monto del Proyecto]])*Tabla1[[#This Row],[Gasto Modelo a Corte]]</f>
        <v>16514062.727303924</v>
      </c>
      <c r="Z58" s="28">
        <v>0.30467713688584624</v>
      </c>
      <c r="AA58" s="28">
        <f t="shared" si="2"/>
        <v>0.30467713688584636</v>
      </c>
      <c r="AB58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0.24041456908960893</v>
      </c>
      <c r="AC58" s="30" t="s">
        <v>31</v>
      </c>
      <c r="AD58" s="31" t="e">
        <f>+Tabla1[[#This Row],[Monto del Proyecto]]/#REF!</f>
        <v>#REF!</v>
      </c>
      <c r="AE58" s="31" t="e">
        <f t="shared" si="3"/>
        <v>#REF!</v>
      </c>
    </row>
    <row r="59" spans="2:31" x14ac:dyDescent="0.35">
      <c r="B59" s="1">
        <f>+Tabla1[[#This Row],[CC]]</f>
        <v>334</v>
      </c>
      <c r="C59" s="19">
        <v>334</v>
      </c>
      <c r="D59" s="20" t="s">
        <v>149</v>
      </c>
      <c r="E59" s="20" t="s">
        <v>28</v>
      </c>
      <c r="F59" s="21">
        <v>1</v>
      </c>
      <c r="G59" s="22">
        <v>1</v>
      </c>
      <c r="H59" s="20" t="s">
        <v>150</v>
      </c>
      <c r="I59" s="20" t="s">
        <v>151</v>
      </c>
      <c r="J59" s="24" t="s">
        <v>56</v>
      </c>
      <c r="K59" s="32">
        <v>45383</v>
      </c>
      <c r="L59" s="32">
        <v>45412</v>
      </c>
      <c r="M59" s="26">
        <f>IF(Tabla1[[#This Row],[CC]]="","",YEAR(Tabla1[[#This Row],[Fecha Incio]]))</f>
        <v>2024</v>
      </c>
      <c r="N59" s="5">
        <v>585022222.1512605</v>
      </c>
      <c r="O59" s="5">
        <v>585022222.22222221</v>
      </c>
      <c r="P59" s="27">
        <v>585022222.1512605</v>
      </c>
      <c r="Q59" s="28">
        <f t="shared" si="0"/>
        <v>1.0000000001212974</v>
      </c>
      <c r="R59" s="28">
        <f t="shared" si="1"/>
        <v>1</v>
      </c>
      <c r="S59" s="5">
        <v>237007609.33333334</v>
      </c>
      <c r="T59" s="5">
        <v>176280356.21000001</v>
      </c>
      <c r="U59" s="27">
        <f>+Tabla1[[#This Row],[Costo modelo a Corte]]-Tabla1[[#This Row],[Costo Contable a Corte]]</f>
        <v>60727253.123333335</v>
      </c>
      <c r="V59" s="28">
        <f>+IFERROR(T59/Tabla1[[#This Row],[Costo modelo a Corte]],0)</f>
        <v>0.74377509104391226</v>
      </c>
      <c r="W59" s="29">
        <v>257423608.2446672</v>
      </c>
      <c r="X59" s="29">
        <v>8070358.6399999997</v>
      </c>
      <c r="Y59" s="29">
        <f>+(Tabla1[[#This Row],[Facturación Real a diciembre 31]]/Tabla1[[#This Row],[Monto del Proyecto]])*Tabla1[[#This Row],[Gasto Modelo a Corte]]</f>
        <v>257423608.2446672</v>
      </c>
      <c r="Z59" s="28">
        <v>0.15485053651717592</v>
      </c>
      <c r="AA59" s="28">
        <f t="shared" si="2"/>
        <v>0.15485053593367673</v>
      </c>
      <c r="AB59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0.25865386299371923</v>
      </c>
      <c r="AC59" s="31" t="s">
        <v>31</v>
      </c>
      <c r="AD59" s="31" t="e">
        <f>+Tabla1[[#This Row],[Monto del Proyecto]]/#REF!</f>
        <v>#REF!</v>
      </c>
      <c r="AE59" s="31" t="e">
        <f t="shared" si="3"/>
        <v>#REF!</v>
      </c>
    </row>
    <row r="60" spans="2:31" x14ac:dyDescent="0.35">
      <c r="B60" s="1">
        <f>+Tabla1[[#This Row],[CC]]</f>
        <v>335</v>
      </c>
      <c r="C60" s="19">
        <v>335</v>
      </c>
      <c r="D60" s="20" t="s">
        <v>152</v>
      </c>
      <c r="E60" s="20" t="s">
        <v>41</v>
      </c>
      <c r="F60" s="21">
        <v>1</v>
      </c>
      <c r="G60" s="22">
        <v>9</v>
      </c>
      <c r="H60" s="20" t="s">
        <v>153</v>
      </c>
      <c r="I60" s="20" t="s">
        <v>76</v>
      </c>
      <c r="J60" s="24" t="s">
        <v>154</v>
      </c>
      <c r="K60" s="32">
        <v>45473</v>
      </c>
      <c r="L60" s="32">
        <v>45655</v>
      </c>
      <c r="M60" s="26">
        <f>IF(Tabla1[[#This Row],[CC]]="","",YEAR(Tabla1[[#This Row],[Fecha Incio]]))</f>
        <v>2024</v>
      </c>
      <c r="N60" s="5">
        <v>3340336135.2941179</v>
      </c>
      <c r="O60" s="5">
        <v>3340336135</v>
      </c>
      <c r="P60" s="27">
        <v>3340336135.2941179</v>
      </c>
      <c r="Q60" s="28">
        <f t="shared" si="0"/>
        <v>0.99999999991194966</v>
      </c>
      <c r="R60" s="28">
        <f t="shared" si="1"/>
        <v>1</v>
      </c>
      <c r="S60" s="27">
        <v>1821030084.0493114</v>
      </c>
      <c r="T60" s="5">
        <v>937651969.31999993</v>
      </c>
      <c r="U60" s="27">
        <f>+Tabla1[[#This Row],[Costo modelo a Corte]]-Tabla1[[#This Row],[Costo Contable a Corte]]</f>
        <v>883378114.72931147</v>
      </c>
      <c r="V60" s="28">
        <f>+IFERROR(T60/Tabla1[[#This Row],[Costo modelo a Corte]],0)</f>
        <v>0.51490196539477351</v>
      </c>
      <c r="W60" s="29">
        <v>551510128.66480887</v>
      </c>
      <c r="X60" s="29">
        <v>1938118715.73</v>
      </c>
      <c r="Y60" s="29">
        <f>+(Tabla1[[#This Row],[Facturación Real a diciembre 31]]/Tabla1[[#This Row],[Monto del Proyecto]])*Tabla1[[#This Row],[Gasto Modelo a Corte]]</f>
        <v>551510128.66480887</v>
      </c>
      <c r="Z60" s="28">
        <v>0.28973009995749677</v>
      </c>
      <c r="AA60" s="28">
        <f t="shared" si="2"/>
        <v>0.28973009995770371</v>
      </c>
      <c r="AB60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0.13907745550979192</v>
      </c>
      <c r="AC60" s="30" t="s">
        <v>31</v>
      </c>
      <c r="AD60" s="31" t="e">
        <f>+Tabla1[[#This Row],[Monto del Proyecto]]/#REF!</f>
        <v>#REF!</v>
      </c>
      <c r="AE60" s="31" t="e">
        <f t="shared" si="3"/>
        <v>#REF!</v>
      </c>
    </row>
    <row r="61" spans="2:31" x14ac:dyDescent="0.35">
      <c r="B61" s="1">
        <f>+Tabla1[[#This Row],[CC]]</f>
        <v>338</v>
      </c>
      <c r="C61" s="19">
        <v>338</v>
      </c>
      <c r="D61" s="20" t="s">
        <v>155</v>
      </c>
      <c r="E61" s="20" t="s">
        <v>41</v>
      </c>
      <c r="F61" s="21">
        <v>0.16</v>
      </c>
      <c r="G61" s="22">
        <v>6</v>
      </c>
      <c r="H61" s="20" t="s">
        <v>83</v>
      </c>
      <c r="I61" s="20" t="s">
        <v>156</v>
      </c>
      <c r="J61" s="35" t="s">
        <v>66</v>
      </c>
      <c r="K61" s="32">
        <v>45516</v>
      </c>
      <c r="L61" s="32">
        <v>45595</v>
      </c>
      <c r="M61" s="26">
        <f>IF(Tabla1[[#This Row],[CC]]="","",YEAR(Tabla1[[#This Row],[Fecha Incio]]))</f>
        <v>2024</v>
      </c>
      <c r="N61" s="27">
        <f>790490113*0.16</f>
        <v>126478418.08</v>
      </c>
      <c r="O61" s="27">
        <f>790490113*0.16</f>
        <v>126478418.08</v>
      </c>
      <c r="P61" s="27">
        <f>790490113*0.16</f>
        <v>126478418.08</v>
      </c>
      <c r="Q61" s="28">
        <f t="shared" si="0"/>
        <v>1</v>
      </c>
      <c r="R61" s="28">
        <f t="shared" si="1"/>
        <v>1</v>
      </c>
      <c r="S61" s="27">
        <f>523479412.731509*0.16</f>
        <v>83756706.037041441</v>
      </c>
      <c r="T61" s="27">
        <f>515554974.51*0.16</f>
        <v>82488795.921599999</v>
      </c>
      <c r="U61" s="27">
        <f>+Tabla1[[#This Row],[Costo modelo a Corte]]-Tabla1[[#This Row],[Costo Contable a Corte]]</f>
        <v>1267910.1154414415</v>
      </c>
      <c r="V61" s="28">
        <f>+IFERROR(T61/Tabla1[[#This Row],[Costo modelo a Corte]],0)</f>
        <v>0.98486198687325754</v>
      </c>
      <c r="W61" s="33">
        <f>140283618.611786*0.16</f>
        <v>22445378.97788576</v>
      </c>
      <c r="X61" s="33">
        <f>40628039.82*0.16</f>
        <v>6500486.3711999999</v>
      </c>
      <c r="Y61" s="33">
        <f>+(Tabla1[[#This Row],[Facturación Real a diciembre 31]]/Tabla1[[#This Row],[Monto del Proyecto]])*Tabla1[[#This Row],[Gasto Modelo a Corte]]</f>
        <v>22445378.97788576</v>
      </c>
      <c r="Z61" s="34">
        <v>0.14918839889244373</v>
      </c>
      <c r="AA61" s="28">
        <f t="shared" si="2"/>
        <v>0.16031456886381701</v>
      </c>
      <c r="AB61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0.17033928402620507</v>
      </c>
      <c r="AC61" s="30" t="s">
        <v>31</v>
      </c>
      <c r="AD61" s="31" t="e">
        <f>+Tabla1[[#This Row],[Monto del Proyecto]]/#REF!</f>
        <v>#REF!</v>
      </c>
      <c r="AE61" s="31" t="e">
        <f t="shared" si="3"/>
        <v>#REF!</v>
      </c>
    </row>
    <row r="62" spans="2:31" x14ac:dyDescent="0.35">
      <c r="B62" s="1">
        <f>+Tabla1[[#This Row],[CC]]</f>
        <v>338</v>
      </c>
      <c r="C62" s="19">
        <v>338</v>
      </c>
      <c r="D62" s="20" t="s">
        <v>155</v>
      </c>
      <c r="E62" s="20" t="s">
        <v>28</v>
      </c>
      <c r="F62" s="21">
        <v>0.84</v>
      </c>
      <c r="G62" s="22">
        <v>1</v>
      </c>
      <c r="H62" s="20" t="s">
        <v>83</v>
      </c>
      <c r="I62" s="20" t="s">
        <v>156</v>
      </c>
      <c r="J62" s="46" t="s">
        <v>56</v>
      </c>
      <c r="K62" s="32">
        <v>45516</v>
      </c>
      <c r="L62" s="32">
        <v>45595</v>
      </c>
      <c r="M62" s="26">
        <f>IF(Tabla1[[#This Row],[CC]]="","",YEAR(Tabla1[[#This Row],[Fecha Incio]]))</f>
        <v>2024</v>
      </c>
      <c r="N62" s="27">
        <f>790490113*0.84</f>
        <v>664011694.91999996</v>
      </c>
      <c r="O62" s="27">
        <f>790490113*0.84</f>
        <v>664011694.91999996</v>
      </c>
      <c r="P62" s="27">
        <f>790490113*0.84</f>
        <v>664011694.91999996</v>
      </c>
      <c r="Q62" s="28">
        <f t="shared" si="0"/>
        <v>1</v>
      </c>
      <c r="R62" s="28">
        <f t="shared" si="1"/>
        <v>1</v>
      </c>
      <c r="S62" s="27">
        <f>523479412.731509*0.84</f>
        <v>439722706.69446754</v>
      </c>
      <c r="T62" s="27">
        <f>515554974.51*0.84</f>
        <v>433066178.58839995</v>
      </c>
      <c r="U62" s="27">
        <f>+Tabla1[[#This Row],[Costo modelo a Corte]]-Tabla1[[#This Row],[Costo Contable a Corte]]</f>
        <v>6656528.1060675979</v>
      </c>
      <c r="V62" s="28">
        <f>+IFERROR(T62/Tabla1[[#This Row],[Costo modelo a Corte]],0)</f>
        <v>0.98486198687325743</v>
      </c>
      <c r="W62" s="33">
        <f>140283618.611786*0.84</f>
        <v>117838239.63390024</v>
      </c>
      <c r="X62" s="33">
        <f>40628039.82*0.84</f>
        <v>34127553.448799998</v>
      </c>
      <c r="Y62" s="33">
        <f>+(Tabla1[[#This Row],[Facturación Real a diciembre 31]]/Tabla1[[#This Row],[Monto del Proyecto]])*Tabla1[[#This Row],[Gasto Modelo a Corte]]</f>
        <v>117838239.63390024</v>
      </c>
      <c r="Z62" s="34">
        <v>0.14918839889244373</v>
      </c>
      <c r="AA62" s="28">
        <f t="shared" si="2"/>
        <v>0.16031456886381698</v>
      </c>
      <c r="AB62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0.1703392840262051</v>
      </c>
      <c r="AC62" s="30" t="s">
        <v>31</v>
      </c>
      <c r="AD62" s="31" t="e">
        <f>+Tabla1[[#This Row],[Monto del Proyecto]]/#REF!</f>
        <v>#REF!</v>
      </c>
      <c r="AE62" s="31" t="e">
        <f t="shared" si="3"/>
        <v>#REF!</v>
      </c>
    </row>
    <row r="63" spans="2:31" x14ac:dyDescent="0.35">
      <c r="B63" s="1">
        <f>+Tabla1[[#This Row],[CC]]</f>
        <v>339</v>
      </c>
      <c r="C63" s="19">
        <v>339</v>
      </c>
      <c r="D63" s="20" t="s">
        <v>157</v>
      </c>
      <c r="E63" s="20" t="s">
        <v>34</v>
      </c>
      <c r="F63" s="21">
        <v>1</v>
      </c>
      <c r="G63" s="22">
        <v>1</v>
      </c>
      <c r="H63" s="20" t="s">
        <v>158</v>
      </c>
      <c r="I63" s="20" t="s">
        <v>98</v>
      </c>
      <c r="J63" s="24" t="s">
        <v>36</v>
      </c>
      <c r="K63" s="32">
        <v>45505</v>
      </c>
      <c r="L63" s="32">
        <v>45536</v>
      </c>
      <c r="M63" s="26">
        <f>IF(Tabla1[[#This Row],[CC]]="","",YEAR(Tabla1[[#This Row],[Fecha Incio]]))</f>
        <v>2024</v>
      </c>
      <c r="N63" s="5">
        <v>54294117.64705883</v>
      </c>
      <c r="O63" s="5">
        <v>54294118</v>
      </c>
      <c r="P63" s="27">
        <v>54294118</v>
      </c>
      <c r="Q63" s="28">
        <f t="shared" si="0"/>
        <v>1.0000000065005417</v>
      </c>
      <c r="R63" s="28">
        <f t="shared" si="1"/>
        <v>1.0000000065005417</v>
      </c>
      <c r="S63" s="5">
        <v>45928592.32</v>
      </c>
      <c r="T63" s="5">
        <v>46824903.700000003</v>
      </c>
      <c r="U63" s="27">
        <f>+Tabla1[[#This Row],[Costo modelo a Corte]]-Tabla1[[#This Row],[Costo Contable a Corte]]</f>
        <v>-896311.38000000268</v>
      </c>
      <c r="V63" s="28">
        <f>+IFERROR(T63/Tabla1[[#This Row],[Costo modelo a Corte]],0)</f>
        <v>1.0195153244357045</v>
      </c>
      <c r="W63" s="29">
        <v>2865983.3259504945</v>
      </c>
      <c r="X63" s="29">
        <v>695312</v>
      </c>
      <c r="Y63" s="29">
        <f>+(Tabla1[[#This Row],[Facturación Real a diciembre 31]]/Tabla1[[#This Row],[Monto del Proyecto]])*Tabla1[[#This Row],[Gasto Modelo a Corte]]</f>
        <v>2865983.3445809386</v>
      </c>
      <c r="Z63" s="28">
        <v>0.10129167282648069</v>
      </c>
      <c r="AA63" s="28">
        <f t="shared" si="2"/>
        <v>0.10129167866857153</v>
      </c>
      <c r="AB63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8.4783235157250392E-2</v>
      </c>
      <c r="AC63" s="30" t="s">
        <v>31</v>
      </c>
      <c r="AD63" s="31" t="e">
        <f>+Tabla1[[#This Row],[Monto del Proyecto]]/#REF!</f>
        <v>#REF!</v>
      </c>
      <c r="AE63" s="31" t="e">
        <f t="shared" si="3"/>
        <v>#REF!</v>
      </c>
    </row>
    <row r="64" spans="2:31" x14ac:dyDescent="0.35">
      <c r="B64" s="1">
        <f>+Tabla1[[#This Row],[CC]]</f>
        <v>340</v>
      </c>
      <c r="C64" s="19">
        <v>340</v>
      </c>
      <c r="D64" s="20" t="s">
        <v>159</v>
      </c>
      <c r="E64" s="20" t="s">
        <v>28</v>
      </c>
      <c r="F64" s="21">
        <v>1</v>
      </c>
      <c r="G64" s="22">
        <v>1</v>
      </c>
      <c r="H64" s="20" t="s">
        <v>108</v>
      </c>
      <c r="I64" s="20" t="s">
        <v>160</v>
      </c>
      <c r="J64" s="24" t="s">
        <v>45</v>
      </c>
      <c r="K64" s="32">
        <v>45536</v>
      </c>
      <c r="L64" s="32">
        <v>45596</v>
      </c>
      <c r="M64" s="26">
        <f>IF(Tabla1[[#This Row],[CC]]="","",YEAR(Tabla1[[#This Row],[Fecha Incio]]))</f>
        <v>2024</v>
      </c>
      <c r="N64" s="27">
        <v>661142147.89915967</v>
      </c>
      <c r="O64" s="27">
        <v>621209072.29999995</v>
      </c>
      <c r="P64" s="27">
        <f>616772064+4437008</f>
        <v>621209072</v>
      </c>
      <c r="Q64" s="28">
        <f t="shared" si="0"/>
        <v>0.93959986407454021</v>
      </c>
      <c r="R64" s="28">
        <f t="shared" si="1"/>
        <v>0.93959986362078007</v>
      </c>
      <c r="S64" s="27">
        <v>370376769</v>
      </c>
      <c r="T64" s="27">
        <v>371938855.12999994</v>
      </c>
      <c r="U64" s="27">
        <f>+Tabla1[[#This Row],[Costo modelo a Corte]]-Tabla1[[#This Row],[Costo Contable a Corte]]</f>
        <v>-1562086.1299999356</v>
      </c>
      <c r="V64" s="28">
        <f>+IFERROR(T64/Tabla1[[#This Row],[Costo modelo a Corte]],0)</f>
        <v>1.0042175596871734</v>
      </c>
      <c r="W64" s="33">
        <v>120248285.41540703</v>
      </c>
      <c r="X64" s="33">
        <v>11114719.33</v>
      </c>
      <c r="Y64" s="33">
        <f>+(Tabla1[[#This Row],[Facturación Real a diciembre 31]]/Tabla1[[#This Row],[Monto del Proyecto]])*Tabla1[[#This Row],[Gasto Modelo a Corte]]</f>
        <v>112985272.57694909</v>
      </c>
      <c r="Z64" s="34">
        <v>0.18892379363633346</v>
      </c>
      <c r="AA64" s="28">
        <f t="shared" si="2"/>
        <v>0.21020945074274461</v>
      </c>
      <c r="AB64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0.20769486034581447</v>
      </c>
      <c r="AC64" s="30" t="s">
        <v>31</v>
      </c>
      <c r="AD64" s="31" t="e">
        <f>+Tabla1[[#This Row],[Monto del Proyecto]]/#REF!</f>
        <v>#REF!</v>
      </c>
      <c r="AE64" s="31" t="e">
        <f t="shared" si="3"/>
        <v>#REF!</v>
      </c>
    </row>
    <row r="65" spans="2:31" x14ac:dyDescent="0.35">
      <c r="B65" s="1">
        <f>+Tabla1[[#This Row],[CC]]</f>
        <v>342</v>
      </c>
      <c r="C65" s="19">
        <v>342</v>
      </c>
      <c r="D65" s="20" t="s">
        <v>161</v>
      </c>
      <c r="E65" s="20" t="s">
        <v>41</v>
      </c>
      <c r="F65" s="21">
        <v>1</v>
      </c>
      <c r="G65" s="22">
        <v>18</v>
      </c>
      <c r="H65" s="20" t="s">
        <v>162</v>
      </c>
      <c r="I65" s="20" t="s">
        <v>64</v>
      </c>
      <c r="J65" s="24" t="s">
        <v>60</v>
      </c>
      <c r="K65" s="32">
        <v>45537</v>
      </c>
      <c r="L65" s="32">
        <v>45838</v>
      </c>
      <c r="M65" s="26">
        <f>IF(Tabla1[[#This Row],[CC]]="","",YEAR(Tabla1[[#This Row],[Fecha Incio]]))</f>
        <v>2024</v>
      </c>
      <c r="N65" s="27">
        <v>965855462</v>
      </c>
      <c r="O65" s="27">
        <v>1134200000.0000007</v>
      </c>
      <c r="P65" s="27">
        <f>(160975910)+834079550</f>
        <v>995055460</v>
      </c>
      <c r="Q65" s="28">
        <f t="shared" si="0"/>
        <v>1.1742957871267914</v>
      </c>
      <c r="R65" s="28">
        <f t="shared" si="1"/>
        <v>1.0302322647112596</v>
      </c>
      <c r="S65" s="27">
        <v>800111985.68184972</v>
      </c>
      <c r="T65" s="27">
        <v>688213001.95999992</v>
      </c>
      <c r="U65" s="27">
        <f>+Tabla1[[#This Row],[Costo modelo a Corte]]-Tabla1[[#This Row],[Costo Contable a Corte]]</f>
        <v>111898983.7218498</v>
      </c>
      <c r="V65" s="28">
        <f>+IFERROR(T65/Tabla1[[#This Row],[Costo modelo a Corte]],0)</f>
        <v>0.8601458474259821</v>
      </c>
      <c r="W65" s="33">
        <v>83933208.743244529</v>
      </c>
      <c r="X65" s="33">
        <v>15065744.73</v>
      </c>
      <c r="Y65" s="33">
        <f>+(Tabla1[[#This Row],[Facturación Real a diciembre 31]]/Tabla1[[#This Row],[Monto del Proyecto]])*Tabla1[[#This Row],[Gasto Modelo a Corte]]</f>
        <v>86470699.728035703</v>
      </c>
      <c r="Z65" s="34">
        <v>0.20828795638203562</v>
      </c>
      <c r="AA65" s="28">
        <f t="shared" si="2"/>
        <v>0.22055616784950302</v>
      </c>
      <c r="AB65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0.22401690986827563</v>
      </c>
      <c r="AC65" s="30" t="s">
        <v>31</v>
      </c>
      <c r="AD65" s="31" t="e">
        <f>+Tabla1[[#This Row],[Monto del Proyecto]]/#REF!</f>
        <v>#REF!</v>
      </c>
      <c r="AE65" s="31" t="e">
        <f t="shared" si="3"/>
        <v>#REF!</v>
      </c>
    </row>
    <row r="66" spans="2:31" x14ac:dyDescent="0.35">
      <c r="B66" s="1">
        <f>+Tabla1[[#This Row],[CC]]</f>
        <v>343</v>
      </c>
      <c r="C66" s="19">
        <v>343</v>
      </c>
      <c r="D66" s="20" t="s">
        <v>163</v>
      </c>
      <c r="E66" s="20" t="s">
        <v>34</v>
      </c>
      <c r="F66" s="21">
        <v>1</v>
      </c>
      <c r="G66" s="22">
        <v>1</v>
      </c>
      <c r="H66" s="20" t="s">
        <v>164</v>
      </c>
      <c r="I66" s="20" t="s">
        <v>164</v>
      </c>
      <c r="J66" s="24" t="s">
        <v>36</v>
      </c>
      <c r="K66" s="32">
        <v>45566</v>
      </c>
      <c r="L66" s="32">
        <v>45641</v>
      </c>
      <c r="M66" s="26">
        <f>IF(Tabla1[[#This Row],[CC]]="","",YEAR(Tabla1[[#This Row],[Fecha Incio]]))</f>
        <v>2024</v>
      </c>
      <c r="N66" s="5">
        <v>461997522.68907565</v>
      </c>
      <c r="O66" s="5">
        <v>461997522</v>
      </c>
      <c r="P66" s="5">
        <v>461997523</v>
      </c>
      <c r="Q66" s="28">
        <f t="shared" ref="Q66:Q80" si="4">IFERROR(O66/N66,0)</f>
        <v>0.99999999850848631</v>
      </c>
      <c r="R66" s="28">
        <f t="shared" ref="R66:R80" si="5">+IFERROR(P66/N66,0)</f>
        <v>1.0000000006730001</v>
      </c>
      <c r="S66" s="5">
        <v>319019230</v>
      </c>
      <c r="T66" s="5">
        <v>278644661.62</v>
      </c>
      <c r="U66" s="27">
        <f>+Tabla1[[#This Row],[Costo modelo a Corte]]-Tabla1[[#This Row],[Costo Contable a Corte]]</f>
        <v>40374568.379999995</v>
      </c>
      <c r="V66" s="28">
        <f>+IFERROR(T66/Tabla1[[#This Row],[Costo modelo a Corte]],0)</f>
        <v>0.87344158413271833</v>
      </c>
      <c r="W66" s="29">
        <v>62387811.85579282</v>
      </c>
      <c r="X66" s="29">
        <v>4569095.41</v>
      </c>
      <c r="Y66" s="29">
        <f>+(Tabla1[[#This Row],[Facturación Real a diciembre 31]]/Tabla1[[#This Row],[Monto del Proyecto]])*Tabla1[[#This Row],[Gasto Modelo a Corte]]</f>
        <v>62387811.897779822</v>
      </c>
      <c r="Z66" s="28">
        <v>0.17318947772601886</v>
      </c>
      <c r="AA66" s="28">
        <f t="shared" ref="AA66:AA80" si="6">IFERROR((O66-S66-W66)/O66,0)</f>
        <v>0.17443920433886478</v>
      </c>
      <c r="AB66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0.26183051532119833</v>
      </c>
      <c r="AC66" s="30" t="s">
        <v>31</v>
      </c>
      <c r="AD66" s="31" t="e">
        <f>+Tabla1[[#This Row],[Monto del Proyecto]]/#REF!</f>
        <v>#REF!</v>
      </c>
      <c r="AE66" s="31" t="e">
        <f t="shared" si="3"/>
        <v>#REF!</v>
      </c>
    </row>
    <row r="67" spans="2:31" x14ac:dyDescent="0.35">
      <c r="B67" s="1">
        <f>+Tabla1[[#This Row],[CC]]</f>
        <v>344</v>
      </c>
      <c r="C67" s="19">
        <v>344</v>
      </c>
      <c r="D67" s="20" t="s">
        <v>165</v>
      </c>
      <c r="E67" s="20" t="s">
        <v>34</v>
      </c>
      <c r="F67" s="21">
        <v>0.3</v>
      </c>
      <c r="G67" s="22">
        <v>29</v>
      </c>
      <c r="H67" s="38" t="s">
        <v>97</v>
      </c>
      <c r="I67" s="20" t="s">
        <v>166</v>
      </c>
      <c r="J67" s="24" t="s">
        <v>36</v>
      </c>
      <c r="K67" s="32">
        <v>45565</v>
      </c>
      <c r="L67" s="32">
        <v>45657</v>
      </c>
      <c r="M67" s="26">
        <f>IF(Tabla1[[#This Row],[CC]]="","",YEAR(Tabla1[[#This Row],[Fecha Incio]]))</f>
        <v>2024</v>
      </c>
      <c r="N67" s="5">
        <f>10346678635.2941*0.3</f>
        <v>3104003590.5882297</v>
      </c>
      <c r="O67" s="5">
        <f>11089225717.56*0.3</f>
        <v>3326767715.2679996</v>
      </c>
      <c r="P67" s="5">
        <f>10346678635.2941*0.3</f>
        <v>3104003590.5882297</v>
      </c>
      <c r="Q67" s="28">
        <f t="shared" si="4"/>
        <v>1.0717667097277921</v>
      </c>
      <c r="R67" s="28">
        <f t="shared" si="5"/>
        <v>1</v>
      </c>
      <c r="S67" s="27">
        <f>6272918705.99495*0.3</f>
        <v>1881875611.798485</v>
      </c>
      <c r="T67" s="5">
        <v>1881875611.798485</v>
      </c>
      <c r="U67" s="27">
        <f>+Tabla1[[#This Row],[Costo modelo a Corte]]-Tabla1[[#This Row],[Costo Contable a Corte]]</f>
        <v>0</v>
      </c>
      <c r="V67" s="28">
        <f>+IFERROR(T67/Tabla1[[#This Row],[Costo modelo a Corte]],0)</f>
        <v>1</v>
      </c>
      <c r="W67" s="29">
        <f>2886669724.17955*0.3</f>
        <v>866000917.253865</v>
      </c>
      <c r="X67" s="29">
        <v>866000917.253865</v>
      </c>
      <c r="Y67" s="29">
        <f>+(Tabla1[[#This Row],[Facturación Real a diciembre 31]]/Tabla1[[#This Row],[Monto del Proyecto]])*Tabla1[[#This Row],[Gasto Modelo a Corte]]</f>
        <v>866000917.253865</v>
      </c>
      <c r="Z67" s="28">
        <v>0.17401010098630934</v>
      </c>
      <c r="AA67" s="28">
        <f t="shared" si="6"/>
        <v>0.17401010102354411</v>
      </c>
      <c r="AB67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0.11473152370561251</v>
      </c>
      <c r="AC67" s="30" t="s">
        <v>31</v>
      </c>
      <c r="AD67" s="31" t="e">
        <f>+Tabla1[[#This Row],[Monto del Proyecto]]/#REF!</f>
        <v>#REF!</v>
      </c>
      <c r="AE67" s="31" t="e">
        <f t="shared" ref="AE67:AE80" si="7">+AD67*AB67</f>
        <v>#REF!</v>
      </c>
    </row>
    <row r="68" spans="2:31" x14ac:dyDescent="0.35">
      <c r="B68" s="1">
        <f>+Tabla1[[#This Row],[CC]]</f>
        <v>344</v>
      </c>
      <c r="C68" s="19">
        <v>344</v>
      </c>
      <c r="D68" s="20" t="s">
        <v>165</v>
      </c>
      <c r="E68" s="20" t="s">
        <v>41</v>
      </c>
      <c r="F68" s="21">
        <v>0.7</v>
      </c>
      <c r="G68" s="22">
        <v>29</v>
      </c>
      <c r="H68" s="38" t="s">
        <v>97</v>
      </c>
      <c r="I68" s="20" t="s">
        <v>166</v>
      </c>
      <c r="J68" s="24" t="s">
        <v>60</v>
      </c>
      <c r="K68" s="32">
        <v>45565</v>
      </c>
      <c r="L68" s="32">
        <v>45657</v>
      </c>
      <c r="M68" s="26">
        <f>IF(Tabla1[[#This Row],[CC]]="","",YEAR(Tabla1[[#This Row],[Fecha Incio]]))</f>
        <v>2024</v>
      </c>
      <c r="N68" s="5">
        <f>10346678635.2941*0.7</f>
        <v>7242675044.7058697</v>
      </c>
      <c r="O68" s="5">
        <f>11089225717.56*0.7</f>
        <v>7762458002.2919989</v>
      </c>
      <c r="P68" s="5">
        <f>10346678635.2941*0.7</f>
        <v>7242675044.7058697</v>
      </c>
      <c r="Q68" s="28">
        <f t="shared" si="4"/>
        <v>1.0717667097277921</v>
      </c>
      <c r="R68" s="28">
        <f t="shared" si="5"/>
        <v>1</v>
      </c>
      <c r="S68" s="27">
        <f>6272918705.99495*0.7</f>
        <v>4391043094.1964645</v>
      </c>
      <c r="T68" s="5">
        <v>4391043094.1964645</v>
      </c>
      <c r="U68" s="27">
        <f>+Tabla1[[#This Row],[Costo modelo a Corte]]-Tabla1[[#This Row],[Costo Contable a Corte]]</f>
        <v>0</v>
      </c>
      <c r="V68" s="28">
        <f>+IFERROR(T68/Tabla1[[#This Row],[Costo modelo a Corte]],0)</f>
        <v>1</v>
      </c>
      <c r="W68" s="29">
        <f>2886669724.17955*0.7</f>
        <v>2020668806.9256849</v>
      </c>
      <c r="X68" s="29">
        <v>2020668806.9256849</v>
      </c>
      <c r="Y68" s="29">
        <f>+(Tabla1[[#This Row],[Facturación Real a diciembre 31]]/Tabla1[[#This Row],[Monto del Proyecto]])*Tabla1[[#This Row],[Gasto Modelo a Corte]]</f>
        <v>2020668806.9256849</v>
      </c>
      <c r="Z68" s="28">
        <v>0.17401010098630934</v>
      </c>
      <c r="AA68" s="28">
        <f t="shared" si="6"/>
        <v>0.17401010102354414</v>
      </c>
      <c r="AB68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0.11473152370561258</v>
      </c>
      <c r="AC68" s="30" t="s">
        <v>31</v>
      </c>
      <c r="AD68" s="31" t="e">
        <f>+Tabla1[[#This Row],[Monto del Proyecto]]/#REF!</f>
        <v>#REF!</v>
      </c>
      <c r="AE68" s="31" t="e">
        <f t="shared" si="7"/>
        <v>#REF!</v>
      </c>
    </row>
    <row r="69" spans="2:31" x14ac:dyDescent="0.35">
      <c r="B69" s="1">
        <f>+Tabla1[[#This Row],[CC]]</f>
        <v>345</v>
      </c>
      <c r="C69" s="19">
        <v>345</v>
      </c>
      <c r="D69" s="20" t="s">
        <v>167</v>
      </c>
      <c r="E69" s="20" t="s">
        <v>28</v>
      </c>
      <c r="F69" s="21">
        <v>1</v>
      </c>
      <c r="G69" s="22">
        <v>9</v>
      </c>
      <c r="H69" s="20" t="s">
        <v>83</v>
      </c>
      <c r="I69" s="20" t="s">
        <v>58</v>
      </c>
      <c r="J69" s="24" t="s">
        <v>53</v>
      </c>
      <c r="K69" s="32">
        <v>45581</v>
      </c>
      <c r="L69" s="32">
        <v>45626</v>
      </c>
      <c r="M69" s="26">
        <f>IF(Tabla1[[#This Row],[CC]]="","",YEAR(Tabla1[[#This Row],[Fecha Incio]]))</f>
        <v>2024</v>
      </c>
      <c r="N69" s="5">
        <v>305817000</v>
      </c>
      <c r="O69" s="5">
        <v>305817000</v>
      </c>
      <c r="P69" s="5">
        <v>305817000</v>
      </c>
      <c r="Q69" s="28">
        <f t="shared" si="4"/>
        <v>1</v>
      </c>
      <c r="R69" s="28">
        <f t="shared" si="5"/>
        <v>1</v>
      </c>
      <c r="S69" s="5">
        <v>183312818.93000001</v>
      </c>
      <c r="T69" s="42">
        <f>114017870.666667+59662563.786</f>
        <v>173680434.452667</v>
      </c>
      <c r="U69" s="27">
        <f>+Tabla1[[#This Row],[Costo modelo a Corte]]-Tabla1[[#This Row],[Costo Contable a Corte]]</f>
        <v>9632384.4773330092</v>
      </c>
      <c r="V69" s="28">
        <f>+IFERROR(T69/Tabla1[[#This Row],[Costo modelo a Corte]],0)</f>
        <v>0.94745384128858312</v>
      </c>
      <c r="W69" s="29">
        <v>51621569.285497926</v>
      </c>
      <c r="X69" s="29">
        <v>5152585.83</v>
      </c>
      <c r="Y69" s="29">
        <f>+(Tabla1[[#This Row],[Facturación Real a diciembre 31]]/Tabla1[[#This Row],[Monto del Proyecto]])*Tabla1[[#This Row],[Gasto Modelo a Corte]]</f>
        <v>51621569.285497926</v>
      </c>
      <c r="Z69" s="28">
        <v>0.23178113555983493</v>
      </c>
      <c r="AA69" s="28">
        <f t="shared" si="6"/>
        <v>0.23178113638058728</v>
      </c>
      <c r="AB69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0.2632783535965465</v>
      </c>
      <c r="AC69" s="30" t="s">
        <v>31</v>
      </c>
      <c r="AD69" s="31" t="e">
        <f>+Tabla1[[#This Row],[Monto del Proyecto]]/#REF!</f>
        <v>#REF!</v>
      </c>
      <c r="AE69" s="31" t="e">
        <f t="shared" si="7"/>
        <v>#REF!</v>
      </c>
    </row>
    <row r="70" spans="2:31" x14ac:dyDescent="0.35">
      <c r="B70" s="1">
        <f>+Tabla1[[#This Row],[CC]]</f>
        <v>348</v>
      </c>
      <c r="C70" s="19">
        <v>348</v>
      </c>
      <c r="D70" s="20" t="s">
        <v>168</v>
      </c>
      <c r="E70" s="20" t="s">
        <v>34</v>
      </c>
      <c r="F70" s="21">
        <v>1</v>
      </c>
      <c r="G70" s="22">
        <v>1</v>
      </c>
      <c r="H70" s="20" t="s">
        <v>64</v>
      </c>
      <c r="I70" s="20" t="s">
        <v>64</v>
      </c>
      <c r="J70" s="24" t="s">
        <v>36</v>
      </c>
      <c r="K70" s="32">
        <v>45536</v>
      </c>
      <c r="L70" s="32">
        <v>45565</v>
      </c>
      <c r="M70" s="26">
        <f>IF(Tabla1[[#This Row],[CC]]="","",YEAR(Tabla1[[#This Row],[Fecha Incio]]))</f>
        <v>2024</v>
      </c>
      <c r="N70" s="5">
        <v>9900000</v>
      </c>
      <c r="O70" s="5">
        <v>9900000</v>
      </c>
      <c r="P70" s="5">
        <v>9900000</v>
      </c>
      <c r="Q70" s="28">
        <f t="shared" si="4"/>
        <v>1</v>
      </c>
      <c r="R70" s="28">
        <f t="shared" si="5"/>
        <v>1</v>
      </c>
      <c r="S70" s="5">
        <v>7049000</v>
      </c>
      <c r="T70" s="5">
        <v>6950000</v>
      </c>
      <c r="U70" s="27">
        <f>+Tabla1[[#This Row],[Costo modelo a Corte]]-Tabla1[[#This Row],[Costo Contable a Corte]]</f>
        <v>99000</v>
      </c>
      <c r="V70" s="28">
        <f>+IFERROR(T70/Tabla1[[#This Row],[Costo modelo a Corte]],0)</f>
        <v>0.98595545467442192</v>
      </c>
      <c r="W70" s="29">
        <v>1362593.5465082638</v>
      </c>
      <c r="X70" s="29">
        <v>79239.600000000006</v>
      </c>
      <c r="Y70" s="29">
        <f>+(Tabla1[[#This Row],[Facturación Real a diciembre 31]]/Tabla1[[#This Row],[Monto del Proyecto]])*Tabla1[[#This Row],[Gasto Modelo a Corte]]</f>
        <v>1362593.5465082638</v>
      </c>
      <c r="Z70" s="28">
        <v>0.1503440862112865</v>
      </c>
      <c r="AA70" s="28">
        <f t="shared" si="6"/>
        <v>0.15034408621128648</v>
      </c>
      <c r="AB70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0.16034408621128649</v>
      </c>
      <c r="AC70" s="30" t="s">
        <v>31</v>
      </c>
      <c r="AD70" s="31" t="e">
        <f>+Tabla1[[#This Row],[Monto del Proyecto]]/#REF!</f>
        <v>#REF!</v>
      </c>
      <c r="AE70" s="31" t="e">
        <f t="shared" si="7"/>
        <v>#REF!</v>
      </c>
    </row>
    <row r="71" spans="2:31" x14ac:dyDescent="0.35">
      <c r="B71" s="1">
        <f>+Tabla1[[#This Row],[CC]]</f>
        <v>349</v>
      </c>
      <c r="C71" s="19">
        <v>349</v>
      </c>
      <c r="D71" s="20" t="s">
        <v>169</v>
      </c>
      <c r="E71" s="20" t="s">
        <v>28</v>
      </c>
      <c r="F71" s="21">
        <v>1</v>
      </c>
      <c r="G71" s="22">
        <v>1</v>
      </c>
      <c r="H71" s="20" t="s">
        <v>80</v>
      </c>
      <c r="I71" s="20" t="s">
        <v>170</v>
      </c>
      <c r="J71" s="24" t="s">
        <v>56</v>
      </c>
      <c r="K71" s="32">
        <v>45658</v>
      </c>
      <c r="L71" s="32">
        <v>45687</v>
      </c>
      <c r="M71" s="26">
        <f>IF(Tabla1[[#This Row],[CC]]="","",YEAR(Tabla1[[#This Row],[Fecha Incio]]))</f>
        <v>2025</v>
      </c>
      <c r="N71" s="5">
        <v>443520000</v>
      </c>
      <c r="O71" s="5">
        <v>443520000</v>
      </c>
      <c r="P71" s="5">
        <v>443520000</v>
      </c>
      <c r="Q71" s="28">
        <f t="shared" si="4"/>
        <v>1</v>
      </c>
      <c r="R71" s="28">
        <f t="shared" si="5"/>
        <v>1</v>
      </c>
      <c r="S71" s="5">
        <v>314881563.83333331</v>
      </c>
      <c r="T71" s="5">
        <v>311599131.81</v>
      </c>
      <c r="U71" s="27">
        <f>+Tabla1[[#This Row],[Costo modelo a Corte]]-Tabla1[[#This Row],[Costo Contable a Corte]]</f>
        <v>3282432.0233333111</v>
      </c>
      <c r="V71" s="28">
        <f>+IFERROR(T71/Tabla1[[#This Row],[Costo modelo a Corte]],0)</f>
        <v>0.98957566145387066</v>
      </c>
      <c r="W71" s="29">
        <v>96282815.743509337</v>
      </c>
      <c r="X71" s="29">
        <v>-3728400.36</v>
      </c>
      <c r="Y71" s="29">
        <f>+(Tabla1[[#This Row],[Facturación Real a diciembre 31]]/Tabla1[[#This Row],[Monto del Proyecto]])*Tabla1[[#This Row],[Gasto Modelo a Corte]]</f>
        <v>96282815.743509337</v>
      </c>
      <c r="Z71" s="28">
        <v>0.10205039135602667</v>
      </c>
      <c r="AA71" s="28">
        <f t="shared" si="6"/>
        <v>7.2951885874723454E-2</v>
      </c>
      <c r="AB71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8.0352751728198599E-2</v>
      </c>
      <c r="AC71" s="30" t="s">
        <v>31</v>
      </c>
      <c r="AD71" s="31" t="e">
        <f>+Tabla1[[#This Row],[Monto del Proyecto]]/#REF!</f>
        <v>#REF!</v>
      </c>
      <c r="AE71" s="31" t="e">
        <f t="shared" si="7"/>
        <v>#REF!</v>
      </c>
    </row>
    <row r="72" spans="2:31" x14ac:dyDescent="0.35">
      <c r="B72" s="1">
        <f>+Tabla1[[#This Row],[CC]]</f>
        <v>350</v>
      </c>
      <c r="C72" s="19">
        <v>350</v>
      </c>
      <c r="D72" s="20" t="s">
        <v>171</v>
      </c>
      <c r="E72" s="20" t="s">
        <v>41</v>
      </c>
      <c r="F72" s="21">
        <v>1</v>
      </c>
      <c r="G72" s="22">
        <v>5</v>
      </c>
      <c r="H72" s="20" t="s">
        <v>153</v>
      </c>
      <c r="I72" s="20" t="s">
        <v>153</v>
      </c>
      <c r="J72" s="24" t="s">
        <v>154</v>
      </c>
      <c r="K72" s="32">
        <v>45565</v>
      </c>
      <c r="L72" s="32">
        <v>45655</v>
      </c>
      <c r="M72" s="26">
        <f>IF(Tabla1[[#This Row],[CC]]="","",YEAR(Tabla1[[#This Row],[Fecha Incio]]))</f>
        <v>2024</v>
      </c>
      <c r="N72" s="5">
        <v>375620940.33613449</v>
      </c>
      <c r="O72" s="5">
        <v>375620940.33613449</v>
      </c>
      <c r="P72" s="5">
        <v>375620940.33613449</v>
      </c>
      <c r="Q72" s="28">
        <f t="shared" si="4"/>
        <v>1</v>
      </c>
      <c r="R72" s="28">
        <f t="shared" si="5"/>
        <v>1</v>
      </c>
      <c r="S72" s="5">
        <v>219060049.54341733</v>
      </c>
      <c r="T72" s="42">
        <v>219060049.54341733</v>
      </c>
      <c r="U72" s="27">
        <f>+Tabla1[[#This Row],[Costo modelo a Corte]]-Tabla1[[#This Row],[Costo Contable a Corte]]</f>
        <v>0</v>
      </c>
      <c r="V72" s="28">
        <f>+IFERROR(T72/Tabla1[[#This Row],[Costo modelo a Corte]],0)</f>
        <v>1</v>
      </c>
      <c r="W72" s="29">
        <v>54527510.700719655</v>
      </c>
      <c r="X72" s="29">
        <v>54527510.700719655</v>
      </c>
      <c r="Y72" s="29">
        <f>+(Tabla1[[#This Row],[Facturación Real a diciembre 31]]/Tabla1[[#This Row],[Monto del Proyecto]])*Tabla1[[#This Row],[Gasto Modelo a Corte]]</f>
        <v>54527510.700719655</v>
      </c>
      <c r="Z72" s="28">
        <v>0.27163922224541098</v>
      </c>
      <c r="AA72" s="28">
        <f t="shared" si="6"/>
        <v>0.27163922224541098</v>
      </c>
      <c r="AB72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0.27163922224541098</v>
      </c>
      <c r="AC72" s="30" t="s">
        <v>31</v>
      </c>
      <c r="AD72" s="31" t="e">
        <f>+Tabla1[[#This Row],[Monto del Proyecto]]/#REF!</f>
        <v>#REF!</v>
      </c>
      <c r="AE72" s="31" t="e">
        <f t="shared" si="7"/>
        <v>#REF!</v>
      </c>
    </row>
    <row r="73" spans="2:31" x14ac:dyDescent="0.35">
      <c r="B73" s="1">
        <f>+Tabla1[[#This Row],[CC]]</f>
        <v>352</v>
      </c>
      <c r="C73" s="19">
        <v>352</v>
      </c>
      <c r="D73" s="20" t="s">
        <v>172</v>
      </c>
      <c r="E73" s="20" t="s">
        <v>28</v>
      </c>
      <c r="F73" s="21">
        <v>1</v>
      </c>
      <c r="G73" s="22">
        <v>2</v>
      </c>
      <c r="H73" s="20" t="s">
        <v>173</v>
      </c>
      <c r="I73" s="20" t="s">
        <v>173</v>
      </c>
      <c r="J73" s="35" t="s">
        <v>56</v>
      </c>
      <c r="K73" s="32">
        <v>45658</v>
      </c>
      <c r="L73" s="32">
        <v>46080</v>
      </c>
      <c r="M73" s="26">
        <f>IF(Tabla1[[#This Row],[CC]]="","",YEAR(Tabla1[[#This Row],[Fecha Incio]]))</f>
        <v>2025</v>
      </c>
      <c r="N73" s="27">
        <v>309536589</v>
      </c>
      <c r="O73" s="27">
        <v>309536589</v>
      </c>
      <c r="P73" s="27">
        <v>309536589</v>
      </c>
      <c r="Q73" s="28">
        <f t="shared" si="4"/>
        <v>1</v>
      </c>
      <c r="R73" s="28">
        <f t="shared" si="5"/>
        <v>1</v>
      </c>
      <c r="S73" s="27">
        <v>198857341.70159668</v>
      </c>
      <c r="T73" s="27">
        <v>202110461.92061865</v>
      </c>
      <c r="U73" s="27">
        <f>+Tabla1[[#This Row],[Costo modelo a Corte]]-Tabla1[[#This Row],[Costo Contable a Corte]]</f>
        <v>-3253120.219021976</v>
      </c>
      <c r="V73" s="28">
        <f>+IFERROR(T73/Tabla1[[#This Row],[Costo modelo a Corte]],0)</f>
        <v>1.0163590652031524</v>
      </c>
      <c r="W73" s="33">
        <v>73641177.616501704</v>
      </c>
      <c r="X73" s="33">
        <v>76912285.260989055</v>
      </c>
      <c r="Y73" s="33">
        <f>+(Tabla1[[#This Row],[Facturación Real a diciembre 31]]/Tabla1[[#This Row],[Monto del Proyecto]])*Tabla1[[#This Row],[Gasto Modelo a Corte]]</f>
        <v>73641177.616501704</v>
      </c>
      <c r="Z73" s="34">
        <v>0.12081673689955567</v>
      </c>
      <c r="AA73" s="28">
        <f t="shared" si="6"/>
        <v>0.11965651557238559</v>
      </c>
      <c r="AB73" s="31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9.8579111170577244E-2</v>
      </c>
      <c r="AC73" s="47" t="s">
        <v>31</v>
      </c>
      <c r="AD73" s="31" t="e">
        <f>+Tabla1[[#This Row],[Monto del Proyecto]]/#REF!</f>
        <v>#REF!</v>
      </c>
      <c r="AE73" s="31" t="e">
        <f t="shared" si="7"/>
        <v>#REF!</v>
      </c>
    </row>
    <row r="74" spans="2:31" x14ac:dyDescent="0.35">
      <c r="B74" s="1">
        <f>+Tabla1[[#This Row],[CC]]</f>
        <v>353</v>
      </c>
      <c r="C74" s="19">
        <v>353</v>
      </c>
      <c r="D74" s="20" t="s">
        <v>174</v>
      </c>
      <c r="E74" s="20" t="s">
        <v>34</v>
      </c>
      <c r="F74" s="21">
        <v>1</v>
      </c>
      <c r="G74" s="22">
        <v>1</v>
      </c>
      <c r="H74" s="20" t="s">
        <v>48</v>
      </c>
      <c r="I74" s="20" t="s">
        <v>48</v>
      </c>
      <c r="J74" s="24" t="s">
        <v>36</v>
      </c>
      <c r="K74" s="32">
        <v>45536</v>
      </c>
      <c r="L74" s="32">
        <v>45597</v>
      </c>
      <c r="M74" s="26">
        <f>IF(Tabla1[[#This Row],[CC]]="","",YEAR(Tabla1[[#This Row],[Fecha Incio]]))</f>
        <v>2024</v>
      </c>
      <c r="N74" s="5">
        <v>752034452.10084033</v>
      </c>
      <c r="O74" s="5">
        <v>752034553.78151262</v>
      </c>
      <c r="P74" s="5">
        <v>752034452.10084033</v>
      </c>
      <c r="Q74" s="28">
        <f t="shared" si="4"/>
        <v>1.0000001352074657</v>
      </c>
      <c r="R74" s="28">
        <f t="shared" si="5"/>
        <v>1</v>
      </c>
      <c r="S74" s="5">
        <v>410789541.89061075</v>
      </c>
      <c r="T74" s="5">
        <v>356352394.03000003</v>
      </c>
      <c r="U74" s="27">
        <f>+Tabla1[[#This Row],[Costo modelo a Corte]]-Tabla1[[#This Row],[Costo Contable a Corte]]</f>
        <v>54437147.860610723</v>
      </c>
      <c r="V74" s="28">
        <f>+IFERROR(T74/Tabla1[[#This Row],[Costo modelo a Corte]],0)</f>
        <v>0.86748166077921529</v>
      </c>
      <c r="W74" s="29">
        <v>190471652.89286181</v>
      </c>
      <c r="X74" s="29">
        <v>19769486.157736279</v>
      </c>
      <c r="Y74" s="29">
        <f>+(Tabla1[[#This Row],[Facturación Real a diciembre 31]]/Tabla1[[#This Row],[Monto del Proyecto]])*Tabla1[[#This Row],[Gasto Modelo a Corte]]</f>
        <v>190471652.89286181</v>
      </c>
      <c r="Z74" s="28">
        <v>0.20048727467132274</v>
      </c>
      <c r="AA74" s="28">
        <f t="shared" si="6"/>
        <v>0.20048727580387748</v>
      </c>
      <c r="AB74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0.27287367567365356</v>
      </c>
      <c r="AC74" s="30" t="s">
        <v>31</v>
      </c>
      <c r="AD74" s="31" t="e">
        <f>+Tabla1[[#This Row],[Monto del Proyecto]]/#REF!</f>
        <v>#REF!</v>
      </c>
      <c r="AE74" s="31" t="e">
        <f t="shared" si="7"/>
        <v>#REF!</v>
      </c>
    </row>
    <row r="75" spans="2:31" x14ac:dyDescent="0.35">
      <c r="B75" s="1">
        <f>+Tabla1[[#This Row],[CC]]</f>
        <v>356</v>
      </c>
      <c r="C75" s="19">
        <v>356</v>
      </c>
      <c r="D75" s="20" t="s">
        <v>175</v>
      </c>
      <c r="E75" s="20" t="s">
        <v>28</v>
      </c>
      <c r="F75" s="21">
        <v>1</v>
      </c>
      <c r="G75" s="22">
        <v>1</v>
      </c>
      <c r="H75" s="20" t="s">
        <v>55</v>
      </c>
      <c r="I75" s="20" t="s">
        <v>55</v>
      </c>
      <c r="J75" s="35" t="s">
        <v>45</v>
      </c>
      <c r="K75" s="32">
        <v>45627</v>
      </c>
      <c r="L75" s="32">
        <v>45657</v>
      </c>
      <c r="M75" s="26">
        <f>IF(Tabla1[[#This Row],[CC]]="","",YEAR(Tabla1[[#This Row],[Fecha Incio]]))</f>
        <v>2024</v>
      </c>
      <c r="N75" s="5">
        <v>63011057.142857149</v>
      </c>
      <c r="O75" s="5">
        <v>63011057.555555552</v>
      </c>
      <c r="P75" s="5">
        <v>63011057.142857149</v>
      </c>
      <c r="Q75" s="28">
        <f t="shared" si="4"/>
        <v>1.0000000065496188</v>
      </c>
      <c r="R75" s="28">
        <f t="shared" si="5"/>
        <v>1</v>
      </c>
      <c r="S75" s="5">
        <v>40327076.835555553</v>
      </c>
      <c r="T75" s="42">
        <f>40327076.8355556+12098123.0506667</f>
        <v>52425199.886222295</v>
      </c>
      <c r="U75" s="27">
        <f>+Tabla1[[#This Row],[Costo modelo a Corte]]-Tabla1[[#This Row],[Costo Contable a Corte]]</f>
        <v>-12098123.050666742</v>
      </c>
      <c r="V75" s="28">
        <f>+IFERROR(T75/Tabla1[[#This Row],[Costo modelo a Corte]],0)</f>
        <v>1.3000000000000018</v>
      </c>
      <c r="W75" s="29">
        <v>4242992.0410265587</v>
      </c>
      <c r="X75" s="29">
        <v>4404882.3614189066</v>
      </c>
      <c r="Y75" s="29">
        <f>+(Tabla1[[#This Row],[Facturación Real a diciembre 31]]/Tabla1[[#This Row],[Monto del Proyecto]])*Tabla1[[#This Row],[Gasto Modelo a Corte]]</f>
        <v>4242992.0410265587</v>
      </c>
      <c r="Z75" s="28">
        <v>0.29266274553107596</v>
      </c>
      <c r="AA75" s="28">
        <f t="shared" si="6"/>
        <v>0.29266273880127153</v>
      </c>
      <c r="AB75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9.8093496212935991E-2</v>
      </c>
      <c r="AC75" s="30" t="s">
        <v>31</v>
      </c>
      <c r="AD75" s="31" t="e">
        <f>+Tabla1[[#This Row],[Monto del Proyecto]]/#REF!</f>
        <v>#REF!</v>
      </c>
      <c r="AE75" s="31" t="e">
        <f t="shared" si="7"/>
        <v>#REF!</v>
      </c>
    </row>
    <row r="76" spans="2:31" x14ac:dyDescent="0.35">
      <c r="B76" s="1">
        <f>+Tabla1[[#This Row],[CC]]</f>
        <v>359</v>
      </c>
      <c r="C76" s="19">
        <v>359</v>
      </c>
      <c r="D76" s="20" t="s">
        <v>176</v>
      </c>
      <c r="E76" s="20" t="s">
        <v>28</v>
      </c>
      <c r="F76" s="21">
        <v>1</v>
      </c>
      <c r="G76" s="22">
        <v>1</v>
      </c>
      <c r="H76" s="20" t="s">
        <v>177</v>
      </c>
      <c r="I76" s="20" t="s">
        <v>170</v>
      </c>
      <c r="J76" s="35" t="s">
        <v>56</v>
      </c>
      <c r="K76" s="32">
        <v>45689</v>
      </c>
      <c r="L76" s="32">
        <v>45716</v>
      </c>
      <c r="M76" s="26">
        <f>IF(Tabla1[[#This Row],[CC]]="","",YEAR(Tabla1[[#This Row],[Fecha Incio]]))</f>
        <v>2025</v>
      </c>
      <c r="N76" s="5">
        <v>766158600</v>
      </c>
      <c r="O76" s="5">
        <v>766158600</v>
      </c>
      <c r="P76" s="5">
        <v>766158600</v>
      </c>
      <c r="Q76" s="28">
        <f t="shared" si="4"/>
        <v>1</v>
      </c>
      <c r="R76" s="28">
        <f t="shared" si="5"/>
        <v>1</v>
      </c>
      <c r="S76" s="5">
        <v>503460622.07102221</v>
      </c>
      <c r="T76" s="5">
        <v>434853624.44222218</v>
      </c>
      <c r="U76" s="27">
        <f>+Tabla1[[#This Row],[Costo modelo a Corte]]-Tabla1[[#This Row],[Costo Contable a Corte]]</f>
        <v>68606997.628800035</v>
      </c>
      <c r="V76" s="28">
        <f>+IFERROR(T76/Tabla1[[#This Row],[Costo modelo a Corte]],0)</f>
        <v>0.86372916843708625</v>
      </c>
      <c r="W76" s="29">
        <v>172860186.48828402</v>
      </c>
      <c r="X76" s="29">
        <v>8821121.4299999997</v>
      </c>
      <c r="Y76" s="29">
        <f>+(Tabla1[[#This Row],[Facturación Real a diciembre 31]]/Tabla1[[#This Row],[Monto del Proyecto]])*Tabla1[[#This Row],[Gasto Modelo a Corte]]</f>
        <v>172860186.48828402</v>
      </c>
      <c r="Z76" s="28">
        <v>0.1171370824407422</v>
      </c>
      <c r="AA76" s="28">
        <f t="shared" si="6"/>
        <v>0.1172574339577912</v>
      </c>
      <c r="AB76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0.20680416439819879</v>
      </c>
      <c r="AC76" s="30" t="s">
        <v>31</v>
      </c>
      <c r="AD76" s="31" t="e">
        <f>+Tabla1[[#This Row],[Monto del Proyecto]]/#REF!</f>
        <v>#REF!</v>
      </c>
      <c r="AE76" s="31" t="e">
        <f t="shared" si="7"/>
        <v>#REF!</v>
      </c>
    </row>
    <row r="77" spans="2:31" x14ac:dyDescent="0.35">
      <c r="B77" s="1">
        <f>+Tabla1[[#This Row],[CC]]</f>
        <v>361</v>
      </c>
      <c r="C77" s="19">
        <v>361</v>
      </c>
      <c r="D77" s="20" t="s">
        <v>178</v>
      </c>
      <c r="E77" s="20" t="s">
        <v>28</v>
      </c>
      <c r="F77" s="21">
        <v>1</v>
      </c>
      <c r="G77" s="22">
        <v>1</v>
      </c>
      <c r="H77" s="20" t="s">
        <v>179</v>
      </c>
      <c r="I77" s="20" t="s">
        <v>179</v>
      </c>
      <c r="J77" s="35" t="s">
        <v>180</v>
      </c>
      <c r="K77" s="32">
        <v>45689</v>
      </c>
      <c r="L77" s="32">
        <v>45716</v>
      </c>
      <c r="M77" s="26">
        <f>IF(Tabla1[[#This Row],[CC]]="","",YEAR(Tabla1[[#This Row],[Fecha Incio]]))</f>
        <v>2025</v>
      </c>
      <c r="N77" s="5">
        <v>58566557.823529415</v>
      </c>
      <c r="O77" s="5">
        <v>58566557.619999997</v>
      </c>
      <c r="P77" s="5">
        <v>58566558</v>
      </c>
      <c r="Q77" s="28">
        <f t="shared" si="4"/>
        <v>0.99999999652481852</v>
      </c>
      <c r="R77" s="28">
        <f t="shared" si="5"/>
        <v>1.0000000030131631</v>
      </c>
      <c r="S77" s="5">
        <v>40504917.570780121</v>
      </c>
      <c r="T77" s="5">
        <v>40504917.570780121</v>
      </c>
      <c r="U77" s="27">
        <f>+Tabla1[[#This Row],[Costo modelo a Corte]]-Tabla1[[#This Row],[Costo Contable a Corte]]</f>
        <v>0</v>
      </c>
      <c r="V77" s="28">
        <f>+IFERROR(T77/Tabla1[[#This Row],[Costo modelo a Corte]],0)</f>
        <v>1</v>
      </c>
      <c r="W77" s="29">
        <v>3194877.0783029767</v>
      </c>
      <c r="X77" s="29">
        <v>3194877.0783029767</v>
      </c>
      <c r="Y77" s="29">
        <f>+(Tabla1[[#This Row],[Facturación Real a diciembre 31]]/Tabla1[[#This Row],[Monto del Proyecto]])*Tabla1[[#This Row],[Gasto Modelo a Corte]]</f>
        <v>3194877.0879296623</v>
      </c>
      <c r="Z77" s="28">
        <v>0.25384389274468855</v>
      </c>
      <c r="AA77" s="28">
        <f t="shared" si="6"/>
        <v>0.25384389274468855</v>
      </c>
      <c r="AB77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0.25384389758600634</v>
      </c>
      <c r="AC77" s="30" t="s">
        <v>31</v>
      </c>
      <c r="AD77" s="31" t="e">
        <f>+Tabla1[[#This Row],[Monto del Proyecto]]/#REF!</f>
        <v>#REF!</v>
      </c>
      <c r="AE77" s="31" t="e">
        <f t="shared" si="7"/>
        <v>#REF!</v>
      </c>
    </row>
    <row r="78" spans="2:31" x14ac:dyDescent="0.35">
      <c r="B78" s="1">
        <v>362</v>
      </c>
      <c r="C78" s="19" t="s">
        <v>181</v>
      </c>
      <c r="D78" s="20" t="s">
        <v>182</v>
      </c>
      <c r="E78" s="20" t="s">
        <v>28</v>
      </c>
      <c r="F78" s="21">
        <v>1</v>
      </c>
      <c r="G78" s="22">
        <v>64</v>
      </c>
      <c r="H78" s="20" t="s">
        <v>97</v>
      </c>
      <c r="I78" s="20" t="s">
        <v>81</v>
      </c>
      <c r="J78" s="35" t="s">
        <v>183</v>
      </c>
      <c r="K78" s="32">
        <v>45945</v>
      </c>
      <c r="L78" s="32">
        <v>46006</v>
      </c>
      <c r="M78" s="26">
        <f>IF(Tabla1[[#This Row],[CC]]="","",YEAR(Tabla1[[#This Row],[Fecha Incio]]))</f>
        <v>2025</v>
      </c>
      <c r="N78" s="27">
        <v>438182488</v>
      </c>
      <c r="O78" s="5">
        <v>321638334.36000001</v>
      </c>
      <c r="P78" s="5">
        <v>321638334.36000001</v>
      </c>
      <c r="Q78" s="28">
        <f t="shared" si="4"/>
        <v>0.73402827170948015</v>
      </c>
      <c r="R78" s="28">
        <f t="shared" si="5"/>
        <v>0.73402827170948015</v>
      </c>
      <c r="S78" s="5">
        <v>313240572.26356</v>
      </c>
      <c r="T78" s="5">
        <v>313240572.26356</v>
      </c>
      <c r="U78" s="27">
        <f>+Tabla1[[#This Row],[Costo modelo a Corte]]-Tabla1[[#This Row],[Costo Contable a Corte]]</f>
        <v>0</v>
      </c>
      <c r="V78" s="28">
        <f>+IFERROR(T78/Tabla1[[#This Row],[Costo modelo a Corte]],0)</f>
        <v>1</v>
      </c>
      <c r="W78" s="29">
        <v>98539529.372819215</v>
      </c>
      <c r="X78" s="29">
        <v>72330800.440596044</v>
      </c>
      <c r="Y78" s="29">
        <f>+(Tabla1[[#This Row],[Facturación Real a diciembre 31]]/Tabla1[[#This Row],[Monto del Proyecto]])*Tabla1[[#This Row],[Gasto Modelo a Corte]]</f>
        <v>72330800.440596044</v>
      </c>
      <c r="Z78" s="28">
        <v>6.0254316883729765E-2</v>
      </c>
      <c r="AA78" s="28">
        <f t="shared" si="6"/>
        <v>-0.28025815845534835</v>
      </c>
      <c r="AB78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-0.28025815845534835</v>
      </c>
      <c r="AC78" s="30" t="s">
        <v>31</v>
      </c>
      <c r="AD78" s="31" t="e">
        <f>+Tabla1[[#This Row],[Monto del Proyecto]]/#REF!</f>
        <v>#REF!</v>
      </c>
      <c r="AE78" s="31" t="e">
        <f t="shared" si="7"/>
        <v>#REF!</v>
      </c>
    </row>
    <row r="79" spans="2:31" x14ac:dyDescent="0.35">
      <c r="B79" s="1">
        <f>+Tabla1[[#This Row],[CC]]</f>
        <v>398</v>
      </c>
      <c r="C79" s="19">
        <v>398</v>
      </c>
      <c r="D79" s="20" t="s">
        <v>184</v>
      </c>
      <c r="E79" s="20" t="s">
        <v>28</v>
      </c>
      <c r="F79" s="21">
        <v>1</v>
      </c>
      <c r="G79" s="22">
        <v>1</v>
      </c>
      <c r="H79" s="20" t="s">
        <v>97</v>
      </c>
      <c r="I79" s="20" t="s">
        <v>39</v>
      </c>
      <c r="J79" s="35" t="s">
        <v>185</v>
      </c>
      <c r="K79" s="32">
        <v>46054</v>
      </c>
      <c r="L79" s="32">
        <v>46112</v>
      </c>
      <c r="M79" s="26">
        <f>IF(Tabla1[[#This Row],[CC]]="","",YEAR(Tabla1[[#This Row],[Fecha Incio]]))</f>
        <v>2026</v>
      </c>
      <c r="N79" s="5">
        <v>2182737588</v>
      </c>
      <c r="O79" s="5">
        <v>2182737588</v>
      </c>
      <c r="P79" s="5">
        <v>2182737588</v>
      </c>
      <c r="Q79" s="28">
        <f t="shared" si="4"/>
        <v>1</v>
      </c>
      <c r="R79" s="28">
        <f t="shared" si="5"/>
        <v>1</v>
      </c>
      <c r="S79" s="5">
        <v>1203158623.7857993</v>
      </c>
      <c r="T79" s="5">
        <v>1203158623.7857993</v>
      </c>
      <c r="U79" s="27">
        <f>+Tabla1[[#This Row],[Costo modelo a Corte]]-Tabla1[[#This Row],[Costo Contable a Corte]]</f>
        <v>0</v>
      </c>
      <c r="V79" s="28">
        <f>+IFERROR(T79/Tabla1[[#This Row],[Costo modelo a Corte]],0)</f>
        <v>1</v>
      </c>
      <c r="W79" s="29">
        <v>466426729.78819251</v>
      </c>
      <c r="X79" s="29">
        <v>466426729.78819251</v>
      </c>
      <c r="Y79" s="29">
        <f>+(Tabla1[[#This Row],[Facturación Real a diciembre 31]]/Tabla1[[#This Row],[Monto del Proyecto]])*Tabla1[[#This Row],[Gasto Modelo a Corte]]</f>
        <v>466426729.78819251</v>
      </c>
      <c r="Z79" s="28">
        <v>0.21079270305006248</v>
      </c>
      <c r="AA79" s="28">
        <f t="shared" si="6"/>
        <v>0.23509570607440705</v>
      </c>
      <c r="AB79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0.23509570607440705</v>
      </c>
      <c r="AC79" s="31" t="s">
        <v>31</v>
      </c>
      <c r="AD79" s="31" t="e">
        <f>+Tabla1[[#This Row],[Monto del Proyecto]]/#REF!</f>
        <v>#REF!</v>
      </c>
      <c r="AE79" s="31" t="e">
        <f t="shared" si="7"/>
        <v>#REF!</v>
      </c>
    </row>
    <row r="80" spans="2:31" x14ac:dyDescent="0.35">
      <c r="B80" s="1">
        <f>+Tabla1[[#This Row],[CC]]</f>
        <v>399</v>
      </c>
      <c r="C80" s="19">
        <v>399</v>
      </c>
      <c r="D80" s="20" t="s">
        <v>186</v>
      </c>
      <c r="E80" s="20" t="s">
        <v>34</v>
      </c>
      <c r="F80" s="21">
        <v>1</v>
      </c>
      <c r="G80" s="22">
        <v>1</v>
      </c>
      <c r="H80" s="20" t="s">
        <v>89</v>
      </c>
      <c r="I80" s="20" t="s">
        <v>89</v>
      </c>
      <c r="J80" s="24" t="s">
        <v>36</v>
      </c>
      <c r="K80" s="32">
        <v>46042</v>
      </c>
      <c r="L80" s="32">
        <v>46073</v>
      </c>
      <c r="M80" s="26">
        <f>IF(Tabla1[[#This Row],[CC]]="","",YEAR(Tabla1[[#This Row],[Fecha Incio]]))</f>
        <v>2026</v>
      </c>
      <c r="N80" s="5">
        <v>50780299</v>
      </c>
      <c r="O80" s="5">
        <v>50780299</v>
      </c>
      <c r="P80" s="5">
        <v>50780299</v>
      </c>
      <c r="Q80" s="28">
        <f t="shared" si="4"/>
        <v>1</v>
      </c>
      <c r="R80" s="28">
        <f t="shared" si="5"/>
        <v>1</v>
      </c>
      <c r="S80" s="5">
        <v>29711951.72611111</v>
      </c>
      <c r="T80" s="5">
        <v>29711951.72611111</v>
      </c>
      <c r="U80" s="27">
        <f>+Tabla1[[#This Row],[Costo modelo a Corte]]-Tabla1[[#This Row],[Costo Contable a Corte]]</f>
        <v>0</v>
      </c>
      <c r="V80" s="28">
        <f>+IFERROR(T80/Tabla1[[#This Row],[Costo modelo a Corte]],0)</f>
        <v>1</v>
      </c>
      <c r="W80" s="29">
        <v>6973291.8692480549</v>
      </c>
      <c r="X80" s="29">
        <v>6973291.8692480549</v>
      </c>
      <c r="Y80" s="29">
        <f>+(Tabla1[[#This Row],[Facturación Real a diciembre 31]]/Tabla1[[#This Row],[Monto del Proyecto]])*Tabla1[[#This Row],[Gasto Modelo a Corte]]</f>
        <v>6973291.8692480549</v>
      </c>
      <c r="Z80" s="28">
        <v>0.27620355814563824</v>
      </c>
      <c r="AA80" s="28">
        <f t="shared" si="6"/>
        <v>0.27756936611658856</v>
      </c>
      <c r="AB80" s="28">
        <f>IFERROR(IF(Tabla1[[#This Row],[Gasto Ejecutado a Corte]]&gt;Tabla1[[#This Row],[Gasto Modelo a Corte]],((Tabla1[[#This Row],[Facturación Real a diciembre 31]]-Tabla1[[#This Row],[Gasto Ejecutado a Corte]]-Tabla1[[#This Row],[Costo Contable a Corte]])/Tabla1[[#This Row],[Facturación Real a diciembre 31]]),((Tabla1[[#This Row],[Facturación Real a diciembre 31]]-Tabla1[[#This Row],[Gasto Modelo a Corte]]-Tabla1[[#This Row],[Costo Contable a Corte]])/Tabla1[[#This Row],[Facturación Real a diciembre 31]])),0%)</f>
        <v>0.27756936611658856</v>
      </c>
      <c r="AC80" s="31" t="s">
        <v>31</v>
      </c>
      <c r="AD80" s="31" t="e">
        <f>+Tabla1[[#This Row],[Monto del Proyecto]]/#REF!</f>
        <v>#REF!</v>
      </c>
      <c r="AE80" s="31" t="e">
        <f t="shared" si="7"/>
        <v>#REF!</v>
      </c>
    </row>
    <row r="81" spans="6:31" x14ac:dyDescent="0.35">
      <c r="F81" s="48"/>
      <c r="G81" s="22"/>
      <c r="J81" s="49"/>
      <c r="O81" s="4"/>
      <c r="P81" s="4"/>
      <c r="Q81" s="50"/>
      <c r="R81" s="50"/>
      <c r="S81" s="4"/>
      <c r="T81" s="4"/>
      <c r="U81" s="4"/>
      <c r="V81" s="51"/>
      <c r="W81" s="52"/>
      <c r="X81" s="52"/>
      <c r="Y81" s="52"/>
      <c r="Z81" s="50"/>
      <c r="AA81" s="50"/>
      <c r="AB81" s="52"/>
      <c r="AC81" s="53"/>
      <c r="AD81" s="53"/>
      <c r="AE81" s="53"/>
    </row>
    <row r="82" spans="6:31" x14ac:dyDescent="0.35">
      <c r="N82" s="3"/>
      <c r="W82" s="6"/>
      <c r="X82" s="4"/>
      <c r="AB82" s="6"/>
    </row>
    <row r="83" spans="6:31" x14ac:dyDescent="0.35">
      <c r="Q83" s="4"/>
      <c r="X83" s="6"/>
    </row>
    <row r="85" spans="6:31" x14ac:dyDescent="0.35">
      <c r="N85" s="4"/>
    </row>
  </sheetData>
  <conditionalFormatting sqref="C1:C1048576">
    <cfRule type="duplicateValues" dxfId="24" priority="1"/>
  </conditionalFormatting>
  <conditionalFormatting sqref="R2:R80">
    <cfRule type="cellIs" dxfId="23" priority="6" stopIfTrue="1" operator="greaterThanOrEqual">
      <formula>1</formula>
    </cfRule>
    <cfRule type="cellIs" dxfId="22" priority="7" stopIfTrue="1" operator="lessThan">
      <formula>$Q$2</formula>
    </cfRule>
  </conditionalFormatting>
  <conditionalFormatting sqref="U2:U1048576">
    <cfRule type="cellIs" dxfId="21" priority="3" stopIfTrue="1" operator="greaterThan">
      <formula>0</formula>
    </cfRule>
  </conditionalFormatting>
  <conditionalFormatting sqref="V2:V80">
    <cfRule type="cellIs" dxfId="20" priority="4" stopIfTrue="1" operator="greaterThanOrEqual">
      <formula>1</formula>
    </cfRule>
    <cfRule type="cellIs" dxfId="19" priority="5" stopIfTrue="1" operator="lessThan">
      <formula>1</formula>
    </cfRule>
  </conditionalFormatting>
  <conditionalFormatting sqref="Z1:Z1048576">
    <cfRule type="duplicateValues" dxfId="18" priority="2"/>
  </conditionalFormatting>
  <dataValidations count="1">
    <dataValidation type="list" allowBlank="1" showInputMessage="1" showErrorMessage="1" sqref="AC79:AC80" xr:uid="{1C7CD99A-BD6B-472F-B537-C680A86DE9B9}">
      <formula1>"Activo, Inactivo, Soporte"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JOSE OROZCO RICO</dc:creator>
  <cp:lastModifiedBy>FREDDY JOSE OROZCO RICO</cp:lastModifiedBy>
  <dcterms:created xsi:type="dcterms:W3CDTF">2026-07-17T14:29:09Z</dcterms:created>
  <dcterms:modified xsi:type="dcterms:W3CDTF">2026-07-23T14:26:20Z</dcterms:modified>
</cp:coreProperties>
</file>