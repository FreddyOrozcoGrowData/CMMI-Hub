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growdatasas.sharepoint.com/sites/Gestiondocumental/GProyecOper/PMO/GestionPMO/Documentos compartidos/2. Oficina de Proyectos/3. Bases de Datos/"/>
    </mc:Choice>
  </mc:AlternateContent>
  <xr:revisionPtr revIDLastSave="0" documentId="8_{1C6D7F05-C70A-44CE-B25B-4CC6094831E9}" xr6:coauthVersionLast="47" xr6:coauthVersionMax="47" xr10:uidLastSave="{00000000-0000-0000-0000-000000000000}"/>
  <bookViews>
    <workbookView xWindow="-28920" yWindow="-120" windowWidth="29040" windowHeight="15720" firstSheet="2" activeTab="2" xr2:uid="{87B54965-D7ED-438E-9909-98FDDCA3CDB4}"/>
  </bookViews>
  <sheets>
    <sheet name="Reporte" sheetId="6" state="hidden" r:id="rId1"/>
    <sheet name="Resumen" sheetId="7" state="hidden" r:id="rId2"/>
    <sheet name="Indicador" sheetId="2" r:id="rId3"/>
    <sheet name="Hoja1" sheetId="4" state="hidden" r:id="rId4"/>
    <sheet name="Diccionario" sheetId="3" r:id="rId5"/>
    <sheet name="Hoja3" sheetId="5" state="hidden" r:id="rId6"/>
  </sheets>
  <definedNames>
    <definedName name="_xlnm._FilterDatabase" localSheetId="4" hidden="1">Diccionario!$A$1:$AC$99</definedName>
    <definedName name="_xlnm._FilterDatabase" localSheetId="3" hidden="1">Hoja1!$A$1:$AM$93</definedName>
    <definedName name="_xlnm._FilterDatabase" localSheetId="5" hidden="1">Hoja3!$A$1:$I$99</definedName>
    <definedName name="_xlnm._FilterDatabase" localSheetId="2" hidden="1">Indicador!$A$1:$AF$1</definedName>
  </definedNames>
  <calcPr calcId="191028"/>
  <pivotCaches>
    <pivotCache cacheId="11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2" l="1"/>
  <c r="U7" i="2" s="1"/>
  <c r="U8" i="2" s="1"/>
  <c r="U9" i="2" s="1"/>
  <c r="U10" i="2" s="1"/>
  <c r="U11" i="2" s="1"/>
  <c r="U12" i="2" s="1"/>
  <c r="U13" i="2" s="1"/>
  <c r="U4" i="2"/>
  <c r="U5" i="2" s="1"/>
  <c r="V310" i="2"/>
  <c r="V294" i="2"/>
  <c r="AG2" i="2" l="1"/>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Q916" i="2" s="1"/>
  <c r="M917" i="2"/>
  <c r="M918" i="2"/>
  <c r="M919" i="2"/>
  <c r="Q919" i="2" s="1"/>
  <c r="M920" i="2"/>
  <c r="Q920" i="2" s="1"/>
  <c r="M921" i="2"/>
  <c r="Q921" i="2" s="1"/>
  <c r="M922" i="2"/>
  <c r="M923" i="2"/>
  <c r="Q923" i="2" s="1"/>
  <c r="M924" i="2"/>
  <c r="Q924" i="2" s="1"/>
  <c r="M925" i="2"/>
  <c r="M926" i="2"/>
  <c r="L926" i="2"/>
  <c r="X926" i="2" s="1"/>
  <c r="L925" i="2"/>
  <c r="X925" i="2" s="1"/>
  <c r="L924" i="2"/>
  <c r="X924" i="2" s="1"/>
  <c r="L923" i="2"/>
  <c r="L922" i="2"/>
  <c r="X922" i="2" s="1"/>
  <c r="L921" i="2"/>
  <c r="L920" i="2"/>
  <c r="L919" i="2"/>
  <c r="X919" i="2" s="1"/>
  <c r="L918" i="2"/>
  <c r="L917" i="2"/>
  <c r="L916" i="2"/>
  <c r="X916" i="2" s="1"/>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X920" i="2"/>
  <c r="X923" i="2"/>
  <c r="X917" i="2"/>
  <c r="Q926" i="2"/>
  <c r="Q925" i="2"/>
  <c r="Q922" i="2"/>
  <c r="Q918" i="2"/>
  <c r="Q917" i="2"/>
  <c r="AB100" i="3"/>
  <c r="Y100" i="3"/>
  <c r="V100" i="3"/>
  <c r="S100" i="3"/>
  <c r="P100" i="3"/>
  <c r="M100" i="3"/>
  <c r="J100" i="3"/>
  <c r="G100" i="3"/>
  <c r="P918" i="2" l="1"/>
  <c r="P922" i="2"/>
  <c r="P921" i="2"/>
  <c r="P925" i="2"/>
  <c r="P916" i="2"/>
  <c r="W917" i="2"/>
  <c r="Z917" i="2" s="1"/>
  <c r="P919" i="2"/>
  <c r="P924" i="2"/>
  <c r="P917" i="2"/>
  <c r="P920" i="2"/>
  <c r="P923" i="2"/>
  <c r="P926" i="2"/>
  <c r="W926" i="2"/>
  <c r="W925" i="2"/>
  <c r="W924" i="2"/>
  <c r="W923" i="2"/>
  <c r="W922" i="2"/>
  <c r="X921" i="2"/>
  <c r="W921" i="2"/>
  <c r="W920" i="2"/>
  <c r="W919" i="2"/>
  <c r="X918" i="2"/>
  <c r="W918" i="2"/>
  <c r="W916" i="2"/>
  <c r="Q776" i="2"/>
  <c r="Q915" i="2"/>
  <c r="Q914" i="2"/>
  <c r="Q913" i="2"/>
  <c r="Q912" i="2"/>
  <c r="Q911" i="2"/>
  <c r="Q910" i="2"/>
  <c r="Q909" i="2"/>
  <c r="Q908" i="2"/>
  <c r="Q881" i="2"/>
  <c r="Q880" i="2"/>
  <c r="Q879" i="2"/>
  <c r="Q878" i="2"/>
  <c r="Q877" i="2"/>
  <c r="Q876" i="2"/>
  <c r="Q875" i="2"/>
  <c r="Q874" i="2"/>
  <c r="Q873" i="2"/>
  <c r="Q872" i="2"/>
  <c r="Q871" i="2"/>
  <c r="Q870" i="2"/>
  <c r="Q869" i="2"/>
  <c r="Q868" i="2"/>
  <c r="Q867" i="2"/>
  <c r="Q866" i="2"/>
  <c r="Q865" i="2"/>
  <c r="Q864" i="2"/>
  <c r="Q845" i="2"/>
  <c r="Q806" i="2"/>
  <c r="Q620" i="2"/>
  <c r="Q619" i="2"/>
  <c r="Q617" i="2"/>
  <c r="Q616" i="2"/>
  <c r="Q615" i="2"/>
  <c r="Q614" i="2"/>
  <c r="Q613" i="2"/>
  <c r="Q612" i="2"/>
  <c r="Q611" i="2"/>
  <c r="F62" i="6"/>
  <c r="U310" i="2"/>
  <c r="U294" i="2"/>
  <c r="AA917" i="2" l="1"/>
  <c r="AB917" i="2" s="1"/>
  <c r="Y917" i="2"/>
  <c r="AC917" i="2"/>
  <c r="AD917" i="2" s="1"/>
  <c r="AA926" i="2"/>
  <c r="Z926" i="2"/>
  <c r="AC926" i="2"/>
  <c r="AD926" i="2" s="1"/>
  <c r="Y926" i="2"/>
  <c r="AC925" i="2"/>
  <c r="AD925" i="2" s="1"/>
  <c r="Y925" i="2"/>
  <c r="AA925" i="2"/>
  <c r="Z925" i="2"/>
  <c r="Z924" i="2"/>
  <c r="AA924" i="2"/>
  <c r="Y924" i="2"/>
  <c r="AC924" i="2"/>
  <c r="AD924" i="2" s="1"/>
  <c r="Z923" i="2"/>
  <c r="Y923" i="2"/>
  <c r="AA923" i="2"/>
  <c r="AC923" i="2"/>
  <c r="AD923" i="2" s="1"/>
  <c r="AA922" i="2"/>
  <c r="Y922" i="2"/>
  <c r="AC922" i="2"/>
  <c r="AD922" i="2" s="1"/>
  <c r="Z922" i="2"/>
  <c r="AC921" i="2"/>
  <c r="AD921" i="2" s="1"/>
  <c r="Z921" i="2"/>
  <c r="Y921" i="2"/>
  <c r="AA921" i="2"/>
  <c r="Y920" i="2"/>
  <c r="Z920" i="2"/>
  <c r="AC920" i="2"/>
  <c r="AD920" i="2" s="1"/>
  <c r="AA920" i="2"/>
  <c r="Z919" i="2"/>
  <c r="Y919" i="2"/>
  <c r="AC919" i="2"/>
  <c r="AD919" i="2" s="1"/>
  <c r="AA919" i="2"/>
  <c r="AC918" i="2"/>
  <c r="AD918" i="2" s="1"/>
  <c r="AA918" i="2"/>
  <c r="Y918" i="2"/>
  <c r="Z918" i="2"/>
  <c r="Y916" i="2"/>
  <c r="AC916" i="2"/>
  <c r="AD916" i="2" s="1"/>
  <c r="Z916" i="2"/>
  <c r="AA916" i="2"/>
  <c r="S95" i="2"/>
  <c r="S96" i="2" s="1"/>
  <c r="S97" i="2" s="1"/>
  <c r="S98" i="2" s="1"/>
  <c r="S99" i="2" s="1"/>
  <c r="S100" i="2" s="1"/>
  <c r="S101" i="2" s="1"/>
  <c r="S102" i="2" s="1"/>
  <c r="S103" i="2" s="1"/>
  <c r="S104" i="2" s="1"/>
  <c r="S105" i="2" s="1"/>
  <c r="S106" i="2" s="1"/>
  <c r="S107" i="2" s="1"/>
  <c r="S108" i="2" s="1"/>
  <c r="S109" i="2" s="1"/>
  <c r="S110" i="2" s="1"/>
  <c r="S111" i="2" s="1"/>
  <c r="S112" i="2" s="1"/>
  <c r="S113" i="2" s="1"/>
  <c r="S114" i="2" s="1"/>
  <c r="S115" i="2" s="1"/>
  <c r="S116" i="2" s="1"/>
  <c r="S117" i="2" s="1"/>
  <c r="S118" i="2" s="1"/>
  <c r="S119" i="2" s="1"/>
  <c r="S120" i="2" s="1"/>
  <c r="Q55" i="2"/>
  <c r="Q56" i="2" s="1"/>
  <c r="Q57" i="2" s="1"/>
  <c r="Q58" i="2" s="1"/>
  <c r="Q59" i="2" s="1"/>
  <c r="Q60" i="2" s="1"/>
  <c r="Q61" i="2" s="1"/>
  <c r="Q95" i="2"/>
  <c r="Q96" i="2" s="1"/>
  <c r="Q97" i="2" s="1"/>
  <c r="Q98" i="2" s="1"/>
  <c r="Q99" i="2" s="1"/>
  <c r="Q100" i="2" s="1"/>
  <c r="Q101" i="2" s="1"/>
  <c r="Q102" i="2" s="1"/>
  <c r="Q103" i="2" s="1"/>
  <c r="Q104" i="2" s="1"/>
  <c r="Q105" i="2" s="1"/>
  <c r="Q106" i="2" s="1"/>
  <c r="Q107" i="2" s="1"/>
  <c r="Q108" i="2" s="1"/>
  <c r="Q109" i="2" s="1"/>
  <c r="Q110" i="2" s="1"/>
  <c r="Q111" i="2" s="1"/>
  <c r="Q112" i="2" s="1"/>
  <c r="Q113" i="2" s="1"/>
  <c r="Q114" i="2" s="1"/>
  <c r="Q115" i="2" s="1"/>
  <c r="Q116" i="2" s="1"/>
  <c r="Q117" i="2" s="1"/>
  <c r="Q118" i="2" s="1"/>
  <c r="Q119" i="2" s="1"/>
  <c r="Q120" i="2" s="1"/>
  <c r="Q121" i="2" s="1"/>
  <c r="Q122" i="2" s="1"/>
  <c r="Q123" i="2" s="1"/>
  <c r="Q124" i="2" s="1"/>
  <c r="Q125" i="2" s="1"/>
  <c r="Q126" i="2" s="1"/>
  <c r="Q127" i="2" s="1"/>
  <c r="Q128" i="2" s="1"/>
  <c r="Q129" i="2" s="1"/>
  <c r="Q130" i="2" s="1"/>
  <c r="Q87" i="2"/>
  <c r="T25" i="2"/>
  <c r="Q47" i="2"/>
  <c r="Q46" i="2"/>
  <c r="Q45" i="2"/>
  <c r="Q44" i="2"/>
  <c r="Q43" i="2"/>
  <c r="Q42" i="2"/>
  <c r="Q41" i="2"/>
  <c r="Q40" i="2"/>
  <c r="Q39" i="2"/>
  <c r="Q38" i="2"/>
  <c r="Q37" i="2"/>
  <c r="Q36" i="2"/>
  <c r="Q35" i="2"/>
  <c r="Q34" i="2"/>
  <c r="Q33" i="2"/>
  <c r="Q32" i="2"/>
  <c r="Q31" i="2"/>
  <c r="Q30" i="2"/>
  <c r="Q29" i="2"/>
  <c r="Q28" i="2"/>
  <c r="AE917" i="2" l="1"/>
  <c r="AF917" i="2" s="1"/>
  <c r="AB926" i="2"/>
  <c r="AE926" i="2"/>
  <c r="AF926" i="2" s="1"/>
  <c r="AB925" i="2"/>
  <c r="AE925" i="2"/>
  <c r="AF925" i="2" s="1"/>
  <c r="AB924" i="2"/>
  <c r="AE924" i="2"/>
  <c r="AF924" i="2" s="1"/>
  <c r="AB923" i="2"/>
  <c r="AE923" i="2"/>
  <c r="AF923" i="2" s="1"/>
  <c r="AB922" i="2"/>
  <c r="AE922" i="2"/>
  <c r="AF922" i="2" s="1"/>
  <c r="AB921" i="2"/>
  <c r="AE921" i="2"/>
  <c r="AF921" i="2" s="1"/>
  <c r="AB920" i="2"/>
  <c r="AE920" i="2"/>
  <c r="AF920" i="2" s="1"/>
  <c r="AB919" i="2"/>
  <c r="AE919" i="2"/>
  <c r="AF919" i="2" s="1"/>
  <c r="AB918" i="2"/>
  <c r="AE918" i="2"/>
  <c r="AF918" i="2" s="1"/>
  <c r="AB916" i="2"/>
  <c r="AE916" i="2"/>
  <c r="AF916" i="2" s="1"/>
  <c r="T26" i="2"/>
  <c r="S121" i="2"/>
  <c r="S122" i="2" s="1"/>
  <c r="T27" i="2" l="1"/>
  <c r="S123" i="2"/>
  <c r="T28" i="2" l="1"/>
  <c r="S124" i="2"/>
  <c r="Q272" i="2"/>
  <c r="Q276" i="2"/>
  <c r="Q280" i="2"/>
  <c r="H61"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G3" i="5"/>
  <c r="H3" i="5"/>
  <c r="G4" i="5"/>
  <c r="H4" i="5"/>
  <c r="G5" i="5"/>
  <c r="H5" i="5"/>
  <c r="G6" i="5"/>
  <c r="H6" i="5"/>
  <c r="G7" i="5"/>
  <c r="H7" i="5"/>
  <c r="G8" i="5"/>
  <c r="H8" i="5"/>
  <c r="G9" i="5"/>
  <c r="H9" i="5"/>
  <c r="G10" i="5"/>
  <c r="H10" i="5"/>
  <c r="G11" i="5"/>
  <c r="H11" i="5"/>
  <c r="G12" i="5"/>
  <c r="H12" i="5"/>
  <c r="G13" i="5"/>
  <c r="H13" i="5"/>
  <c r="G14" i="5"/>
  <c r="H14" i="5"/>
  <c r="G15" i="5"/>
  <c r="H15" i="5"/>
  <c r="G16" i="5"/>
  <c r="H16" i="5"/>
  <c r="G17" i="5"/>
  <c r="H17" i="5"/>
  <c r="G18" i="5"/>
  <c r="H18" i="5"/>
  <c r="G19" i="5"/>
  <c r="H19" i="5"/>
  <c r="G20" i="5"/>
  <c r="H20" i="5"/>
  <c r="G21" i="5"/>
  <c r="H21" i="5"/>
  <c r="G22" i="5"/>
  <c r="H22" i="5"/>
  <c r="G23" i="5"/>
  <c r="H23" i="5"/>
  <c r="G24" i="5"/>
  <c r="H24" i="5"/>
  <c r="G25" i="5"/>
  <c r="H25" i="5"/>
  <c r="G26" i="5"/>
  <c r="H26" i="5"/>
  <c r="G27" i="5"/>
  <c r="H27" i="5"/>
  <c r="G28" i="5"/>
  <c r="H28" i="5"/>
  <c r="G29" i="5"/>
  <c r="H29" i="5"/>
  <c r="G30" i="5"/>
  <c r="H30" i="5"/>
  <c r="G31" i="5"/>
  <c r="H31" i="5"/>
  <c r="G32" i="5"/>
  <c r="H32" i="5"/>
  <c r="G33" i="5"/>
  <c r="H33" i="5"/>
  <c r="G34" i="5"/>
  <c r="H34" i="5"/>
  <c r="G35" i="5"/>
  <c r="H35" i="5"/>
  <c r="G36" i="5"/>
  <c r="H36" i="5"/>
  <c r="G37" i="5"/>
  <c r="H37" i="5"/>
  <c r="G38" i="5"/>
  <c r="H38" i="5"/>
  <c r="G39" i="5"/>
  <c r="H39" i="5"/>
  <c r="G40" i="5"/>
  <c r="H40" i="5"/>
  <c r="G41" i="5"/>
  <c r="H41" i="5"/>
  <c r="G42" i="5"/>
  <c r="H42" i="5"/>
  <c r="G43" i="5"/>
  <c r="H43" i="5"/>
  <c r="G44" i="5"/>
  <c r="H44" i="5"/>
  <c r="G45" i="5"/>
  <c r="H45" i="5"/>
  <c r="G46" i="5"/>
  <c r="H46" i="5"/>
  <c r="G47" i="5"/>
  <c r="H47" i="5"/>
  <c r="G48" i="5"/>
  <c r="H48" i="5"/>
  <c r="G49" i="5"/>
  <c r="H49" i="5"/>
  <c r="G50" i="5"/>
  <c r="H50" i="5"/>
  <c r="G51" i="5"/>
  <c r="H51" i="5"/>
  <c r="G52" i="5"/>
  <c r="H52" i="5"/>
  <c r="G53" i="5"/>
  <c r="H53" i="5"/>
  <c r="G54" i="5"/>
  <c r="H54" i="5"/>
  <c r="G55" i="5"/>
  <c r="H55" i="5"/>
  <c r="G56" i="5"/>
  <c r="H56" i="5"/>
  <c r="G57" i="5"/>
  <c r="H57" i="5"/>
  <c r="G58" i="5"/>
  <c r="H58" i="5"/>
  <c r="G59" i="5"/>
  <c r="H59" i="5"/>
  <c r="G60" i="5"/>
  <c r="H60" i="5"/>
  <c r="G61" i="5"/>
  <c r="G62" i="5"/>
  <c r="H62" i="5"/>
  <c r="G63" i="5"/>
  <c r="H63" i="5"/>
  <c r="G64" i="5"/>
  <c r="H64" i="5"/>
  <c r="G65" i="5"/>
  <c r="H65" i="5"/>
  <c r="G66" i="5"/>
  <c r="H66" i="5"/>
  <c r="G67" i="5"/>
  <c r="H67" i="5"/>
  <c r="G68" i="5"/>
  <c r="H68" i="5"/>
  <c r="G69" i="5"/>
  <c r="H69" i="5"/>
  <c r="G70" i="5"/>
  <c r="H70" i="5"/>
  <c r="G71" i="5"/>
  <c r="H71" i="5"/>
  <c r="G72" i="5"/>
  <c r="H72" i="5"/>
  <c r="G73" i="5"/>
  <c r="H73" i="5"/>
  <c r="G74" i="5"/>
  <c r="H74" i="5"/>
  <c r="G75" i="5"/>
  <c r="H75" i="5"/>
  <c r="G76" i="5"/>
  <c r="H76" i="5"/>
  <c r="G77" i="5"/>
  <c r="H77" i="5"/>
  <c r="G78" i="5"/>
  <c r="H78" i="5"/>
  <c r="G79" i="5"/>
  <c r="H79" i="5"/>
  <c r="G80" i="5"/>
  <c r="H80" i="5"/>
  <c r="G81" i="5"/>
  <c r="H81" i="5"/>
  <c r="G82" i="5"/>
  <c r="H82" i="5"/>
  <c r="G83" i="5"/>
  <c r="H83" i="5"/>
  <c r="G84" i="5"/>
  <c r="H84" i="5"/>
  <c r="G85" i="5"/>
  <c r="H85" i="5"/>
  <c r="G86" i="5"/>
  <c r="H86" i="5"/>
  <c r="G87" i="5"/>
  <c r="H87" i="5"/>
  <c r="G88" i="5"/>
  <c r="H88" i="5"/>
  <c r="G89" i="5"/>
  <c r="H89" i="5"/>
  <c r="G90" i="5"/>
  <c r="H90" i="5"/>
  <c r="G91" i="5"/>
  <c r="H91" i="5"/>
  <c r="G92" i="5"/>
  <c r="H92" i="5"/>
  <c r="G93" i="5"/>
  <c r="H93" i="5"/>
  <c r="G94" i="5"/>
  <c r="H94" i="5"/>
  <c r="G95" i="5"/>
  <c r="H95" i="5"/>
  <c r="G96" i="5"/>
  <c r="H96" i="5"/>
  <c r="G97" i="5"/>
  <c r="H97" i="5"/>
  <c r="G98" i="5"/>
  <c r="H98" i="5"/>
  <c r="G99" i="5"/>
  <c r="H99" i="5"/>
  <c r="H2" i="5"/>
  <c r="G2" i="5"/>
  <c r="E3" i="5"/>
  <c r="F3" i="5"/>
  <c r="E4" i="5"/>
  <c r="F4" i="5"/>
  <c r="E5" i="5"/>
  <c r="F5" i="5"/>
  <c r="E6" i="5"/>
  <c r="F6" i="5"/>
  <c r="E7" i="5"/>
  <c r="F7" i="5"/>
  <c r="E8" i="5"/>
  <c r="F8" i="5"/>
  <c r="E9" i="5"/>
  <c r="F9" i="5"/>
  <c r="E10" i="5"/>
  <c r="F10" i="5"/>
  <c r="E11" i="5"/>
  <c r="F11" i="5"/>
  <c r="E12" i="5"/>
  <c r="F12" i="5"/>
  <c r="E13" i="5"/>
  <c r="F13" i="5"/>
  <c r="E14" i="5"/>
  <c r="F14" i="5"/>
  <c r="E15" i="5"/>
  <c r="F15" i="5"/>
  <c r="E16" i="5"/>
  <c r="F16" i="5"/>
  <c r="E17" i="5"/>
  <c r="F17" i="5"/>
  <c r="E18" i="5"/>
  <c r="F18" i="5"/>
  <c r="E19" i="5"/>
  <c r="F19" i="5"/>
  <c r="E20" i="5"/>
  <c r="F20" i="5"/>
  <c r="E21" i="5"/>
  <c r="F21" i="5"/>
  <c r="E22" i="5"/>
  <c r="F22" i="5"/>
  <c r="E23" i="5"/>
  <c r="F23" i="5"/>
  <c r="E24" i="5"/>
  <c r="F24" i="5"/>
  <c r="E25" i="5"/>
  <c r="F25" i="5"/>
  <c r="E26" i="5"/>
  <c r="F26" i="5"/>
  <c r="E27" i="5"/>
  <c r="F27" i="5"/>
  <c r="E28" i="5"/>
  <c r="F28" i="5"/>
  <c r="E29" i="5"/>
  <c r="F29" i="5"/>
  <c r="E30" i="5"/>
  <c r="F30" i="5"/>
  <c r="E31" i="5"/>
  <c r="F31" i="5"/>
  <c r="E32" i="5"/>
  <c r="F32" i="5"/>
  <c r="E33" i="5"/>
  <c r="F33" i="5"/>
  <c r="E34" i="5"/>
  <c r="F34" i="5"/>
  <c r="E35" i="5"/>
  <c r="F35" i="5"/>
  <c r="E36" i="5"/>
  <c r="F36" i="5"/>
  <c r="E37" i="5"/>
  <c r="F37" i="5"/>
  <c r="E38" i="5"/>
  <c r="F38" i="5"/>
  <c r="E39" i="5"/>
  <c r="F39" i="5"/>
  <c r="E40" i="5"/>
  <c r="F40" i="5"/>
  <c r="E41" i="5"/>
  <c r="F41" i="5"/>
  <c r="E42" i="5"/>
  <c r="F42" i="5"/>
  <c r="E43" i="5"/>
  <c r="F43" i="5"/>
  <c r="E44" i="5"/>
  <c r="F44" i="5"/>
  <c r="E45" i="5"/>
  <c r="F45" i="5"/>
  <c r="E46" i="5"/>
  <c r="F46" i="5"/>
  <c r="E47" i="5"/>
  <c r="F47" i="5"/>
  <c r="E48" i="5"/>
  <c r="F48" i="5"/>
  <c r="E49" i="5"/>
  <c r="F49" i="5"/>
  <c r="E50" i="5"/>
  <c r="F50" i="5"/>
  <c r="E51" i="5"/>
  <c r="F51" i="5"/>
  <c r="E52" i="5"/>
  <c r="F52" i="5"/>
  <c r="E53" i="5"/>
  <c r="F53" i="5"/>
  <c r="E54" i="5"/>
  <c r="F54" i="5"/>
  <c r="E55" i="5"/>
  <c r="F55" i="5"/>
  <c r="E56" i="5"/>
  <c r="F56" i="5"/>
  <c r="E57" i="5"/>
  <c r="F57" i="5"/>
  <c r="E58" i="5"/>
  <c r="F58" i="5"/>
  <c r="E59" i="5"/>
  <c r="F59" i="5"/>
  <c r="E60" i="5"/>
  <c r="F60" i="5"/>
  <c r="E61" i="5"/>
  <c r="F61" i="5"/>
  <c r="E62" i="5"/>
  <c r="F62" i="5"/>
  <c r="E63" i="5"/>
  <c r="F63" i="5"/>
  <c r="E64" i="5"/>
  <c r="F64" i="5"/>
  <c r="E65" i="5"/>
  <c r="F65" i="5"/>
  <c r="E66" i="5"/>
  <c r="F66" i="5"/>
  <c r="E67" i="5"/>
  <c r="F67" i="5"/>
  <c r="E68" i="5"/>
  <c r="F68" i="5"/>
  <c r="E69" i="5"/>
  <c r="F69" i="5"/>
  <c r="E70" i="5"/>
  <c r="F70" i="5"/>
  <c r="E71" i="5"/>
  <c r="F71" i="5"/>
  <c r="E72" i="5"/>
  <c r="F72" i="5"/>
  <c r="E73" i="5"/>
  <c r="F73" i="5"/>
  <c r="E74" i="5"/>
  <c r="F74" i="5"/>
  <c r="E75" i="5"/>
  <c r="F75" i="5"/>
  <c r="E76" i="5"/>
  <c r="F76" i="5"/>
  <c r="E77" i="5"/>
  <c r="F77" i="5"/>
  <c r="E78" i="5"/>
  <c r="F78" i="5"/>
  <c r="E79" i="5"/>
  <c r="F79" i="5"/>
  <c r="E80" i="5"/>
  <c r="F80" i="5"/>
  <c r="E81" i="5"/>
  <c r="F81" i="5"/>
  <c r="E82" i="5"/>
  <c r="F82" i="5"/>
  <c r="E83" i="5"/>
  <c r="F83" i="5"/>
  <c r="E84" i="5"/>
  <c r="F84" i="5"/>
  <c r="E85" i="5"/>
  <c r="F85" i="5"/>
  <c r="E86" i="5"/>
  <c r="F86" i="5"/>
  <c r="E87" i="5"/>
  <c r="F87" i="5"/>
  <c r="E88" i="5"/>
  <c r="F88" i="5"/>
  <c r="E89" i="5"/>
  <c r="F89" i="5"/>
  <c r="E90" i="5"/>
  <c r="F90" i="5"/>
  <c r="E91" i="5"/>
  <c r="F91" i="5"/>
  <c r="E92" i="5"/>
  <c r="F92" i="5"/>
  <c r="E93" i="5"/>
  <c r="F93" i="5"/>
  <c r="E94" i="5"/>
  <c r="F94" i="5"/>
  <c r="E95" i="5"/>
  <c r="F95" i="5"/>
  <c r="E96" i="5"/>
  <c r="F96" i="5"/>
  <c r="E97" i="5"/>
  <c r="F97" i="5"/>
  <c r="E98" i="5"/>
  <c r="F98" i="5"/>
  <c r="E99" i="5"/>
  <c r="F99" i="5"/>
  <c r="F2" i="5"/>
  <c r="E2" i="5"/>
  <c r="AB2" i="3"/>
  <c r="P2" i="2" s="1"/>
  <c r="AB31" i="3"/>
  <c r="AB38" i="3"/>
  <c r="T29" i="2" l="1"/>
  <c r="S125" i="2"/>
  <c r="Q708" i="2"/>
  <c r="Q668" i="2"/>
  <c r="Q89" i="2"/>
  <c r="Q26" i="2"/>
  <c r="Q739" i="2"/>
  <c r="Q731" i="2"/>
  <c r="Q723" i="2"/>
  <c r="Q715" i="2"/>
  <c r="Q707" i="2"/>
  <c r="Q699" i="2"/>
  <c r="Q691" i="2"/>
  <c r="Q675" i="2"/>
  <c r="Q667" i="2"/>
  <c r="Q659" i="2"/>
  <c r="Q651" i="2"/>
  <c r="Q634" i="2"/>
  <c r="Q626" i="2"/>
  <c r="Q314" i="2"/>
  <c r="Q306" i="2"/>
  <c r="Q88" i="2"/>
  <c r="Q25" i="2"/>
  <c r="Q716" i="2"/>
  <c r="P267" i="2"/>
  <c r="Q738" i="2"/>
  <c r="Q730" i="2"/>
  <c r="Q722" i="2"/>
  <c r="Q714" i="2"/>
  <c r="Q706" i="2"/>
  <c r="Q698" i="2"/>
  <c r="Q690" i="2"/>
  <c r="Q674" i="2"/>
  <c r="Q666" i="2"/>
  <c r="Q658" i="2"/>
  <c r="Q650" i="2"/>
  <c r="Q633" i="2"/>
  <c r="Q625" i="2"/>
  <c r="Q313" i="2"/>
  <c r="Q305" i="2"/>
  <c r="Q86" i="2"/>
  <c r="Q24" i="2"/>
  <c r="Q724" i="2"/>
  <c r="Q652" i="2"/>
  <c r="Q307" i="2"/>
  <c r="Q745" i="2"/>
  <c r="Q737" i="2"/>
  <c r="Q729" i="2"/>
  <c r="Q721" i="2"/>
  <c r="Q713" i="2"/>
  <c r="Q705" i="2"/>
  <c r="Q697" i="2"/>
  <c r="Q689" i="2"/>
  <c r="Q673" i="2"/>
  <c r="Q665" i="2"/>
  <c r="Q657" i="2"/>
  <c r="Q649" i="2"/>
  <c r="Q640" i="2"/>
  <c r="Q632" i="2"/>
  <c r="Q624" i="2"/>
  <c r="Q327" i="2"/>
  <c r="Q312" i="2"/>
  <c r="Q304" i="2"/>
  <c r="Q85" i="2"/>
  <c r="Q700" i="2"/>
  <c r="Q660" i="2"/>
  <c r="Q744" i="2"/>
  <c r="Q736" i="2"/>
  <c r="Q728" i="2"/>
  <c r="Q720" i="2"/>
  <c r="Q712" i="2"/>
  <c r="Q704" i="2"/>
  <c r="Q696" i="2"/>
  <c r="Q688" i="2"/>
  <c r="Q672" i="2"/>
  <c r="Q664" i="2"/>
  <c r="Q656" i="2"/>
  <c r="Q631" i="2"/>
  <c r="Q623" i="2"/>
  <c r="Q326" i="2"/>
  <c r="Q311" i="2"/>
  <c r="Q303" i="2"/>
  <c r="Q93" i="2"/>
  <c r="Q84" i="2"/>
  <c r="Q627" i="2"/>
  <c r="Q743" i="2"/>
  <c r="Q735" i="2"/>
  <c r="Q727" i="2"/>
  <c r="Q719" i="2"/>
  <c r="Q711" i="2"/>
  <c r="Q703" i="2"/>
  <c r="Q695" i="2"/>
  <c r="Q687" i="2"/>
  <c r="Q671" i="2"/>
  <c r="Q663" i="2"/>
  <c r="Q655" i="2"/>
  <c r="Q630" i="2"/>
  <c r="Q622" i="2"/>
  <c r="Q325" i="2"/>
  <c r="Q310" i="2"/>
  <c r="Q302" i="2"/>
  <c r="Q92" i="2"/>
  <c r="Q83" i="2"/>
  <c r="Q732" i="2"/>
  <c r="Q676" i="2"/>
  <c r="Q742" i="2"/>
  <c r="Q734" i="2"/>
  <c r="Q726" i="2"/>
  <c r="Q718" i="2"/>
  <c r="Q710" i="2"/>
  <c r="Q702" i="2"/>
  <c r="Q694" i="2"/>
  <c r="Q678" i="2"/>
  <c r="Q670" i="2"/>
  <c r="Q662" i="2"/>
  <c r="Q654" i="2"/>
  <c r="Q637" i="2"/>
  <c r="Q629" i="2"/>
  <c r="Q621" i="2"/>
  <c r="Q309" i="2"/>
  <c r="Q301" i="2"/>
  <c r="Q91" i="2"/>
  <c r="Q740" i="2"/>
  <c r="Q692" i="2"/>
  <c r="Q635" i="2"/>
  <c r="Q315" i="2"/>
  <c r="Q741" i="2"/>
  <c r="Q733" i="2"/>
  <c r="Q725" i="2"/>
  <c r="Q717" i="2"/>
  <c r="Q709" i="2"/>
  <c r="Q701" i="2"/>
  <c r="Q693" i="2"/>
  <c r="Q677" i="2"/>
  <c r="Q669" i="2"/>
  <c r="Q661" i="2"/>
  <c r="Q653" i="2"/>
  <c r="Q636" i="2"/>
  <c r="Q628" i="2"/>
  <c r="Q618" i="2"/>
  <c r="Q308" i="2"/>
  <c r="Q300" i="2"/>
  <c r="Q268" i="2"/>
  <c r="Q90" i="2"/>
  <c r="Q27" i="2"/>
  <c r="AB81" i="3"/>
  <c r="AB80" i="3"/>
  <c r="AB82" i="3"/>
  <c r="AB83" i="3"/>
  <c r="AB73" i="3"/>
  <c r="AB85" i="3"/>
  <c r="AB86" i="3"/>
  <c r="AB70" i="3"/>
  <c r="AB75" i="3"/>
  <c r="AB69" i="3"/>
  <c r="AB77" i="3"/>
  <c r="AB76" i="3"/>
  <c r="AB74" i="3"/>
  <c r="AB78" i="3"/>
  <c r="AB72" i="3"/>
  <c r="AB60" i="3"/>
  <c r="AB61" i="3"/>
  <c r="AB63" i="3"/>
  <c r="AB62" i="3"/>
  <c r="AB71" i="3"/>
  <c r="AB64" i="3"/>
  <c r="AB65" i="3"/>
  <c r="AB66" i="3"/>
  <c r="AB79" i="3"/>
  <c r="AB67" i="3"/>
  <c r="AB68" i="3"/>
  <c r="AB55" i="3"/>
  <c r="AB54" i="3"/>
  <c r="AB47" i="3"/>
  <c r="AB56" i="3"/>
  <c r="AB57" i="3"/>
  <c r="AB87" i="3"/>
  <c r="AB53" i="3"/>
  <c r="AB88" i="3"/>
  <c r="AB50" i="3"/>
  <c r="AB51" i="3"/>
  <c r="AB46" i="3"/>
  <c r="AB52" i="3"/>
  <c r="AB48" i="3"/>
  <c r="AB49" i="3"/>
  <c r="AB44" i="3"/>
  <c r="AB45" i="3"/>
  <c r="AB89" i="3"/>
  <c r="AB90" i="3"/>
  <c r="AB43" i="3"/>
  <c r="AB58" i="3"/>
  <c r="AB42" i="3"/>
  <c r="AB41" i="3"/>
  <c r="AB91" i="3"/>
  <c r="AB40" i="3"/>
  <c r="AB30" i="3"/>
  <c r="AB39" i="3"/>
  <c r="AB35" i="3"/>
  <c r="AB37" i="3"/>
  <c r="AB36" i="3"/>
  <c r="AB59" i="3"/>
  <c r="AB24" i="3"/>
  <c r="AB25" i="3"/>
  <c r="AB33" i="3"/>
  <c r="AB34" i="3"/>
  <c r="AB92" i="3"/>
  <c r="AB93" i="3"/>
  <c r="AB94" i="3"/>
  <c r="AB32" i="3"/>
  <c r="AB29" i="3"/>
  <c r="AB21" i="3"/>
  <c r="AB28" i="3"/>
  <c r="AB27" i="3"/>
  <c r="AB26" i="3"/>
  <c r="AB22" i="3"/>
  <c r="AB23" i="3"/>
  <c r="AB20" i="3"/>
  <c r="AB11" i="3"/>
  <c r="P74" i="2" s="1"/>
  <c r="AB13" i="3"/>
  <c r="AB16" i="3"/>
  <c r="AB19" i="3"/>
  <c r="AB18" i="3"/>
  <c r="AB17" i="3"/>
  <c r="AB15" i="3"/>
  <c r="AB95" i="3"/>
  <c r="AB14" i="3"/>
  <c r="AB96" i="3"/>
  <c r="AB12" i="3"/>
  <c r="AB10" i="3"/>
  <c r="AB9" i="3"/>
  <c r="AB97" i="3"/>
  <c r="AB8" i="3"/>
  <c r="AB3" i="3"/>
  <c r="AB4" i="3"/>
  <c r="AB98" i="3"/>
  <c r="AB99" i="3"/>
  <c r="AB5" i="3"/>
  <c r="AB7" i="3"/>
  <c r="AB6" i="3"/>
  <c r="AB84" i="3"/>
  <c r="J81" i="3"/>
  <c r="M81" i="3"/>
  <c r="P81" i="3"/>
  <c r="S81" i="3"/>
  <c r="V81" i="3"/>
  <c r="J80" i="3"/>
  <c r="M80" i="3"/>
  <c r="P80" i="3"/>
  <c r="S80" i="3"/>
  <c r="V80" i="3"/>
  <c r="J82" i="3"/>
  <c r="M82" i="3"/>
  <c r="P82" i="3"/>
  <c r="S82" i="3"/>
  <c r="V82" i="3"/>
  <c r="J83" i="3"/>
  <c r="M83" i="3"/>
  <c r="P83" i="3"/>
  <c r="S83" i="3"/>
  <c r="V83" i="3"/>
  <c r="J73" i="3"/>
  <c r="M73" i="3"/>
  <c r="P73" i="3"/>
  <c r="S73" i="3"/>
  <c r="V73" i="3"/>
  <c r="J85" i="3"/>
  <c r="M85" i="3"/>
  <c r="P85" i="3"/>
  <c r="S85" i="3"/>
  <c r="V85" i="3"/>
  <c r="J86" i="3"/>
  <c r="M86" i="3"/>
  <c r="P86" i="3"/>
  <c r="S86" i="3"/>
  <c r="V86" i="3"/>
  <c r="J70" i="3"/>
  <c r="M70" i="3"/>
  <c r="P70" i="3"/>
  <c r="S70" i="3"/>
  <c r="V70" i="3"/>
  <c r="J75" i="3"/>
  <c r="M75" i="3"/>
  <c r="P75" i="3"/>
  <c r="S75" i="3"/>
  <c r="V75" i="3"/>
  <c r="J69" i="3"/>
  <c r="M69" i="3"/>
  <c r="P69" i="3"/>
  <c r="S69" i="3"/>
  <c r="V69" i="3"/>
  <c r="J77" i="3"/>
  <c r="M77" i="3"/>
  <c r="P77" i="3"/>
  <c r="S77" i="3"/>
  <c r="V77" i="3"/>
  <c r="J76" i="3"/>
  <c r="M76" i="3"/>
  <c r="P76" i="3"/>
  <c r="S76" i="3"/>
  <c r="V76" i="3"/>
  <c r="J74" i="3"/>
  <c r="M74" i="3"/>
  <c r="P74" i="3"/>
  <c r="S74" i="3"/>
  <c r="V74" i="3"/>
  <c r="J78" i="3"/>
  <c r="M78" i="3"/>
  <c r="P78" i="3"/>
  <c r="S78" i="3"/>
  <c r="V78" i="3"/>
  <c r="J72" i="3"/>
  <c r="M72" i="3"/>
  <c r="P72" i="3"/>
  <c r="S72" i="3"/>
  <c r="V72" i="3"/>
  <c r="J60" i="3"/>
  <c r="M60" i="3"/>
  <c r="P60" i="3"/>
  <c r="S60" i="3"/>
  <c r="V60" i="3"/>
  <c r="J61" i="3"/>
  <c r="M61" i="3"/>
  <c r="P61" i="3"/>
  <c r="S61" i="3"/>
  <c r="V61" i="3"/>
  <c r="J63" i="3"/>
  <c r="M63" i="3"/>
  <c r="P63" i="3"/>
  <c r="S63" i="3"/>
  <c r="V63" i="3"/>
  <c r="J62" i="3"/>
  <c r="M62" i="3"/>
  <c r="P62" i="3"/>
  <c r="S62" i="3"/>
  <c r="V62" i="3"/>
  <c r="J71" i="3"/>
  <c r="M71" i="3"/>
  <c r="P71" i="3"/>
  <c r="S71" i="3"/>
  <c r="V71" i="3"/>
  <c r="J64" i="3"/>
  <c r="M64" i="3"/>
  <c r="P64" i="3"/>
  <c r="S64" i="3"/>
  <c r="V64" i="3"/>
  <c r="J65" i="3"/>
  <c r="M65" i="3"/>
  <c r="P65" i="3"/>
  <c r="S65" i="3"/>
  <c r="V65" i="3"/>
  <c r="J66" i="3"/>
  <c r="M66" i="3"/>
  <c r="P66" i="3"/>
  <c r="S66" i="3"/>
  <c r="V66" i="3"/>
  <c r="J79" i="3"/>
  <c r="M79" i="3"/>
  <c r="P79" i="3"/>
  <c r="S79" i="3"/>
  <c r="V79" i="3"/>
  <c r="J67" i="3"/>
  <c r="M67" i="3"/>
  <c r="P67" i="3"/>
  <c r="S67" i="3"/>
  <c r="V67" i="3"/>
  <c r="J68" i="3"/>
  <c r="M68" i="3"/>
  <c r="P68" i="3"/>
  <c r="S68" i="3"/>
  <c r="V68" i="3"/>
  <c r="J55" i="3"/>
  <c r="M55" i="3"/>
  <c r="P55" i="3"/>
  <c r="S55" i="3"/>
  <c r="V55" i="3"/>
  <c r="J54" i="3"/>
  <c r="M54" i="3"/>
  <c r="P54" i="3"/>
  <c r="S54" i="3"/>
  <c r="V54" i="3"/>
  <c r="J47" i="3"/>
  <c r="M47" i="3"/>
  <c r="P47" i="3"/>
  <c r="S47" i="3"/>
  <c r="V47" i="3"/>
  <c r="J56" i="3"/>
  <c r="M56" i="3"/>
  <c r="P56" i="3"/>
  <c r="S56" i="3"/>
  <c r="V56" i="3"/>
  <c r="J57" i="3"/>
  <c r="M57" i="3"/>
  <c r="P57" i="3"/>
  <c r="S57" i="3"/>
  <c r="V57" i="3"/>
  <c r="J87" i="3"/>
  <c r="M87" i="3"/>
  <c r="P87" i="3"/>
  <c r="S87" i="3"/>
  <c r="V87" i="3"/>
  <c r="J53" i="3"/>
  <c r="M53" i="3"/>
  <c r="P53" i="3"/>
  <c r="S53" i="3"/>
  <c r="V53" i="3"/>
  <c r="J88" i="3"/>
  <c r="M88" i="3"/>
  <c r="P88" i="3"/>
  <c r="S88" i="3"/>
  <c r="V88" i="3"/>
  <c r="J50" i="3"/>
  <c r="M50" i="3"/>
  <c r="P50" i="3"/>
  <c r="S50" i="3"/>
  <c r="V50" i="3"/>
  <c r="J51" i="3"/>
  <c r="M51" i="3"/>
  <c r="P51" i="3"/>
  <c r="S51" i="3"/>
  <c r="V51" i="3"/>
  <c r="J46" i="3"/>
  <c r="M46" i="3"/>
  <c r="P46" i="3"/>
  <c r="S46" i="3"/>
  <c r="V46" i="3"/>
  <c r="J52" i="3"/>
  <c r="M52" i="3"/>
  <c r="P52" i="3"/>
  <c r="S52" i="3"/>
  <c r="V52" i="3"/>
  <c r="J48" i="3"/>
  <c r="M48" i="3"/>
  <c r="P48" i="3"/>
  <c r="S48" i="3"/>
  <c r="V48" i="3"/>
  <c r="J49" i="3"/>
  <c r="M49" i="3"/>
  <c r="P49" i="3"/>
  <c r="S49" i="3"/>
  <c r="V49" i="3"/>
  <c r="J44" i="3"/>
  <c r="M44" i="3"/>
  <c r="P44" i="3"/>
  <c r="S44" i="3"/>
  <c r="V44" i="3"/>
  <c r="J45" i="3"/>
  <c r="M45" i="3"/>
  <c r="P45" i="3"/>
  <c r="S45" i="3"/>
  <c r="V45" i="3"/>
  <c r="J89" i="3"/>
  <c r="M89" i="3"/>
  <c r="P89" i="3"/>
  <c r="S89" i="3"/>
  <c r="V89" i="3"/>
  <c r="J90" i="3"/>
  <c r="M90" i="3"/>
  <c r="P90" i="3"/>
  <c r="S90" i="3"/>
  <c r="V90" i="3"/>
  <c r="J43" i="3"/>
  <c r="M43" i="3"/>
  <c r="P43" i="3"/>
  <c r="S43" i="3"/>
  <c r="V43" i="3"/>
  <c r="J58" i="3"/>
  <c r="M58" i="3"/>
  <c r="P58" i="3"/>
  <c r="S58" i="3"/>
  <c r="V58" i="3"/>
  <c r="J42" i="3"/>
  <c r="M42" i="3"/>
  <c r="P42" i="3"/>
  <c r="S42" i="3"/>
  <c r="V42" i="3"/>
  <c r="J41" i="3"/>
  <c r="M41" i="3"/>
  <c r="P41" i="3"/>
  <c r="S41" i="3"/>
  <c r="V41" i="3"/>
  <c r="J91" i="3"/>
  <c r="M91" i="3"/>
  <c r="P91" i="3"/>
  <c r="S91" i="3"/>
  <c r="V91" i="3"/>
  <c r="J40" i="3"/>
  <c r="M40" i="3"/>
  <c r="P40" i="3"/>
  <c r="S40" i="3"/>
  <c r="V40" i="3"/>
  <c r="J38" i="3"/>
  <c r="M38" i="3"/>
  <c r="P38" i="3"/>
  <c r="S38" i="3"/>
  <c r="V38" i="3"/>
  <c r="J30" i="3"/>
  <c r="M30" i="3"/>
  <c r="P30" i="3"/>
  <c r="S30" i="3"/>
  <c r="V30" i="3"/>
  <c r="J39" i="3"/>
  <c r="M39" i="3"/>
  <c r="P39" i="3"/>
  <c r="S39" i="3"/>
  <c r="V39" i="3"/>
  <c r="J35" i="3"/>
  <c r="M35" i="3"/>
  <c r="P35" i="3"/>
  <c r="S35" i="3"/>
  <c r="V35" i="3"/>
  <c r="J37" i="3"/>
  <c r="M37" i="3"/>
  <c r="P37" i="3"/>
  <c r="S37" i="3"/>
  <c r="V37" i="3"/>
  <c r="J36" i="3"/>
  <c r="M36" i="3"/>
  <c r="P36" i="3"/>
  <c r="S36" i="3"/>
  <c r="V36" i="3"/>
  <c r="J59" i="3"/>
  <c r="M59" i="3"/>
  <c r="P59" i="3"/>
  <c r="S59" i="3"/>
  <c r="V59" i="3"/>
  <c r="J24" i="3"/>
  <c r="M24" i="3"/>
  <c r="P24" i="3"/>
  <c r="S24" i="3"/>
  <c r="V24" i="3"/>
  <c r="J25" i="3"/>
  <c r="M25" i="3"/>
  <c r="P25" i="3"/>
  <c r="S25" i="3"/>
  <c r="V25" i="3"/>
  <c r="J33" i="3"/>
  <c r="M33" i="3"/>
  <c r="P33" i="3"/>
  <c r="S33" i="3"/>
  <c r="V33" i="3"/>
  <c r="J34" i="3"/>
  <c r="M34" i="3"/>
  <c r="P34" i="3"/>
  <c r="S34" i="3"/>
  <c r="V34" i="3"/>
  <c r="J2" i="3"/>
  <c r="M2" i="3"/>
  <c r="P2" i="3"/>
  <c r="S2" i="3"/>
  <c r="V2" i="3"/>
  <c r="J31" i="3"/>
  <c r="M31" i="3"/>
  <c r="P31" i="3"/>
  <c r="S31" i="3"/>
  <c r="V31" i="3"/>
  <c r="J92" i="3"/>
  <c r="M92" i="3"/>
  <c r="P92" i="3"/>
  <c r="S92" i="3"/>
  <c r="V92" i="3"/>
  <c r="J93" i="3"/>
  <c r="M93" i="3"/>
  <c r="P93" i="3"/>
  <c r="S93" i="3"/>
  <c r="V93" i="3"/>
  <c r="J94" i="3"/>
  <c r="M94" i="3"/>
  <c r="P94" i="3"/>
  <c r="S94" i="3"/>
  <c r="V94" i="3"/>
  <c r="J32" i="3"/>
  <c r="M32" i="3"/>
  <c r="P32" i="3"/>
  <c r="S32" i="3"/>
  <c r="V32" i="3"/>
  <c r="J29" i="3"/>
  <c r="M29" i="3"/>
  <c r="P29" i="3"/>
  <c r="S29" i="3"/>
  <c r="V29" i="3"/>
  <c r="J21" i="3"/>
  <c r="M21" i="3"/>
  <c r="P21" i="3"/>
  <c r="S21" i="3"/>
  <c r="V21" i="3"/>
  <c r="J28" i="3"/>
  <c r="M28" i="3"/>
  <c r="P28" i="3"/>
  <c r="S28" i="3"/>
  <c r="V28" i="3"/>
  <c r="J27" i="3"/>
  <c r="M27" i="3"/>
  <c r="P27" i="3"/>
  <c r="S27" i="3"/>
  <c r="V27" i="3"/>
  <c r="J26" i="3"/>
  <c r="M26" i="3"/>
  <c r="P26" i="3"/>
  <c r="S26" i="3"/>
  <c r="V26" i="3"/>
  <c r="J22" i="3"/>
  <c r="M22" i="3"/>
  <c r="P22" i="3"/>
  <c r="S22" i="3"/>
  <c r="V22" i="3"/>
  <c r="J23" i="3"/>
  <c r="M23" i="3"/>
  <c r="P23" i="3"/>
  <c r="S23" i="3"/>
  <c r="V23" i="3"/>
  <c r="J20" i="3"/>
  <c r="M20" i="3"/>
  <c r="P20" i="3"/>
  <c r="S20" i="3"/>
  <c r="V20" i="3"/>
  <c r="J11" i="3"/>
  <c r="M11" i="3"/>
  <c r="P11" i="3"/>
  <c r="S11" i="3"/>
  <c r="V11" i="3"/>
  <c r="J13" i="3"/>
  <c r="M13" i="3"/>
  <c r="P13" i="3"/>
  <c r="S13" i="3"/>
  <c r="V13" i="3"/>
  <c r="J16" i="3"/>
  <c r="M16" i="3"/>
  <c r="P16" i="3"/>
  <c r="S16" i="3"/>
  <c r="V16" i="3"/>
  <c r="J19" i="3"/>
  <c r="M19" i="3"/>
  <c r="P19" i="3"/>
  <c r="S19" i="3"/>
  <c r="V19" i="3"/>
  <c r="J18" i="3"/>
  <c r="M18" i="3"/>
  <c r="P18" i="3"/>
  <c r="S18" i="3"/>
  <c r="V18" i="3"/>
  <c r="J17" i="3"/>
  <c r="M17" i="3"/>
  <c r="P17" i="3"/>
  <c r="S17" i="3"/>
  <c r="V17" i="3"/>
  <c r="J15" i="3"/>
  <c r="M15" i="3"/>
  <c r="P15" i="3"/>
  <c r="S15" i="3"/>
  <c r="V15" i="3"/>
  <c r="J95" i="3"/>
  <c r="M95" i="3"/>
  <c r="P95" i="3"/>
  <c r="S95" i="3"/>
  <c r="V95" i="3"/>
  <c r="J14" i="3"/>
  <c r="M14" i="3"/>
  <c r="P14" i="3"/>
  <c r="S14" i="3"/>
  <c r="V14" i="3"/>
  <c r="J96" i="3"/>
  <c r="M96" i="3"/>
  <c r="P96" i="3"/>
  <c r="S96" i="3"/>
  <c r="V96" i="3"/>
  <c r="J12" i="3"/>
  <c r="M12" i="3"/>
  <c r="P12" i="3"/>
  <c r="S12" i="3"/>
  <c r="V12" i="3"/>
  <c r="J10" i="3"/>
  <c r="M10" i="3"/>
  <c r="P10" i="3"/>
  <c r="S10" i="3"/>
  <c r="V10" i="3"/>
  <c r="J9" i="3"/>
  <c r="M9" i="3"/>
  <c r="P9" i="3"/>
  <c r="S9" i="3"/>
  <c r="V9" i="3"/>
  <c r="J97" i="3"/>
  <c r="M97" i="3"/>
  <c r="P97" i="3"/>
  <c r="S97" i="3"/>
  <c r="V97" i="3"/>
  <c r="J8" i="3"/>
  <c r="M8" i="3"/>
  <c r="P8" i="3"/>
  <c r="S8" i="3"/>
  <c r="V8" i="3"/>
  <c r="J3" i="3"/>
  <c r="M3" i="3"/>
  <c r="P3" i="3"/>
  <c r="S3" i="3"/>
  <c r="V3" i="3"/>
  <c r="J4" i="3"/>
  <c r="M4" i="3"/>
  <c r="P4" i="3"/>
  <c r="S4" i="3"/>
  <c r="V4" i="3"/>
  <c r="J98" i="3"/>
  <c r="M98" i="3"/>
  <c r="P98" i="3"/>
  <c r="S98" i="3"/>
  <c r="V98" i="3"/>
  <c r="J99" i="3"/>
  <c r="M99" i="3"/>
  <c r="P99" i="3"/>
  <c r="S99" i="3"/>
  <c r="V99" i="3"/>
  <c r="J5" i="3"/>
  <c r="M5" i="3"/>
  <c r="P5" i="3"/>
  <c r="S5" i="3"/>
  <c r="V5" i="3"/>
  <c r="J7" i="3"/>
  <c r="M7" i="3"/>
  <c r="P7" i="3"/>
  <c r="S7" i="3"/>
  <c r="V7" i="3"/>
  <c r="J6" i="3"/>
  <c r="M6" i="3"/>
  <c r="P6" i="3"/>
  <c r="S6" i="3"/>
  <c r="V6" i="3"/>
  <c r="V84" i="3"/>
  <c r="S84" i="3"/>
  <c r="P84" i="3"/>
  <c r="M84" i="3"/>
  <c r="J84" i="3"/>
  <c r="W87" i="3"/>
  <c r="X87" i="3"/>
  <c r="W53" i="3"/>
  <c r="X53" i="3"/>
  <c r="W88" i="3"/>
  <c r="X88" i="3"/>
  <c r="W50" i="3"/>
  <c r="X50" i="3"/>
  <c r="W51" i="3"/>
  <c r="X51" i="3"/>
  <c r="W46" i="3"/>
  <c r="X46" i="3"/>
  <c r="W52" i="3"/>
  <c r="X52" i="3"/>
  <c r="W48" i="3"/>
  <c r="X48" i="3"/>
  <c r="W49" i="3"/>
  <c r="X49" i="3"/>
  <c r="W44" i="3"/>
  <c r="X44" i="3"/>
  <c r="W45" i="3"/>
  <c r="X45" i="3"/>
  <c r="W89" i="3"/>
  <c r="X89" i="3"/>
  <c r="W90" i="3"/>
  <c r="X90" i="3"/>
  <c r="W43" i="3"/>
  <c r="X43" i="3"/>
  <c r="W58" i="3"/>
  <c r="X58" i="3"/>
  <c r="W42" i="3"/>
  <c r="X42" i="3"/>
  <c r="W41" i="3"/>
  <c r="X41" i="3"/>
  <c r="W91" i="3"/>
  <c r="X91" i="3"/>
  <c r="W40" i="3"/>
  <c r="X40" i="3"/>
  <c r="W38" i="3"/>
  <c r="X38" i="3"/>
  <c r="W30" i="3"/>
  <c r="X30" i="3"/>
  <c r="W39" i="3"/>
  <c r="X39" i="3"/>
  <c r="W35" i="3"/>
  <c r="X35" i="3"/>
  <c r="W37" i="3"/>
  <c r="X37" i="3"/>
  <c r="W36" i="3"/>
  <c r="X36" i="3"/>
  <c r="W59" i="3"/>
  <c r="X59" i="3"/>
  <c r="W24" i="3"/>
  <c r="X24" i="3"/>
  <c r="W25" i="3"/>
  <c r="X25" i="3"/>
  <c r="W33" i="3"/>
  <c r="X33" i="3"/>
  <c r="W34" i="3"/>
  <c r="X34" i="3"/>
  <c r="W2" i="3"/>
  <c r="X2" i="3"/>
  <c r="W31" i="3"/>
  <c r="X31" i="3"/>
  <c r="W92" i="3"/>
  <c r="X92" i="3"/>
  <c r="W93" i="3"/>
  <c r="X93" i="3"/>
  <c r="W94" i="3"/>
  <c r="X94" i="3"/>
  <c r="W32" i="3"/>
  <c r="X32" i="3"/>
  <c r="W29" i="3"/>
  <c r="X29" i="3"/>
  <c r="W21" i="3"/>
  <c r="X21" i="3"/>
  <c r="W28" i="3"/>
  <c r="X28" i="3"/>
  <c r="W27" i="3"/>
  <c r="X27" i="3"/>
  <c r="W26" i="3"/>
  <c r="X26" i="3"/>
  <c r="W22" i="3"/>
  <c r="X22" i="3"/>
  <c r="W23" i="3"/>
  <c r="X23" i="3"/>
  <c r="W20" i="3"/>
  <c r="X20" i="3"/>
  <c r="W11" i="3"/>
  <c r="X11" i="3"/>
  <c r="W13" i="3"/>
  <c r="X13" i="3"/>
  <c r="W16" i="3"/>
  <c r="X16" i="3"/>
  <c r="W19" i="3"/>
  <c r="X19" i="3"/>
  <c r="W18" i="3"/>
  <c r="X18" i="3"/>
  <c r="W17" i="3"/>
  <c r="X17" i="3"/>
  <c r="W15" i="3"/>
  <c r="X15" i="3"/>
  <c r="W95" i="3"/>
  <c r="X95" i="3"/>
  <c r="W14" i="3"/>
  <c r="X14" i="3"/>
  <c r="W96" i="3"/>
  <c r="X96" i="3"/>
  <c r="W12" i="3"/>
  <c r="X12" i="3"/>
  <c r="W10" i="3"/>
  <c r="X10" i="3"/>
  <c r="W9" i="3"/>
  <c r="X9" i="3"/>
  <c r="W97" i="3"/>
  <c r="X97" i="3"/>
  <c r="W8" i="3"/>
  <c r="X8" i="3"/>
  <c r="W3" i="3"/>
  <c r="X3" i="3"/>
  <c r="W4" i="3"/>
  <c r="X4" i="3"/>
  <c r="W98" i="3"/>
  <c r="X98" i="3"/>
  <c r="W99" i="3"/>
  <c r="X99" i="3"/>
  <c r="W5" i="3"/>
  <c r="X5" i="3"/>
  <c r="W7" i="3"/>
  <c r="X7" i="3"/>
  <c r="W6" i="3"/>
  <c r="X6" i="3"/>
  <c r="W81" i="3"/>
  <c r="X81" i="3"/>
  <c r="W80" i="3"/>
  <c r="X80" i="3"/>
  <c r="W82" i="3"/>
  <c r="X82" i="3"/>
  <c r="W83" i="3"/>
  <c r="X83" i="3"/>
  <c r="W73" i="3"/>
  <c r="X73" i="3"/>
  <c r="W85" i="3"/>
  <c r="X85" i="3"/>
  <c r="W86" i="3"/>
  <c r="X86" i="3"/>
  <c r="W70" i="3"/>
  <c r="X70" i="3"/>
  <c r="W75" i="3"/>
  <c r="X75" i="3"/>
  <c r="W69" i="3"/>
  <c r="X69" i="3"/>
  <c r="W77" i="3"/>
  <c r="X77" i="3"/>
  <c r="W76" i="3"/>
  <c r="X76" i="3"/>
  <c r="W74" i="3"/>
  <c r="X74" i="3"/>
  <c r="W78" i="3"/>
  <c r="X78" i="3"/>
  <c r="W72" i="3"/>
  <c r="X72" i="3"/>
  <c r="W60" i="3"/>
  <c r="X60" i="3"/>
  <c r="W61" i="3"/>
  <c r="X61" i="3"/>
  <c r="W63" i="3"/>
  <c r="X63" i="3"/>
  <c r="W62" i="3"/>
  <c r="X62" i="3"/>
  <c r="W71" i="3"/>
  <c r="X71" i="3"/>
  <c r="W64" i="3"/>
  <c r="X64" i="3"/>
  <c r="W65" i="3"/>
  <c r="X65" i="3"/>
  <c r="W66" i="3"/>
  <c r="X66" i="3"/>
  <c r="W79" i="3"/>
  <c r="X79" i="3"/>
  <c r="W67" i="3"/>
  <c r="X67" i="3"/>
  <c r="W68" i="3"/>
  <c r="X68" i="3"/>
  <c r="W55" i="3"/>
  <c r="X55" i="3"/>
  <c r="W54" i="3"/>
  <c r="X54" i="3"/>
  <c r="W47" i="3"/>
  <c r="X47" i="3"/>
  <c r="W56" i="3"/>
  <c r="X56" i="3"/>
  <c r="W57" i="3"/>
  <c r="X57" i="3"/>
  <c r="W84" i="3"/>
  <c r="X84" i="3"/>
  <c r="G81" i="3"/>
  <c r="G80" i="3"/>
  <c r="G82" i="3"/>
  <c r="G83" i="3"/>
  <c r="G73" i="3"/>
  <c r="G85" i="3"/>
  <c r="G86" i="3"/>
  <c r="G70" i="3"/>
  <c r="G75" i="3"/>
  <c r="G69" i="3"/>
  <c r="G77" i="3"/>
  <c r="G76" i="3"/>
  <c r="G74" i="3"/>
  <c r="G78" i="3"/>
  <c r="G72" i="3"/>
  <c r="G60" i="3"/>
  <c r="G61" i="3"/>
  <c r="G63" i="3"/>
  <c r="G62" i="3"/>
  <c r="G71" i="3"/>
  <c r="G64" i="3"/>
  <c r="G65" i="3"/>
  <c r="G66" i="3"/>
  <c r="G79" i="3"/>
  <c r="G67" i="3"/>
  <c r="G68" i="3"/>
  <c r="G55" i="3"/>
  <c r="G54" i="3"/>
  <c r="G47" i="3"/>
  <c r="G56" i="3"/>
  <c r="G57" i="3"/>
  <c r="G87" i="3"/>
  <c r="G53" i="3"/>
  <c r="G88" i="3"/>
  <c r="G50" i="3"/>
  <c r="G51" i="3"/>
  <c r="G46" i="3"/>
  <c r="G52" i="3"/>
  <c r="G48" i="3"/>
  <c r="G49" i="3"/>
  <c r="G44" i="3"/>
  <c r="G45" i="3"/>
  <c r="G89" i="3"/>
  <c r="G90" i="3"/>
  <c r="G43" i="3"/>
  <c r="G58" i="3"/>
  <c r="G42" i="3"/>
  <c r="G41" i="3"/>
  <c r="G91" i="3"/>
  <c r="G40" i="3"/>
  <c r="G38" i="3"/>
  <c r="G30" i="3"/>
  <c r="G39" i="3"/>
  <c r="G35" i="3"/>
  <c r="G37" i="3"/>
  <c r="G36" i="3"/>
  <c r="G59" i="3"/>
  <c r="G24" i="3"/>
  <c r="G25" i="3"/>
  <c r="G33" i="3"/>
  <c r="G34" i="3"/>
  <c r="G2" i="3"/>
  <c r="G31" i="3"/>
  <c r="G92" i="3"/>
  <c r="G93" i="3"/>
  <c r="G94" i="3"/>
  <c r="G32" i="3"/>
  <c r="G29" i="3"/>
  <c r="G21" i="3"/>
  <c r="G28" i="3"/>
  <c r="G27" i="3"/>
  <c r="G26" i="3"/>
  <c r="G22" i="3"/>
  <c r="G23" i="3"/>
  <c r="G20" i="3"/>
  <c r="G11" i="3"/>
  <c r="G13" i="3"/>
  <c r="G16" i="3"/>
  <c r="G19" i="3"/>
  <c r="G18" i="3"/>
  <c r="G17" i="3"/>
  <c r="G15" i="3"/>
  <c r="G95" i="3"/>
  <c r="G14" i="3"/>
  <c r="G96" i="3"/>
  <c r="G12" i="3"/>
  <c r="G10" i="3"/>
  <c r="G9" i="3"/>
  <c r="G97" i="3"/>
  <c r="G8" i="3"/>
  <c r="G3" i="3"/>
  <c r="G4" i="3"/>
  <c r="G98" i="3"/>
  <c r="G99" i="3"/>
  <c r="G5" i="3"/>
  <c r="G7" i="3"/>
  <c r="G6" i="3"/>
  <c r="G84" i="3"/>
  <c r="W127" i="2" l="1"/>
  <c r="W125" i="2"/>
  <c r="W126" i="2"/>
  <c r="W2" i="2"/>
  <c r="P55" i="2"/>
  <c r="P56" i="2"/>
  <c r="P57" i="2"/>
  <c r="P58" i="2"/>
  <c r="P59" i="2"/>
  <c r="P60" i="2"/>
  <c r="P61" i="2"/>
  <c r="P54" i="2"/>
  <c r="P96" i="2"/>
  <c r="P104" i="2"/>
  <c r="P112" i="2"/>
  <c r="P120" i="2"/>
  <c r="P128" i="2"/>
  <c r="P97" i="2"/>
  <c r="P105" i="2"/>
  <c r="P113" i="2"/>
  <c r="P121" i="2"/>
  <c r="P129" i="2"/>
  <c r="P98" i="2"/>
  <c r="P106" i="2"/>
  <c r="P114" i="2"/>
  <c r="P122" i="2"/>
  <c r="P130" i="2"/>
  <c r="P99" i="2"/>
  <c r="P107" i="2"/>
  <c r="P115" i="2"/>
  <c r="P123" i="2"/>
  <c r="P100" i="2"/>
  <c r="P108" i="2"/>
  <c r="P116" i="2"/>
  <c r="P124" i="2"/>
  <c r="P101" i="2"/>
  <c r="P109" i="2"/>
  <c r="P117" i="2"/>
  <c r="P125" i="2"/>
  <c r="P94" i="2"/>
  <c r="P102" i="2"/>
  <c r="P110" i="2"/>
  <c r="P118" i="2"/>
  <c r="P126" i="2"/>
  <c r="P95" i="2"/>
  <c r="P103" i="2"/>
  <c r="P111" i="2"/>
  <c r="P119" i="2"/>
  <c r="P127" i="2"/>
  <c r="P171" i="2"/>
  <c r="P170" i="2"/>
  <c r="P168" i="2"/>
  <c r="P169" i="2"/>
  <c r="P172" i="2"/>
  <c r="P256" i="2"/>
  <c r="P255" i="2"/>
  <c r="P310" i="2"/>
  <c r="P303" i="2"/>
  <c r="P314" i="2"/>
  <c r="P307" i="2"/>
  <c r="P381" i="2"/>
  <c r="P382" i="2"/>
  <c r="P375" i="2"/>
  <c r="P383" i="2"/>
  <c r="P376" i="2"/>
  <c r="P384" i="2"/>
  <c r="P377" i="2"/>
  <c r="P385" i="2"/>
  <c r="P378" i="2"/>
  <c r="P379" i="2"/>
  <c r="P380" i="2"/>
  <c r="P501" i="2"/>
  <c r="P509" i="2"/>
  <c r="P517" i="2"/>
  <c r="P525" i="2"/>
  <c r="P533" i="2"/>
  <c r="P541" i="2"/>
  <c r="P549" i="2"/>
  <c r="P502" i="2"/>
  <c r="P510" i="2"/>
  <c r="P518" i="2"/>
  <c r="P526" i="2"/>
  <c r="P534" i="2"/>
  <c r="P542" i="2"/>
  <c r="P550" i="2"/>
  <c r="P503" i="2"/>
  <c r="P511" i="2"/>
  <c r="P519" i="2"/>
  <c r="P527" i="2"/>
  <c r="P535" i="2"/>
  <c r="P543" i="2"/>
  <c r="P504" i="2"/>
  <c r="P512" i="2"/>
  <c r="P520" i="2"/>
  <c r="P528" i="2"/>
  <c r="P536" i="2"/>
  <c r="P544" i="2"/>
  <c r="P505" i="2"/>
  <c r="P513" i="2"/>
  <c r="P521" i="2"/>
  <c r="P529" i="2"/>
  <c r="P537" i="2"/>
  <c r="P545" i="2"/>
  <c r="P506" i="2"/>
  <c r="P514" i="2"/>
  <c r="P522" i="2"/>
  <c r="P530" i="2"/>
  <c r="P538" i="2"/>
  <c r="P546" i="2"/>
  <c r="P507" i="2"/>
  <c r="P515" i="2"/>
  <c r="P523" i="2"/>
  <c r="P531" i="2"/>
  <c r="P539" i="2"/>
  <c r="P547" i="2"/>
  <c r="P500" i="2"/>
  <c r="P508" i="2"/>
  <c r="P516" i="2"/>
  <c r="P524" i="2"/>
  <c r="P532" i="2"/>
  <c r="P540" i="2"/>
  <c r="P548" i="2"/>
  <c r="P685" i="2"/>
  <c r="P684" i="2"/>
  <c r="P791" i="2"/>
  <c r="P794" i="2"/>
  <c r="P786" i="2"/>
  <c r="P789" i="2"/>
  <c r="P792" i="2"/>
  <c r="P784" i="2"/>
  <c r="P787" i="2"/>
  <c r="P793" i="2"/>
  <c r="P790" i="2"/>
  <c r="P785" i="2"/>
  <c r="P788" i="2"/>
  <c r="P311" i="2"/>
  <c r="W267" i="2"/>
  <c r="X267" i="2"/>
  <c r="P40" i="2"/>
  <c r="P32" i="2"/>
  <c r="P43" i="2"/>
  <c r="P35" i="2"/>
  <c r="P46" i="2"/>
  <c r="P38" i="2"/>
  <c r="P30" i="2"/>
  <c r="P41" i="2"/>
  <c r="P33" i="2"/>
  <c r="P44" i="2"/>
  <c r="P36" i="2"/>
  <c r="P28" i="2"/>
  <c r="P47" i="2"/>
  <c r="P39" i="2"/>
  <c r="P31" i="2"/>
  <c r="P42" i="2"/>
  <c r="P34" i="2"/>
  <c r="P45" i="2"/>
  <c r="P37" i="2"/>
  <c r="P29" i="2"/>
  <c r="P26" i="2"/>
  <c r="P27" i="2"/>
  <c r="P22" i="2"/>
  <c r="P23" i="2"/>
  <c r="P24" i="2"/>
  <c r="P137" i="2"/>
  <c r="P138" i="2"/>
  <c r="P166" i="2"/>
  <c r="P167" i="2"/>
  <c r="P165" i="2"/>
  <c r="P155" i="2"/>
  <c r="P163" i="2"/>
  <c r="P156" i="2"/>
  <c r="P164" i="2"/>
  <c r="P157" i="2"/>
  <c r="P158" i="2"/>
  <c r="P159" i="2"/>
  <c r="P160" i="2"/>
  <c r="P161" i="2"/>
  <c r="P162" i="2"/>
  <c r="P266" i="2"/>
  <c r="P261" i="2"/>
  <c r="P264" i="2"/>
  <c r="P257" i="2"/>
  <c r="P259" i="2"/>
  <c r="P262" i="2"/>
  <c r="P265" i="2"/>
  <c r="P260" i="2"/>
  <c r="P263" i="2"/>
  <c r="P258" i="2"/>
  <c r="P557" i="2"/>
  <c r="P565" i="2"/>
  <c r="P573" i="2"/>
  <c r="P581" i="2"/>
  <c r="P558" i="2"/>
  <c r="P566" i="2"/>
  <c r="P574" i="2"/>
  <c r="P582" i="2"/>
  <c r="P551" i="2"/>
  <c r="P559" i="2"/>
  <c r="P567" i="2"/>
  <c r="P575" i="2"/>
  <c r="P552" i="2"/>
  <c r="P560" i="2"/>
  <c r="P568" i="2"/>
  <c r="P576" i="2"/>
  <c r="P553" i="2"/>
  <c r="P561" i="2"/>
  <c r="P569" i="2"/>
  <c r="P577" i="2"/>
  <c r="P554" i="2"/>
  <c r="P562" i="2"/>
  <c r="P570" i="2"/>
  <c r="P578" i="2"/>
  <c r="P555" i="2"/>
  <c r="P563" i="2"/>
  <c r="P571" i="2"/>
  <c r="P579" i="2"/>
  <c r="P556" i="2"/>
  <c r="P564" i="2"/>
  <c r="P572" i="2"/>
  <c r="P580" i="2"/>
  <c r="P587" i="2"/>
  <c r="P595" i="2"/>
  <c r="P603" i="2"/>
  <c r="P588" i="2"/>
  <c r="P596" i="2"/>
  <c r="P604" i="2"/>
  <c r="P589" i="2"/>
  <c r="P597" i="2"/>
  <c r="P605" i="2"/>
  <c r="P590" i="2"/>
  <c r="P598" i="2"/>
  <c r="P606" i="2"/>
  <c r="P583" i="2"/>
  <c r="P591" i="2"/>
  <c r="P599" i="2"/>
  <c r="P607" i="2"/>
  <c r="P584" i="2"/>
  <c r="P592" i="2"/>
  <c r="P600" i="2"/>
  <c r="P608" i="2"/>
  <c r="P585" i="2"/>
  <c r="P593" i="2"/>
  <c r="P601" i="2"/>
  <c r="P609" i="2"/>
  <c r="P586" i="2"/>
  <c r="P594" i="2"/>
  <c r="P602" i="2"/>
  <c r="P610" i="2"/>
  <c r="P405" i="2"/>
  <c r="P406" i="2"/>
  <c r="P399" i="2"/>
  <c r="P407" i="2"/>
  <c r="P400" i="2"/>
  <c r="P408" i="2"/>
  <c r="P401" i="2"/>
  <c r="P409" i="2"/>
  <c r="P402" i="2"/>
  <c r="P410" i="2"/>
  <c r="P403" i="2"/>
  <c r="P404" i="2"/>
  <c r="P453" i="2"/>
  <c r="P461" i="2"/>
  <c r="P469" i="2"/>
  <c r="P477" i="2"/>
  <c r="P485" i="2"/>
  <c r="P493" i="2"/>
  <c r="P454" i="2"/>
  <c r="P462" i="2"/>
  <c r="P470" i="2"/>
  <c r="P478" i="2"/>
  <c r="P486" i="2"/>
  <c r="P494" i="2"/>
  <c r="P455" i="2"/>
  <c r="P463" i="2"/>
  <c r="P471" i="2"/>
  <c r="P479" i="2"/>
  <c r="P487" i="2"/>
  <c r="P495" i="2"/>
  <c r="P456" i="2"/>
  <c r="P464" i="2"/>
  <c r="P472" i="2"/>
  <c r="P480" i="2"/>
  <c r="P488" i="2"/>
  <c r="P496" i="2"/>
  <c r="P457" i="2"/>
  <c r="P465" i="2"/>
  <c r="P473" i="2"/>
  <c r="P481" i="2"/>
  <c r="P489" i="2"/>
  <c r="P497" i="2"/>
  <c r="P458" i="2"/>
  <c r="P466" i="2"/>
  <c r="P474" i="2"/>
  <c r="P482" i="2"/>
  <c r="P490" i="2"/>
  <c r="P498" i="2"/>
  <c r="P459" i="2"/>
  <c r="P467" i="2"/>
  <c r="P475" i="2"/>
  <c r="P483" i="2"/>
  <c r="P491" i="2"/>
  <c r="P499" i="2"/>
  <c r="P452" i="2"/>
  <c r="P460" i="2"/>
  <c r="P468" i="2"/>
  <c r="P476" i="2"/>
  <c r="P484" i="2"/>
  <c r="P492" i="2"/>
  <c r="P679" i="2"/>
  <c r="P680" i="2"/>
  <c r="P681" i="2"/>
  <c r="P682" i="2"/>
  <c r="P683" i="2"/>
  <c r="P855" i="2"/>
  <c r="P847" i="2"/>
  <c r="P850" i="2"/>
  <c r="P853" i="2"/>
  <c r="P845" i="2"/>
  <c r="P856" i="2"/>
  <c r="P848" i="2"/>
  <c r="P851" i="2"/>
  <c r="P854" i="2"/>
  <c r="P846" i="2"/>
  <c r="P849" i="2"/>
  <c r="P852" i="2"/>
  <c r="P315" i="2"/>
  <c r="P302" i="2"/>
  <c r="P305" i="2"/>
  <c r="W268" i="2"/>
  <c r="X268" i="2"/>
  <c r="P53" i="2"/>
  <c r="P52" i="2"/>
  <c r="P48" i="2"/>
  <c r="P49" i="2"/>
  <c r="P50" i="2"/>
  <c r="P51" i="2"/>
  <c r="P63" i="2"/>
  <c r="P64" i="2"/>
  <c r="P65" i="2"/>
  <c r="P66" i="2"/>
  <c r="P67" i="2"/>
  <c r="P62" i="2"/>
  <c r="P139" i="2"/>
  <c r="P140" i="2"/>
  <c r="P141" i="2"/>
  <c r="P180" i="2"/>
  <c r="P179" i="2"/>
  <c r="P181" i="2"/>
  <c r="P254" i="2"/>
  <c r="P253" i="2"/>
  <c r="P317" i="2"/>
  <c r="P318" i="2"/>
  <c r="P326" i="2"/>
  <c r="P319" i="2"/>
  <c r="P327" i="2"/>
  <c r="P320" i="2"/>
  <c r="P321" i="2"/>
  <c r="P322" i="2"/>
  <c r="P323" i="2"/>
  <c r="P316" i="2"/>
  <c r="P324" i="2"/>
  <c r="P343" i="2"/>
  <c r="P344" i="2"/>
  <c r="P345" i="2"/>
  <c r="P346" i="2"/>
  <c r="P347" i="2"/>
  <c r="P349" i="2"/>
  <c r="P357" i="2"/>
  <c r="P365" i="2"/>
  <c r="P373" i="2"/>
  <c r="P350" i="2"/>
  <c r="P358" i="2"/>
  <c r="P366" i="2"/>
  <c r="P374" i="2"/>
  <c r="P351" i="2"/>
  <c r="P359" i="2"/>
  <c r="P367" i="2"/>
  <c r="P352" i="2"/>
  <c r="P360" i="2"/>
  <c r="P368" i="2"/>
  <c r="P353" i="2"/>
  <c r="P361" i="2"/>
  <c r="P369" i="2"/>
  <c r="P354" i="2"/>
  <c r="P362" i="2"/>
  <c r="P370" i="2"/>
  <c r="P355" i="2"/>
  <c r="P363" i="2"/>
  <c r="P371" i="2"/>
  <c r="P348" i="2"/>
  <c r="P356" i="2"/>
  <c r="P364" i="2"/>
  <c r="P372" i="2"/>
  <c r="P669" i="2"/>
  <c r="P677" i="2"/>
  <c r="P670" i="2"/>
  <c r="P678" i="2"/>
  <c r="P672" i="2"/>
  <c r="P675" i="2"/>
  <c r="P676" i="2"/>
  <c r="P803" i="2"/>
  <c r="P804" i="2"/>
  <c r="P799" i="2"/>
  <c r="P802" i="2"/>
  <c r="P797" i="2"/>
  <c r="P800" i="2"/>
  <c r="P795" i="2"/>
  <c r="P798" i="2"/>
  <c r="P801" i="2"/>
  <c r="P796" i="2"/>
  <c r="P304" i="2"/>
  <c r="P313" i="2"/>
  <c r="P25" i="2"/>
  <c r="P21" i="2"/>
  <c r="P20" i="2"/>
  <c r="P15" i="2"/>
  <c r="P16" i="2"/>
  <c r="P17" i="2"/>
  <c r="P18" i="2"/>
  <c r="P19" i="2"/>
  <c r="P14" i="2"/>
  <c r="P71" i="2"/>
  <c r="P72" i="2"/>
  <c r="P73" i="2"/>
  <c r="P68" i="2"/>
  <c r="P69" i="2"/>
  <c r="P70" i="2"/>
  <c r="P145" i="2"/>
  <c r="P144" i="2"/>
  <c r="P142" i="2"/>
  <c r="P143" i="2"/>
  <c r="P187" i="2"/>
  <c r="P188" i="2"/>
  <c r="P189" i="2"/>
  <c r="P182" i="2"/>
  <c r="P190" i="2"/>
  <c r="P183" i="2"/>
  <c r="P191" i="2"/>
  <c r="P184" i="2"/>
  <c r="P185" i="2"/>
  <c r="P186" i="2"/>
  <c r="P251" i="2"/>
  <c r="P252" i="2"/>
  <c r="P397" i="2"/>
  <c r="P398" i="2"/>
  <c r="P395" i="2"/>
  <c r="P396" i="2"/>
  <c r="P440" i="2"/>
  <c r="P441" i="2"/>
  <c r="P442" i="2"/>
  <c r="P443" i="2"/>
  <c r="P783" i="2"/>
  <c r="P780" i="2"/>
  <c r="P781" i="2"/>
  <c r="P777" i="2"/>
  <c r="P779" i="2"/>
  <c r="P782" i="2"/>
  <c r="P778" i="2"/>
  <c r="P831" i="2"/>
  <c r="P832" i="2"/>
  <c r="P914" i="2"/>
  <c r="P915" i="2"/>
  <c r="P312" i="2"/>
  <c r="X47" i="2"/>
  <c r="X39" i="2"/>
  <c r="X31" i="2"/>
  <c r="X42" i="2"/>
  <c r="X34" i="2"/>
  <c r="X45" i="2"/>
  <c r="X37" i="2"/>
  <c r="X29" i="2"/>
  <c r="X40" i="2"/>
  <c r="X32" i="2"/>
  <c r="X43" i="2"/>
  <c r="X35" i="2"/>
  <c r="X46" i="2"/>
  <c r="X38" i="2"/>
  <c r="X30" i="2"/>
  <c r="X41" i="2"/>
  <c r="X33" i="2"/>
  <c r="X44" i="2"/>
  <c r="X36" i="2"/>
  <c r="W74" i="2"/>
  <c r="X74" i="2"/>
  <c r="P79" i="2"/>
  <c r="P80" i="2"/>
  <c r="P81" i="2"/>
  <c r="P82" i="2"/>
  <c r="P75" i="2"/>
  <c r="P76" i="2"/>
  <c r="P77" i="2"/>
  <c r="P78" i="2"/>
  <c r="P136" i="2"/>
  <c r="P131" i="2"/>
  <c r="P132" i="2"/>
  <c r="P133" i="2"/>
  <c r="P134" i="2"/>
  <c r="P135" i="2"/>
  <c r="P203" i="2"/>
  <c r="P195" i="2"/>
  <c r="P206" i="2"/>
  <c r="P198" i="2"/>
  <c r="P201" i="2"/>
  <c r="P204" i="2"/>
  <c r="P196" i="2"/>
  <c r="P199" i="2"/>
  <c r="P202" i="2"/>
  <c r="P205" i="2"/>
  <c r="P197" i="2"/>
  <c r="P200" i="2"/>
  <c r="P192" i="2"/>
  <c r="P193" i="2"/>
  <c r="P194" i="2"/>
  <c r="P240" i="2"/>
  <c r="P242" i="2"/>
  <c r="P250" i="2"/>
  <c r="P243" i="2"/>
  <c r="P244" i="2"/>
  <c r="P245" i="2"/>
  <c r="P246" i="2"/>
  <c r="P247" i="2"/>
  <c r="P248" i="2"/>
  <c r="P241" i="2"/>
  <c r="P249" i="2"/>
  <c r="P216" i="2"/>
  <c r="P224" i="2"/>
  <c r="P232" i="2"/>
  <c r="P217" i="2"/>
  <c r="P225" i="2"/>
  <c r="P233" i="2"/>
  <c r="P218" i="2"/>
  <c r="P226" i="2"/>
  <c r="P234" i="2"/>
  <c r="P211" i="2"/>
  <c r="P219" i="2"/>
  <c r="P227" i="2"/>
  <c r="P235" i="2"/>
  <c r="P212" i="2"/>
  <c r="P220" i="2"/>
  <c r="P228" i="2"/>
  <c r="P236" i="2"/>
  <c r="P213" i="2"/>
  <c r="P221" i="2"/>
  <c r="P229" i="2"/>
  <c r="P214" i="2"/>
  <c r="P222" i="2"/>
  <c r="P230" i="2"/>
  <c r="P215" i="2"/>
  <c r="P223" i="2"/>
  <c r="P231" i="2"/>
  <c r="P391" i="2"/>
  <c r="P392" i="2"/>
  <c r="P393" i="2"/>
  <c r="P394" i="2"/>
  <c r="P445" i="2"/>
  <c r="P446" i="2"/>
  <c r="P447" i="2"/>
  <c r="P448" i="2"/>
  <c r="P449" i="2"/>
  <c r="P450" i="2"/>
  <c r="P451" i="2"/>
  <c r="P444" i="2"/>
  <c r="P645" i="2"/>
  <c r="P653" i="2"/>
  <c r="P646" i="2"/>
  <c r="P654" i="2"/>
  <c r="P647" i="2"/>
  <c r="P648" i="2"/>
  <c r="P656" i="2"/>
  <c r="P649" i="2"/>
  <c r="P642" i="2"/>
  <c r="P650" i="2"/>
  <c r="P643" i="2"/>
  <c r="P651" i="2"/>
  <c r="P644" i="2"/>
  <c r="P652" i="2"/>
  <c r="P839" i="2"/>
  <c r="P842" i="2"/>
  <c r="P834" i="2"/>
  <c r="P837" i="2"/>
  <c r="P840" i="2"/>
  <c r="P843" i="2"/>
  <c r="P835" i="2"/>
  <c r="P838" i="2"/>
  <c r="P841" i="2"/>
  <c r="P833" i="2"/>
  <c r="P844" i="2"/>
  <c r="P836" i="2"/>
  <c r="P913" i="2"/>
  <c r="P908" i="2"/>
  <c r="P911" i="2"/>
  <c r="P909" i="2"/>
  <c r="P912" i="2"/>
  <c r="P910" i="2"/>
  <c r="P300" i="2"/>
  <c r="P325" i="2"/>
  <c r="P655" i="2"/>
  <c r="P674" i="2"/>
  <c r="P306" i="2"/>
  <c r="P87" i="2"/>
  <c r="P83" i="2"/>
  <c r="P84" i="2"/>
  <c r="P85" i="2"/>
  <c r="P86" i="2"/>
  <c r="P153" i="2"/>
  <c r="P154" i="2"/>
  <c r="P178" i="2"/>
  <c r="P177" i="2"/>
  <c r="P176" i="2"/>
  <c r="P269" i="2"/>
  <c r="P277" i="2"/>
  <c r="P270" i="2"/>
  <c r="P278" i="2"/>
  <c r="P271" i="2"/>
  <c r="P279" i="2"/>
  <c r="P272" i="2"/>
  <c r="P280" i="2"/>
  <c r="P273" i="2"/>
  <c r="P281" i="2"/>
  <c r="P274" i="2"/>
  <c r="P282" i="2"/>
  <c r="P275" i="2"/>
  <c r="P283" i="2"/>
  <c r="P276" i="2"/>
  <c r="P341" i="2"/>
  <c r="P334" i="2"/>
  <c r="P342" i="2"/>
  <c r="P335" i="2"/>
  <c r="P336" i="2"/>
  <c r="P337" i="2"/>
  <c r="P338" i="2"/>
  <c r="P339" i="2"/>
  <c r="P340" i="2"/>
  <c r="P748" i="2"/>
  <c r="P746" i="2"/>
  <c r="P747" i="2"/>
  <c r="P661" i="2"/>
  <c r="P662" i="2"/>
  <c r="P664" i="2"/>
  <c r="P657" i="2"/>
  <c r="P665" i="2"/>
  <c r="P658" i="2"/>
  <c r="P666" i="2"/>
  <c r="P659" i="2"/>
  <c r="P667" i="2"/>
  <c r="P660" i="2"/>
  <c r="P668" i="2"/>
  <c r="P750" i="2"/>
  <c r="P758" i="2"/>
  <c r="P766" i="2"/>
  <c r="P751" i="2"/>
  <c r="P759" i="2"/>
  <c r="P767" i="2"/>
  <c r="P752" i="2"/>
  <c r="P760" i="2"/>
  <c r="P768" i="2"/>
  <c r="P753" i="2"/>
  <c r="P761" i="2"/>
  <c r="P769" i="2"/>
  <c r="P754" i="2"/>
  <c r="P762" i="2"/>
  <c r="P770" i="2"/>
  <c r="P755" i="2"/>
  <c r="P763" i="2"/>
  <c r="P771" i="2"/>
  <c r="P756" i="2"/>
  <c r="P764" i="2"/>
  <c r="P772" i="2"/>
  <c r="P749" i="2"/>
  <c r="P757" i="2"/>
  <c r="P765" i="2"/>
  <c r="P773" i="2"/>
  <c r="P881" i="2"/>
  <c r="P873" i="2"/>
  <c r="P865" i="2"/>
  <c r="P876" i="2"/>
  <c r="P868" i="2"/>
  <c r="P879" i="2"/>
  <c r="P871" i="2"/>
  <c r="P863" i="2"/>
  <c r="P874" i="2"/>
  <c r="P866" i="2"/>
  <c r="P877" i="2"/>
  <c r="P869" i="2"/>
  <c r="P880" i="2"/>
  <c r="P872" i="2"/>
  <c r="P864" i="2"/>
  <c r="P875" i="2"/>
  <c r="P867" i="2"/>
  <c r="P878" i="2"/>
  <c r="P870" i="2"/>
  <c r="P308" i="2"/>
  <c r="P301" i="2"/>
  <c r="P663" i="2"/>
  <c r="W29" i="2"/>
  <c r="Y29" i="2" s="1"/>
  <c r="P7" i="2"/>
  <c r="P8" i="2"/>
  <c r="P9" i="2"/>
  <c r="P10" i="2"/>
  <c r="P11" i="2"/>
  <c r="P12" i="2"/>
  <c r="P13" i="2"/>
  <c r="P6" i="2"/>
  <c r="P88" i="2"/>
  <c r="P89" i="2"/>
  <c r="P90" i="2"/>
  <c r="P91" i="2"/>
  <c r="P92" i="2"/>
  <c r="P93" i="2"/>
  <c r="P210" i="2"/>
  <c r="P207" i="2"/>
  <c r="P208" i="2"/>
  <c r="P209" i="2"/>
  <c r="P173" i="2"/>
  <c r="P174" i="2"/>
  <c r="P175" i="2"/>
  <c r="P333" i="2"/>
  <c r="P328" i="2"/>
  <c r="P329" i="2"/>
  <c r="P330" i="2"/>
  <c r="P331" i="2"/>
  <c r="P332" i="2"/>
  <c r="P413" i="2"/>
  <c r="P421" i="2"/>
  <c r="P429" i="2"/>
  <c r="P437" i="2"/>
  <c r="P414" i="2"/>
  <c r="P422" i="2"/>
  <c r="P430" i="2"/>
  <c r="P438" i="2"/>
  <c r="P415" i="2"/>
  <c r="P423" i="2"/>
  <c r="P431" i="2"/>
  <c r="P439" i="2"/>
  <c r="P416" i="2"/>
  <c r="P424" i="2"/>
  <c r="P432" i="2"/>
  <c r="P417" i="2"/>
  <c r="P425" i="2"/>
  <c r="P433" i="2"/>
  <c r="P418" i="2"/>
  <c r="P426" i="2"/>
  <c r="P434" i="2"/>
  <c r="P411" i="2"/>
  <c r="P419" i="2"/>
  <c r="P427" i="2"/>
  <c r="P435" i="2"/>
  <c r="P412" i="2"/>
  <c r="P420" i="2"/>
  <c r="P428" i="2"/>
  <c r="P436" i="2"/>
  <c r="P693" i="2"/>
  <c r="P701" i="2"/>
  <c r="P717" i="2"/>
  <c r="P725" i="2"/>
  <c r="P733" i="2"/>
  <c r="P741" i="2"/>
  <c r="P686" i="2"/>
  <c r="P694" i="2"/>
  <c r="P702" i="2"/>
  <c r="P710" i="2"/>
  <c r="P718" i="2"/>
  <c r="P726" i="2"/>
  <c r="P734" i="2"/>
  <c r="P742" i="2"/>
  <c r="P687" i="2"/>
  <c r="P695" i="2"/>
  <c r="P703" i="2"/>
  <c r="P711" i="2"/>
  <c r="P719" i="2"/>
  <c r="P727" i="2"/>
  <c r="P735" i="2"/>
  <c r="P743" i="2"/>
  <c r="P688" i="2"/>
  <c r="P696" i="2"/>
  <c r="P704" i="2"/>
  <c r="P712" i="2"/>
  <c r="P720" i="2"/>
  <c r="P728" i="2"/>
  <c r="P736" i="2"/>
  <c r="P744" i="2"/>
  <c r="P689" i="2"/>
  <c r="P697" i="2"/>
  <c r="P705" i="2"/>
  <c r="P713" i="2"/>
  <c r="P721" i="2"/>
  <c r="P729" i="2"/>
  <c r="P737" i="2"/>
  <c r="P745" i="2"/>
  <c r="P698" i="2"/>
  <c r="P706" i="2"/>
  <c r="P714" i="2"/>
  <c r="P722" i="2"/>
  <c r="P730" i="2"/>
  <c r="P738" i="2"/>
  <c r="P691" i="2"/>
  <c r="P699" i="2"/>
  <c r="P707" i="2"/>
  <c r="P715" i="2"/>
  <c r="P723" i="2"/>
  <c r="P731" i="2"/>
  <c r="P739" i="2"/>
  <c r="P692" i="2"/>
  <c r="P700" i="2"/>
  <c r="P708" i="2"/>
  <c r="P716" i="2"/>
  <c r="P724" i="2"/>
  <c r="P732" i="2"/>
  <c r="P740" i="2"/>
  <c r="P641" i="2"/>
  <c r="P638" i="2"/>
  <c r="P639" i="2"/>
  <c r="P640" i="2"/>
  <c r="P823" i="2"/>
  <c r="P815" i="2"/>
  <c r="P807" i="2"/>
  <c r="P826" i="2"/>
  <c r="P818" i="2"/>
  <c r="P810" i="2"/>
  <c r="P829" i="2"/>
  <c r="P821" i="2"/>
  <c r="P813" i="2"/>
  <c r="P805" i="2"/>
  <c r="P828" i="2"/>
  <c r="P824" i="2"/>
  <c r="P816" i="2"/>
  <c r="P808" i="2"/>
  <c r="P827" i="2"/>
  <c r="P819" i="2"/>
  <c r="P811" i="2"/>
  <c r="P830" i="2"/>
  <c r="P822" i="2"/>
  <c r="P814" i="2"/>
  <c r="P806" i="2"/>
  <c r="P820" i="2"/>
  <c r="P825" i="2"/>
  <c r="P817" i="2"/>
  <c r="P809" i="2"/>
  <c r="P812" i="2"/>
  <c r="P905" i="2"/>
  <c r="P897" i="2"/>
  <c r="P889" i="2"/>
  <c r="P900" i="2"/>
  <c r="P892" i="2"/>
  <c r="P884" i="2"/>
  <c r="P903" i="2"/>
  <c r="P895" i="2"/>
  <c r="P887" i="2"/>
  <c r="P906" i="2"/>
  <c r="P898" i="2"/>
  <c r="P890" i="2"/>
  <c r="P882" i="2"/>
  <c r="P901" i="2"/>
  <c r="P893" i="2"/>
  <c r="P885" i="2"/>
  <c r="P904" i="2"/>
  <c r="P896" i="2"/>
  <c r="P888" i="2"/>
  <c r="P907" i="2"/>
  <c r="P899" i="2"/>
  <c r="P891" i="2"/>
  <c r="P883" i="2"/>
  <c r="P902" i="2"/>
  <c r="P894" i="2"/>
  <c r="P886" i="2"/>
  <c r="P709" i="2"/>
  <c r="P309" i="2"/>
  <c r="P671" i="2"/>
  <c r="P673" i="2"/>
  <c r="P690" i="2"/>
  <c r="P3" i="2"/>
  <c r="P4" i="2"/>
  <c r="P5" i="2"/>
  <c r="P147" i="2"/>
  <c r="P148" i="2"/>
  <c r="P149" i="2"/>
  <c r="P150" i="2"/>
  <c r="P151" i="2"/>
  <c r="P152" i="2"/>
  <c r="P146" i="2"/>
  <c r="P239" i="2"/>
  <c r="P237" i="2"/>
  <c r="P238" i="2"/>
  <c r="P619" i="2"/>
  <c r="P613" i="2"/>
  <c r="P616" i="2"/>
  <c r="P620" i="2"/>
  <c r="P611" i="2"/>
  <c r="P614" i="2"/>
  <c r="P617" i="2"/>
  <c r="P612" i="2"/>
  <c r="P615" i="2"/>
  <c r="P618" i="2"/>
  <c r="P621" i="2"/>
  <c r="P622" i="2"/>
  <c r="P285" i="2"/>
  <c r="P293" i="2"/>
  <c r="P286" i="2"/>
  <c r="P294" i="2"/>
  <c r="P287" i="2"/>
  <c r="P295" i="2"/>
  <c r="P288" i="2"/>
  <c r="P296" i="2"/>
  <c r="P289" i="2"/>
  <c r="P297" i="2"/>
  <c r="P290" i="2"/>
  <c r="P298" i="2"/>
  <c r="P291" i="2"/>
  <c r="P299" i="2"/>
  <c r="P284" i="2"/>
  <c r="P292" i="2"/>
  <c r="P389" i="2"/>
  <c r="P390" i="2"/>
  <c r="P386" i="2"/>
  <c r="P387" i="2"/>
  <c r="P388" i="2"/>
  <c r="P860" i="2"/>
  <c r="P858" i="2"/>
  <c r="P861" i="2"/>
  <c r="P859" i="2"/>
  <c r="P857" i="2"/>
  <c r="P862" i="2"/>
  <c r="P628" i="2"/>
  <c r="P636" i="2"/>
  <c r="P629" i="2"/>
  <c r="P637" i="2"/>
  <c r="P630" i="2"/>
  <c r="P623" i="2"/>
  <c r="P631" i="2"/>
  <c r="P624" i="2"/>
  <c r="P632" i="2"/>
  <c r="P625" i="2"/>
  <c r="P633" i="2"/>
  <c r="P626" i="2"/>
  <c r="P634" i="2"/>
  <c r="P627" i="2"/>
  <c r="P635" i="2"/>
  <c r="P776" i="2"/>
  <c r="P774" i="2"/>
  <c r="P775" i="2"/>
  <c r="X2" i="2"/>
  <c r="T30" i="2"/>
  <c r="S126" i="2"/>
  <c r="X125" i="2"/>
  <c r="AC125" i="2" s="1"/>
  <c r="Y66" i="3"/>
  <c r="Y62" i="3"/>
  <c r="Y72" i="3"/>
  <c r="Y36" i="3"/>
  <c r="Y30" i="3"/>
  <c r="Y90" i="3"/>
  <c r="Y77" i="3"/>
  <c r="Y86" i="3"/>
  <c r="Y82" i="3"/>
  <c r="Y57" i="3"/>
  <c r="Y55" i="3"/>
  <c r="Y51" i="3"/>
  <c r="Y87" i="3"/>
  <c r="Y7" i="3"/>
  <c r="Y4" i="3"/>
  <c r="Y9" i="3"/>
  <c r="Y14" i="3"/>
  <c r="Y18" i="3"/>
  <c r="Y11" i="3"/>
  <c r="Y26" i="3"/>
  <c r="Y29" i="3"/>
  <c r="Y92" i="3"/>
  <c r="Y33" i="3"/>
  <c r="Y41" i="3"/>
  <c r="Y47" i="3"/>
  <c r="Y67" i="3"/>
  <c r="Y64" i="3"/>
  <c r="Y61" i="3"/>
  <c r="Y74" i="3"/>
  <c r="Y75" i="3"/>
  <c r="Y73" i="3"/>
  <c r="Y81" i="3"/>
  <c r="Y99" i="3"/>
  <c r="Y8" i="3"/>
  <c r="Y12" i="3"/>
  <c r="Y15" i="3"/>
  <c r="Y16" i="3"/>
  <c r="Y23" i="3"/>
  <c r="Y28" i="3"/>
  <c r="Y94" i="3"/>
  <c r="Y2" i="3"/>
  <c r="Y24" i="3"/>
  <c r="Y35" i="3"/>
  <c r="Y40" i="3"/>
  <c r="Y58" i="3"/>
  <c r="Y45" i="3"/>
  <c r="Y49" i="3"/>
  <c r="Y56" i="3"/>
  <c r="Y68" i="3"/>
  <c r="Y65" i="3"/>
  <c r="Y63" i="3"/>
  <c r="Y78" i="3"/>
  <c r="Y69" i="3"/>
  <c r="Y85" i="3"/>
  <c r="Y80" i="3"/>
  <c r="Y5" i="3"/>
  <c r="Y3" i="3"/>
  <c r="Y10" i="3"/>
  <c r="Y95" i="3"/>
  <c r="Y19" i="3"/>
  <c r="Y20" i="3"/>
  <c r="Y27" i="3"/>
  <c r="Y32" i="3"/>
  <c r="Y31" i="3"/>
  <c r="Y25" i="3"/>
  <c r="Y37" i="3"/>
  <c r="Y38" i="3"/>
  <c r="Y42" i="3"/>
  <c r="Y89" i="3"/>
  <c r="Y48" i="3"/>
  <c r="Y50" i="3"/>
  <c r="Y52" i="3"/>
  <c r="Y88" i="3"/>
  <c r="Y84" i="3"/>
  <c r="Y98" i="3"/>
  <c r="Y96" i="3"/>
  <c r="Y13" i="3"/>
  <c r="Y21" i="3"/>
  <c r="Y34" i="3"/>
  <c r="Y39" i="3"/>
  <c r="Y43" i="3"/>
  <c r="Y46" i="3"/>
  <c r="Y54" i="3"/>
  <c r="Y79" i="3"/>
  <c r="Y71" i="3"/>
  <c r="Y60" i="3"/>
  <c r="Y76" i="3"/>
  <c r="Y70" i="3"/>
  <c r="Y83" i="3"/>
  <c r="Y6" i="3"/>
  <c r="Y97" i="3"/>
  <c r="Y17" i="3"/>
  <c r="Y22" i="3"/>
  <c r="Y93" i="3"/>
  <c r="Y59" i="3"/>
  <c r="Y91" i="3"/>
  <c r="Y44" i="3"/>
  <c r="Y53" i="3"/>
  <c r="Z2" i="2" l="1"/>
  <c r="W30" i="2"/>
  <c r="Y30" i="2" s="1"/>
  <c r="W766" i="2"/>
  <c r="X766" i="2"/>
  <c r="W311" i="2"/>
  <c r="X311" i="2"/>
  <c r="W315" i="2"/>
  <c r="X315" i="2"/>
  <c r="W146" i="2"/>
  <c r="X146" i="2"/>
  <c r="W877" i="2"/>
  <c r="X877" i="2"/>
  <c r="W865" i="2"/>
  <c r="X865" i="2"/>
  <c r="W872" i="2"/>
  <c r="X872" i="2"/>
  <c r="X847" i="2"/>
  <c r="W847" i="2"/>
  <c r="W748" i="2"/>
  <c r="X748" i="2"/>
  <c r="W13" i="2"/>
  <c r="X13" i="2"/>
  <c r="W909" i="2"/>
  <c r="X909" i="2"/>
  <c r="W840" i="2"/>
  <c r="X840" i="2"/>
  <c r="W841" i="2"/>
  <c r="X841" i="2"/>
  <c r="W648" i="2"/>
  <c r="X648" i="2"/>
  <c r="W644" i="2"/>
  <c r="X644" i="2"/>
  <c r="W451" i="2"/>
  <c r="X451" i="2"/>
  <c r="W611" i="2"/>
  <c r="X611" i="2"/>
  <c r="W86" i="2"/>
  <c r="X86" i="2"/>
  <c r="W632" i="2"/>
  <c r="X632" i="2"/>
  <c r="W628" i="2"/>
  <c r="X628" i="2"/>
  <c r="W859" i="2"/>
  <c r="X859" i="2"/>
  <c r="W397" i="2"/>
  <c r="X397" i="2"/>
  <c r="W298" i="2"/>
  <c r="X298" i="2"/>
  <c r="W294" i="2"/>
  <c r="X294" i="2"/>
  <c r="W230" i="2"/>
  <c r="X230" i="2"/>
  <c r="W220" i="2"/>
  <c r="X220" i="2"/>
  <c r="W218" i="2"/>
  <c r="X218" i="2"/>
  <c r="W223" i="2"/>
  <c r="X223" i="2"/>
  <c r="W243" i="2"/>
  <c r="X243" i="2"/>
  <c r="W208" i="2"/>
  <c r="X208" i="2"/>
  <c r="W141" i="2"/>
  <c r="X141" i="2"/>
  <c r="W62" i="2"/>
  <c r="X62" i="2"/>
  <c r="X792" i="2"/>
  <c r="W792" i="2"/>
  <c r="X793" i="2"/>
  <c r="W793" i="2"/>
  <c r="W514" i="2"/>
  <c r="X514" i="2"/>
  <c r="W544" i="2"/>
  <c r="X544" i="2"/>
  <c r="W527" i="2"/>
  <c r="X527" i="2"/>
  <c r="W518" i="2"/>
  <c r="X518" i="2"/>
  <c r="W509" i="2"/>
  <c r="X509" i="2"/>
  <c r="W500" i="2"/>
  <c r="X500" i="2"/>
  <c r="W251" i="2"/>
  <c r="X251" i="2"/>
  <c r="W156" i="2"/>
  <c r="X156" i="2"/>
  <c r="W832" i="2"/>
  <c r="X832" i="2"/>
  <c r="W138" i="2"/>
  <c r="X138" i="2"/>
  <c r="W781" i="2"/>
  <c r="X781" i="2"/>
  <c r="W418" i="2"/>
  <c r="X418" i="2"/>
  <c r="W431" i="2"/>
  <c r="X431" i="2"/>
  <c r="W429" i="2"/>
  <c r="X429" i="2"/>
  <c r="W427" i="2"/>
  <c r="X427" i="2"/>
  <c r="W330" i="2"/>
  <c r="X330" i="2"/>
  <c r="W320" i="2"/>
  <c r="X320" i="2"/>
  <c r="W316" i="2"/>
  <c r="X316" i="2"/>
  <c r="W82" i="2"/>
  <c r="X82" i="2"/>
  <c r="W882" i="2"/>
  <c r="X882" i="2"/>
  <c r="W892" i="2"/>
  <c r="X892" i="2"/>
  <c r="X883" i="2"/>
  <c r="W883" i="2"/>
  <c r="X804" i="2"/>
  <c r="W804" i="2"/>
  <c r="W715" i="2"/>
  <c r="X715" i="2"/>
  <c r="W706" i="2"/>
  <c r="X706" i="2"/>
  <c r="W705" i="2"/>
  <c r="X705" i="2"/>
  <c r="W704" i="2"/>
  <c r="X704" i="2"/>
  <c r="W703" i="2"/>
  <c r="X703" i="2"/>
  <c r="W702" i="2"/>
  <c r="X702" i="2"/>
  <c r="W701" i="2"/>
  <c r="X701" i="2"/>
  <c r="W692" i="2"/>
  <c r="X692" i="2"/>
  <c r="W410" i="2"/>
  <c r="X410" i="2"/>
  <c r="W406" i="2"/>
  <c r="X406" i="2"/>
  <c r="W342" i="2"/>
  <c r="X342" i="2"/>
  <c r="W606" i="2"/>
  <c r="X606" i="2"/>
  <c r="W570" i="2"/>
  <c r="X570" i="2"/>
  <c r="W569" i="2"/>
  <c r="X569" i="2"/>
  <c r="W568" i="2"/>
  <c r="X568" i="2"/>
  <c r="W567" i="2"/>
  <c r="X567" i="2"/>
  <c r="W573" i="2"/>
  <c r="X573" i="2"/>
  <c r="W564" i="2"/>
  <c r="X564" i="2"/>
  <c r="W555" i="2"/>
  <c r="X555" i="2"/>
  <c r="W271" i="2"/>
  <c r="X271" i="2"/>
  <c r="W253" i="2"/>
  <c r="X253" i="2"/>
  <c r="W199" i="2"/>
  <c r="X199" i="2"/>
  <c r="W203" i="2"/>
  <c r="X203" i="2"/>
  <c r="W169" i="2"/>
  <c r="X169" i="2"/>
  <c r="W135" i="2"/>
  <c r="X135" i="2"/>
  <c r="W109" i="2"/>
  <c r="X109" i="2"/>
  <c r="W107" i="2"/>
  <c r="X107" i="2"/>
  <c r="W121" i="2"/>
  <c r="X121" i="2"/>
  <c r="W96" i="2"/>
  <c r="X96" i="2"/>
  <c r="W59" i="2"/>
  <c r="X59" i="2"/>
  <c r="W795" i="2"/>
  <c r="X795" i="2"/>
  <c r="W824" i="2"/>
  <c r="X824" i="2"/>
  <c r="W826" i="2"/>
  <c r="X826" i="2"/>
  <c r="W828" i="2"/>
  <c r="X828" i="2"/>
  <c r="W675" i="2"/>
  <c r="X675" i="2"/>
  <c r="W669" i="2"/>
  <c r="X669" i="2"/>
  <c r="W368" i="2"/>
  <c r="X368" i="2"/>
  <c r="W358" i="2"/>
  <c r="X358" i="2"/>
  <c r="W356" i="2"/>
  <c r="X356" i="2"/>
  <c r="W384" i="2"/>
  <c r="X384" i="2"/>
  <c r="W258" i="2"/>
  <c r="X258" i="2"/>
  <c r="W260" i="2"/>
  <c r="X260" i="2"/>
  <c r="W144" i="2"/>
  <c r="X144" i="2"/>
  <c r="W665" i="2"/>
  <c r="X665" i="2"/>
  <c r="W498" i="2"/>
  <c r="X498" i="2"/>
  <c r="W481" i="2"/>
  <c r="X481" i="2"/>
  <c r="W464" i="2"/>
  <c r="X464" i="2"/>
  <c r="W494" i="2"/>
  <c r="X494" i="2"/>
  <c r="W477" i="2"/>
  <c r="X477" i="2"/>
  <c r="W460" i="2"/>
  <c r="X460" i="2"/>
  <c r="W756" i="2"/>
  <c r="X756" i="2"/>
  <c r="W771" i="2"/>
  <c r="X771" i="2"/>
  <c r="W303" i="2"/>
  <c r="X303" i="2"/>
  <c r="W307" i="2"/>
  <c r="X307" i="2"/>
  <c r="W69" i="2"/>
  <c r="X69" i="2"/>
  <c r="W866" i="2"/>
  <c r="X866" i="2"/>
  <c r="W873" i="2"/>
  <c r="X873" i="2"/>
  <c r="W880" i="2"/>
  <c r="X880" i="2"/>
  <c r="W855" i="2"/>
  <c r="X855" i="2"/>
  <c r="W12" i="2"/>
  <c r="X12" i="2"/>
  <c r="W911" i="2"/>
  <c r="X911" i="2"/>
  <c r="W837" i="2"/>
  <c r="X837" i="2"/>
  <c r="W838" i="2"/>
  <c r="X838" i="2"/>
  <c r="W655" i="2"/>
  <c r="X655" i="2"/>
  <c r="W450" i="2"/>
  <c r="X450" i="2"/>
  <c r="W622" i="2"/>
  <c r="X622" i="2"/>
  <c r="W619" i="2"/>
  <c r="X619" i="2"/>
  <c r="W87" i="2"/>
  <c r="X87" i="2"/>
  <c r="W624" i="2"/>
  <c r="X624" i="2"/>
  <c r="W635" i="2"/>
  <c r="X635" i="2"/>
  <c r="W396" i="2"/>
  <c r="X396" i="2"/>
  <c r="W290" i="2"/>
  <c r="X290" i="2"/>
  <c r="W286" i="2"/>
  <c r="X286" i="2"/>
  <c r="W222" i="2"/>
  <c r="X222" i="2"/>
  <c r="W212" i="2"/>
  <c r="X212" i="2"/>
  <c r="W233" i="2"/>
  <c r="X233" i="2"/>
  <c r="W215" i="2"/>
  <c r="X215" i="2"/>
  <c r="W250" i="2"/>
  <c r="X250" i="2"/>
  <c r="W207" i="2"/>
  <c r="X207" i="2"/>
  <c r="W140" i="2"/>
  <c r="X140" i="2"/>
  <c r="W51" i="2"/>
  <c r="Y51" i="2" s="1"/>
  <c r="X51" i="2"/>
  <c r="W789" i="2"/>
  <c r="X789" i="2"/>
  <c r="W790" i="2"/>
  <c r="X790" i="2"/>
  <c r="W506" i="2"/>
  <c r="X506" i="2"/>
  <c r="W536" i="2"/>
  <c r="X536" i="2"/>
  <c r="W519" i="2"/>
  <c r="X519" i="2"/>
  <c r="W510" i="2"/>
  <c r="X510" i="2"/>
  <c r="W501" i="2"/>
  <c r="X501" i="2"/>
  <c r="W547" i="2"/>
  <c r="X547" i="2"/>
  <c r="W161" i="2"/>
  <c r="X161" i="2"/>
  <c r="W163" i="2"/>
  <c r="X163" i="2"/>
  <c r="W25" i="2"/>
  <c r="X25" i="2"/>
  <c r="W831" i="2"/>
  <c r="X831" i="2"/>
  <c r="W137" i="2"/>
  <c r="X137" i="2"/>
  <c r="W783" i="2"/>
  <c r="X783" i="2"/>
  <c r="W433" i="2"/>
  <c r="X433" i="2"/>
  <c r="W423" i="2"/>
  <c r="X423" i="2"/>
  <c r="W421" i="2"/>
  <c r="X421" i="2"/>
  <c r="W419" i="2"/>
  <c r="X419" i="2"/>
  <c r="W329" i="2"/>
  <c r="X329" i="2"/>
  <c r="W327" i="2"/>
  <c r="X327" i="2"/>
  <c r="W323" i="2"/>
  <c r="X323" i="2"/>
  <c r="W81" i="2"/>
  <c r="X81" i="2"/>
  <c r="W890" i="2"/>
  <c r="X890" i="2"/>
  <c r="W900" i="2"/>
  <c r="X900" i="2"/>
  <c r="X891" i="2"/>
  <c r="W891" i="2"/>
  <c r="W640" i="2"/>
  <c r="X640" i="2"/>
  <c r="W707" i="2"/>
  <c r="X707" i="2"/>
  <c r="W698" i="2"/>
  <c r="X698" i="2"/>
  <c r="W697" i="2"/>
  <c r="X697" i="2"/>
  <c r="W696" i="2"/>
  <c r="X696" i="2"/>
  <c r="W695" i="2"/>
  <c r="X695" i="2"/>
  <c r="W694" i="2"/>
  <c r="X694" i="2"/>
  <c r="W693" i="2"/>
  <c r="X693" i="2"/>
  <c r="W394" i="2"/>
  <c r="X394" i="2"/>
  <c r="W402" i="2"/>
  <c r="X402" i="2"/>
  <c r="W405" i="2"/>
  <c r="X405" i="2"/>
  <c r="W334" i="2"/>
  <c r="X334" i="2"/>
  <c r="W605" i="2"/>
  <c r="X605" i="2"/>
  <c r="W562" i="2"/>
  <c r="X562" i="2"/>
  <c r="W561" i="2"/>
  <c r="X561" i="2"/>
  <c r="W560" i="2"/>
  <c r="X560" i="2"/>
  <c r="W559" i="2"/>
  <c r="X559" i="2"/>
  <c r="W565" i="2"/>
  <c r="X565" i="2"/>
  <c r="W556" i="2"/>
  <c r="X556" i="2"/>
  <c r="W282" i="2"/>
  <c r="X282" i="2"/>
  <c r="W278" i="2"/>
  <c r="X278" i="2"/>
  <c r="W254" i="2"/>
  <c r="X254" i="2"/>
  <c r="W192" i="2"/>
  <c r="X192" i="2"/>
  <c r="W200" i="2"/>
  <c r="X200" i="2"/>
  <c r="W171" i="2"/>
  <c r="X171" i="2"/>
  <c r="Y126" i="2"/>
  <c r="AA126" i="2"/>
  <c r="W101" i="2"/>
  <c r="X101" i="2"/>
  <c r="W99" i="2"/>
  <c r="X99" i="2"/>
  <c r="W113" i="2"/>
  <c r="X113" i="2"/>
  <c r="Y127" i="2"/>
  <c r="AA127" i="2"/>
  <c r="W58" i="2"/>
  <c r="X58" i="2"/>
  <c r="W802" i="2"/>
  <c r="X802" i="2"/>
  <c r="W805" i="2"/>
  <c r="X805" i="2"/>
  <c r="W807" i="2"/>
  <c r="X807" i="2"/>
  <c r="W809" i="2"/>
  <c r="X809" i="2"/>
  <c r="W674" i="2"/>
  <c r="X674" i="2"/>
  <c r="W676" i="2"/>
  <c r="X676" i="2"/>
  <c r="W360" i="2"/>
  <c r="X360" i="2"/>
  <c r="W350" i="2"/>
  <c r="X350" i="2"/>
  <c r="W348" i="2"/>
  <c r="X348" i="2"/>
  <c r="W376" i="2"/>
  <c r="X376" i="2"/>
  <c r="W262" i="2"/>
  <c r="X262" i="2"/>
  <c r="W265" i="2"/>
  <c r="X265" i="2"/>
  <c r="W5" i="2"/>
  <c r="X5" i="2"/>
  <c r="W657" i="2"/>
  <c r="X657" i="2"/>
  <c r="W490" i="2"/>
  <c r="X490" i="2"/>
  <c r="W473" i="2"/>
  <c r="X473" i="2"/>
  <c r="W456" i="2"/>
  <c r="X456" i="2"/>
  <c r="W486" i="2"/>
  <c r="X486" i="2"/>
  <c r="W469" i="2"/>
  <c r="X469" i="2"/>
  <c r="W452" i="2"/>
  <c r="X452" i="2"/>
  <c r="W190" i="2"/>
  <c r="X190" i="2"/>
  <c r="W18" i="2"/>
  <c r="X18" i="2"/>
  <c r="W178" i="2"/>
  <c r="X178" i="2"/>
  <c r="W177" i="2"/>
  <c r="X177" i="2"/>
  <c r="W189" i="2"/>
  <c r="X189" i="2"/>
  <c r="W16" i="2"/>
  <c r="X16" i="2"/>
  <c r="W763" i="2"/>
  <c r="X763" i="2"/>
  <c r="W768" i="2"/>
  <c r="X768" i="2"/>
  <c r="W750" i="2"/>
  <c r="X750" i="2"/>
  <c r="W680" i="2"/>
  <c r="X680" i="2"/>
  <c r="W314" i="2"/>
  <c r="X314" i="2"/>
  <c r="W310" i="2"/>
  <c r="X310" i="2"/>
  <c r="W152" i="2"/>
  <c r="X152" i="2"/>
  <c r="W68" i="2"/>
  <c r="X68" i="2"/>
  <c r="W874" i="2"/>
  <c r="X874" i="2"/>
  <c r="W881" i="2"/>
  <c r="X881" i="2"/>
  <c r="W851" i="2"/>
  <c r="X851" i="2"/>
  <c r="W852" i="2"/>
  <c r="X852" i="2"/>
  <c r="W93" i="2"/>
  <c r="X93" i="2"/>
  <c r="W11" i="2"/>
  <c r="X11" i="2"/>
  <c r="W908" i="2"/>
  <c r="X908" i="2"/>
  <c r="W834" i="2"/>
  <c r="X834" i="2"/>
  <c r="W651" i="2"/>
  <c r="X651" i="2"/>
  <c r="W647" i="2"/>
  <c r="X647" i="2"/>
  <c r="W449" i="2"/>
  <c r="X449" i="2"/>
  <c r="W621" i="2"/>
  <c r="X621" i="2"/>
  <c r="W615" i="2"/>
  <c r="X615" i="2"/>
  <c r="W914" i="2"/>
  <c r="X914" i="2"/>
  <c r="W631" i="2"/>
  <c r="X631" i="2"/>
  <c r="W627" i="2"/>
  <c r="X627" i="2"/>
  <c r="W395" i="2"/>
  <c r="X395" i="2"/>
  <c r="W297" i="2"/>
  <c r="X297" i="2"/>
  <c r="W293" i="2"/>
  <c r="X293" i="2"/>
  <c r="W214" i="2"/>
  <c r="X214" i="2"/>
  <c r="W235" i="2"/>
  <c r="X235" i="2"/>
  <c r="W225" i="2"/>
  <c r="X225" i="2"/>
  <c r="W255" i="2"/>
  <c r="X255" i="2"/>
  <c r="W242" i="2"/>
  <c r="X242" i="2"/>
  <c r="W210" i="2"/>
  <c r="X210" i="2"/>
  <c r="W139" i="2"/>
  <c r="X139" i="2"/>
  <c r="W50" i="2"/>
  <c r="Y50" i="2" s="1"/>
  <c r="X50" i="2"/>
  <c r="W784" i="2"/>
  <c r="X784" i="2"/>
  <c r="W685" i="2"/>
  <c r="X685" i="2"/>
  <c r="W545" i="2"/>
  <c r="X545" i="2"/>
  <c r="W528" i="2"/>
  <c r="X528" i="2"/>
  <c r="W511" i="2"/>
  <c r="X511" i="2"/>
  <c r="W502" i="2"/>
  <c r="X502" i="2"/>
  <c r="W548" i="2"/>
  <c r="X548" i="2"/>
  <c r="W539" i="2"/>
  <c r="X539" i="2"/>
  <c r="W160" i="2"/>
  <c r="X160" i="2"/>
  <c r="W155" i="2"/>
  <c r="X155" i="2"/>
  <c r="W22" i="2"/>
  <c r="X22" i="2"/>
  <c r="X27" i="2"/>
  <c r="W27" i="2"/>
  <c r="W442" i="2"/>
  <c r="X442" i="2"/>
  <c r="W775" i="2"/>
  <c r="X775" i="2"/>
  <c r="W780" i="2"/>
  <c r="X780" i="2"/>
  <c r="W425" i="2"/>
  <c r="X425" i="2"/>
  <c r="W415" i="2"/>
  <c r="X415" i="2"/>
  <c r="W413" i="2"/>
  <c r="X413" i="2"/>
  <c r="W411" i="2"/>
  <c r="X411" i="2"/>
  <c r="W328" i="2"/>
  <c r="X328" i="2"/>
  <c r="W319" i="2"/>
  <c r="X319" i="2"/>
  <c r="W80" i="2"/>
  <c r="X80" i="2"/>
  <c r="W898" i="2"/>
  <c r="X898" i="2"/>
  <c r="W889" i="2"/>
  <c r="X889" i="2"/>
  <c r="X899" i="2"/>
  <c r="W899" i="2"/>
  <c r="W639" i="2"/>
  <c r="X639" i="2"/>
  <c r="W699" i="2"/>
  <c r="X699" i="2"/>
  <c r="W690" i="2"/>
  <c r="X690" i="2"/>
  <c r="W689" i="2"/>
  <c r="X689" i="2"/>
  <c r="W688" i="2"/>
  <c r="X688" i="2"/>
  <c r="W687" i="2"/>
  <c r="X687" i="2"/>
  <c r="W686" i="2"/>
  <c r="X686" i="2"/>
  <c r="W740" i="2"/>
  <c r="X740" i="2"/>
  <c r="W393" i="2"/>
  <c r="X393" i="2"/>
  <c r="W409" i="2"/>
  <c r="X409" i="2"/>
  <c r="W404" i="2"/>
  <c r="X404" i="2"/>
  <c r="W341" i="2"/>
  <c r="X341" i="2"/>
  <c r="W598" i="2"/>
  <c r="X598" i="2"/>
  <c r="W554" i="2"/>
  <c r="X554" i="2"/>
  <c r="W553" i="2"/>
  <c r="X553" i="2"/>
  <c r="W552" i="2"/>
  <c r="X552" i="2"/>
  <c r="W551" i="2"/>
  <c r="X551" i="2"/>
  <c r="W557" i="2"/>
  <c r="X557" i="2"/>
  <c r="W603" i="2"/>
  <c r="X603" i="2"/>
  <c r="W274" i="2"/>
  <c r="X274" i="2"/>
  <c r="W270" i="2"/>
  <c r="X270" i="2"/>
  <c r="W174" i="2"/>
  <c r="X174" i="2"/>
  <c r="W196" i="2"/>
  <c r="X196" i="2"/>
  <c r="W197" i="2"/>
  <c r="X197" i="2"/>
  <c r="W168" i="2"/>
  <c r="X168" i="2"/>
  <c r="W118" i="2"/>
  <c r="X118" i="2"/>
  <c r="W124" i="2"/>
  <c r="X124" i="2"/>
  <c r="W130" i="2"/>
  <c r="X130" i="2"/>
  <c r="W105" i="2"/>
  <c r="X105" i="2"/>
  <c r="W119" i="2"/>
  <c r="X119" i="2"/>
  <c r="W57" i="2"/>
  <c r="X57" i="2"/>
  <c r="W799" i="2"/>
  <c r="X799" i="2"/>
  <c r="W813" i="2"/>
  <c r="X813" i="2"/>
  <c r="X815" i="2"/>
  <c r="W815" i="2"/>
  <c r="W817" i="2"/>
  <c r="X817" i="2"/>
  <c r="W673" i="2"/>
  <c r="X673" i="2"/>
  <c r="W370" i="2"/>
  <c r="X370" i="2"/>
  <c r="W352" i="2"/>
  <c r="X352" i="2"/>
  <c r="W373" i="2"/>
  <c r="X373" i="2"/>
  <c r="W371" i="2"/>
  <c r="X371" i="2"/>
  <c r="W383" i="2"/>
  <c r="X383" i="2"/>
  <c r="W257" i="2"/>
  <c r="X257" i="2"/>
  <c r="W238" i="2"/>
  <c r="X238" i="2"/>
  <c r="W4" i="2"/>
  <c r="X4" i="2"/>
  <c r="W664" i="2"/>
  <c r="X664" i="2"/>
  <c r="W482" i="2"/>
  <c r="X482" i="2"/>
  <c r="W465" i="2"/>
  <c r="X465" i="2"/>
  <c r="W495" i="2"/>
  <c r="X495" i="2"/>
  <c r="W478" i="2"/>
  <c r="X478" i="2"/>
  <c r="W461" i="2"/>
  <c r="X461" i="2"/>
  <c r="W499" i="2"/>
  <c r="X499" i="2"/>
  <c r="W682" i="2"/>
  <c r="X682" i="2"/>
  <c r="W758" i="2"/>
  <c r="X758" i="2"/>
  <c r="W176" i="2"/>
  <c r="X176" i="2"/>
  <c r="W188" i="2"/>
  <c r="X188" i="2"/>
  <c r="W15" i="2"/>
  <c r="X15" i="2"/>
  <c r="W755" i="2"/>
  <c r="X755" i="2"/>
  <c r="W760" i="2"/>
  <c r="X760" i="2"/>
  <c r="W773" i="2"/>
  <c r="X773" i="2"/>
  <c r="W679" i="2"/>
  <c r="X679" i="2"/>
  <c r="W306" i="2"/>
  <c r="X306" i="2"/>
  <c r="W302" i="2"/>
  <c r="X302" i="2"/>
  <c r="W151" i="2"/>
  <c r="X151" i="2"/>
  <c r="W73" i="2"/>
  <c r="X73" i="2"/>
  <c r="W863" i="2"/>
  <c r="X863" i="2"/>
  <c r="W870" i="2"/>
  <c r="X870" i="2"/>
  <c r="W848" i="2"/>
  <c r="X848" i="2"/>
  <c r="W849" i="2"/>
  <c r="X849" i="2"/>
  <c r="W92" i="2"/>
  <c r="X92" i="2"/>
  <c r="W10" i="2"/>
  <c r="X10" i="2"/>
  <c r="W913" i="2"/>
  <c r="X913" i="2"/>
  <c r="W842" i="2"/>
  <c r="X842" i="2"/>
  <c r="W643" i="2"/>
  <c r="X643" i="2"/>
  <c r="W654" i="2"/>
  <c r="X654" i="2"/>
  <c r="W448" i="2"/>
  <c r="X448" i="2"/>
  <c r="W618" i="2"/>
  <c r="X618" i="2"/>
  <c r="W612" i="2"/>
  <c r="X612" i="2"/>
  <c r="X915" i="2"/>
  <c r="W915" i="2"/>
  <c r="W623" i="2"/>
  <c r="X623" i="2"/>
  <c r="W861" i="2"/>
  <c r="X861" i="2"/>
  <c r="W386" i="2"/>
  <c r="X386" i="2"/>
  <c r="W289" i="2"/>
  <c r="X289" i="2"/>
  <c r="W285" i="2"/>
  <c r="X285" i="2"/>
  <c r="W229" i="2"/>
  <c r="X229" i="2"/>
  <c r="W227" i="2"/>
  <c r="X227" i="2"/>
  <c r="W217" i="2"/>
  <c r="X217" i="2"/>
  <c r="W256" i="2"/>
  <c r="X256" i="2"/>
  <c r="W249" i="2"/>
  <c r="X249" i="2"/>
  <c r="W181" i="2"/>
  <c r="X181" i="2"/>
  <c r="W67" i="2"/>
  <c r="X67" i="2"/>
  <c r="W49" i="2"/>
  <c r="Y49" i="2" s="1"/>
  <c r="X49" i="2"/>
  <c r="W786" i="2"/>
  <c r="X786" i="2"/>
  <c r="W684" i="2"/>
  <c r="X684" i="2"/>
  <c r="W537" i="2"/>
  <c r="X537" i="2"/>
  <c r="W520" i="2"/>
  <c r="X520" i="2"/>
  <c r="W503" i="2"/>
  <c r="X503" i="2"/>
  <c r="W549" i="2"/>
  <c r="X549" i="2"/>
  <c r="W540" i="2"/>
  <c r="X540" i="2"/>
  <c r="W531" i="2"/>
  <c r="X531" i="2"/>
  <c r="W159" i="2"/>
  <c r="X159" i="2"/>
  <c r="W162" i="2"/>
  <c r="X162" i="2"/>
  <c r="W441" i="2"/>
  <c r="X441" i="2"/>
  <c r="W774" i="2"/>
  <c r="X774" i="2"/>
  <c r="W782" i="2"/>
  <c r="X782" i="2"/>
  <c r="W417" i="2"/>
  <c r="X417" i="2"/>
  <c r="W438" i="2"/>
  <c r="X438" i="2"/>
  <c r="W436" i="2"/>
  <c r="X436" i="2"/>
  <c r="W346" i="2"/>
  <c r="X346" i="2"/>
  <c r="W333" i="2"/>
  <c r="X333" i="2"/>
  <c r="W326" i="2"/>
  <c r="X326" i="2"/>
  <c r="Y268" i="2"/>
  <c r="AA268" i="2"/>
  <c r="AC268" i="2"/>
  <c r="AD268" i="2" s="1"/>
  <c r="Z268" i="2"/>
  <c r="W79" i="2"/>
  <c r="X79" i="2"/>
  <c r="W906" i="2"/>
  <c r="X906" i="2"/>
  <c r="W897" i="2"/>
  <c r="X897" i="2"/>
  <c r="X907" i="2"/>
  <c r="W907" i="2"/>
  <c r="W638" i="2"/>
  <c r="X638" i="2"/>
  <c r="W691" i="2"/>
  <c r="X691" i="2"/>
  <c r="W745" i="2"/>
  <c r="X745" i="2"/>
  <c r="W744" i="2"/>
  <c r="X744" i="2"/>
  <c r="W743" i="2"/>
  <c r="X743" i="2"/>
  <c r="W742" i="2"/>
  <c r="X742" i="2"/>
  <c r="W741" i="2"/>
  <c r="X741" i="2"/>
  <c r="W732" i="2"/>
  <c r="X732" i="2"/>
  <c r="W392" i="2"/>
  <c r="X392" i="2"/>
  <c r="W401" i="2"/>
  <c r="X401" i="2"/>
  <c r="W403" i="2"/>
  <c r="X403" i="2"/>
  <c r="W340" i="2"/>
  <c r="X340" i="2"/>
  <c r="W610" i="2"/>
  <c r="X610" i="2"/>
  <c r="W609" i="2"/>
  <c r="X609" i="2"/>
  <c r="W608" i="2"/>
  <c r="X608" i="2"/>
  <c r="W607" i="2"/>
  <c r="X607" i="2"/>
  <c r="W582" i="2"/>
  <c r="X582" i="2"/>
  <c r="W604" i="2"/>
  <c r="X604" i="2"/>
  <c r="W595" i="2"/>
  <c r="X595" i="2"/>
  <c r="W281" i="2"/>
  <c r="X281" i="2"/>
  <c r="W277" i="2"/>
  <c r="X277" i="2"/>
  <c r="W173" i="2"/>
  <c r="X173" i="2"/>
  <c r="W204" i="2"/>
  <c r="X204" i="2"/>
  <c r="W205" i="2"/>
  <c r="X205" i="2"/>
  <c r="W134" i="2"/>
  <c r="X134" i="2"/>
  <c r="W110" i="2"/>
  <c r="X110" i="2"/>
  <c r="W116" i="2"/>
  <c r="X116" i="2"/>
  <c r="W122" i="2"/>
  <c r="X122" i="2"/>
  <c r="W97" i="2"/>
  <c r="X97" i="2"/>
  <c r="W111" i="2"/>
  <c r="X111" i="2"/>
  <c r="W56" i="2"/>
  <c r="X56" i="2"/>
  <c r="W796" i="2"/>
  <c r="X796" i="2"/>
  <c r="W821" i="2"/>
  <c r="X821" i="2"/>
  <c r="W823" i="2"/>
  <c r="X823" i="2"/>
  <c r="W825" i="2"/>
  <c r="X825" i="2"/>
  <c r="W672" i="2"/>
  <c r="X672" i="2"/>
  <c r="W362" i="2"/>
  <c r="X362" i="2"/>
  <c r="W367" i="2"/>
  <c r="X367" i="2"/>
  <c r="W365" i="2"/>
  <c r="X365" i="2"/>
  <c r="W363" i="2"/>
  <c r="X363" i="2"/>
  <c r="W375" i="2"/>
  <c r="X375" i="2"/>
  <c r="W264" i="2"/>
  <c r="X264" i="2"/>
  <c r="W237" i="2"/>
  <c r="X237" i="2"/>
  <c r="W3" i="2"/>
  <c r="X3" i="2"/>
  <c r="W663" i="2"/>
  <c r="X663" i="2"/>
  <c r="W474" i="2"/>
  <c r="X474" i="2"/>
  <c r="W457" i="2"/>
  <c r="X457" i="2"/>
  <c r="W487" i="2"/>
  <c r="X487" i="2"/>
  <c r="W470" i="2"/>
  <c r="X470" i="2"/>
  <c r="W453" i="2"/>
  <c r="X453" i="2"/>
  <c r="W491" i="2"/>
  <c r="X491" i="2"/>
  <c r="W182" i="2"/>
  <c r="X182" i="2"/>
  <c r="W17" i="2"/>
  <c r="X17" i="2"/>
  <c r="AC2" i="2"/>
  <c r="AD2" i="2" s="1"/>
  <c r="W185" i="2"/>
  <c r="X185" i="2"/>
  <c r="W187" i="2"/>
  <c r="X187" i="2"/>
  <c r="W20" i="2"/>
  <c r="X20" i="2"/>
  <c r="W770" i="2"/>
  <c r="X770" i="2"/>
  <c r="W752" i="2"/>
  <c r="X752" i="2"/>
  <c r="W765" i="2"/>
  <c r="X765" i="2"/>
  <c r="W313" i="2"/>
  <c r="X313" i="2"/>
  <c r="W309" i="2"/>
  <c r="X309" i="2"/>
  <c r="W150" i="2"/>
  <c r="X150" i="2"/>
  <c r="W72" i="2"/>
  <c r="X72" i="2"/>
  <c r="W871" i="2"/>
  <c r="X871" i="2"/>
  <c r="W878" i="2"/>
  <c r="X878" i="2"/>
  <c r="W856" i="2"/>
  <c r="X856" i="2"/>
  <c r="W846" i="2"/>
  <c r="X846" i="2"/>
  <c r="W91" i="2"/>
  <c r="X91" i="2"/>
  <c r="W9" i="2"/>
  <c r="X9" i="2"/>
  <c r="W910" i="2"/>
  <c r="X910" i="2"/>
  <c r="W839" i="2"/>
  <c r="X839" i="2"/>
  <c r="W650" i="2"/>
  <c r="X650" i="2"/>
  <c r="W646" i="2"/>
  <c r="X646" i="2"/>
  <c r="W447" i="2"/>
  <c r="X447" i="2"/>
  <c r="W620" i="2"/>
  <c r="X620" i="2"/>
  <c r="W617" i="2"/>
  <c r="X617" i="2"/>
  <c r="W634" i="2"/>
  <c r="X634" i="2"/>
  <c r="W630" i="2"/>
  <c r="X630" i="2"/>
  <c r="X858" i="2"/>
  <c r="W858" i="2"/>
  <c r="W390" i="2"/>
  <c r="X390" i="2"/>
  <c r="W296" i="2"/>
  <c r="X296" i="2"/>
  <c r="W292" i="2"/>
  <c r="X292" i="2"/>
  <c r="W221" i="2"/>
  <c r="X221" i="2"/>
  <c r="W219" i="2"/>
  <c r="X219" i="2"/>
  <c r="W232" i="2"/>
  <c r="X232" i="2"/>
  <c r="W247" i="2"/>
  <c r="X247" i="2"/>
  <c r="W241" i="2"/>
  <c r="X241" i="2"/>
  <c r="W179" i="2"/>
  <c r="X179" i="2"/>
  <c r="W66" i="2"/>
  <c r="X66" i="2"/>
  <c r="W53" i="2"/>
  <c r="X53" i="2"/>
  <c r="W794" i="2"/>
  <c r="X794" i="2"/>
  <c r="W546" i="2"/>
  <c r="X546" i="2"/>
  <c r="W529" i="2"/>
  <c r="X529" i="2"/>
  <c r="W512" i="2"/>
  <c r="X512" i="2"/>
  <c r="W550" i="2"/>
  <c r="X550" i="2"/>
  <c r="W541" i="2"/>
  <c r="X541" i="2"/>
  <c r="W532" i="2"/>
  <c r="X532" i="2"/>
  <c r="W523" i="2"/>
  <c r="X523" i="2"/>
  <c r="W158" i="2"/>
  <c r="X158" i="2"/>
  <c r="W165" i="2"/>
  <c r="X165" i="2"/>
  <c r="W24" i="2"/>
  <c r="X24" i="2"/>
  <c r="W440" i="2"/>
  <c r="X440" i="2"/>
  <c r="W776" i="2"/>
  <c r="X776" i="2"/>
  <c r="W432" i="2"/>
  <c r="X432" i="2"/>
  <c r="W430" i="2"/>
  <c r="X430" i="2"/>
  <c r="W428" i="2"/>
  <c r="X428" i="2"/>
  <c r="W345" i="2"/>
  <c r="X345" i="2"/>
  <c r="W332" i="2"/>
  <c r="X332" i="2"/>
  <c r="W318" i="2"/>
  <c r="X318" i="2"/>
  <c r="W78" i="2"/>
  <c r="X78" i="2"/>
  <c r="W887" i="2"/>
  <c r="X887" i="2"/>
  <c r="W905" i="2"/>
  <c r="X905" i="2"/>
  <c r="W888" i="2"/>
  <c r="X888" i="2"/>
  <c r="W641" i="2"/>
  <c r="X641" i="2"/>
  <c r="W738" i="2"/>
  <c r="X738" i="2"/>
  <c r="W737" i="2"/>
  <c r="X737" i="2"/>
  <c r="W736" i="2"/>
  <c r="X736" i="2"/>
  <c r="W735" i="2"/>
  <c r="X735" i="2"/>
  <c r="W734" i="2"/>
  <c r="X734" i="2"/>
  <c r="W733" i="2"/>
  <c r="X733" i="2"/>
  <c r="W724" i="2"/>
  <c r="X724" i="2"/>
  <c r="W391" i="2"/>
  <c r="X391" i="2"/>
  <c r="W408" i="2"/>
  <c r="X408" i="2"/>
  <c r="W338" i="2"/>
  <c r="X338" i="2"/>
  <c r="W339" i="2"/>
  <c r="X339" i="2"/>
  <c r="W602" i="2"/>
  <c r="X602" i="2"/>
  <c r="W601" i="2"/>
  <c r="X601" i="2"/>
  <c r="W600" i="2"/>
  <c r="X600" i="2"/>
  <c r="W599" i="2"/>
  <c r="X599" i="2"/>
  <c r="W574" i="2"/>
  <c r="X574" i="2"/>
  <c r="W596" i="2"/>
  <c r="X596" i="2"/>
  <c r="W587" i="2"/>
  <c r="X587" i="2"/>
  <c r="W273" i="2"/>
  <c r="X273" i="2"/>
  <c r="W269" i="2"/>
  <c r="X269" i="2"/>
  <c r="W175" i="2"/>
  <c r="X175" i="2"/>
  <c r="W201" i="2"/>
  <c r="X201" i="2"/>
  <c r="W194" i="2"/>
  <c r="X194" i="2"/>
  <c r="W136" i="2"/>
  <c r="X136" i="2"/>
  <c r="W102" i="2"/>
  <c r="X102" i="2"/>
  <c r="W108" i="2"/>
  <c r="X108" i="2"/>
  <c r="W114" i="2"/>
  <c r="X114" i="2"/>
  <c r="W128" i="2"/>
  <c r="X128" i="2"/>
  <c r="W103" i="2"/>
  <c r="X103" i="2"/>
  <c r="W55" i="2"/>
  <c r="X55" i="2"/>
  <c r="W801" i="2"/>
  <c r="X801" i="2"/>
  <c r="W829" i="2"/>
  <c r="X829" i="2"/>
  <c r="W811" i="2"/>
  <c r="X811" i="2"/>
  <c r="W806" i="2"/>
  <c r="X806" i="2"/>
  <c r="W671" i="2"/>
  <c r="X671" i="2"/>
  <c r="W354" i="2"/>
  <c r="X354" i="2"/>
  <c r="W359" i="2"/>
  <c r="X359" i="2"/>
  <c r="W357" i="2"/>
  <c r="X357" i="2"/>
  <c r="W355" i="2"/>
  <c r="X355" i="2"/>
  <c r="W382" i="2"/>
  <c r="X382" i="2"/>
  <c r="W261" i="2"/>
  <c r="X261" i="2"/>
  <c r="W239" i="2"/>
  <c r="X239" i="2"/>
  <c r="W667" i="2"/>
  <c r="X667" i="2"/>
  <c r="W662" i="2"/>
  <c r="X662" i="2"/>
  <c r="W466" i="2"/>
  <c r="X466" i="2"/>
  <c r="W496" i="2"/>
  <c r="X496" i="2"/>
  <c r="W479" i="2"/>
  <c r="X479" i="2"/>
  <c r="W462" i="2"/>
  <c r="X462" i="2"/>
  <c r="W492" i="2"/>
  <c r="X492" i="2"/>
  <c r="W483" i="2"/>
  <c r="X483" i="2"/>
  <c r="W184" i="2"/>
  <c r="X184" i="2"/>
  <c r="W186" i="2"/>
  <c r="X186" i="2"/>
  <c r="W14" i="2"/>
  <c r="X14" i="2"/>
  <c r="W762" i="2"/>
  <c r="X762" i="2"/>
  <c r="W767" i="2"/>
  <c r="X767" i="2"/>
  <c r="W757" i="2"/>
  <c r="X757" i="2"/>
  <c r="W305" i="2"/>
  <c r="X305" i="2"/>
  <c r="W301" i="2"/>
  <c r="X301" i="2"/>
  <c r="W149" i="2"/>
  <c r="X149" i="2"/>
  <c r="W71" i="2"/>
  <c r="X71" i="2"/>
  <c r="W879" i="2"/>
  <c r="X879" i="2"/>
  <c r="W867" i="2"/>
  <c r="X867" i="2"/>
  <c r="W845" i="2"/>
  <c r="X845" i="2"/>
  <c r="W854" i="2"/>
  <c r="X854" i="2"/>
  <c r="W90" i="2"/>
  <c r="X90" i="2"/>
  <c r="W8" i="2"/>
  <c r="X8" i="2"/>
  <c r="W912" i="2"/>
  <c r="X912" i="2"/>
  <c r="X836" i="2"/>
  <c r="W836" i="2"/>
  <c r="W642" i="2"/>
  <c r="X642" i="2"/>
  <c r="W653" i="2"/>
  <c r="X653" i="2"/>
  <c r="W446" i="2"/>
  <c r="X446" i="2"/>
  <c r="W616" i="2"/>
  <c r="X616" i="2"/>
  <c r="W85" i="2"/>
  <c r="X85" i="2"/>
  <c r="W626" i="2"/>
  <c r="X626" i="2"/>
  <c r="W637" i="2"/>
  <c r="X637" i="2"/>
  <c r="W860" i="2"/>
  <c r="X860" i="2"/>
  <c r="W389" i="2"/>
  <c r="X389" i="2"/>
  <c r="W288" i="2"/>
  <c r="X288" i="2"/>
  <c r="W284" i="2"/>
  <c r="X284" i="2"/>
  <c r="W213" i="2"/>
  <c r="X213" i="2"/>
  <c r="W211" i="2"/>
  <c r="X211" i="2"/>
  <c r="W224" i="2"/>
  <c r="X224" i="2"/>
  <c r="W246" i="2"/>
  <c r="X246" i="2"/>
  <c r="W248" i="2"/>
  <c r="X248" i="2"/>
  <c r="W180" i="2"/>
  <c r="X180" i="2"/>
  <c r="W65" i="2"/>
  <c r="X65" i="2"/>
  <c r="W48" i="2"/>
  <c r="Y48" i="2" s="1"/>
  <c r="X48" i="2"/>
  <c r="W791" i="2"/>
  <c r="X791" i="2"/>
  <c r="W538" i="2"/>
  <c r="X538" i="2"/>
  <c r="W521" i="2"/>
  <c r="X521" i="2"/>
  <c r="W504" i="2"/>
  <c r="X504" i="2"/>
  <c r="W542" i="2"/>
  <c r="X542" i="2"/>
  <c r="W533" i="2"/>
  <c r="X533" i="2"/>
  <c r="W524" i="2"/>
  <c r="X524" i="2"/>
  <c r="W515" i="2"/>
  <c r="X515" i="2"/>
  <c r="W166" i="2"/>
  <c r="X166" i="2"/>
  <c r="W167" i="2"/>
  <c r="X167" i="2"/>
  <c r="X26" i="2"/>
  <c r="W26" i="2"/>
  <c r="W443" i="2"/>
  <c r="X443" i="2"/>
  <c r="W778" i="2"/>
  <c r="X778" i="2"/>
  <c r="W424" i="2"/>
  <c r="X424" i="2"/>
  <c r="W422" i="2"/>
  <c r="X422" i="2"/>
  <c r="W420" i="2"/>
  <c r="X420" i="2"/>
  <c r="W344" i="2"/>
  <c r="X344" i="2"/>
  <c r="W331" i="2"/>
  <c r="X331" i="2"/>
  <c r="W325" i="2"/>
  <c r="X325" i="2"/>
  <c r="W77" i="2"/>
  <c r="X77" i="2"/>
  <c r="W885" i="2"/>
  <c r="X885" i="2"/>
  <c r="W895" i="2"/>
  <c r="X895" i="2"/>
  <c r="W886" i="2"/>
  <c r="X886" i="2"/>
  <c r="W896" i="2"/>
  <c r="X896" i="2"/>
  <c r="W739" i="2"/>
  <c r="X739" i="2"/>
  <c r="W730" i="2"/>
  <c r="X730" i="2"/>
  <c r="W729" i="2"/>
  <c r="X729" i="2"/>
  <c r="W728" i="2"/>
  <c r="X728" i="2"/>
  <c r="W727" i="2"/>
  <c r="X727" i="2"/>
  <c r="W726" i="2"/>
  <c r="X726" i="2"/>
  <c r="W725" i="2"/>
  <c r="X725" i="2"/>
  <c r="W716" i="2"/>
  <c r="X716" i="2"/>
  <c r="W400" i="2"/>
  <c r="X400" i="2"/>
  <c r="W337" i="2"/>
  <c r="X337" i="2"/>
  <c r="W597" i="2"/>
  <c r="X597" i="2"/>
  <c r="W594" i="2"/>
  <c r="X594" i="2"/>
  <c r="W593" i="2"/>
  <c r="X593" i="2"/>
  <c r="W592" i="2"/>
  <c r="X592" i="2"/>
  <c r="W591" i="2"/>
  <c r="X591" i="2"/>
  <c r="W566" i="2"/>
  <c r="X566" i="2"/>
  <c r="W588" i="2"/>
  <c r="X588" i="2"/>
  <c r="W579" i="2"/>
  <c r="X579" i="2"/>
  <c r="W280" i="2"/>
  <c r="X280" i="2"/>
  <c r="W276" i="2"/>
  <c r="X276" i="2"/>
  <c r="W198" i="2"/>
  <c r="X198" i="2"/>
  <c r="W202" i="2"/>
  <c r="X202" i="2"/>
  <c r="W133" i="2"/>
  <c r="X133" i="2"/>
  <c r="W94" i="2"/>
  <c r="X94" i="2"/>
  <c r="W100" i="2"/>
  <c r="X100" i="2"/>
  <c r="W106" i="2"/>
  <c r="X106" i="2"/>
  <c r="W120" i="2"/>
  <c r="X120" i="2"/>
  <c r="W95" i="2"/>
  <c r="X95" i="2"/>
  <c r="W54" i="2"/>
  <c r="X54" i="2"/>
  <c r="X798" i="2"/>
  <c r="W798" i="2"/>
  <c r="W808" i="2"/>
  <c r="X808" i="2"/>
  <c r="W819" i="2"/>
  <c r="X819" i="2"/>
  <c r="W814" i="2"/>
  <c r="X814" i="2"/>
  <c r="W678" i="2"/>
  <c r="X678" i="2"/>
  <c r="W369" i="2"/>
  <c r="X369" i="2"/>
  <c r="W351" i="2"/>
  <c r="X351" i="2"/>
  <c r="W349" i="2"/>
  <c r="X349" i="2"/>
  <c r="W378" i="2"/>
  <c r="X378" i="2"/>
  <c r="W381" i="2"/>
  <c r="X381" i="2"/>
  <c r="W259" i="2"/>
  <c r="X259" i="2"/>
  <c r="W143" i="2"/>
  <c r="X143" i="2"/>
  <c r="W659" i="2"/>
  <c r="X659" i="2"/>
  <c r="W661" i="2"/>
  <c r="X661" i="2"/>
  <c r="W458" i="2"/>
  <c r="X458" i="2"/>
  <c r="W488" i="2"/>
  <c r="X488" i="2"/>
  <c r="W471" i="2"/>
  <c r="X471" i="2"/>
  <c r="W454" i="2"/>
  <c r="X454" i="2"/>
  <c r="W484" i="2"/>
  <c r="X484" i="2"/>
  <c r="W475" i="2"/>
  <c r="X475" i="2"/>
  <c r="W681" i="2"/>
  <c r="X681" i="2"/>
  <c r="W191" i="2"/>
  <c r="X191" i="2"/>
  <c r="W19" i="2"/>
  <c r="X19" i="2"/>
  <c r="W772" i="2"/>
  <c r="X772" i="2"/>
  <c r="W754" i="2"/>
  <c r="X754" i="2"/>
  <c r="W759" i="2"/>
  <c r="X759" i="2"/>
  <c r="W749" i="2"/>
  <c r="X749" i="2"/>
  <c r="W312" i="2"/>
  <c r="X312" i="2"/>
  <c r="W308" i="2"/>
  <c r="X308" i="2"/>
  <c r="W148" i="2"/>
  <c r="X148" i="2"/>
  <c r="W70" i="2"/>
  <c r="X70" i="2"/>
  <c r="X868" i="2"/>
  <c r="W868" i="2"/>
  <c r="X875" i="2"/>
  <c r="W875" i="2"/>
  <c r="W853" i="2"/>
  <c r="X853" i="2"/>
  <c r="W747" i="2"/>
  <c r="X747" i="2"/>
  <c r="W89" i="2"/>
  <c r="X89" i="2"/>
  <c r="W7" i="2"/>
  <c r="X7" i="2"/>
  <c r="W835" i="2"/>
  <c r="X835" i="2"/>
  <c r="W844" i="2"/>
  <c r="X844" i="2"/>
  <c r="W649" i="2"/>
  <c r="X649" i="2"/>
  <c r="W645" i="2"/>
  <c r="X645" i="2"/>
  <c r="W445" i="2"/>
  <c r="X445" i="2"/>
  <c r="W613" i="2"/>
  <c r="X613" i="2"/>
  <c r="W84" i="2"/>
  <c r="X84" i="2"/>
  <c r="W633" i="2"/>
  <c r="X633" i="2"/>
  <c r="W629" i="2"/>
  <c r="X629" i="2"/>
  <c r="W862" i="2"/>
  <c r="X862" i="2"/>
  <c r="W388" i="2"/>
  <c r="X388" i="2"/>
  <c r="W295" i="2"/>
  <c r="X295" i="2"/>
  <c r="W299" i="2"/>
  <c r="X299" i="2"/>
  <c r="W236" i="2"/>
  <c r="X236" i="2"/>
  <c r="W234" i="2"/>
  <c r="X234" i="2"/>
  <c r="W216" i="2"/>
  <c r="X216" i="2"/>
  <c r="W245" i="2"/>
  <c r="X245" i="2"/>
  <c r="W240" i="2"/>
  <c r="X240" i="2"/>
  <c r="W64" i="2"/>
  <c r="X64" i="2"/>
  <c r="W52" i="2"/>
  <c r="X52" i="2"/>
  <c r="W788" i="2"/>
  <c r="X788" i="2"/>
  <c r="W530" i="2"/>
  <c r="X530" i="2"/>
  <c r="W513" i="2"/>
  <c r="X513" i="2"/>
  <c r="W543" i="2"/>
  <c r="X543" i="2"/>
  <c r="W534" i="2"/>
  <c r="X534" i="2"/>
  <c r="W525" i="2"/>
  <c r="X525" i="2"/>
  <c r="W516" i="2"/>
  <c r="X516" i="2"/>
  <c r="W507" i="2"/>
  <c r="X507" i="2"/>
  <c r="W157" i="2"/>
  <c r="X157" i="2"/>
  <c r="W23" i="2"/>
  <c r="X23" i="2"/>
  <c r="W153" i="2"/>
  <c r="X153" i="2"/>
  <c r="W777" i="2"/>
  <c r="X777" i="2"/>
  <c r="W434" i="2"/>
  <c r="X434" i="2"/>
  <c r="W416" i="2"/>
  <c r="X416" i="2"/>
  <c r="W414" i="2"/>
  <c r="X414" i="2"/>
  <c r="W412" i="2"/>
  <c r="X412" i="2"/>
  <c r="W343" i="2"/>
  <c r="X343" i="2"/>
  <c r="W322" i="2"/>
  <c r="X322" i="2"/>
  <c r="W317" i="2"/>
  <c r="X317" i="2"/>
  <c r="W76" i="2"/>
  <c r="X76" i="2"/>
  <c r="W893" i="2"/>
  <c r="X893" i="2"/>
  <c r="W903" i="2"/>
  <c r="X903" i="2"/>
  <c r="W894" i="2"/>
  <c r="X894" i="2"/>
  <c r="W904" i="2"/>
  <c r="X904" i="2"/>
  <c r="W731" i="2"/>
  <c r="X731" i="2"/>
  <c r="W722" i="2"/>
  <c r="X722" i="2"/>
  <c r="W721" i="2"/>
  <c r="X721" i="2"/>
  <c r="W720" i="2"/>
  <c r="X720" i="2"/>
  <c r="W719" i="2"/>
  <c r="X719" i="2"/>
  <c r="W718" i="2"/>
  <c r="X718" i="2"/>
  <c r="W717" i="2"/>
  <c r="X717" i="2"/>
  <c r="W708" i="2"/>
  <c r="X708" i="2"/>
  <c r="W407" i="2"/>
  <c r="X407" i="2"/>
  <c r="W336" i="2"/>
  <c r="X336" i="2"/>
  <c r="W590" i="2"/>
  <c r="X590" i="2"/>
  <c r="W586" i="2"/>
  <c r="X586" i="2"/>
  <c r="W585" i="2"/>
  <c r="X585" i="2"/>
  <c r="W584" i="2"/>
  <c r="X584" i="2"/>
  <c r="W583" i="2"/>
  <c r="X583" i="2"/>
  <c r="W558" i="2"/>
  <c r="X558" i="2"/>
  <c r="W580" i="2"/>
  <c r="X580" i="2"/>
  <c r="W571" i="2"/>
  <c r="X571" i="2"/>
  <c r="W272" i="2"/>
  <c r="X272" i="2"/>
  <c r="W283" i="2"/>
  <c r="X283" i="2"/>
  <c r="Y2" i="2"/>
  <c r="AA2" i="2"/>
  <c r="W206" i="2"/>
  <c r="X206" i="2"/>
  <c r="W170" i="2"/>
  <c r="X170" i="2"/>
  <c r="W132" i="2"/>
  <c r="X132" i="2"/>
  <c r="Y125" i="2"/>
  <c r="AA125" i="2"/>
  <c r="W123" i="2"/>
  <c r="X123" i="2"/>
  <c r="W98" i="2"/>
  <c r="X98" i="2"/>
  <c r="W112" i="2"/>
  <c r="X112" i="2"/>
  <c r="W61" i="2"/>
  <c r="X61" i="2"/>
  <c r="W800" i="2"/>
  <c r="X800" i="2"/>
  <c r="W827" i="2"/>
  <c r="X827" i="2"/>
  <c r="W810" i="2"/>
  <c r="X810" i="2"/>
  <c r="W812" i="2"/>
  <c r="X812" i="2"/>
  <c r="W822" i="2"/>
  <c r="X822" i="2"/>
  <c r="W670" i="2"/>
  <c r="X670" i="2"/>
  <c r="W361" i="2"/>
  <c r="X361" i="2"/>
  <c r="W374" i="2"/>
  <c r="X374" i="2"/>
  <c r="W372" i="2"/>
  <c r="X372" i="2"/>
  <c r="W385" i="2"/>
  <c r="X385" i="2"/>
  <c r="W380" i="2"/>
  <c r="X380" i="2"/>
  <c r="W266" i="2"/>
  <c r="X266" i="2"/>
  <c r="W142" i="2"/>
  <c r="X142" i="2"/>
  <c r="W666" i="2"/>
  <c r="X666" i="2"/>
  <c r="W668" i="2"/>
  <c r="X668" i="2"/>
  <c r="W497" i="2"/>
  <c r="X497" i="2"/>
  <c r="W480" i="2"/>
  <c r="X480" i="2"/>
  <c r="W463" i="2"/>
  <c r="X463" i="2"/>
  <c r="W493" i="2"/>
  <c r="X493" i="2"/>
  <c r="W476" i="2"/>
  <c r="X476" i="2"/>
  <c r="W467" i="2"/>
  <c r="X467" i="2"/>
  <c r="W761" i="2"/>
  <c r="X761" i="2"/>
  <c r="W753" i="2"/>
  <c r="X753" i="2"/>
  <c r="W183" i="2"/>
  <c r="X183" i="2"/>
  <c r="W21" i="2"/>
  <c r="X21" i="2"/>
  <c r="W764" i="2"/>
  <c r="X764" i="2"/>
  <c r="W769" i="2"/>
  <c r="X769" i="2"/>
  <c r="W751" i="2"/>
  <c r="X751" i="2"/>
  <c r="W683" i="2"/>
  <c r="X683" i="2"/>
  <c r="W304" i="2"/>
  <c r="X304" i="2"/>
  <c r="W300" i="2"/>
  <c r="X300" i="2"/>
  <c r="W147" i="2"/>
  <c r="X147" i="2"/>
  <c r="W869" i="2"/>
  <c r="X869" i="2"/>
  <c r="W876" i="2"/>
  <c r="X876" i="2"/>
  <c r="W864" i="2"/>
  <c r="X864" i="2"/>
  <c r="W850" i="2"/>
  <c r="X850" i="2"/>
  <c r="W746" i="2"/>
  <c r="X746" i="2"/>
  <c r="W88" i="2"/>
  <c r="X88" i="2"/>
  <c r="W6" i="2"/>
  <c r="X6" i="2"/>
  <c r="W843" i="2"/>
  <c r="X843" i="2"/>
  <c r="W833" i="2"/>
  <c r="X833" i="2"/>
  <c r="W656" i="2"/>
  <c r="X656" i="2"/>
  <c r="W652" i="2"/>
  <c r="X652" i="2"/>
  <c r="W444" i="2"/>
  <c r="X444" i="2"/>
  <c r="W614" i="2"/>
  <c r="X614" i="2"/>
  <c r="W83" i="2"/>
  <c r="X83" i="2"/>
  <c r="W625" i="2"/>
  <c r="X625" i="2"/>
  <c r="W636" i="2"/>
  <c r="X636" i="2"/>
  <c r="X857" i="2"/>
  <c r="W857" i="2"/>
  <c r="W398" i="2"/>
  <c r="X398" i="2"/>
  <c r="W387" i="2"/>
  <c r="X387" i="2"/>
  <c r="W287" i="2"/>
  <c r="X287" i="2"/>
  <c r="W291" i="2"/>
  <c r="X291" i="2"/>
  <c r="W228" i="2"/>
  <c r="X228" i="2"/>
  <c r="W226" i="2"/>
  <c r="X226" i="2"/>
  <c r="W231" i="2"/>
  <c r="X231" i="2"/>
  <c r="W244" i="2"/>
  <c r="X244" i="2"/>
  <c r="W209" i="2"/>
  <c r="X209" i="2"/>
  <c r="Y74" i="2"/>
  <c r="AC74" i="2"/>
  <c r="AD74" i="2" s="1"/>
  <c r="Z74" i="2"/>
  <c r="AA74" i="2"/>
  <c r="W63" i="2"/>
  <c r="X63" i="2"/>
  <c r="W787" i="2"/>
  <c r="X787" i="2"/>
  <c r="W785" i="2"/>
  <c r="X785" i="2"/>
  <c r="W522" i="2"/>
  <c r="X522" i="2"/>
  <c r="W505" i="2"/>
  <c r="X505" i="2"/>
  <c r="W535" i="2"/>
  <c r="X535" i="2"/>
  <c r="W526" i="2"/>
  <c r="X526" i="2"/>
  <c r="W517" i="2"/>
  <c r="X517" i="2"/>
  <c r="W508" i="2"/>
  <c r="X508" i="2"/>
  <c r="W252" i="2"/>
  <c r="X252" i="2"/>
  <c r="W164" i="2"/>
  <c r="X164" i="2"/>
  <c r="X28" i="2"/>
  <c r="W28" i="2"/>
  <c r="W154" i="2"/>
  <c r="X154" i="2"/>
  <c r="W779" i="2"/>
  <c r="X779" i="2"/>
  <c r="W426" i="2"/>
  <c r="X426" i="2"/>
  <c r="W439" i="2"/>
  <c r="X439" i="2"/>
  <c r="W437" i="2"/>
  <c r="X437" i="2"/>
  <c r="W435" i="2"/>
  <c r="X435" i="2"/>
  <c r="W347" i="2"/>
  <c r="X347" i="2"/>
  <c r="W321" i="2"/>
  <c r="X321" i="2"/>
  <c r="W324" i="2"/>
  <c r="X324" i="2"/>
  <c r="W75" i="2"/>
  <c r="X75" i="2"/>
  <c r="X901" i="2"/>
  <c r="W901" i="2"/>
  <c r="W884" i="2"/>
  <c r="X884" i="2"/>
  <c r="W902" i="2"/>
  <c r="X902" i="2"/>
  <c r="W803" i="2"/>
  <c r="X803" i="2"/>
  <c r="W723" i="2"/>
  <c r="X723" i="2"/>
  <c r="W714" i="2"/>
  <c r="X714" i="2"/>
  <c r="W713" i="2"/>
  <c r="X713" i="2"/>
  <c r="W712" i="2"/>
  <c r="X712" i="2"/>
  <c r="W711" i="2"/>
  <c r="X711" i="2"/>
  <c r="W710" i="2"/>
  <c r="X710" i="2"/>
  <c r="W709" i="2"/>
  <c r="X709" i="2"/>
  <c r="W700" i="2"/>
  <c r="X700" i="2"/>
  <c r="Y267" i="2"/>
  <c r="AC267" i="2"/>
  <c r="AD267" i="2" s="1"/>
  <c r="AA267" i="2"/>
  <c r="Z267" i="2"/>
  <c r="W399" i="2"/>
  <c r="X399" i="2"/>
  <c r="W335" i="2"/>
  <c r="X335" i="2"/>
  <c r="W589" i="2"/>
  <c r="X589" i="2"/>
  <c r="W578" i="2"/>
  <c r="X578" i="2"/>
  <c r="W577" i="2"/>
  <c r="X577" i="2"/>
  <c r="W576" i="2"/>
  <c r="X576" i="2"/>
  <c r="W575" i="2"/>
  <c r="X575" i="2"/>
  <c r="W581" i="2"/>
  <c r="X581" i="2"/>
  <c r="W572" i="2"/>
  <c r="X572" i="2"/>
  <c r="W563" i="2"/>
  <c r="X563" i="2"/>
  <c r="W279" i="2"/>
  <c r="X279" i="2"/>
  <c r="W275" i="2"/>
  <c r="X275" i="2"/>
  <c r="W193" i="2"/>
  <c r="X193" i="2"/>
  <c r="W195" i="2"/>
  <c r="X195" i="2"/>
  <c r="W172" i="2"/>
  <c r="X172" i="2"/>
  <c r="W131" i="2"/>
  <c r="X131" i="2"/>
  <c r="W117" i="2"/>
  <c r="X117" i="2"/>
  <c r="W115" i="2"/>
  <c r="X115" i="2"/>
  <c r="W129" i="2"/>
  <c r="X129" i="2"/>
  <c r="W104" i="2"/>
  <c r="X104" i="2"/>
  <c r="W60" i="2"/>
  <c r="X60" i="2"/>
  <c r="W797" i="2"/>
  <c r="X797" i="2"/>
  <c r="W816" i="2"/>
  <c r="X816" i="2"/>
  <c r="W818" i="2"/>
  <c r="X818" i="2"/>
  <c r="W820" i="2"/>
  <c r="X820" i="2"/>
  <c r="W830" i="2"/>
  <c r="X830" i="2"/>
  <c r="W677" i="2"/>
  <c r="X677" i="2"/>
  <c r="W353" i="2"/>
  <c r="X353" i="2"/>
  <c r="W366" i="2"/>
  <c r="X366" i="2"/>
  <c r="W364" i="2"/>
  <c r="X364" i="2"/>
  <c r="W377" i="2"/>
  <c r="X377" i="2"/>
  <c r="W379" i="2"/>
  <c r="X379" i="2"/>
  <c r="W263" i="2"/>
  <c r="X263" i="2"/>
  <c r="W145" i="2"/>
  <c r="X145" i="2"/>
  <c r="W658" i="2"/>
  <c r="X658" i="2"/>
  <c r="W660" i="2"/>
  <c r="X660" i="2"/>
  <c r="W489" i="2"/>
  <c r="X489" i="2"/>
  <c r="W472" i="2"/>
  <c r="X472" i="2"/>
  <c r="W455" i="2"/>
  <c r="X455" i="2"/>
  <c r="W485" i="2"/>
  <c r="X485" i="2"/>
  <c r="W468" i="2"/>
  <c r="X468" i="2"/>
  <c r="W459" i="2"/>
  <c r="X459" i="2"/>
  <c r="AC29" i="2"/>
  <c r="AD29" i="2" s="1"/>
  <c r="Z29" i="2"/>
  <c r="AA29" i="2"/>
  <c r="T31" i="2"/>
  <c r="W31" i="2" s="1"/>
  <c r="Y31" i="2" s="1"/>
  <c r="AD125" i="2"/>
  <c r="Z125" i="2"/>
  <c r="S127" i="2"/>
  <c r="X127" i="2" s="1"/>
  <c r="AC127" i="2" s="1"/>
  <c r="X126" i="2"/>
  <c r="AC126" i="2" s="1"/>
  <c r="AC829" i="2" l="1"/>
  <c r="AD829" i="2" s="1"/>
  <c r="AC894" i="2"/>
  <c r="AD894" i="2" s="1"/>
  <c r="AC124" i="2"/>
  <c r="AD124" i="2" s="1"/>
  <c r="AC867" i="2"/>
  <c r="AD867" i="2" s="1"/>
  <c r="AB2" i="2"/>
  <c r="AE2" i="2"/>
  <c r="AF2" i="2" s="1"/>
  <c r="Y343" i="2"/>
  <c r="AC343" i="2"/>
  <c r="AD343" i="2" s="1"/>
  <c r="AA343" i="2"/>
  <c r="Z343" i="2"/>
  <c r="Y445" i="2"/>
  <c r="AA445" i="2"/>
  <c r="AC445" i="2"/>
  <c r="AD445" i="2" s="1"/>
  <c r="Z445" i="2"/>
  <c r="Y747" i="2"/>
  <c r="AA747" i="2"/>
  <c r="AC747" i="2"/>
  <c r="AD747" i="2" s="1"/>
  <c r="Z747" i="2"/>
  <c r="Y754" i="2"/>
  <c r="AA754" i="2"/>
  <c r="AC754" i="2"/>
  <c r="AD754" i="2" s="1"/>
  <c r="Z754" i="2"/>
  <c r="Y276" i="2"/>
  <c r="AA276" i="2"/>
  <c r="AC276" i="2"/>
  <c r="AD276" i="2" s="1"/>
  <c r="Z276" i="2"/>
  <c r="Y566" i="2"/>
  <c r="AC566" i="2"/>
  <c r="AD566" i="2" s="1"/>
  <c r="Z566" i="2"/>
  <c r="AA566" i="2"/>
  <c r="Y400" i="2"/>
  <c r="AA400" i="2"/>
  <c r="AC400" i="2"/>
  <c r="AD400" i="2" s="1"/>
  <c r="Z400" i="2"/>
  <c r="Y727" i="2"/>
  <c r="AC727" i="2"/>
  <c r="AD727" i="2" s="1"/>
  <c r="Z727" i="2"/>
  <c r="AA727" i="2"/>
  <c r="Y331" i="2"/>
  <c r="AA331" i="2"/>
  <c r="AC331" i="2"/>
  <c r="AD331" i="2" s="1"/>
  <c r="Z331" i="2"/>
  <c r="Y504" i="2"/>
  <c r="AC504" i="2"/>
  <c r="AD504" i="2" s="1"/>
  <c r="Z504" i="2"/>
  <c r="AA504" i="2"/>
  <c r="Y246" i="2"/>
  <c r="AC246" i="2"/>
  <c r="AD246" i="2" s="1"/>
  <c r="AA246" i="2"/>
  <c r="Z246" i="2"/>
  <c r="Y284" i="2"/>
  <c r="AC284" i="2"/>
  <c r="AD284" i="2" s="1"/>
  <c r="AA284" i="2"/>
  <c r="Z284" i="2"/>
  <c r="Y836" i="2"/>
  <c r="AA836" i="2"/>
  <c r="AC836" i="2"/>
  <c r="AD836" i="2" s="1"/>
  <c r="Z836" i="2"/>
  <c r="Y90" i="2"/>
  <c r="AA90" i="2"/>
  <c r="AC90" i="2"/>
  <c r="AD90" i="2" s="1"/>
  <c r="Z90" i="2"/>
  <c r="Y879" i="2"/>
  <c r="AA879" i="2"/>
  <c r="Z879" i="2"/>
  <c r="Y305" i="2"/>
  <c r="AC305" i="2"/>
  <c r="AD305" i="2" s="1"/>
  <c r="Z305" i="2"/>
  <c r="AA305" i="2"/>
  <c r="Y483" i="2"/>
  <c r="AC483" i="2"/>
  <c r="AD483" i="2" s="1"/>
  <c r="Z483" i="2"/>
  <c r="AA483" i="2"/>
  <c r="Y269" i="2"/>
  <c r="AA269" i="2"/>
  <c r="AC269" i="2"/>
  <c r="AD269" i="2" s="1"/>
  <c r="Z269" i="2"/>
  <c r="Y332" i="2"/>
  <c r="AC332" i="2"/>
  <c r="AD332" i="2" s="1"/>
  <c r="AA332" i="2"/>
  <c r="Z332" i="2"/>
  <c r="Y432" i="2"/>
  <c r="AC432" i="2"/>
  <c r="AD432" i="2" s="1"/>
  <c r="Z432" i="2"/>
  <c r="AA432" i="2"/>
  <c r="Y529" i="2"/>
  <c r="AA529" i="2"/>
  <c r="AC529" i="2"/>
  <c r="AD529" i="2" s="1"/>
  <c r="Z529" i="2"/>
  <c r="Y66" i="2"/>
  <c r="AA66" i="2"/>
  <c r="AC66" i="2"/>
  <c r="AD66" i="2" s="1"/>
  <c r="Z66" i="2"/>
  <c r="Y232" i="2"/>
  <c r="AC232" i="2"/>
  <c r="AD232" i="2" s="1"/>
  <c r="AA232" i="2"/>
  <c r="Z232" i="2"/>
  <c r="Y630" i="2"/>
  <c r="AA630" i="2"/>
  <c r="AC630" i="2"/>
  <c r="AD630" i="2" s="1"/>
  <c r="Z630" i="2"/>
  <c r="Y447" i="2"/>
  <c r="AA447" i="2"/>
  <c r="AC447" i="2"/>
  <c r="AD447" i="2" s="1"/>
  <c r="Z447" i="2"/>
  <c r="Y910" i="2"/>
  <c r="AA910" i="2"/>
  <c r="AC910" i="2"/>
  <c r="AD910" i="2" s="1"/>
  <c r="Z910" i="2"/>
  <c r="Y856" i="2"/>
  <c r="AA856" i="2"/>
  <c r="AC856" i="2"/>
  <c r="AD856" i="2" s="1"/>
  <c r="Z856" i="2"/>
  <c r="Y187" i="2"/>
  <c r="AC187" i="2"/>
  <c r="AD187" i="2" s="1"/>
  <c r="AA187" i="2"/>
  <c r="Z187" i="2"/>
  <c r="Y487" i="2"/>
  <c r="AC487" i="2"/>
  <c r="AD487" i="2" s="1"/>
  <c r="AA487" i="2"/>
  <c r="Z487" i="2"/>
  <c r="Y3" i="2"/>
  <c r="AA3" i="2"/>
  <c r="AC3" i="2"/>
  <c r="AD3" i="2" s="1"/>
  <c r="Z3" i="2"/>
  <c r="Z122" i="2"/>
  <c r="Y134" i="2"/>
  <c r="AC134" i="2"/>
  <c r="AD134" i="2" s="1"/>
  <c r="AA134" i="2"/>
  <c r="Z134" i="2"/>
  <c r="Y277" i="2"/>
  <c r="AC277" i="2"/>
  <c r="AD277" i="2" s="1"/>
  <c r="AA277" i="2"/>
  <c r="Z277" i="2"/>
  <c r="Y582" i="2"/>
  <c r="AA582" i="2"/>
  <c r="AC582" i="2"/>
  <c r="AD582" i="2" s="1"/>
  <c r="Z582" i="2"/>
  <c r="Y610" i="2"/>
  <c r="AA610" i="2"/>
  <c r="AC610" i="2"/>
  <c r="AD610" i="2" s="1"/>
  <c r="Z610" i="2"/>
  <c r="Y742" i="2"/>
  <c r="AC742" i="2"/>
  <c r="AD742" i="2" s="1"/>
  <c r="AA742" i="2"/>
  <c r="Z742" i="2"/>
  <c r="Y745" i="2"/>
  <c r="AA745" i="2"/>
  <c r="AC745" i="2"/>
  <c r="AD745" i="2" s="1"/>
  <c r="Z745" i="2"/>
  <c r="AE268" i="2"/>
  <c r="AF268" i="2" s="1"/>
  <c r="AB268" i="2"/>
  <c r="Y782" i="2"/>
  <c r="Z782" i="2"/>
  <c r="AC782" i="2"/>
  <c r="AD782" i="2" s="1"/>
  <c r="AA782" i="2"/>
  <c r="Y159" i="2"/>
  <c r="AC159" i="2"/>
  <c r="AD159" i="2" s="1"/>
  <c r="Z159" i="2"/>
  <c r="AA159" i="2"/>
  <c r="Y684" i="2"/>
  <c r="AA684" i="2"/>
  <c r="AC684" i="2"/>
  <c r="AD684" i="2" s="1"/>
  <c r="Z684" i="2"/>
  <c r="Y181" i="2"/>
  <c r="AC181" i="2"/>
  <c r="AD181" i="2" s="1"/>
  <c r="Z181" i="2"/>
  <c r="AA181" i="2"/>
  <c r="Y915" i="2"/>
  <c r="AC915" i="2"/>
  <c r="AD915" i="2" s="1"/>
  <c r="AA915" i="2"/>
  <c r="Z915" i="2"/>
  <c r="Y848" i="2"/>
  <c r="AC848" i="2"/>
  <c r="AD848" i="2" s="1"/>
  <c r="Z848" i="2"/>
  <c r="AA848" i="2"/>
  <c r="Y15" i="2"/>
  <c r="AA15" i="2"/>
  <c r="AC15" i="2"/>
  <c r="AD15" i="2" s="1"/>
  <c r="Z15" i="2"/>
  <c r="Y664" i="2"/>
  <c r="AC664" i="2"/>
  <c r="AD664" i="2" s="1"/>
  <c r="Z664" i="2"/>
  <c r="AA664" i="2"/>
  <c r="Y383" i="2"/>
  <c r="AC383" i="2"/>
  <c r="AD383" i="2" s="1"/>
  <c r="AA383" i="2"/>
  <c r="Z383" i="2"/>
  <c r="Y370" i="2"/>
  <c r="AC370" i="2"/>
  <c r="AD370" i="2" s="1"/>
  <c r="AA370" i="2"/>
  <c r="Z370" i="2"/>
  <c r="Y118" i="2"/>
  <c r="AA118" i="2"/>
  <c r="AC118" i="2"/>
  <c r="AD118" i="2" s="1"/>
  <c r="Z118" i="2"/>
  <c r="Y174" i="2"/>
  <c r="AC174" i="2"/>
  <c r="AD174" i="2" s="1"/>
  <c r="AA174" i="2"/>
  <c r="Z174" i="2"/>
  <c r="Y557" i="2"/>
  <c r="AC557" i="2"/>
  <c r="AD557" i="2" s="1"/>
  <c r="Z557" i="2"/>
  <c r="AA557" i="2"/>
  <c r="Y554" i="2"/>
  <c r="AA554" i="2"/>
  <c r="AC554" i="2"/>
  <c r="AD554" i="2" s="1"/>
  <c r="Z554" i="2"/>
  <c r="Y409" i="2"/>
  <c r="AA409" i="2"/>
  <c r="AC409" i="2"/>
  <c r="AD409" i="2" s="1"/>
  <c r="Z409" i="2"/>
  <c r="Y27" i="2"/>
  <c r="Z27" i="2"/>
  <c r="AA27" i="2"/>
  <c r="AC27" i="2"/>
  <c r="AD27" i="2" s="1"/>
  <c r="Y511" i="2"/>
  <c r="AC511" i="2"/>
  <c r="AD511" i="2" s="1"/>
  <c r="AA511" i="2"/>
  <c r="Z511" i="2"/>
  <c r="Y235" i="2"/>
  <c r="AC235" i="2"/>
  <c r="AD235" i="2" s="1"/>
  <c r="Z235" i="2"/>
  <c r="AA235" i="2"/>
  <c r="Y647" i="2"/>
  <c r="AC647" i="2"/>
  <c r="AD647" i="2" s="1"/>
  <c r="AA647" i="2"/>
  <c r="Z647" i="2"/>
  <c r="Y11" i="2"/>
  <c r="AA11" i="2"/>
  <c r="AC11" i="2"/>
  <c r="AD11" i="2" s="1"/>
  <c r="Z11" i="2"/>
  <c r="Y851" i="2"/>
  <c r="Z851" i="2"/>
  <c r="AA851" i="2"/>
  <c r="AC851" i="2"/>
  <c r="AD851" i="2" s="1"/>
  <c r="Y152" i="2"/>
  <c r="AA152" i="2"/>
  <c r="AC152" i="2"/>
  <c r="AD152" i="2" s="1"/>
  <c r="Z152" i="2"/>
  <c r="Y750" i="2"/>
  <c r="AC750" i="2"/>
  <c r="AD750" i="2" s="1"/>
  <c r="AA750" i="2"/>
  <c r="Z750" i="2"/>
  <c r="Y486" i="2"/>
  <c r="AC486" i="2"/>
  <c r="AD486" i="2" s="1"/>
  <c r="Z486" i="2"/>
  <c r="AA486" i="2"/>
  <c r="AC805" i="2"/>
  <c r="AD805" i="2" s="1"/>
  <c r="Y562" i="2"/>
  <c r="AA562" i="2"/>
  <c r="AC562" i="2"/>
  <c r="AD562" i="2" s="1"/>
  <c r="Z562" i="2"/>
  <c r="Y698" i="2"/>
  <c r="AC698" i="2"/>
  <c r="AD698" i="2" s="1"/>
  <c r="AA698" i="2"/>
  <c r="Z698" i="2"/>
  <c r="Y900" i="2"/>
  <c r="AA900" i="2"/>
  <c r="AC900" i="2"/>
  <c r="AD900" i="2" s="1"/>
  <c r="Z900" i="2"/>
  <c r="Y327" i="2"/>
  <c r="AC327" i="2"/>
  <c r="AD327" i="2" s="1"/>
  <c r="AA327" i="2"/>
  <c r="Z327" i="2"/>
  <c r="Y423" i="2"/>
  <c r="AC423" i="2"/>
  <c r="AD423" i="2" s="1"/>
  <c r="AA423" i="2"/>
  <c r="Z423" i="2"/>
  <c r="Y831" i="2"/>
  <c r="AA831" i="2"/>
  <c r="Z831" i="2"/>
  <c r="AC831" i="2"/>
  <c r="AD831" i="2" s="1"/>
  <c r="Y547" i="2"/>
  <c r="AC547" i="2"/>
  <c r="AD547" i="2" s="1"/>
  <c r="Z547" i="2"/>
  <c r="AA547" i="2"/>
  <c r="Y250" i="2"/>
  <c r="AC250" i="2"/>
  <c r="AD250" i="2" s="1"/>
  <c r="AA250" i="2"/>
  <c r="Z250" i="2"/>
  <c r="Y771" i="2"/>
  <c r="AA771" i="2"/>
  <c r="AC771" i="2"/>
  <c r="AD771" i="2" s="1"/>
  <c r="Z771" i="2"/>
  <c r="Y494" i="2"/>
  <c r="AC494" i="2"/>
  <c r="AD494" i="2" s="1"/>
  <c r="AA494" i="2"/>
  <c r="Z494" i="2"/>
  <c r="Y498" i="2"/>
  <c r="AC498" i="2"/>
  <c r="AD498" i="2" s="1"/>
  <c r="AA498" i="2"/>
  <c r="Z498" i="2"/>
  <c r="Y258" i="2"/>
  <c r="AC258" i="2"/>
  <c r="AD258" i="2" s="1"/>
  <c r="AA258" i="2"/>
  <c r="Z258" i="2"/>
  <c r="Y59" i="2"/>
  <c r="AA59" i="2"/>
  <c r="AC59" i="2"/>
  <c r="AD59" i="2" s="1"/>
  <c r="Z59" i="2"/>
  <c r="Y109" i="2"/>
  <c r="AA109" i="2"/>
  <c r="AC109" i="2"/>
  <c r="AD109" i="2" s="1"/>
  <c r="Z109" i="2"/>
  <c r="Y199" i="2"/>
  <c r="AC199" i="2"/>
  <c r="AD199" i="2" s="1"/>
  <c r="AA199" i="2"/>
  <c r="Z199" i="2"/>
  <c r="Y564" i="2"/>
  <c r="AC564" i="2"/>
  <c r="AD564" i="2" s="1"/>
  <c r="AA564" i="2"/>
  <c r="Z564" i="2"/>
  <c r="Y569" i="2"/>
  <c r="AA569" i="2"/>
  <c r="AC569" i="2"/>
  <c r="AD569" i="2" s="1"/>
  <c r="Z569" i="2"/>
  <c r="Y705" i="2"/>
  <c r="AA705" i="2"/>
  <c r="AC705" i="2"/>
  <c r="AD705" i="2" s="1"/>
  <c r="Z705" i="2"/>
  <c r="Y316" i="2"/>
  <c r="AA316" i="2"/>
  <c r="AC316" i="2"/>
  <c r="AD316" i="2" s="1"/>
  <c r="Z316" i="2"/>
  <c r="Y781" i="2"/>
  <c r="AC781" i="2"/>
  <c r="AD781" i="2" s="1"/>
  <c r="Z781" i="2"/>
  <c r="AA781" i="2"/>
  <c r="Y251" i="2"/>
  <c r="AA251" i="2"/>
  <c r="AC251" i="2"/>
  <c r="AD251" i="2" s="1"/>
  <c r="Z251" i="2"/>
  <c r="Y792" i="2"/>
  <c r="AC792" i="2"/>
  <c r="AD792" i="2" s="1"/>
  <c r="AA792" i="2"/>
  <c r="Z792" i="2"/>
  <c r="Y208" i="2"/>
  <c r="AA208" i="2"/>
  <c r="AC208" i="2"/>
  <c r="AD208" i="2" s="1"/>
  <c r="Z208" i="2"/>
  <c r="Y220" i="2"/>
  <c r="AC220" i="2"/>
  <c r="AD220" i="2" s="1"/>
  <c r="Z220" i="2"/>
  <c r="AA220" i="2"/>
  <c r="Y632" i="2"/>
  <c r="AA632" i="2"/>
  <c r="AC632" i="2"/>
  <c r="AD632" i="2" s="1"/>
  <c r="Z632" i="2"/>
  <c r="Y451" i="2"/>
  <c r="AC451" i="2"/>
  <c r="AD451" i="2" s="1"/>
  <c r="AA451" i="2"/>
  <c r="Z451" i="2"/>
  <c r="Y840" i="2"/>
  <c r="Z840" i="2"/>
  <c r="AC840" i="2"/>
  <c r="AD840" i="2" s="1"/>
  <c r="AA840" i="2"/>
  <c r="Y847" i="2"/>
  <c r="AC847" i="2"/>
  <c r="AD847" i="2" s="1"/>
  <c r="Z847" i="2"/>
  <c r="AA847" i="2"/>
  <c r="Y146" i="2"/>
  <c r="AC146" i="2"/>
  <c r="AD146" i="2" s="1"/>
  <c r="AA146" i="2"/>
  <c r="Z146" i="2"/>
  <c r="Y485" i="2"/>
  <c r="AC485" i="2"/>
  <c r="AD485" i="2" s="1"/>
  <c r="AA485" i="2"/>
  <c r="Z485" i="2"/>
  <c r="Y830" i="2"/>
  <c r="AA830" i="2"/>
  <c r="Z830" i="2"/>
  <c r="AC830" i="2"/>
  <c r="AD830" i="2" s="1"/>
  <c r="Y129" i="2"/>
  <c r="AA129" i="2"/>
  <c r="AC129" i="2"/>
  <c r="AD129" i="2" s="1"/>
  <c r="Z129" i="2"/>
  <c r="Y172" i="2"/>
  <c r="AA172" i="2"/>
  <c r="AC172" i="2"/>
  <c r="AD172" i="2" s="1"/>
  <c r="Z172" i="2"/>
  <c r="Y279" i="2"/>
  <c r="AC279" i="2"/>
  <c r="AD279" i="2" s="1"/>
  <c r="AA279" i="2"/>
  <c r="Z279" i="2"/>
  <c r="Y575" i="2"/>
  <c r="AC575" i="2"/>
  <c r="AD575" i="2" s="1"/>
  <c r="AA575" i="2"/>
  <c r="Z575" i="2"/>
  <c r="Y714" i="2"/>
  <c r="AA714" i="2"/>
  <c r="AC714" i="2"/>
  <c r="AD714" i="2" s="1"/>
  <c r="Z714" i="2"/>
  <c r="Y28" i="2"/>
  <c r="Z28" i="2"/>
  <c r="AA28" i="2"/>
  <c r="AC28" i="2"/>
  <c r="AD28" i="2" s="1"/>
  <c r="Y508" i="2"/>
  <c r="AA508" i="2"/>
  <c r="AC508" i="2"/>
  <c r="AD508" i="2" s="1"/>
  <c r="Z508" i="2"/>
  <c r="Y505" i="2"/>
  <c r="AC505" i="2"/>
  <c r="AD505" i="2" s="1"/>
  <c r="AA505" i="2"/>
  <c r="Z505" i="2"/>
  <c r="Y625" i="2"/>
  <c r="AC625" i="2"/>
  <c r="AD625" i="2" s="1"/>
  <c r="Z625" i="2"/>
  <c r="AA625" i="2"/>
  <c r="Y444" i="2"/>
  <c r="AA444" i="2"/>
  <c r="AC444" i="2"/>
  <c r="AD444" i="2" s="1"/>
  <c r="Z444" i="2"/>
  <c r="Y869" i="2"/>
  <c r="AA869" i="2"/>
  <c r="Z869" i="2"/>
  <c r="AC869" i="2"/>
  <c r="AD869" i="2" s="1"/>
  <c r="Y764" i="2"/>
  <c r="AC764" i="2"/>
  <c r="AD764" i="2" s="1"/>
  <c r="Z764" i="2"/>
  <c r="AA764" i="2"/>
  <c r="Y336" i="2"/>
  <c r="AA336" i="2"/>
  <c r="AC336" i="2"/>
  <c r="AD336" i="2" s="1"/>
  <c r="Z336" i="2"/>
  <c r="Y412" i="2"/>
  <c r="AC412" i="2"/>
  <c r="AD412" i="2" s="1"/>
  <c r="Z412" i="2"/>
  <c r="AA412" i="2"/>
  <c r="Y777" i="2"/>
  <c r="AA777" i="2"/>
  <c r="Z777" i="2"/>
  <c r="AC777" i="2"/>
  <c r="AD777" i="2" s="1"/>
  <c r="Y234" i="2"/>
  <c r="AC234" i="2"/>
  <c r="AD234" i="2" s="1"/>
  <c r="AA234" i="2"/>
  <c r="Z234" i="2"/>
  <c r="Y388" i="2"/>
  <c r="AA388" i="2"/>
  <c r="AC388" i="2"/>
  <c r="AD388" i="2" s="1"/>
  <c r="Z388" i="2"/>
  <c r="Y645" i="2"/>
  <c r="AA645" i="2"/>
  <c r="AC645" i="2"/>
  <c r="AD645" i="2" s="1"/>
  <c r="Z645" i="2"/>
  <c r="Y772" i="2"/>
  <c r="AC772" i="2"/>
  <c r="AD772" i="2" s="1"/>
  <c r="AA772" i="2"/>
  <c r="Z772" i="2"/>
  <c r="AC814" i="2"/>
  <c r="AD814" i="2" s="1"/>
  <c r="Y133" i="2"/>
  <c r="AC133" i="2"/>
  <c r="AD133" i="2" s="1"/>
  <c r="AA133" i="2"/>
  <c r="Z133" i="2"/>
  <c r="Y280" i="2"/>
  <c r="AC280" i="2"/>
  <c r="AD280" i="2" s="1"/>
  <c r="AA280" i="2"/>
  <c r="Z280" i="2"/>
  <c r="Y591" i="2"/>
  <c r="AA591" i="2"/>
  <c r="AC591" i="2"/>
  <c r="AD591" i="2" s="1"/>
  <c r="Z591" i="2"/>
  <c r="Y716" i="2"/>
  <c r="AC716" i="2"/>
  <c r="AD716" i="2" s="1"/>
  <c r="AA716" i="2"/>
  <c r="Z716" i="2"/>
  <c r="Y344" i="2"/>
  <c r="AC344" i="2"/>
  <c r="AD344" i="2" s="1"/>
  <c r="Z344" i="2"/>
  <c r="AA344" i="2"/>
  <c r="Y424" i="2"/>
  <c r="AC424" i="2"/>
  <c r="AD424" i="2" s="1"/>
  <c r="AA424" i="2"/>
  <c r="Z424" i="2"/>
  <c r="Y167" i="2"/>
  <c r="AC167" i="2"/>
  <c r="AD167" i="2" s="1"/>
  <c r="AA167" i="2"/>
  <c r="Z167" i="2"/>
  <c r="Y521" i="2"/>
  <c r="AA521" i="2"/>
  <c r="AC521" i="2"/>
  <c r="AD521" i="2" s="1"/>
  <c r="Z521" i="2"/>
  <c r="Y65" i="2"/>
  <c r="AC65" i="2"/>
  <c r="AD65" i="2" s="1"/>
  <c r="Z65" i="2"/>
  <c r="AA65" i="2"/>
  <c r="Y224" i="2"/>
  <c r="AA224" i="2"/>
  <c r="AC224" i="2"/>
  <c r="AD224" i="2" s="1"/>
  <c r="Z224" i="2"/>
  <c r="Y288" i="2"/>
  <c r="AC288" i="2"/>
  <c r="AD288" i="2" s="1"/>
  <c r="AA288" i="2"/>
  <c r="Z288" i="2"/>
  <c r="Y854" i="2"/>
  <c r="AC854" i="2"/>
  <c r="AD854" i="2" s="1"/>
  <c r="AA854" i="2"/>
  <c r="Z854" i="2"/>
  <c r="Y71" i="2"/>
  <c r="AA71" i="2"/>
  <c r="AC71" i="2"/>
  <c r="AD71" i="2" s="1"/>
  <c r="Z71" i="2"/>
  <c r="Y757" i="2"/>
  <c r="AC757" i="2"/>
  <c r="AD757" i="2" s="1"/>
  <c r="AA757" i="2"/>
  <c r="Z757" i="2"/>
  <c r="Y14" i="2"/>
  <c r="AC14" i="2"/>
  <c r="AD14" i="2" s="1"/>
  <c r="AA14" i="2"/>
  <c r="Z14" i="2"/>
  <c r="Y492" i="2"/>
  <c r="AA492" i="2"/>
  <c r="AC492" i="2"/>
  <c r="AD492" i="2" s="1"/>
  <c r="Z492" i="2"/>
  <c r="Y55" i="2"/>
  <c r="AC55" i="2"/>
  <c r="AD55" i="2" s="1"/>
  <c r="AA55" i="2"/>
  <c r="Z55" i="2"/>
  <c r="Y194" i="2"/>
  <c r="AA194" i="2"/>
  <c r="AC194" i="2"/>
  <c r="AD194" i="2" s="1"/>
  <c r="Z194" i="2"/>
  <c r="Y273" i="2"/>
  <c r="AA273" i="2"/>
  <c r="Z273" i="2"/>
  <c r="AC273" i="2"/>
  <c r="AD273" i="2" s="1"/>
  <c r="Y887" i="2"/>
  <c r="Z887" i="2"/>
  <c r="AA887" i="2"/>
  <c r="AC887" i="2"/>
  <c r="AD887" i="2" s="1"/>
  <c r="Y345" i="2"/>
  <c r="AA345" i="2"/>
  <c r="AC345" i="2"/>
  <c r="AD345" i="2" s="1"/>
  <c r="Z345" i="2"/>
  <c r="Y776" i="2"/>
  <c r="AC776" i="2"/>
  <c r="AD776" i="2" s="1"/>
  <c r="AA776" i="2"/>
  <c r="Z776" i="2"/>
  <c r="Y546" i="2"/>
  <c r="AC546" i="2"/>
  <c r="AD546" i="2" s="1"/>
  <c r="Z546" i="2"/>
  <c r="AA546" i="2"/>
  <c r="Y179" i="2"/>
  <c r="AA179" i="2"/>
  <c r="AC179" i="2"/>
  <c r="AD179" i="2" s="1"/>
  <c r="Z179" i="2"/>
  <c r="Y219" i="2"/>
  <c r="AC219" i="2"/>
  <c r="AD219" i="2" s="1"/>
  <c r="AA219" i="2"/>
  <c r="Z219" i="2"/>
  <c r="Y634" i="2"/>
  <c r="AA634" i="2"/>
  <c r="AC634" i="2"/>
  <c r="AD634" i="2" s="1"/>
  <c r="Z634" i="2"/>
  <c r="Y646" i="2"/>
  <c r="AA646" i="2"/>
  <c r="AC646" i="2"/>
  <c r="AD646" i="2" s="1"/>
  <c r="Z646" i="2"/>
  <c r="Y9" i="2"/>
  <c r="AC9" i="2"/>
  <c r="AD9" i="2" s="1"/>
  <c r="AA9" i="2"/>
  <c r="Z9" i="2"/>
  <c r="Y878" i="2"/>
  <c r="AC878" i="2"/>
  <c r="AD878" i="2" s="1"/>
  <c r="AA878" i="2"/>
  <c r="Z878" i="2"/>
  <c r="Y185" i="2"/>
  <c r="AA185" i="2"/>
  <c r="AC185" i="2"/>
  <c r="AD185" i="2" s="1"/>
  <c r="Z185" i="2"/>
  <c r="Y457" i="2"/>
  <c r="AC457" i="2"/>
  <c r="AD457" i="2" s="1"/>
  <c r="AA457" i="2"/>
  <c r="Z457" i="2"/>
  <c r="Y205" i="2"/>
  <c r="AC205" i="2"/>
  <c r="AD205" i="2" s="1"/>
  <c r="AA205" i="2"/>
  <c r="Z205" i="2"/>
  <c r="Y281" i="2"/>
  <c r="AC281" i="2"/>
  <c r="AD281" i="2" s="1"/>
  <c r="AA281" i="2"/>
  <c r="Z281" i="2"/>
  <c r="Y607" i="2"/>
  <c r="AA607" i="2"/>
  <c r="AC607" i="2"/>
  <c r="AD607" i="2" s="1"/>
  <c r="Z607" i="2"/>
  <c r="Y340" i="2"/>
  <c r="AA340" i="2"/>
  <c r="AC340" i="2"/>
  <c r="AD340" i="2" s="1"/>
  <c r="Z340" i="2"/>
  <c r="Y691" i="2"/>
  <c r="AA691" i="2"/>
  <c r="AC691" i="2"/>
  <c r="AD691" i="2" s="1"/>
  <c r="Z691" i="2"/>
  <c r="Y774" i="2"/>
  <c r="AC774" i="2"/>
  <c r="AD774" i="2" s="1"/>
  <c r="AA774" i="2"/>
  <c r="Z774" i="2"/>
  <c r="Y531" i="2"/>
  <c r="AC531" i="2"/>
  <c r="AD531" i="2" s="1"/>
  <c r="AA531" i="2"/>
  <c r="Z531" i="2"/>
  <c r="Y503" i="2"/>
  <c r="AC503" i="2"/>
  <c r="AD503" i="2" s="1"/>
  <c r="AA503" i="2"/>
  <c r="Z503" i="2"/>
  <c r="Y786" i="2"/>
  <c r="Z786" i="2"/>
  <c r="AA786" i="2"/>
  <c r="AC786" i="2"/>
  <c r="AD786" i="2" s="1"/>
  <c r="Y249" i="2"/>
  <c r="AC249" i="2"/>
  <c r="AD249" i="2" s="1"/>
  <c r="AA249" i="2"/>
  <c r="Z249" i="2"/>
  <c r="Y10" i="2"/>
  <c r="AC10" i="2"/>
  <c r="AD10" i="2" s="1"/>
  <c r="Z10" i="2"/>
  <c r="AA10" i="2"/>
  <c r="Y870" i="2"/>
  <c r="AA870" i="2"/>
  <c r="AC870" i="2"/>
  <c r="AD870" i="2" s="1"/>
  <c r="Z870" i="2"/>
  <c r="Y188" i="2"/>
  <c r="AA188" i="2"/>
  <c r="AC188" i="2"/>
  <c r="AD188" i="2" s="1"/>
  <c r="Z188" i="2"/>
  <c r="Y4" i="2"/>
  <c r="AA4" i="2"/>
  <c r="AC4" i="2"/>
  <c r="AD4" i="2" s="1"/>
  <c r="Z4" i="2"/>
  <c r="Y371" i="2"/>
  <c r="AC371" i="2"/>
  <c r="AD371" i="2" s="1"/>
  <c r="AA371" i="2"/>
  <c r="Z371" i="2"/>
  <c r="Y673" i="2"/>
  <c r="AA673" i="2"/>
  <c r="AC673" i="2"/>
  <c r="AD673" i="2" s="1"/>
  <c r="Z673" i="2"/>
  <c r="Y168" i="2"/>
  <c r="AC168" i="2"/>
  <c r="AD168" i="2" s="1"/>
  <c r="Z168" i="2"/>
  <c r="AA168" i="2"/>
  <c r="Y270" i="2"/>
  <c r="AC270" i="2"/>
  <c r="AD270" i="2" s="1"/>
  <c r="Z270" i="2"/>
  <c r="AA270" i="2"/>
  <c r="Y551" i="2"/>
  <c r="AC551" i="2"/>
  <c r="AD551" i="2" s="1"/>
  <c r="AA551" i="2"/>
  <c r="Z551" i="2"/>
  <c r="Y598" i="2"/>
  <c r="AC598" i="2"/>
  <c r="AD598" i="2" s="1"/>
  <c r="Z598" i="2"/>
  <c r="AA598" i="2"/>
  <c r="Y393" i="2"/>
  <c r="AA393" i="2"/>
  <c r="AC393" i="2"/>
  <c r="AD393" i="2" s="1"/>
  <c r="Z393" i="2"/>
  <c r="Y411" i="2"/>
  <c r="AC411" i="2"/>
  <c r="AD411" i="2" s="1"/>
  <c r="AA411" i="2"/>
  <c r="Z411" i="2"/>
  <c r="Y539" i="2"/>
  <c r="AC539" i="2"/>
  <c r="AD539" i="2" s="1"/>
  <c r="AA539" i="2"/>
  <c r="Z539" i="2"/>
  <c r="Y528" i="2"/>
  <c r="AC528" i="2"/>
  <c r="AD528" i="2" s="1"/>
  <c r="AA528" i="2"/>
  <c r="Z528" i="2"/>
  <c r="Y651" i="2"/>
  <c r="AA651" i="2"/>
  <c r="AC651" i="2"/>
  <c r="AD651" i="2" s="1"/>
  <c r="Z651" i="2"/>
  <c r="Y881" i="2"/>
  <c r="Z881" i="2"/>
  <c r="AA881" i="2"/>
  <c r="AC881" i="2"/>
  <c r="AD881" i="2" s="1"/>
  <c r="Y310" i="2"/>
  <c r="AA310" i="2"/>
  <c r="AC310" i="2"/>
  <c r="AD310" i="2" s="1"/>
  <c r="Z310" i="2"/>
  <c r="Y768" i="2"/>
  <c r="AA768" i="2"/>
  <c r="AC768" i="2"/>
  <c r="AD768" i="2" s="1"/>
  <c r="Z768" i="2"/>
  <c r="Y456" i="2"/>
  <c r="AC456" i="2"/>
  <c r="AD456" i="2" s="1"/>
  <c r="AA456" i="2"/>
  <c r="Z456" i="2"/>
  <c r="AC802" i="2"/>
  <c r="AD802" i="2" s="1"/>
  <c r="Y559" i="2"/>
  <c r="AC559" i="2"/>
  <c r="AD559" i="2" s="1"/>
  <c r="AA559" i="2"/>
  <c r="Z559" i="2"/>
  <c r="Y695" i="2"/>
  <c r="AC695" i="2"/>
  <c r="AD695" i="2" s="1"/>
  <c r="Z695" i="2"/>
  <c r="AA695" i="2"/>
  <c r="Y707" i="2"/>
  <c r="AC707" i="2"/>
  <c r="AD707" i="2" s="1"/>
  <c r="AA707" i="2"/>
  <c r="Z707" i="2"/>
  <c r="Y890" i="2"/>
  <c r="Z890" i="2"/>
  <c r="AC890" i="2"/>
  <c r="AD890" i="2" s="1"/>
  <c r="AA890" i="2"/>
  <c r="Y329" i="2"/>
  <c r="AA329" i="2"/>
  <c r="AC329" i="2"/>
  <c r="AD329" i="2" s="1"/>
  <c r="Z329" i="2"/>
  <c r="Y433" i="2"/>
  <c r="AC433" i="2"/>
  <c r="AD433" i="2" s="1"/>
  <c r="AA433" i="2"/>
  <c r="Z433" i="2"/>
  <c r="Y25" i="2"/>
  <c r="AC25" i="2"/>
  <c r="AD25" i="2" s="1"/>
  <c r="Z25" i="2"/>
  <c r="AA25" i="2"/>
  <c r="Y501" i="2"/>
  <c r="AC501" i="2"/>
  <c r="AD501" i="2" s="1"/>
  <c r="AA501" i="2"/>
  <c r="Z501" i="2"/>
  <c r="Y69" i="2"/>
  <c r="AC69" i="2"/>
  <c r="AD69" i="2" s="1"/>
  <c r="AA69" i="2"/>
  <c r="Z69" i="2"/>
  <c r="Y756" i="2"/>
  <c r="AC756" i="2"/>
  <c r="AD756" i="2" s="1"/>
  <c r="AA756" i="2"/>
  <c r="Z756" i="2"/>
  <c r="Y464" i="2"/>
  <c r="AA464" i="2"/>
  <c r="AC464" i="2"/>
  <c r="AD464" i="2" s="1"/>
  <c r="Z464" i="2"/>
  <c r="Y665" i="2"/>
  <c r="AA665" i="2"/>
  <c r="AC665" i="2"/>
  <c r="AD665" i="2" s="1"/>
  <c r="Z665" i="2"/>
  <c r="Y384" i="2"/>
  <c r="AC384" i="2"/>
  <c r="AD384" i="2" s="1"/>
  <c r="Z384" i="2"/>
  <c r="AA384" i="2"/>
  <c r="Y96" i="2"/>
  <c r="AA96" i="2"/>
  <c r="AC96" i="2"/>
  <c r="AD96" i="2" s="1"/>
  <c r="Z96" i="2"/>
  <c r="Y135" i="2"/>
  <c r="AA135" i="2"/>
  <c r="AC135" i="2"/>
  <c r="AD135" i="2" s="1"/>
  <c r="Z135" i="2"/>
  <c r="Y253" i="2"/>
  <c r="AA253" i="2"/>
  <c r="AC253" i="2"/>
  <c r="AD253" i="2" s="1"/>
  <c r="Z253" i="2"/>
  <c r="Y573" i="2"/>
  <c r="AC573" i="2"/>
  <c r="AD573" i="2" s="1"/>
  <c r="AA573" i="2"/>
  <c r="Z573" i="2"/>
  <c r="Y570" i="2"/>
  <c r="AC570" i="2"/>
  <c r="AD570" i="2" s="1"/>
  <c r="Z570" i="2"/>
  <c r="AA570" i="2"/>
  <c r="Y706" i="2"/>
  <c r="AC706" i="2"/>
  <c r="AD706" i="2" s="1"/>
  <c r="AA706" i="2"/>
  <c r="Z706" i="2"/>
  <c r="Y892" i="2"/>
  <c r="AA892" i="2"/>
  <c r="AC892" i="2"/>
  <c r="AD892" i="2" s="1"/>
  <c r="Z892" i="2"/>
  <c r="Y320" i="2"/>
  <c r="AA320" i="2"/>
  <c r="AC320" i="2"/>
  <c r="AD320" i="2" s="1"/>
  <c r="Z320" i="2"/>
  <c r="Y138" i="2"/>
  <c r="AA138" i="2"/>
  <c r="AC138" i="2"/>
  <c r="AD138" i="2" s="1"/>
  <c r="Z138" i="2"/>
  <c r="Y500" i="2"/>
  <c r="AC500" i="2"/>
  <c r="AD500" i="2" s="1"/>
  <c r="Z500" i="2"/>
  <c r="AA500" i="2"/>
  <c r="Y243" i="2"/>
  <c r="AC243" i="2"/>
  <c r="AD243" i="2" s="1"/>
  <c r="AA243" i="2"/>
  <c r="Z243" i="2"/>
  <c r="Y644" i="2"/>
  <c r="AA644" i="2"/>
  <c r="AC644" i="2"/>
  <c r="AD644" i="2" s="1"/>
  <c r="Z644" i="2"/>
  <c r="Y909" i="2"/>
  <c r="Z909" i="2"/>
  <c r="AC909" i="2"/>
  <c r="AD909" i="2" s="1"/>
  <c r="AA909" i="2"/>
  <c r="Y131" i="2"/>
  <c r="AA131" i="2"/>
  <c r="AC131" i="2"/>
  <c r="AD131" i="2" s="1"/>
  <c r="Z131" i="2"/>
  <c r="Y578" i="2"/>
  <c r="AC578" i="2"/>
  <c r="AD578" i="2" s="1"/>
  <c r="AA578" i="2"/>
  <c r="Z578" i="2"/>
  <c r="Y902" i="2"/>
  <c r="Z902" i="2"/>
  <c r="AA902" i="2"/>
  <c r="AC902" i="2"/>
  <c r="AD902" i="2" s="1"/>
  <c r="Y387" i="2"/>
  <c r="AA387" i="2"/>
  <c r="AC387" i="2"/>
  <c r="AD387" i="2" s="1"/>
  <c r="Z387" i="2"/>
  <c r="Y746" i="2"/>
  <c r="AA746" i="2"/>
  <c r="AC746" i="2"/>
  <c r="AD746" i="2" s="1"/>
  <c r="Z746" i="2"/>
  <c r="Y493" i="2"/>
  <c r="AC493" i="2"/>
  <c r="AD493" i="2" s="1"/>
  <c r="AA493" i="2"/>
  <c r="Z493" i="2"/>
  <c r="Y717" i="2"/>
  <c r="AA717" i="2"/>
  <c r="AC717" i="2"/>
  <c r="AD717" i="2" s="1"/>
  <c r="Z717" i="2"/>
  <c r="Y157" i="2"/>
  <c r="AC157" i="2"/>
  <c r="AD157" i="2" s="1"/>
  <c r="AA157" i="2"/>
  <c r="Z157" i="2"/>
  <c r="Y681" i="2"/>
  <c r="AC681" i="2"/>
  <c r="AD681" i="2" s="1"/>
  <c r="Z681" i="2"/>
  <c r="AA681" i="2"/>
  <c r="Y678" i="2"/>
  <c r="AC678" i="2"/>
  <c r="AD678" i="2" s="1"/>
  <c r="Z678" i="2"/>
  <c r="AA678" i="2"/>
  <c r="Y806" i="2"/>
  <c r="AC806" i="2"/>
  <c r="AD806" i="2" s="1"/>
  <c r="AA806" i="2"/>
  <c r="Z806" i="2"/>
  <c r="Y574" i="2"/>
  <c r="AA574" i="2"/>
  <c r="AC574" i="2"/>
  <c r="AD574" i="2" s="1"/>
  <c r="Z574" i="2"/>
  <c r="Y738" i="2"/>
  <c r="AC738" i="2"/>
  <c r="AD738" i="2" s="1"/>
  <c r="AA738" i="2"/>
  <c r="Z738" i="2"/>
  <c r="Y165" i="2"/>
  <c r="AC165" i="2"/>
  <c r="AD165" i="2" s="1"/>
  <c r="Z165" i="2"/>
  <c r="AA165" i="2"/>
  <c r="Y296" i="2"/>
  <c r="AC296" i="2"/>
  <c r="AD296" i="2" s="1"/>
  <c r="AA296" i="2"/>
  <c r="Z296" i="2"/>
  <c r="Y150" i="2"/>
  <c r="AC150" i="2"/>
  <c r="AD150" i="2" s="1"/>
  <c r="AA150" i="2"/>
  <c r="Z150" i="2"/>
  <c r="Y363" i="2"/>
  <c r="AA363" i="2"/>
  <c r="AC363" i="2"/>
  <c r="AD363" i="2" s="1"/>
  <c r="Z363" i="2"/>
  <c r="Y897" i="2"/>
  <c r="AA897" i="2"/>
  <c r="Z897" i="2"/>
  <c r="AC897" i="2"/>
  <c r="AD897" i="2" s="1"/>
  <c r="Y386" i="2"/>
  <c r="AA386" i="2"/>
  <c r="AC386" i="2"/>
  <c r="AD386" i="2" s="1"/>
  <c r="Z386" i="2"/>
  <c r="Y151" i="2"/>
  <c r="AA151" i="2"/>
  <c r="AC151" i="2"/>
  <c r="AD151" i="2" s="1"/>
  <c r="Z151" i="2"/>
  <c r="Y615" i="2"/>
  <c r="AA615" i="2"/>
  <c r="AC615" i="2"/>
  <c r="AD615" i="2" s="1"/>
  <c r="Z615" i="2"/>
  <c r="Y376" i="2"/>
  <c r="AC376" i="2"/>
  <c r="AD376" i="2" s="1"/>
  <c r="AA376" i="2"/>
  <c r="Z376" i="2"/>
  <c r="Y278" i="2"/>
  <c r="Z278" i="2"/>
  <c r="AC278" i="2"/>
  <c r="AD278" i="2" s="1"/>
  <c r="AA278" i="2"/>
  <c r="Y622" i="2"/>
  <c r="AC622" i="2"/>
  <c r="AD622" i="2" s="1"/>
  <c r="AA622" i="2"/>
  <c r="Z622" i="2"/>
  <c r="Y263" i="2"/>
  <c r="AA263" i="2"/>
  <c r="Z263" i="2"/>
  <c r="AC263" i="2"/>
  <c r="AD263" i="2" s="1"/>
  <c r="Y366" i="2"/>
  <c r="AC366" i="2"/>
  <c r="AD366" i="2" s="1"/>
  <c r="AA366" i="2"/>
  <c r="Z366" i="2"/>
  <c r="Y797" i="2"/>
  <c r="Z797" i="2"/>
  <c r="AA797" i="2"/>
  <c r="AC797" i="2"/>
  <c r="AD797" i="2" s="1"/>
  <c r="Y589" i="2"/>
  <c r="AA589" i="2"/>
  <c r="AC589" i="2"/>
  <c r="AD589" i="2" s="1"/>
  <c r="Z589" i="2"/>
  <c r="Y711" i="2"/>
  <c r="AC711" i="2"/>
  <c r="AD711" i="2" s="1"/>
  <c r="AA711" i="2"/>
  <c r="Z711" i="2"/>
  <c r="Y884" i="2"/>
  <c r="AA884" i="2"/>
  <c r="Z884" i="2"/>
  <c r="AC884" i="2"/>
  <c r="AD884" i="2" s="1"/>
  <c r="Y321" i="2"/>
  <c r="AC321" i="2"/>
  <c r="AD321" i="2" s="1"/>
  <c r="AA321" i="2"/>
  <c r="Z321" i="2"/>
  <c r="Y439" i="2"/>
  <c r="AC439" i="2"/>
  <c r="AD439" i="2" s="1"/>
  <c r="AA439" i="2"/>
  <c r="Z439" i="2"/>
  <c r="Y63" i="2"/>
  <c r="AC63" i="2"/>
  <c r="AD63" i="2" s="1"/>
  <c r="AA63" i="2"/>
  <c r="Z63" i="2"/>
  <c r="Y228" i="2"/>
  <c r="AC228" i="2"/>
  <c r="AD228" i="2" s="1"/>
  <c r="Z228" i="2"/>
  <c r="AA228" i="2"/>
  <c r="Y843" i="2"/>
  <c r="AC843" i="2"/>
  <c r="AD843" i="2" s="1"/>
  <c r="Z843" i="2"/>
  <c r="AA843" i="2"/>
  <c r="Y850" i="2"/>
  <c r="Z850" i="2"/>
  <c r="AC850" i="2"/>
  <c r="AD850" i="2" s="1"/>
  <c r="AA850" i="2"/>
  <c r="Y683" i="2"/>
  <c r="AA683" i="2"/>
  <c r="AC683" i="2"/>
  <c r="AD683" i="2" s="1"/>
  <c r="Z683" i="2"/>
  <c r="Y761" i="2"/>
  <c r="AC761" i="2"/>
  <c r="AD761" i="2" s="1"/>
  <c r="Z761" i="2"/>
  <c r="AA761" i="2"/>
  <c r="Y463" i="2"/>
  <c r="AC463" i="2"/>
  <c r="AD463" i="2" s="1"/>
  <c r="AA463" i="2"/>
  <c r="Z463" i="2"/>
  <c r="Y666" i="2"/>
  <c r="AA666" i="2"/>
  <c r="AC666" i="2"/>
  <c r="AD666" i="2" s="1"/>
  <c r="Z666" i="2"/>
  <c r="Y385" i="2"/>
  <c r="AC385" i="2"/>
  <c r="AD385" i="2" s="1"/>
  <c r="AA385" i="2"/>
  <c r="Z385" i="2"/>
  <c r="Y670" i="2"/>
  <c r="AC670" i="2"/>
  <c r="AD670" i="2" s="1"/>
  <c r="AA670" i="2"/>
  <c r="Z670" i="2"/>
  <c r="Y112" i="2"/>
  <c r="AA112" i="2"/>
  <c r="AC112" i="2"/>
  <c r="AD112" i="2" s="1"/>
  <c r="Z112" i="2"/>
  <c r="Y132" i="2"/>
  <c r="AA132" i="2"/>
  <c r="AC132" i="2"/>
  <c r="AD132" i="2" s="1"/>
  <c r="Z132" i="2"/>
  <c r="Y283" i="2"/>
  <c r="AC283" i="2"/>
  <c r="AD283" i="2" s="1"/>
  <c r="AA283" i="2"/>
  <c r="Z283" i="2"/>
  <c r="Y558" i="2"/>
  <c r="AA558" i="2"/>
  <c r="AC558" i="2"/>
  <c r="AD558" i="2" s="1"/>
  <c r="Z558" i="2"/>
  <c r="Y585" i="2"/>
  <c r="AA585" i="2"/>
  <c r="AC585" i="2"/>
  <c r="AD585" i="2" s="1"/>
  <c r="Z585" i="2"/>
  <c r="Y718" i="2"/>
  <c r="AC718" i="2"/>
  <c r="AD718" i="2" s="1"/>
  <c r="AA718" i="2"/>
  <c r="Z718" i="2"/>
  <c r="Y722" i="2"/>
  <c r="AC722" i="2"/>
  <c r="AD722" i="2" s="1"/>
  <c r="AA722" i="2"/>
  <c r="Z722" i="2"/>
  <c r="Y903" i="2"/>
  <c r="AC903" i="2"/>
  <c r="AD903" i="2" s="1"/>
  <c r="AA903" i="2"/>
  <c r="Z903" i="2"/>
  <c r="Y317" i="2"/>
  <c r="AA317" i="2"/>
  <c r="AC317" i="2"/>
  <c r="AD317" i="2" s="1"/>
  <c r="Z317" i="2"/>
  <c r="Y534" i="2"/>
  <c r="AC534" i="2"/>
  <c r="AD534" i="2" s="1"/>
  <c r="AA534" i="2"/>
  <c r="Z534" i="2"/>
  <c r="Y530" i="2"/>
  <c r="AC530" i="2"/>
  <c r="AD530" i="2" s="1"/>
  <c r="AA530" i="2"/>
  <c r="Z530" i="2"/>
  <c r="Y240" i="2"/>
  <c r="AC240" i="2"/>
  <c r="AD240" i="2" s="1"/>
  <c r="AA240" i="2"/>
  <c r="Z240" i="2"/>
  <c r="Y853" i="2"/>
  <c r="Z853" i="2"/>
  <c r="AC853" i="2"/>
  <c r="AD853" i="2" s="1"/>
  <c r="AA853" i="2"/>
  <c r="Y148" i="2"/>
  <c r="AA148" i="2"/>
  <c r="AC148" i="2"/>
  <c r="AD148" i="2" s="1"/>
  <c r="Z148" i="2"/>
  <c r="Y475" i="2"/>
  <c r="AC475" i="2"/>
  <c r="AD475" i="2" s="1"/>
  <c r="AA475" i="2"/>
  <c r="Z475" i="2"/>
  <c r="Y488" i="2"/>
  <c r="AC488" i="2"/>
  <c r="AD488" i="2" s="1"/>
  <c r="AA488" i="2"/>
  <c r="Z488" i="2"/>
  <c r="Y143" i="2"/>
  <c r="AA143" i="2"/>
  <c r="AC143" i="2"/>
  <c r="AD143" i="2" s="1"/>
  <c r="Z143" i="2"/>
  <c r="Y349" i="2"/>
  <c r="AC349" i="2"/>
  <c r="AD349" i="2" s="1"/>
  <c r="Z349" i="2"/>
  <c r="AA349" i="2"/>
  <c r="Y814" i="2"/>
  <c r="AA814" i="2"/>
  <c r="Z814" i="2"/>
  <c r="Y106" i="2"/>
  <c r="AC106" i="2"/>
  <c r="AD106" i="2" s="1"/>
  <c r="AA106" i="2"/>
  <c r="Z106" i="2"/>
  <c r="Y597" i="2"/>
  <c r="AC597" i="2"/>
  <c r="AD597" i="2" s="1"/>
  <c r="Z597" i="2"/>
  <c r="AA597" i="2"/>
  <c r="Y728" i="2"/>
  <c r="AC728" i="2"/>
  <c r="AD728" i="2" s="1"/>
  <c r="AA728" i="2"/>
  <c r="Z728" i="2"/>
  <c r="Y896" i="2"/>
  <c r="Z896" i="2"/>
  <c r="AC896" i="2"/>
  <c r="AD896" i="2" s="1"/>
  <c r="AA896" i="2"/>
  <c r="Y533" i="2"/>
  <c r="AC533" i="2"/>
  <c r="AD533" i="2" s="1"/>
  <c r="AA533" i="2"/>
  <c r="Z533" i="2"/>
  <c r="Y626" i="2"/>
  <c r="AA626" i="2"/>
  <c r="AC626" i="2"/>
  <c r="AD626" i="2" s="1"/>
  <c r="Z626" i="2"/>
  <c r="Y653" i="2"/>
  <c r="AA653" i="2"/>
  <c r="AC653" i="2"/>
  <c r="AD653" i="2" s="1"/>
  <c r="Z653" i="2"/>
  <c r="Y912" i="2"/>
  <c r="AC912" i="2"/>
  <c r="AD912" i="2" s="1"/>
  <c r="AA912" i="2"/>
  <c r="Z912" i="2"/>
  <c r="Y466" i="2"/>
  <c r="AC466" i="2"/>
  <c r="AD466" i="2" s="1"/>
  <c r="AA466" i="2"/>
  <c r="Z466" i="2"/>
  <c r="Y261" i="2"/>
  <c r="Z261" i="2"/>
  <c r="AC261" i="2"/>
  <c r="AD261" i="2" s="1"/>
  <c r="AA261" i="2"/>
  <c r="Y359" i="2"/>
  <c r="AC359" i="2"/>
  <c r="AD359" i="2" s="1"/>
  <c r="AA359" i="2"/>
  <c r="Z359" i="2"/>
  <c r="Y811" i="2"/>
  <c r="AA811" i="2"/>
  <c r="Z811" i="2"/>
  <c r="AC811" i="2"/>
  <c r="AD811" i="2" s="1"/>
  <c r="Y108" i="2"/>
  <c r="AC108" i="2"/>
  <c r="AD108" i="2" s="1"/>
  <c r="AA108" i="2"/>
  <c r="Z108" i="2"/>
  <c r="Y599" i="2"/>
  <c r="AA599" i="2"/>
  <c r="AC599" i="2"/>
  <c r="AD599" i="2" s="1"/>
  <c r="Z599" i="2"/>
  <c r="Y391" i="2"/>
  <c r="AC391" i="2"/>
  <c r="AD391" i="2" s="1"/>
  <c r="AA391" i="2"/>
  <c r="Z391" i="2"/>
  <c r="Y735" i="2"/>
  <c r="AC735" i="2"/>
  <c r="AD735" i="2" s="1"/>
  <c r="Z735" i="2"/>
  <c r="AA735" i="2"/>
  <c r="Y641" i="2"/>
  <c r="AC641" i="2"/>
  <c r="AD641" i="2" s="1"/>
  <c r="Z641" i="2"/>
  <c r="AA641" i="2"/>
  <c r="Y158" i="2"/>
  <c r="AC158" i="2"/>
  <c r="AD158" i="2" s="1"/>
  <c r="AA158" i="2"/>
  <c r="Z158" i="2"/>
  <c r="Y550" i="2"/>
  <c r="AC550" i="2"/>
  <c r="AD550" i="2" s="1"/>
  <c r="Z550" i="2"/>
  <c r="AA550" i="2"/>
  <c r="AC617" i="2"/>
  <c r="AD617" i="2" s="1"/>
  <c r="Y309" i="2"/>
  <c r="AA309" i="2"/>
  <c r="AC309" i="2"/>
  <c r="AD309" i="2" s="1"/>
  <c r="Z309" i="2"/>
  <c r="Y770" i="2"/>
  <c r="AC770" i="2"/>
  <c r="AD770" i="2" s="1"/>
  <c r="AA770" i="2"/>
  <c r="Z770" i="2"/>
  <c r="Y453" i="2"/>
  <c r="AA453" i="2"/>
  <c r="AC453" i="2"/>
  <c r="AD453" i="2" s="1"/>
  <c r="Z453" i="2"/>
  <c r="Y237" i="2"/>
  <c r="AC237" i="2"/>
  <c r="AD237" i="2" s="1"/>
  <c r="Z237" i="2"/>
  <c r="AA237" i="2"/>
  <c r="Y365" i="2"/>
  <c r="AC365" i="2"/>
  <c r="AD365" i="2" s="1"/>
  <c r="Z365" i="2"/>
  <c r="AA365" i="2"/>
  <c r="Y825" i="2"/>
  <c r="AC825" i="2"/>
  <c r="AD825" i="2" s="1"/>
  <c r="AA825" i="2"/>
  <c r="Z825" i="2"/>
  <c r="Y56" i="2"/>
  <c r="AA56" i="2"/>
  <c r="AC56" i="2"/>
  <c r="AD56" i="2" s="1"/>
  <c r="Z56" i="2"/>
  <c r="Y732" i="2"/>
  <c r="AA732" i="2"/>
  <c r="AC732" i="2"/>
  <c r="AD732" i="2" s="1"/>
  <c r="Z732" i="2"/>
  <c r="Y743" i="2"/>
  <c r="AC743" i="2"/>
  <c r="AD743" i="2" s="1"/>
  <c r="AA743" i="2"/>
  <c r="Z743" i="2"/>
  <c r="Y906" i="2"/>
  <c r="Z906" i="2"/>
  <c r="AC906" i="2"/>
  <c r="AD906" i="2" s="1"/>
  <c r="AA906" i="2"/>
  <c r="Y326" i="2"/>
  <c r="AA326" i="2"/>
  <c r="AC326" i="2"/>
  <c r="AD326" i="2" s="1"/>
  <c r="Z326" i="2"/>
  <c r="Y438" i="2"/>
  <c r="AC438" i="2"/>
  <c r="AD438" i="2" s="1"/>
  <c r="Z438" i="2"/>
  <c r="AA438" i="2"/>
  <c r="Y229" i="2"/>
  <c r="AC229" i="2"/>
  <c r="AD229" i="2" s="1"/>
  <c r="AA229" i="2"/>
  <c r="Z229" i="2"/>
  <c r="Y612" i="2"/>
  <c r="AA612" i="2"/>
  <c r="Z612" i="2"/>
  <c r="AC612" i="2"/>
  <c r="AD612" i="2" s="1"/>
  <c r="Y643" i="2"/>
  <c r="AA643" i="2"/>
  <c r="AC643" i="2"/>
  <c r="AD643" i="2" s="1"/>
  <c r="Z643" i="2"/>
  <c r="Y302" i="2"/>
  <c r="AC302" i="2"/>
  <c r="AD302" i="2" s="1"/>
  <c r="AA302" i="2"/>
  <c r="Z302" i="2"/>
  <c r="Y499" i="2"/>
  <c r="AA499" i="2"/>
  <c r="AC499" i="2"/>
  <c r="AD499" i="2" s="1"/>
  <c r="Z499" i="2"/>
  <c r="Y465" i="2"/>
  <c r="AC465" i="2"/>
  <c r="AD465" i="2" s="1"/>
  <c r="Z465" i="2"/>
  <c r="AA465" i="2"/>
  <c r="Y799" i="2"/>
  <c r="AC799" i="2"/>
  <c r="AD799" i="2" s="1"/>
  <c r="AA799" i="2"/>
  <c r="Z799" i="2"/>
  <c r="Y130" i="2"/>
  <c r="AA130" i="2"/>
  <c r="AC130" i="2"/>
  <c r="AD130" i="2" s="1"/>
  <c r="Z130" i="2"/>
  <c r="Y688" i="2"/>
  <c r="AC688" i="2"/>
  <c r="AD688" i="2" s="1"/>
  <c r="Z688" i="2"/>
  <c r="AA688" i="2"/>
  <c r="Y639" i="2"/>
  <c r="AA639" i="2"/>
  <c r="AC639" i="2"/>
  <c r="AD639" i="2" s="1"/>
  <c r="Z639" i="2"/>
  <c r="Y80" i="2"/>
  <c r="AA80" i="2"/>
  <c r="AC80" i="2"/>
  <c r="AD80" i="2" s="1"/>
  <c r="Z80" i="2"/>
  <c r="Y780" i="2"/>
  <c r="AA780" i="2"/>
  <c r="Z780" i="2"/>
  <c r="AC780" i="2"/>
  <c r="AD780" i="2" s="1"/>
  <c r="Y22" i="2"/>
  <c r="AA22" i="2"/>
  <c r="AC22" i="2"/>
  <c r="AD22" i="2" s="1"/>
  <c r="Z22" i="2"/>
  <c r="Y214" i="2"/>
  <c r="AC214" i="2"/>
  <c r="AD214" i="2" s="1"/>
  <c r="AA214" i="2"/>
  <c r="Z214" i="2"/>
  <c r="Y627" i="2"/>
  <c r="AC627" i="2"/>
  <c r="AD627" i="2" s="1"/>
  <c r="AA627" i="2"/>
  <c r="Z627" i="2"/>
  <c r="Y621" i="2"/>
  <c r="AA621" i="2"/>
  <c r="AC621" i="2"/>
  <c r="AD621" i="2" s="1"/>
  <c r="Z621" i="2"/>
  <c r="Y93" i="2"/>
  <c r="AA93" i="2"/>
  <c r="AC93" i="2"/>
  <c r="AD93" i="2" s="1"/>
  <c r="Z93" i="2"/>
  <c r="Y177" i="2"/>
  <c r="AA177" i="2"/>
  <c r="Z177" i="2"/>
  <c r="AC177" i="2"/>
  <c r="AD177" i="2" s="1"/>
  <c r="Y452" i="2"/>
  <c r="AA452" i="2"/>
  <c r="AC452" i="2"/>
  <c r="AD452" i="2" s="1"/>
  <c r="Z452" i="2"/>
  <c r="Y5" i="2"/>
  <c r="AA5" i="2"/>
  <c r="AC5" i="2"/>
  <c r="AD5" i="2" s="1"/>
  <c r="Z5" i="2"/>
  <c r="Y348" i="2"/>
  <c r="Z348" i="2"/>
  <c r="AC348" i="2"/>
  <c r="AD348" i="2" s="1"/>
  <c r="AA348" i="2"/>
  <c r="Y674" i="2"/>
  <c r="AA674" i="2"/>
  <c r="AC674" i="2"/>
  <c r="AD674" i="2" s="1"/>
  <c r="Z674" i="2"/>
  <c r="Y802" i="2"/>
  <c r="AA802" i="2"/>
  <c r="Z802" i="2"/>
  <c r="Y99" i="2"/>
  <c r="AC99" i="2"/>
  <c r="AD99" i="2" s="1"/>
  <c r="AA99" i="2"/>
  <c r="Z99" i="2"/>
  <c r="Y200" i="2"/>
  <c r="AC200" i="2"/>
  <c r="AD200" i="2" s="1"/>
  <c r="Z200" i="2"/>
  <c r="AA200" i="2"/>
  <c r="Y282" i="2"/>
  <c r="AC282" i="2"/>
  <c r="AD282" i="2" s="1"/>
  <c r="Z282" i="2"/>
  <c r="AA282" i="2"/>
  <c r="Y605" i="2"/>
  <c r="AC605" i="2"/>
  <c r="AD605" i="2" s="1"/>
  <c r="Z605" i="2"/>
  <c r="AA605" i="2"/>
  <c r="Y394" i="2"/>
  <c r="AC394" i="2"/>
  <c r="AD394" i="2" s="1"/>
  <c r="AA394" i="2"/>
  <c r="Z394" i="2"/>
  <c r="Y506" i="2"/>
  <c r="AC506" i="2"/>
  <c r="AD506" i="2" s="1"/>
  <c r="AA506" i="2"/>
  <c r="Z506" i="2"/>
  <c r="Y140" i="2"/>
  <c r="AC140" i="2"/>
  <c r="AD140" i="2" s="1"/>
  <c r="Z140" i="2"/>
  <c r="AA140" i="2"/>
  <c r="Y215" i="2"/>
  <c r="AC215" i="2"/>
  <c r="AD215" i="2" s="1"/>
  <c r="Z215" i="2"/>
  <c r="AA215" i="2"/>
  <c r="Y286" i="2"/>
  <c r="AA286" i="2"/>
  <c r="AC286" i="2"/>
  <c r="AD286" i="2" s="1"/>
  <c r="Z286" i="2"/>
  <c r="Y624" i="2"/>
  <c r="AC624" i="2"/>
  <c r="AD624" i="2" s="1"/>
  <c r="AA624" i="2"/>
  <c r="Z624" i="2"/>
  <c r="Y837" i="2"/>
  <c r="AA837" i="2"/>
  <c r="Z837" i="2"/>
  <c r="AC837" i="2"/>
  <c r="AD837" i="2" s="1"/>
  <c r="Y880" i="2"/>
  <c r="AC880" i="2"/>
  <c r="AD880" i="2" s="1"/>
  <c r="AA880" i="2"/>
  <c r="Z880" i="2"/>
  <c r="Y669" i="2"/>
  <c r="AC669" i="2"/>
  <c r="AD669" i="2" s="1"/>
  <c r="AA669" i="2"/>
  <c r="Z669" i="2"/>
  <c r="Z121" i="2"/>
  <c r="Y410" i="2"/>
  <c r="AC410" i="2"/>
  <c r="AD410" i="2" s="1"/>
  <c r="AA410" i="2"/>
  <c r="Z410" i="2"/>
  <c r="Y703" i="2"/>
  <c r="AC703" i="2"/>
  <c r="AD703" i="2" s="1"/>
  <c r="Z703" i="2"/>
  <c r="AA703" i="2"/>
  <c r="Y431" i="2"/>
  <c r="AC431" i="2"/>
  <c r="AD431" i="2" s="1"/>
  <c r="AA431" i="2"/>
  <c r="Z431" i="2"/>
  <c r="Y544" i="2"/>
  <c r="AA544" i="2"/>
  <c r="AC544" i="2"/>
  <c r="AD544" i="2" s="1"/>
  <c r="Z544" i="2"/>
  <c r="Y62" i="2"/>
  <c r="Z62" i="2"/>
  <c r="AA62" i="2"/>
  <c r="AC62" i="2"/>
  <c r="AD62" i="2" s="1"/>
  <c r="Y230" i="2"/>
  <c r="AC230" i="2"/>
  <c r="AD230" i="2" s="1"/>
  <c r="AA230" i="2"/>
  <c r="Z230" i="2"/>
  <c r="Y859" i="2"/>
  <c r="AC859" i="2"/>
  <c r="AD859" i="2" s="1"/>
  <c r="AA859" i="2"/>
  <c r="Z859" i="2"/>
  <c r="Y86" i="2"/>
  <c r="AC86" i="2"/>
  <c r="AD86" i="2" s="1"/>
  <c r="AA86" i="2"/>
  <c r="Z86" i="2"/>
  <c r="Y872" i="2"/>
  <c r="AA872" i="2"/>
  <c r="Z872" i="2"/>
  <c r="AC872" i="2"/>
  <c r="AD872" i="2" s="1"/>
  <c r="Y315" i="2"/>
  <c r="AC315" i="2"/>
  <c r="AD315" i="2" s="1"/>
  <c r="AA315" i="2"/>
  <c r="Z315" i="2"/>
  <c r="Y275" i="2"/>
  <c r="AC275" i="2"/>
  <c r="AD275" i="2" s="1"/>
  <c r="AA275" i="2"/>
  <c r="Z275" i="2"/>
  <c r="Y535" i="2"/>
  <c r="AA535" i="2"/>
  <c r="AC535" i="2"/>
  <c r="AD535" i="2" s="1"/>
  <c r="Z535" i="2"/>
  <c r="Y614" i="2"/>
  <c r="AA614" i="2"/>
  <c r="AC614" i="2"/>
  <c r="AD614" i="2" s="1"/>
  <c r="Z614" i="2"/>
  <c r="Y434" i="2"/>
  <c r="AC434" i="2"/>
  <c r="AD434" i="2" s="1"/>
  <c r="AA434" i="2"/>
  <c r="Z434" i="2"/>
  <c r="Y489" i="2"/>
  <c r="AA489" i="2"/>
  <c r="AC489" i="2"/>
  <c r="AD489" i="2" s="1"/>
  <c r="Z489" i="2"/>
  <c r="Y324" i="2"/>
  <c r="AA324" i="2"/>
  <c r="AC324" i="2"/>
  <c r="AD324" i="2" s="1"/>
  <c r="Z324" i="2"/>
  <c r="Y380" i="2"/>
  <c r="AA380" i="2"/>
  <c r="AC380" i="2"/>
  <c r="AD380" i="2" s="1"/>
  <c r="Z380" i="2"/>
  <c r="Y721" i="2"/>
  <c r="AA721" i="2"/>
  <c r="AC721" i="2"/>
  <c r="AD721" i="2" s="1"/>
  <c r="Z721" i="2"/>
  <c r="Y64" i="2"/>
  <c r="AA64" i="2"/>
  <c r="AC64" i="2"/>
  <c r="AD64" i="2" s="1"/>
  <c r="Z64" i="2"/>
  <c r="Y835" i="2"/>
  <c r="AC835" i="2"/>
  <c r="AD835" i="2" s="1"/>
  <c r="AA835" i="2"/>
  <c r="Z835" i="2"/>
  <c r="Y471" i="2"/>
  <c r="AC471" i="2"/>
  <c r="AD471" i="2" s="1"/>
  <c r="AA471" i="2"/>
  <c r="Z471" i="2"/>
  <c r="Y120" i="2"/>
  <c r="AC120" i="2"/>
  <c r="AD120" i="2" s="1"/>
  <c r="AA120" i="2"/>
  <c r="Z120" i="2"/>
  <c r="Y239" i="2"/>
  <c r="AC239" i="2"/>
  <c r="AD239" i="2" s="1"/>
  <c r="Z239" i="2"/>
  <c r="AA239" i="2"/>
  <c r="Y114" i="2"/>
  <c r="AC114" i="2"/>
  <c r="AD114" i="2" s="1"/>
  <c r="AA114" i="2"/>
  <c r="Z114" i="2"/>
  <c r="Y408" i="2"/>
  <c r="AC408" i="2"/>
  <c r="AD408" i="2" s="1"/>
  <c r="AA408" i="2"/>
  <c r="Z408" i="2"/>
  <c r="Y491" i="2"/>
  <c r="AA491" i="2"/>
  <c r="AC491" i="2"/>
  <c r="AD491" i="2" s="1"/>
  <c r="Z491" i="2"/>
  <c r="Y672" i="2"/>
  <c r="AA672" i="2"/>
  <c r="AC672" i="2"/>
  <c r="AD672" i="2" s="1"/>
  <c r="Z672" i="2"/>
  <c r="Y227" i="2"/>
  <c r="AC227" i="2"/>
  <c r="AD227" i="2" s="1"/>
  <c r="AA227" i="2"/>
  <c r="Z227" i="2"/>
  <c r="Y495" i="2"/>
  <c r="AC495" i="2"/>
  <c r="AD495" i="2" s="1"/>
  <c r="AA495" i="2"/>
  <c r="Z495" i="2"/>
  <c r="Y813" i="2"/>
  <c r="AC813" i="2"/>
  <c r="AD813" i="2" s="1"/>
  <c r="AA813" i="2"/>
  <c r="Z813" i="2"/>
  <c r="Y699" i="2"/>
  <c r="AC699" i="2"/>
  <c r="AD699" i="2" s="1"/>
  <c r="AA699" i="2"/>
  <c r="Z699" i="2"/>
  <c r="Y242" i="2"/>
  <c r="AC242" i="2"/>
  <c r="AD242" i="2" s="1"/>
  <c r="AA242" i="2"/>
  <c r="Z242" i="2"/>
  <c r="Y657" i="2"/>
  <c r="AC657" i="2"/>
  <c r="AD657" i="2" s="1"/>
  <c r="AA657" i="2"/>
  <c r="Z657" i="2"/>
  <c r="Y171" i="2"/>
  <c r="AC171" i="2"/>
  <c r="AD171" i="2" s="1"/>
  <c r="AA171" i="2"/>
  <c r="Z171" i="2"/>
  <c r="Y222" i="2"/>
  <c r="AC222" i="2"/>
  <c r="AD222" i="2" s="1"/>
  <c r="AA222" i="2"/>
  <c r="Z222" i="2"/>
  <c r="Y368" i="2"/>
  <c r="AC368" i="2"/>
  <c r="AD368" i="2" s="1"/>
  <c r="AA368" i="2"/>
  <c r="Z368" i="2"/>
  <c r="Y406" i="2"/>
  <c r="AC406" i="2"/>
  <c r="AD406" i="2" s="1"/>
  <c r="AA406" i="2"/>
  <c r="Z406" i="2"/>
  <c r="Y527" i="2"/>
  <c r="AC527" i="2"/>
  <c r="AD527" i="2" s="1"/>
  <c r="AA527" i="2"/>
  <c r="Z527" i="2"/>
  <c r="Y195" i="2"/>
  <c r="AC195" i="2"/>
  <c r="AD195" i="2" s="1"/>
  <c r="AA195" i="2"/>
  <c r="Z195" i="2"/>
  <c r="Y592" i="2"/>
  <c r="AA592" i="2"/>
  <c r="AC592" i="2"/>
  <c r="AD592" i="2" s="1"/>
  <c r="Z592" i="2"/>
  <c r="Y201" i="2"/>
  <c r="AC201" i="2"/>
  <c r="AD201" i="2" s="1"/>
  <c r="AA201" i="2"/>
  <c r="Z201" i="2"/>
  <c r="Y339" i="2"/>
  <c r="AC339" i="2"/>
  <c r="AD339" i="2" s="1"/>
  <c r="AA339" i="2"/>
  <c r="Z339" i="2"/>
  <c r="Y78" i="2"/>
  <c r="AA78" i="2"/>
  <c r="AC78" i="2"/>
  <c r="AD78" i="2" s="1"/>
  <c r="Z78" i="2"/>
  <c r="Y428" i="2"/>
  <c r="AA428" i="2"/>
  <c r="AC428" i="2"/>
  <c r="AD428" i="2" s="1"/>
  <c r="Z428" i="2"/>
  <c r="Y440" i="2"/>
  <c r="AC440" i="2"/>
  <c r="AD440" i="2" s="1"/>
  <c r="AA440" i="2"/>
  <c r="Z440" i="2"/>
  <c r="Y794" i="2"/>
  <c r="AC794" i="2"/>
  <c r="AD794" i="2" s="1"/>
  <c r="AA794" i="2"/>
  <c r="Z794" i="2"/>
  <c r="Y241" i="2"/>
  <c r="AA241" i="2"/>
  <c r="AC241" i="2"/>
  <c r="AD241" i="2" s="1"/>
  <c r="Z241" i="2"/>
  <c r="Y221" i="2"/>
  <c r="AA221" i="2"/>
  <c r="AC221" i="2"/>
  <c r="AD221" i="2" s="1"/>
  <c r="Z221" i="2"/>
  <c r="Y390" i="2"/>
  <c r="AC390" i="2"/>
  <c r="AD390" i="2" s="1"/>
  <c r="Z390" i="2"/>
  <c r="AA390" i="2"/>
  <c r="Y617" i="2"/>
  <c r="AA617" i="2"/>
  <c r="Z617" i="2"/>
  <c r="Y650" i="2"/>
  <c r="AC650" i="2"/>
  <c r="AD650" i="2" s="1"/>
  <c r="AA650" i="2"/>
  <c r="Z650" i="2"/>
  <c r="Y871" i="2"/>
  <c r="AC871" i="2"/>
  <c r="AD871" i="2" s="1"/>
  <c r="AA871" i="2"/>
  <c r="Z871" i="2"/>
  <c r="Y474" i="2"/>
  <c r="AA474" i="2"/>
  <c r="AC474" i="2"/>
  <c r="AD474" i="2" s="1"/>
  <c r="Z474" i="2"/>
  <c r="Y116" i="2"/>
  <c r="AC116" i="2"/>
  <c r="AD116" i="2" s="1"/>
  <c r="AA116" i="2"/>
  <c r="Z116" i="2"/>
  <c r="Y204" i="2"/>
  <c r="AC204" i="2"/>
  <c r="AD204" i="2" s="1"/>
  <c r="AA204" i="2"/>
  <c r="Z204" i="2"/>
  <c r="Y595" i="2"/>
  <c r="AA595" i="2"/>
  <c r="AC595" i="2"/>
  <c r="AD595" i="2" s="1"/>
  <c r="Z595" i="2"/>
  <c r="Y608" i="2"/>
  <c r="AC608" i="2"/>
  <c r="AD608" i="2" s="1"/>
  <c r="AA608" i="2"/>
  <c r="Z608" i="2"/>
  <c r="Y403" i="2"/>
  <c r="AC403" i="2"/>
  <c r="AD403" i="2" s="1"/>
  <c r="AA403" i="2"/>
  <c r="Z403" i="2"/>
  <c r="Y441" i="2"/>
  <c r="AC441" i="2"/>
  <c r="AD441" i="2" s="1"/>
  <c r="AA441" i="2"/>
  <c r="Z441" i="2"/>
  <c r="Y520" i="2"/>
  <c r="AC520" i="2"/>
  <c r="AD520" i="2" s="1"/>
  <c r="AA520" i="2"/>
  <c r="Z520" i="2"/>
  <c r="Y256" i="2"/>
  <c r="AC256" i="2"/>
  <c r="AD256" i="2" s="1"/>
  <c r="Z256" i="2"/>
  <c r="AA256" i="2"/>
  <c r="Y861" i="2"/>
  <c r="AA861" i="2"/>
  <c r="Z861" i="2"/>
  <c r="AC861" i="2"/>
  <c r="AD861" i="2" s="1"/>
  <c r="Y92" i="2"/>
  <c r="AC92" i="2"/>
  <c r="AD92" i="2" s="1"/>
  <c r="AA92" i="2"/>
  <c r="Z92" i="2"/>
  <c r="Y760" i="2"/>
  <c r="AC760" i="2"/>
  <c r="AD760" i="2" s="1"/>
  <c r="AA760" i="2"/>
  <c r="Z760" i="2"/>
  <c r="Y238" i="2"/>
  <c r="AC238" i="2"/>
  <c r="AD238" i="2" s="1"/>
  <c r="AA238" i="2"/>
  <c r="Z238" i="2"/>
  <c r="Y373" i="2"/>
  <c r="AC373" i="2"/>
  <c r="AD373" i="2" s="1"/>
  <c r="AA373" i="2"/>
  <c r="Z373" i="2"/>
  <c r="Y817" i="2"/>
  <c r="AA817" i="2"/>
  <c r="Z817" i="2"/>
  <c r="AC817" i="2"/>
  <c r="AD817" i="2" s="1"/>
  <c r="Y197" i="2"/>
  <c r="AC197" i="2"/>
  <c r="AD197" i="2" s="1"/>
  <c r="Z197" i="2"/>
  <c r="AA197" i="2"/>
  <c r="Y274" i="2"/>
  <c r="Z274" i="2"/>
  <c r="AA274" i="2"/>
  <c r="AC274" i="2"/>
  <c r="AD274" i="2" s="1"/>
  <c r="Y552" i="2"/>
  <c r="AA552" i="2"/>
  <c r="AC552" i="2"/>
  <c r="AD552" i="2" s="1"/>
  <c r="Z552" i="2"/>
  <c r="Y341" i="2"/>
  <c r="AC341" i="2"/>
  <c r="AD341" i="2" s="1"/>
  <c r="AA341" i="2"/>
  <c r="Z341" i="2"/>
  <c r="Y899" i="2"/>
  <c r="AC899" i="2"/>
  <c r="AD899" i="2" s="1"/>
  <c r="AA899" i="2"/>
  <c r="Z899" i="2"/>
  <c r="Y413" i="2"/>
  <c r="AA413" i="2"/>
  <c r="AC413" i="2"/>
  <c r="AD413" i="2" s="1"/>
  <c r="Z413" i="2"/>
  <c r="Y548" i="2"/>
  <c r="AA548" i="2"/>
  <c r="AC548" i="2"/>
  <c r="AD548" i="2" s="1"/>
  <c r="Z548" i="2"/>
  <c r="Y255" i="2"/>
  <c r="AC255" i="2"/>
  <c r="AD255" i="2" s="1"/>
  <c r="Z255" i="2"/>
  <c r="AA255" i="2"/>
  <c r="Y834" i="2"/>
  <c r="Z834" i="2"/>
  <c r="AC834" i="2"/>
  <c r="AD834" i="2" s="1"/>
  <c r="AA834" i="2"/>
  <c r="Y874" i="2"/>
  <c r="AC874" i="2"/>
  <c r="AD874" i="2" s="1"/>
  <c r="Z874" i="2"/>
  <c r="AA874" i="2"/>
  <c r="Y314" i="2"/>
  <c r="AA314" i="2"/>
  <c r="AC314" i="2"/>
  <c r="AD314" i="2" s="1"/>
  <c r="Z314" i="2"/>
  <c r="Y763" i="2"/>
  <c r="AA763" i="2"/>
  <c r="AC763" i="2"/>
  <c r="AD763" i="2" s="1"/>
  <c r="Z763" i="2"/>
  <c r="Y473" i="2"/>
  <c r="AC473" i="2"/>
  <c r="AD473" i="2" s="1"/>
  <c r="AA473" i="2"/>
  <c r="Z473" i="2"/>
  <c r="Y560" i="2"/>
  <c r="AC560" i="2"/>
  <c r="AD560" i="2" s="1"/>
  <c r="AA560" i="2"/>
  <c r="Z560" i="2"/>
  <c r="Y696" i="2"/>
  <c r="AC696" i="2"/>
  <c r="AD696" i="2" s="1"/>
  <c r="AA696" i="2"/>
  <c r="Z696" i="2"/>
  <c r="Y640" i="2"/>
  <c r="AC640" i="2"/>
  <c r="AD640" i="2" s="1"/>
  <c r="Z640" i="2"/>
  <c r="AA640" i="2"/>
  <c r="Y81" i="2"/>
  <c r="AA81" i="2"/>
  <c r="AC81" i="2"/>
  <c r="AD81" i="2" s="1"/>
  <c r="Z81" i="2"/>
  <c r="Y419" i="2"/>
  <c r="AC419" i="2"/>
  <c r="AD419" i="2" s="1"/>
  <c r="AA419" i="2"/>
  <c r="Z419" i="2"/>
  <c r="Y783" i="2"/>
  <c r="AC783" i="2"/>
  <c r="AD783" i="2" s="1"/>
  <c r="AA783" i="2"/>
  <c r="Z783" i="2"/>
  <c r="Y163" i="2"/>
  <c r="AC163" i="2"/>
  <c r="AD163" i="2" s="1"/>
  <c r="Z163" i="2"/>
  <c r="AA163" i="2"/>
  <c r="Y510" i="2"/>
  <c r="AA510" i="2"/>
  <c r="AC510" i="2"/>
  <c r="AD510" i="2" s="1"/>
  <c r="Z510" i="2"/>
  <c r="Y450" i="2"/>
  <c r="AC450" i="2"/>
  <c r="AD450" i="2" s="1"/>
  <c r="AA450" i="2"/>
  <c r="Z450" i="2"/>
  <c r="Y307" i="2"/>
  <c r="AA307" i="2"/>
  <c r="AC307" i="2"/>
  <c r="AD307" i="2" s="1"/>
  <c r="Z307" i="2"/>
  <c r="Y460" i="2"/>
  <c r="AC460" i="2"/>
  <c r="AD460" i="2" s="1"/>
  <c r="Z460" i="2"/>
  <c r="AA460" i="2"/>
  <c r="Y144" i="2"/>
  <c r="AC144" i="2"/>
  <c r="AD144" i="2" s="1"/>
  <c r="AA144" i="2"/>
  <c r="Z144" i="2"/>
  <c r="Y356" i="2"/>
  <c r="AA356" i="2"/>
  <c r="AC356" i="2"/>
  <c r="AD356" i="2" s="1"/>
  <c r="Z356" i="2"/>
  <c r="Y824" i="2"/>
  <c r="Z824" i="2"/>
  <c r="AC824" i="2"/>
  <c r="AD824" i="2" s="1"/>
  <c r="AA824" i="2"/>
  <c r="Y121" i="2"/>
  <c r="AA121" i="2"/>
  <c r="AC121" i="2"/>
  <c r="AD121" i="2" s="1"/>
  <c r="Y169" i="2"/>
  <c r="AC169" i="2"/>
  <c r="AD169" i="2" s="1"/>
  <c r="AA169" i="2"/>
  <c r="Z169" i="2"/>
  <c r="Y271" i="2"/>
  <c r="AC271" i="2"/>
  <c r="AD271" i="2" s="1"/>
  <c r="AA271" i="2"/>
  <c r="Z271" i="2"/>
  <c r="Y567" i="2"/>
  <c r="AC567" i="2"/>
  <c r="AD567" i="2" s="1"/>
  <c r="AA567" i="2"/>
  <c r="Z567" i="2"/>
  <c r="Y606" i="2"/>
  <c r="AA606" i="2"/>
  <c r="AC606" i="2"/>
  <c r="AD606" i="2" s="1"/>
  <c r="Z606" i="2"/>
  <c r="Y715" i="2"/>
  <c r="AC715" i="2"/>
  <c r="AD715" i="2" s="1"/>
  <c r="AA715" i="2"/>
  <c r="Z715" i="2"/>
  <c r="Y882" i="2"/>
  <c r="AC882" i="2"/>
  <c r="AD882" i="2" s="1"/>
  <c r="Z882" i="2"/>
  <c r="AA882" i="2"/>
  <c r="Y330" i="2"/>
  <c r="AA330" i="2"/>
  <c r="AC330" i="2"/>
  <c r="AD330" i="2" s="1"/>
  <c r="Z330" i="2"/>
  <c r="Y832" i="2"/>
  <c r="AA832" i="2"/>
  <c r="Z832" i="2"/>
  <c r="AC832" i="2"/>
  <c r="AD832" i="2" s="1"/>
  <c r="Y223" i="2"/>
  <c r="AC223" i="2"/>
  <c r="AD223" i="2" s="1"/>
  <c r="Z223" i="2"/>
  <c r="AA223" i="2"/>
  <c r="Y648" i="2"/>
  <c r="AA648" i="2"/>
  <c r="AC648" i="2"/>
  <c r="AD648" i="2" s="1"/>
  <c r="Z648" i="2"/>
  <c r="Y713" i="2"/>
  <c r="AA713" i="2"/>
  <c r="AC713" i="2"/>
  <c r="AD713" i="2" s="1"/>
  <c r="Z713" i="2"/>
  <c r="AE125" i="2"/>
  <c r="AF125" i="2" s="1"/>
  <c r="AB125" i="2"/>
  <c r="Y513" i="2"/>
  <c r="AA513" i="2"/>
  <c r="AC513" i="2"/>
  <c r="AD513" i="2" s="1"/>
  <c r="Z513" i="2"/>
  <c r="Y145" i="2"/>
  <c r="AC145" i="2"/>
  <c r="AD145" i="2" s="1"/>
  <c r="AA145" i="2"/>
  <c r="Z145" i="2"/>
  <c r="AB267" i="2"/>
  <c r="AE267" i="2"/>
  <c r="AF267" i="2" s="1"/>
  <c r="Y437" i="2"/>
  <c r="AA437" i="2"/>
  <c r="AC437" i="2"/>
  <c r="AD437" i="2" s="1"/>
  <c r="Z437" i="2"/>
  <c r="Y209" i="2"/>
  <c r="AA209" i="2"/>
  <c r="AC209" i="2"/>
  <c r="AD209" i="2" s="1"/>
  <c r="Z209" i="2"/>
  <c r="Y668" i="2"/>
  <c r="AC668" i="2"/>
  <c r="AD668" i="2" s="1"/>
  <c r="AA668" i="2"/>
  <c r="Z668" i="2"/>
  <c r="Y61" i="2"/>
  <c r="AC61" i="2"/>
  <c r="AD61" i="2" s="1"/>
  <c r="Z61" i="2"/>
  <c r="AA61" i="2"/>
  <c r="Y76" i="2"/>
  <c r="AC76" i="2"/>
  <c r="AD76" i="2" s="1"/>
  <c r="Z76" i="2"/>
  <c r="AA76" i="2"/>
  <c r="Y525" i="2"/>
  <c r="AC525" i="2"/>
  <c r="AD525" i="2" s="1"/>
  <c r="AA525" i="2"/>
  <c r="Z525" i="2"/>
  <c r="Y633" i="2"/>
  <c r="AC633" i="2"/>
  <c r="AD633" i="2" s="1"/>
  <c r="Z633" i="2"/>
  <c r="AA633" i="2"/>
  <c r="Y312" i="2"/>
  <c r="AC312" i="2"/>
  <c r="AD312" i="2" s="1"/>
  <c r="AA312" i="2"/>
  <c r="Z312" i="2"/>
  <c r="Y659" i="2"/>
  <c r="AA659" i="2"/>
  <c r="AC659" i="2"/>
  <c r="AD659" i="2" s="1"/>
  <c r="Z659" i="2"/>
  <c r="Y885" i="2"/>
  <c r="Z885" i="2"/>
  <c r="AC885" i="2"/>
  <c r="AD885" i="2" s="1"/>
  <c r="AA885" i="2"/>
  <c r="Y496" i="2"/>
  <c r="AC496" i="2"/>
  <c r="AD496" i="2" s="1"/>
  <c r="AA496" i="2"/>
  <c r="Z496" i="2"/>
  <c r="Y602" i="2"/>
  <c r="AA602" i="2"/>
  <c r="AC602" i="2"/>
  <c r="AD602" i="2" s="1"/>
  <c r="Z602" i="2"/>
  <c r="Y796" i="2"/>
  <c r="AC796" i="2"/>
  <c r="AD796" i="2" s="1"/>
  <c r="Z796" i="2"/>
  <c r="AA796" i="2"/>
  <c r="Y773" i="2"/>
  <c r="AA773" i="2"/>
  <c r="AC773" i="2"/>
  <c r="AD773" i="2" s="1"/>
  <c r="Z773" i="2"/>
  <c r="Y898" i="2"/>
  <c r="AA898" i="2"/>
  <c r="Z898" i="2"/>
  <c r="AC898" i="2"/>
  <c r="AD898" i="2" s="1"/>
  <c r="Y784" i="2"/>
  <c r="Z784" i="2"/>
  <c r="AC784" i="2"/>
  <c r="AD784" i="2" s="1"/>
  <c r="AA784" i="2"/>
  <c r="Y190" i="2"/>
  <c r="AC190" i="2"/>
  <c r="AD190" i="2" s="1"/>
  <c r="Z190" i="2"/>
  <c r="AA190" i="2"/>
  <c r="Y805" i="2"/>
  <c r="Z805" i="2"/>
  <c r="AA805" i="2"/>
  <c r="Y635" i="2"/>
  <c r="AA635" i="2"/>
  <c r="AC635" i="2"/>
  <c r="AD635" i="2" s="1"/>
  <c r="Z635" i="2"/>
  <c r="Y826" i="2"/>
  <c r="AC826" i="2"/>
  <c r="AD826" i="2" s="1"/>
  <c r="AA826" i="2"/>
  <c r="Z826" i="2"/>
  <c r="Y397" i="2"/>
  <c r="AA397" i="2"/>
  <c r="AC397" i="2"/>
  <c r="AD397" i="2" s="1"/>
  <c r="Z397" i="2"/>
  <c r="Y660" i="2"/>
  <c r="AC660" i="2"/>
  <c r="AD660" i="2" s="1"/>
  <c r="AA660" i="2"/>
  <c r="Z660" i="2"/>
  <c r="AE74" i="2"/>
  <c r="AF74" i="2" s="1"/>
  <c r="AB74" i="2"/>
  <c r="Y398" i="2"/>
  <c r="AC398" i="2"/>
  <c r="AD398" i="2" s="1"/>
  <c r="AA398" i="2"/>
  <c r="Z398" i="2"/>
  <c r="Y407" i="2"/>
  <c r="AA407" i="2"/>
  <c r="AC407" i="2"/>
  <c r="AD407" i="2" s="1"/>
  <c r="Z407" i="2"/>
  <c r="Y507" i="2"/>
  <c r="AC507" i="2"/>
  <c r="AD507" i="2" s="1"/>
  <c r="Z507" i="2"/>
  <c r="AA507" i="2"/>
  <c r="Y236" i="2"/>
  <c r="AC236" i="2"/>
  <c r="AD236" i="2" s="1"/>
  <c r="AA236" i="2"/>
  <c r="Z236" i="2"/>
  <c r="Y84" i="2"/>
  <c r="AC84" i="2"/>
  <c r="AD84" i="2" s="1"/>
  <c r="Z84" i="2"/>
  <c r="AA84" i="2"/>
  <c r="Y7" i="2"/>
  <c r="AC7" i="2"/>
  <c r="AD7" i="2" s="1"/>
  <c r="AA7" i="2"/>
  <c r="Z7" i="2"/>
  <c r="Y202" i="2"/>
  <c r="AC202" i="2"/>
  <c r="AD202" i="2" s="1"/>
  <c r="AA202" i="2"/>
  <c r="Z202" i="2"/>
  <c r="Y77" i="2"/>
  <c r="AC77" i="2"/>
  <c r="AD77" i="2" s="1"/>
  <c r="AA77" i="2"/>
  <c r="Z77" i="2"/>
  <c r="Y166" i="2"/>
  <c r="AC166" i="2"/>
  <c r="AD166" i="2" s="1"/>
  <c r="Z166" i="2"/>
  <c r="AA166" i="2"/>
  <c r="Y538" i="2"/>
  <c r="AA538" i="2"/>
  <c r="AC538" i="2"/>
  <c r="AD538" i="2" s="1"/>
  <c r="Z538" i="2"/>
  <c r="Y389" i="2"/>
  <c r="AA389" i="2"/>
  <c r="AC389" i="2"/>
  <c r="AD389" i="2" s="1"/>
  <c r="Z389" i="2"/>
  <c r="Y845" i="2"/>
  <c r="AC845" i="2"/>
  <c r="AD845" i="2" s="1"/>
  <c r="AA845" i="2"/>
  <c r="Z845" i="2"/>
  <c r="Y91" i="2"/>
  <c r="AA91" i="2"/>
  <c r="AC91" i="2"/>
  <c r="AD91" i="2" s="1"/>
  <c r="Z91" i="2"/>
  <c r="Y455" i="2"/>
  <c r="AC455" i="2"/>
  <c r="AD455" i="2" s="1"/>
  <c r="AA455" i="2"/>
  <c r="Z455" i="2"/>
  <c r="Y576" i="2"/>
  <c r="AC576" i="2"/>
  <c r="AD576" i="2" s="1"/>
  <c r="Z576" i="2"/>
  <c r="AA576" i="2"/>
  <c r="Y522" i="2"/>
  <c r="AC522" i="2"/>
  <c r="AD522" i="2" s="1"/>
  <c r="Z522" i="2"/>
  <c r="AA522" i="2"/>
  <c r="Y6" i="2"/>
  <c r="AC6" i="2"/>
  <c r="AD6" i="2" s="1"/>
  <c r="AA6" i="2"/>
  <c r="Z6" i="2"/>
  <c r="Y480" i="2"/>
  <c r="AC480" i="2"/>
  <c r="AD480" i="2" s="1"/>
  <c r="AA480" i="2"/>
  <c r="Z480" i="2"/>
  <c r="Y98" i="2"/>
  <c r="AA98" i="2"/>
  <c r="AC98" i="2"/>
  <c r="AD98" i="2" s="1"/>
  <c r="Z98" i="2"/>
  <c r="Y484" i="2"/>
  <c r="AA484" i="2"/>
  <c r="AC484" i="2"/>
  <c r="AD484" i="2" s="1"/>
  <c r="Z484" i="2"/>
  <c r="Y259" i="2"/>
  <c r="AC259" i="2"/>
  <c r="AD259" i="2" s="1"/>
  <c r="Z259" i="2"/>
  <c r="AA259" i="2"/>
  <c r="Y54" i="2"/>
  <c r="AC54" i="2"/>
  <c r="AD54" i="2" s="1"/>
  <c r="AA54" i="2"/>
  <c r="Z54" i="2"/>
  <c r="Y886" i="2"/>
  <c r="AA886" i="2"/>
  <c r="Z886" i="2"/>
  <c r="AC886" i="2"/>
  <c r="AD886" i="2" s="1"/>
  <c r="Y85" i="2"/>
  <c r="AC85" i="2"/>
  <c r="AD85" i="2" s="1"/>
  <c r="AA85" i="2"/>
  <c r="Z85" i="2"/>
  <c r="Y767" i="2"/>
  <c r="AC767" i="2"/>
  <c r="AD767" i="2" s="1"/>
  <c r="Z767" i="2"/>
  <c r="AA767" i="2"/>
  <c r="Y462" i="2"/>
  <c r="AC462" i="2"/>
  <c r="AD462" i="2" s="1"/>
  <c r="AA462" i="2"/>
  <c r="Z462" i="2"/>
  <c r="Y662" i="2"/>
  <c r="AA662" i="2"/>
  <c r="AC662" i="2"/>
  <c r="AD662" i="2" s="1"/>
  <c r="Z662" i="2"/>
  <c r="Y382" i="2"/>
  <c r="AC382" i="2"/>
  <c r="AD382" i="2" s="1"/>
  <c r="Z382" i="2"/>
  <c r="AA382" i="2"/>
  <c r="Y354" i="2"/>
  <c r="AC354" i="2"/>
  <c r="AD354" i="2" s="1"/>
  <c r="AA354" i="2"/>
  <c r="Z354" i="2"/>
  <c r="Y829" i="2"/>
  <c r="Z829" i="2"/>
  <c r="AA829" i="2"/>
  <c r="Y103" i="2"/>
  <c r="AC103" i="2"/>
  <c r="AD103" i="2" s="1"/>
  <c r="AA103" i="2"/>
  <c r="Z103" i="2"/>
  <c r="Y102" i="2"/>
  <c r="AC102" i="2"/>
  <c r="AD102" i="2" s="1"/>
  <c r="AA102" i="2"/>
  <c r="Z102" i="2"/>
  <c r="Y587" i="2"/>
  <c r="AC587" i="2"/>
  <c r="AD587" i="2" s="1"/>
  <c r="Z587" i="2"/>
  <c r="AA587" i="2"/>
  <c r="Y600" i="2"/>
  <c r="AA600" i="2"/>
  <c r="AC600" i="2"/>
  <c r="AD600" i="2" s="1"/>
  <c r="Z600" i="2"/>
  <c r="Y724" i="2"/>
  <c r="AC724" i="2"/>
  <c r="AD724" i="2" s="1"/>
  <c r="AA724" i="2"/>
  <c r="Z724" i="2"/>
  <c r="Y736" i="2"/>
  <c r="AC736" i="2"/>
  <c r="AD736" i="2" s="1"/>
  <c r="Z736" i="2"/>
  <c r="AA736" i="2"/>
  <c r="Y888" i="2"/>
  <c r="AC888" i="2"/>
  <c r="AD888" i="2" s="1"/>
  <c r="AA888" i="2"/>
  <c r="Z888" i="2"/>
  <c r="Y523" i="2"/>
  <c r="AC523" i="2"/>
  <c r="AD523" i="2" s="1"/>
  <c r="AA523" i="2"/>
  <c r="Z523" i="2"/>
  <c r="Y858" i="2"/>
  <c r="AC858" i="2"/>
  <c r="AD858" i="2" s="1"/>
  <c r="Z858" i="2"/>
  <c r="AA858" i="2"/>
  <c r="Y313" i="2"/>
  <c r="AC313" i="2"/>
  <c r="AD313" i="2" s="1"/>
  <c r="AA313" i="2"/>
  <c r="Z313" i="2"/>
  <c r="Y17" i="2"/>
  <c r="AC17" i="2"/>
  <c r="AD17" i="2" s="1"/>
  <c r="Z17" i="2"/>
  <c r="AA17" i="2"/>
  <c r="Y264" i="2"/>
  <c r="AA264" i="2"/>
  <c r="AC264" i="2"/>
  <c r="AD264" i="2" s="1"/>
  <c r="Z264" i="2"/>
  <c r="Y367" i="2"/>
  <c r="AC367" i="2"/>
  <c r="AD367" i="2" s="1"/>
  <c r="AA367" i="2"/>
  <c r="Z367" i="2"/>
  <c r="Y823" i="2"/>
  <c r="Z823" i="2"/>
  <c r="AA823" i="2"/>
  <c r="AC823" i="2"/>
  <c r="AD823" i="2" s="1"/>
  <c r="Y111" i="2"/>
  <c r="AC111" i="2"/>
  <c r="AD111" i="2" s="1"/>
  <c r="Z111" i="2"/>
  <c r="AA111" i="2"/>
  <c r="Y741" i="2"/>
  <c r="AA741" i="2"/>
  <c r="AC741" i="2"/>
  <c r="AD741" i="2" s="1"/>
  <c r="Z741" i="2"/>
  <c r="Y638" i="2"/>
  <c r="AC638" i="2"/>
  <c r="AD638" i="2" s="1"/>
  <c r="Z638" i="2"/>
  <c r="AA638" i="2"/>
  <c r="Y79" i="2"/>
  <c r="AC79" i="2"/>
  <c r="AD79" i="2" s="1"/>
  <c r="AA79" i="2"/>
  <c r="Z79" i="2"/>
  <c r="Y333" i="2"/>
  <c r="AA333" i="2"/>
  <c r="AC333" i="2"/>
  <c r="AD333" i="2" s="1"/>
  <c r="Z333" i="2"/>
  <c r="Y540" i="2"/>
  <c r="AC540" i="2"/>
  <c r="AD540" i="2" s="1"/>
  <c r="AA540" i="2"/>
  <c r="Z540" i="2"/>
  <c r="Y285" i="2"/>
  <c r="AC285" i="2"/>
  <c r="AD285" i="2" s="1"/>
  <c r="AA285" i="2"/>
  <c r="Z285" i="2"/>
  <c r="Y618" i="2"/>
  <c r="AC618" i="2"/>
  <c r="AD618" i="2" s="1"/>
  <c r="AA618" i="2"/>
  <c r="Z618" i="2"/>
  <c r="Y842" i="2"/>
  <c r="AC842" i="2"/>
  <c r="AD842" i="2" s="1"/>
  <c r="AA842" i="2"/>
  <c r="Z842" i="2"/>
  <c r="Y863" i="2"/>
  <c r="AA863" i="2"/>
  <c r="Z863" i="2"/>
  <c r="AC863" i="2"/>
  <c r="AD863" i="2" s="1"/>
  <c r="Y306" i="2"/>
  <c r="AC306" i="2"/>
  <c r="AD306" i="2" s="1"/>
  <c r="AA306" i="2"/>
  <c r="Z306" i="2"/>
  <c r="Y176" i="2"/>
  <c r="AC176" i="2"/>
  <c r="AD176" i="2" s="1"/>
  <c r="AA176" i="2"/>
  <c r="Z176" i="2"/>
  <c r="Y461" i="2"/>
  <c r="AA461" i="2"/>
  <c r="AC461" i="2"/>
  <c r="AD461" i="2" s="1"/>
  <c r="Z461" i="2"/>
  <c r="Y57" i="2"/>
  <c r="AA57" i="2"/>
  <c r="AC57" i="2"/>
  <c r="AD57" i="2" s="1"/>
  <c r="Z57" i="2"/>
  <c r="Y740" i="2"/>
  <c r="AC740" i="2"/>
  <c r="AD740" i="2" s="1"/>
  <c r="AA740" i="2"/>
  <c r="Z740" i="2"/>
  <c r="Y689" i="2"/>
  <c r="AC689" i="2"/>
  <c r="AD689" i="2" s="1"/>
  <c r="AA689" i="2"/>
  <c r="Z689" i="2"/>
  <c r="Y319" i="2"/>
  <c r="AA319" i="2"/>
  <c r="AC319" i="2"/>
  <c r="AD319" i="2" s="1"/>
  <c r="Z319" i="2"/>
  <c r="Y775" i="2"/>
  <c r="AA775" i="2"/>
  <c r="AC775" i="2"/>
  <c r="AD775" i="2" s="1"/>
  <c r="Z775" i="2"/>
  <c r="Y155" i="2"/>
  <c r="AC155" i="2"/>
  <c r="AD155" i="2" s="1"/>
  <c r="Z155" i="2"/>
  <c r="AA155" i="2"/>
  <c r="Y545" i="2"/>
  <c r="AC545" i="2"/>
  <c r="AD545" i="2" s="1"/>
  <c r="Z545" i="2"/>
  <c r="AA545" i="2"/>
  <c r="Y139" i="2"/>
  <c r="AC139" i="2"/>
  <c r="AD139" i="2" s="1"/>
  <c r="AA139" i="2"/>
  <c r="Z139" i="2"/>
  <c r="Y293" i="2"/>
  <c r="AA293" i="2"/>
  <c r="AC293" i="2"/>
  <c r="AD293" i="2" s="1"/>
  <c r="Z293" i="2"/>
  <c r="Y631" i="2"/>
  <c r="AC631" i="2"/>
  <c r="AD631" i="2" s="1"/>
  <c r="Z631" i="2"/>
  <c r="AA631" i="2"/>
  <c r="Y852" i="2"/>
  <c r="Z852" i="2"/>
  <c r="AC852" i="2"/>
  <c r="AD852" i="2" s="1"/>
  <c r="AA852" i="2"/>
  <c r="Y178" i="2"/>
  <c r="AC178" i="2"/>
  <c r="AD178" i="2" s="1"/>
  <c r="AA178" i="2"/>
  <c r="Z178" i="2"/>
  <c r="Y469" i="2"/>
  <c r="AC469" i="2"/>
  <c r="AD469" i="2" s="1"/>
  <c r="AA469" i="2"/>
  <c r="Z469" i="2"/>
  <c r="Y265" i="2"/>
  <c r="Z265" i="2"/>
  <c r="AC265" i="2"/>
  <c r="AD265" i="2" s="1"/>
  <c r="AA265" i="2"/>
  <c r="Y350" i="2"/>
  <c r="AC350" i="2"/>
  <c r="AD350" i="2" s="1"/>
  <c r="AA350" i="2"/>
  <c r="Z350" i="2"/>
  <c r="Y809" i="2"/>
  <c r="AA809" i="2"/>
  <c r="AC809" i="2"/>
  <c r="AD809" i="2" s="1"/>
  <c r="Z809" i="2"/>
  <c r="Y58" i="2"/>
  <c r="AA58" i="2"/>
  <c r="AC58" i="2"/>
  <c r="AD58" i="2" s="1"/>
  <c r="Z58" i="2"/>
  <c r="Y101" i="2"/>
  <c r="AA101" i="2"/>
  <c r="AC101" i="2"/>
  <c r="AD101" i="2" s="1"/>
  <c r="Z101" i="2"/>
  <c r="Y192" i="2"/>
  <c r="AA192" i="2"/>
  <c r="AC192" i="2"/>
  <c r="AD192" i="2" s="1"/>
  <c r="Z192" i="2"/>
  <c r="Y556" i="2"/>
  <c r="AC556" i="2"/>
  <c r="AD556" i="2" s="1"/>
  <c r="AA556" i="2"/>
  <c r="Z556" i="2"/>
  <c r="Y334" i="2"/>
  <c r="AA334" i="2"/>
  <c r="AC334" i="2"/>
  <c r="AD334" i="2" s="1"/>
  <c r="Z334" i="2"/>
  <c r="Y693" i="2"/>
  <c r="AC693" i="2"/>
  <c r="AD693" i="2" s="1"/>
  <c r="Z693" i="2"/>
  <c r="AA693" i="2"/>
  <c r="Y891" i="2"/>
  <c r="AA891" i="2"/>
  <c r="Z891" i="2"/>
  <c r="AC891" i="2"/>
  <c r="AD891" i="2" s="1"/>
  <c r="Y790" i="2"/>
  <c r="AA790" i="2"/>
  <c r="Z790" i="2"/>
  <c r="AC790" i="2"/>
  <c r="AD790" i="2" s="1"/>
  <c r="Y207" i="2"/>
  <c r="AA207" i="2"/>
  <c r="AC207" i="2"/>
  <c r="AD207" i="2" s="1"/>
  <c r="Z207" i="2"/>
  <c r="Y233" i="2"/>
  <c r="AA233" i="2"/>
  <c r="AC233" i="2"/>
  <c r="AD233" i="2" s="1"/>
  <c r="Z233" i="2"/>
  <c r="Y290" i="2"/>
  <c r="AA290" i="2"/>
  <c r="AC290" i="2"/>
  <c r="AD290" i="2" s="1"/>
  <c r="Z290" i="2"/>
  <c r="Y87" i="2"/>
  <c r="AA87" i="2"/>
  <c r="AC87" i="2"/>
  <c r="AD87" i="2" s="1"/>
  <c r="Z87" i="2"/>
  <c r="Y911" i="2"/>
  <c r="AC911" i="2"/>
  <c r="AD911" i="2" s="1"/>
  <c r="AA911" i="2"/>
  <c r="Z911" i="2"/>
  <c r="Y873" i="2"/>
  <c r="AA873" i="2"/>
  <c r="AC873" i="2"/>
  <c r="AD873" i="2" s="1"/>
  <c r="Z873" i="2"/>
  <c r="Y481" i="2"/>
  <c r="AC481" i="2"/>
  <c r="AD481" i="2" s="1"/>
  <c r="Z481" i="2"/>
  <c r="AA481" i="2"/>
  <c r="Y675" i="2"/>
  <c r="AA675" i="2"/>
  <c r="AC675" i="2"/>
  <c r="AD675" i="2" s="1"/>
  <c r="Z675" i="2"/>
  <c r="Y692" i="2"/>
  <c r="AA692" i="2"/>
  <c r="AC692" i="2"/>
  <c r="AD692" i="2" s="1"/>
  <c r="Z692" i="2"/>
  <c r="Y804" i="2"/>
  <c r="AC804" i="2"/>
  <c r="AD804" i="2" s="1"/>
  <c r="Z804" i="2"/>
  <c r="AA804" i="2"/>
  <c r="Y509" i="2"/>
  <c r="AC509" i="2"/>
  <c r="AD509" i="2" s="1"/>
  <c r="AA509" i="2"/>
  <c r="Z509" i="2"/>
  <c r="Y514" i="2"/>
  <c r="AA514" i="2"/>
  <c r="AC514" i="2"/>
  <c r="AD514" i="2" s="1"/>
  <c r="Z514" i="2"/>
  <c r="Y294" i="2"/>
  <c r="AC294" i="2"/>
  <c r="AD294" i="2" s="1"/>
  <c r="AA294" i="2"/>
  <c r="Z294" i="2"/>
  <c r="Y611" i="2"/>
  <c r="AC611" i="2"/>
  <c r="AD611" i="2" s="1"/>
  <c r="AA611" i="2"/>
  <c r="Z611" i="2"/>
  <c r="Y13" i="2"/>
  <c r="AC13" i="2"/>
  <c r="AD13" i="2" s="1"/>
  <c r="AA13" i="2"/>
  <c r="Z13" i="2"/>
  <c r="Y865" i="2"/>
  <c r="Z865" i="2"/>
  <c r="AC865" i="2"/>
  <c r="AD865" i="2" s="1"/>
  <c r="AA865" i="2"/>
  <c r="Y311" i="2"/>
  <c r="AC311" i="2"/>
  <c r="AD311" i="2" s="1"/>
  <c r="AA311" i="2"/>
  <c r="Z311" i="2"/>
  <c r="Y468" i="2"/>
  <c r="AC468" i="2"/>
  <c r="AD468" i="2" s="1"/>
  <c r="AA468" i="2"/>
  <c r="Z468" i="2"/>
  <c r="Y677" i="2"/>
  <c r="AC677" i="2"/>
  <c r="AD677" i="2" s="1"/>
  <c r="Z677" i="2"/>
  <c r="AA677" i="2"/>
  <c r="Y581" i="2"/>
  <c r="AA581" i="2"/>
  <c r="AC581" i="2"/>
  <c r="AD581" i="2" s="1"/>
  <c r="Z581" i="2"/>
  <c r="Y833" i="2"/>
  <c r="Z833" i="2"/>
  <c r="AA833" i="2"/>
  <c r="AC833" i="2"/>
  <c r="AD833" i="2" s="1"/>
  <c r="Y769" i="2"/>
  <c r="AC769" i="2"/>
  <c r="AD769" i="2" s="1"/>
  <c r="AA769" i="2"/>
  <c r="Z769" i="2"/>
  <c r="Y295" i="2"/>
  <c r="AA295" i="2"/>
  <c r="AC295" i="2"/>
  <c r="AD295" i="2" s="1"/>
  <c r="Z295" i="2"/>
  <c r="Y816" i="2"/>
  <c r="Z816" i="2"/>
  <c r="AC816" i="2"/>
  <c r="AD816" i="2" s="1"/>
  <c r="AA816" i="2"/>
  <c r="Y710" i="2"/>
  <c r="AA710" i="2"/>
  <c r="AC710" i="2"/>
  <c r="AD710" i="2" s="1"/>
  <c r="Z710" i="2"/>
  <c r="Y787" i="2"/>
  <c r="AC787" i="2"/>
  <c r="AD787" i="2" s="1"/>
  <c r="Z787" i="2"/>
  <c r="AA787" i="2"/>
  <c r="Y304" i="2"/>
  <c r="AA304" i="2"/>
  <c r="AC304" i="2"/>
  <c r="AD304" i="2" s="1"/>
  <c r="Z304" i="2"/>
  <c r="Y810" i="2"/>
  <c r="AC810" i="2"/>
  <c r="AD810" i="2" s="1"/>
  <c r="Z810" i="2"/>
  <c r="AA810" i="2"/>
  <c r="Y584" i="2"/>
  <c r="AC584" i="2"/>
  <c r="AD584" i="2" s="1"/>
  <c r="AA584" i="2"/>
  <c r="Z584" i="2"/>
  <c r="Y70" i="2"/>
  <c r="AA70" i="2"/>
  <c r="AC70" i="2"/>
  <c r="AD70" i="2" s="1"/>
  <c r="Z70" i="2"/>
  <c r="Y378" i="2"/>
  <c r="AC378" i="2"/>
  <c r="AD378" i="2" s="1"/>
  <c r="AA378" i="2"/>
  <c r="Z378" i="2"/>
  <c r="Y594" i="2"/>
  <c r="AA594" i="2"/>
  <c r="AC594" i="2"/>
  <c r="AD594" i="2" s="1"/>
  <c r="Z594" i="2"/>
  <c r="Y446" i="2"/>
  <c r="AA446" i="2"/>
  <c r="AC446" i="2"/>
  <c r="AD446" i="2" s="1"/>
  <c r="Z446" i="2"/>
  <c r="Y752" i="2"/>
  <c r="AC752" i="2"/>
  <c r="AD752" i="2" s="1"/>
  <c r="Z752" i="2"/>
  <c r="AA752" i="2"/>
  <c r="Y122" i="2"/>
  <c r="AA122" i="2"/>
  <c r="AC122" i="2"/>
  <c r="AD122" i="2" s="1"/>
  <c r="Y654" i="2"/>
  <c r="AC654" i="2"/>
  <c r="AD654" i="2" s="1"/>
  <c r="AA654" i="2"/>
  <c r="Z654" i="2"/>
  <c r="Y682" i="2"/>
  <c r="AC682" i="2"/>
  <c r="AD682" i="2" s="1"/>
  <c r="Z682" i="2"/>
  <c r="AA682" i="2"/>
  <c r="Y105" i="2"/>
  <c r="AA105" i="2"/>
  <c r="AC105" i="2"/>
  <c r="AD105" i="2" s="1"/>
  <c r="Z105" i="2"/>
  <c r="Y687" i="2"/>
  <c r="AC687" i="2"/>
  <c r="AD687" i="2" s="1"/>
  <c r="AA687" i="2"/>
  <c r="Z687" i="2"/>
  <c r="Y395" i="2"/>
  <c r="AC395" i="2"/>
  <c r="AD395" i="2" s="1"/>
  <c r="AA395" i="2"/>
  <c r="Z395" i="2"/>
  <c r="Y189" i="2"/>
  <c r="AC189" i="2"/>
  <c r="AD189" i="2" s="1"/>
  <c r="Z189" i="2"/>
  <c r="AA189" i="2"/>
  <c r="Y676" i="2"/>
  <c r="AA676" i="2"/>
  <c r="AC676" i="2"/>
  <c r="AD676" i="2" s="1"/>
  <c r="Z676" i="2"/>
  <c r="Y536" i="2"/>
  <c r="AC536" i="2"/>
  <c r="AD536" i="2" s="1"/>
  <c r="AA536" i="2"/>
  <c r="Z536" i="2"/>
  <c r="Y838" i="2"/>
  <c r="AC838" i="2"/>
  <c r="AD838" i="2" s="1"/>
  <c r="AA838" i="2"/>
  <c r="Z838" i="2"/>
  <c r="Y702" i="2"/>
  <c r="AA702" i="2"/>
  <c r="AC702" i="2"/>
  <c r="AD702" i="2" s="1"/>
  <c r="Z702" i="2"/>
  <c r="Y563" i="2"/>
  <c r="AC563" i="2"/>
  <c r="AD563" i="2" s="1"/>
  <c r="AA563" i="2"/>
  <c r="Z563" i="2"/>
  <c r="Y517" i="2"/>
  <c r="AC517" i="2"/>
  <c r="AD517" i="2" s="1"/>
  <c r="AA517" i="2"/>
  <c r="Z517" i="2"/>
  <c r="Y147" i="2"/>
  <c r="AC147" i="2"/>
  <c r="AD147" i="2" s="1"/>
  <c r="Z147" i="2"/>
  <c r="AA147" i="2"/>
  <c r="Y414" i="2"/>
  <c r="AC414" i="2"/>
  <c r="AD414" i="2" s="1"/>
  <c r="AA414" i="2"/>
  <c r="Z414" i="2"/>
  <c r="Y19" i="2"/>
  <c r="AA19" i="2"/>
  <c r="AC19" i="2"/>
  <c r="AD19" i="2" s="1"/>
  <c r="Z19" i="2"/>
  <c r="Y180" i="2"/>
  <c r="AC180" i="2"/>
  <c r="AD180" i="2" s="1"/>
  <c r="Z180" i="2"/>
  <c r="AA180" i="2"/>
  <c r="Y379" i="2"/>
  <c r="AC379" i="2"/>
  <c r="AD379" i="2" s="1"/>
  <c r="AA379" i="2"/>
  <c r="Z379" i="2"/>
  <c r="Y353" i="2"/>
  <c r="AA353" i="2"/>
  <c r="AC353" i="2"/>
  <c r="AD353" i="2" s="1"/>
  <c r="Z353" i="2"/>
  <c r="Y335" i="2"/>
  <c r="AC335" i="2"/>
  <c r="AD335" i="2" s="1"/>
  <c r="AA335" i="2"/>
  <c r="Z335" i="2"/>
  <c r="Y700" i="2"/>
  <c r="AA700" i="2"/>
  <c r="AC700" i="2"/>
  <c r="AD700" i="2" s="1"/>
  <c r="Z700" i="2"/>
  <c r="Y723" i="2"/>
  <c r="AC723" i="2"/>
  <c r="AD723" i="2" s="1"/>
  <c r="AA723" i="2"/>
  <c r="Z723" i="2"/>
  <c r="Y347" i="2"/>
  <c r="AA347" i="2"/>
  <c r="AC347" i="2"/>
  <c r="AD347" i="2" s="1"/>
  <c r="Z347" i="2"/>
  <c r="Y426" i="2"/>
  <c r="AC426" i="2"/>
  <c r="AD426" i="2" s="1"/>
  <c r="AA426" i="2"/>
  <c r="Z426" i="2"/>
  <c r="Y164" i="2"/>
  <c r="AA164" i="2"/>
  <c r="AC164" i="2"/>
  <c r="AD164" i="2" s="1"/>
  <c r="Z164" i="2"/>
  <c r="Y291" i="2"/>
  <c r="AC291" i="2"/>
  <c r="AD291" i="2" s="1"/>
  <c r="AA291" i="2"/>
  <c r="Z291" i="2"/>
  <c r="Y857" i="2"/>
  <c r="AC857" i="2"/>
  <c r="AD857" i="2" s="1"/>
  <c r="Z857" i="2"/>
  <c r="AA857" i="2"/>
  <c r="Y83" i="2"/>
  <c r="AC83" i="2"/>
  <c r="AD83" i="2" s="1"/>
  <c r="Z83" i="2"/>
  <c r="AA83" i="2"/>
  <c r="Y467" i="2"/>
  <c r="AC467" i="2"/>
  <c r="AD467" i="2" s="1"/>
  <c r="AA467" i="2"/>
  <c r="Z467" i="2"/>
  <c r="Y142" i="2"/>
  <c r="AC142" i="2"/>
  <c r="AD142" i="2" s="1"/>
  <c r="AA142" i="2"/>
  <c r="Z142" i="2"/>
  <c r="Y372" i="2"/>
  <c r="AA372" i="2"/>
  <c r="AC372" i="2"/>
  <c r="AD372" i="2" s="1"/>
  <c r="Z372" i="2"/>
  <c r="Y822" i="2"/>
  <c r="AA822" i="2"/>
  <c r="Z822" i="2"/>
  <c r="AC822" i="2"/>
  <c r="AD822" i="2" s="1"/>
  <c r="Y170" i="2"/>
  <c r="AC170" i="2"/>
  <c r="AD170" i="2" s="1"/>
  <c r="AA170" i="2"/>
  <c r="Z170" i="2"/>
  <c r="Y272" i="2"/>
  <c r="Z272" i="2"/>
  <c r="AC272" i="2"/>
  <c r="AD272" i="2" s="1"/>
  <c r="AA272" i="2"/>
  <c r="Y719" i="2"/>
  <c r="AA719" i="2"/>
  <c r="AC719" i="2"/>
  <c r="AD719" i="2" s="1"/>
  <c r="Z719" i="2"/>
  <c r="Y731" i="2"/>
  <c r="AC731" i="2"/>
  <c r="AD731" i="2" s="1"/>
  <c r="AA731" i="2"/>
  <c r="Z731" i="2"/>
  <c r="Y788" i="2"/>
  <c r="AC788" i="2"/>
  <c r="AD788" i="2" s="1"/>
  <c r="AA788" i="2"/>
  <c r="Z788" i="2"/>
  <c r="Y245" i="2"/>
  <c r="AC245" i="2"/>
  <c r="AD245" i="2" s="1"/>
  <c r="AA245" i="2"/>
  <c r="Z245" i="2"/>
  <c r="Y862" i="2"/>
  <c r="AA862" i="2"/>
  <c r="AC862" i="2"/>
  <c r="AD862" i="2" s="1"/>
  <c r="Z862" i="2"/>
  <c r="Y458" i="2"/>
  <c r="AC458" i="2"/>
  <c r="AD458" i="2" s="1"/>
  <c r="AA458" i="2"/>
  <c r="Z458" i="2"/>
  <c r="Y351" i="2"/>
  <c r="AA351" i="2"/>
  <c r="AC351" i="2"/>
  <c r="AD351" i="2" s="1"/>
  <c r="Z351" i="2"/>
  <c r="Y819" i="2"/>
  <c r="AA819" i="2"/>
  <c r="Z819" i="2"/>
  <c r="AC819" i="2"/>
  <c r="AD819" i="2" s="1"/>
  <c r="Y100" i="2"/>
  <c r="AC100" i="2"/>
  <c r="AD100" i="2" s="1"/>
  <c r="AA100" i="2"/>
  <c r="Z100" i="2"/>
  <c r="Y729" i="2"/>
  <c r="AA729" i="2"/>
  <c r="AC729" i="2"/>
  <c r="AD729" i="2" s="1"/>
  <c r="Z729" i="2"/>
  <c r="Y459" i="2"/>
  <c r="AA459" i="2"/>
  <c r="AC459" i="2"/>
  <c r="AD459" i="2" s="1"/>
  <c r="Z459" i="2"/>
  <c r="Y60" i="2"/>
  <c r="AC60" i="2"/>
  <c r="AD60" i="2" s="1"/>
  <c r="Z60" i="2"/>
  <c r="AA60" i="2"/>
  <c r="Y117" i="2"/>
  <c r="AA117" i="2"/>
  <c r="AC117" i="2"/>
  <c r="AD117" i="2" s="1"/>
  <c r="Z117" i="2"/>
  <c r="Y193" i="2"/>
  <c r="AA193" i="2"/>
  <c r="AC193" i="2"/>
  <c r="AD193" i="2" s="1"/>
  <c r="Z193" i="2"/>
  <c r="Y572" i="2"/>
  <c r="AC572" i="2"/>
  <c r="AD572" i="2" s="1"/>
  <c r="AA572" i="2"/>
  <c r="Z572" i="2"/>
  <c r="Y712" i="2"/>
  <c r="AC712" i="2"/>
  <c r="AD712" i="2" s="1"/>
  <c r="Z712" i="2"/>
  <c r="AA712" i="2"/>
  <c r="Y526" i="2"/>
  <c r="AC526" i="2"/>
  <c r="AD526" i="2" s="1"/>
  <c r="AA526" i="2"/>
  <c r="Z526" i="2"/>
  <c r="Y656" i="2"/>
  <c r="AC656" i="2"/>
  <c r="AD656" i="2" s="1"/>
  <c r="Z656" i="2"/>
  <c r="AA656" i="2"/>
  <c r="Y864" i="2"/>
  <c r="AA864" i="2"/>
  <c r="AC864" i="2"/>
  <c r="AD864" i="2" s="1"/>
  <c r="Z864" i="2"/>
  <c r="Y751" i="2"/>
  <c r="AC751" i="2"/>
  <c r="AD751" i="2" s="1"/>
  <c r="AA751" i="2"/>
  <c r="Z751" i="2"/>
  <c r="Y183" i="2"/>
  <c r="AA183" i="2"/>
  <c r="AC183" i="2"/>
  <c r="AD183" i="2" s="1"/>
  <c r="Z183" i="2"/>
  <c r="Y800" i="2"/>
  <c r="AA800" i="2"/>
  <c r="AC800" i="2"/>
  <c r="AD800" i="2" s="1"/>
  <c r="Z800" i="2"/>
  <c r="AC123" i="2"/>
  <c r="AD123" i="2" s="1"/>
  <c r="Y583" i="2"/>
  <c r="AC583" i="2"/>
  <c r="AD583" i="2" s="1"/>
  <c r="Z583" i="2"/>
  <c r="AA583" i="2"/>
  <c r="Y586" i="2"/>
  <c r="AC586" i="2"/>
  <c r="AD586" i="2" s="1"/>
  <c r="Z586" i="2"/>
  <c r="AA586" i="2"/>
  <c r="Y893" i="2"/>
  <c r="AC893" i="2"/>
  <c r="AD893" i="2" s="1"/>
  <c r="AA893" i="2"/>
  <c r="Z893" i="2"/>
  <c r="Y322" i="2"/>
  <c r="AC322" i="2"/>
  <c r="AD322" i="2" s="1"/>
  <c r="Z322" i="2"/>
  <c r="AA322" i="2"/>
  <c r="Y416" i="2"/>
  <c r="AC416" i="2"/>
  <c r="AD416" i="2" s="1"/>
  <c r="AA416" i="2"/>
  <c r="Z416" i="2"/>
  <c r="Y516" i="2"/>
  <c r="AC516" i="2"/>
  <c r="AD516" i="2" s="1"/>
  <c r="AA516" i="2"/>
  <c r="Z516" i="2"/>
  <c r="Y543" i="2"/>
  <c r="AC543" i="2"/>
  <c r="AD543" i="2" s="1"/>
  <c r="AA543" i="2"/>
  <c r="Z543" i="2"/>
  <c r="Y299" i="2"/>
  <c r="AC299" i="2"/>
  <c r="AD299" i="2" s="1"/>
  <c r="Z299" i="2"/>
  <c r="AA299" i="2"/>
  <c r="Y613" i="2"/>
  <c r="AC613" i="2"/>
  <c r="AD613" i="2" s="1"/>
  <c r="AA613" i="2"/>
  <c r="Z613" i="2"/>
  <c r="Y89" i="2"/>
  <c r="AA89" i="2"/>
  <c r="AC89" i="2"/>
  <c r="AD89" i="2" s="1"/>
  <c r="Z89" i="2"/>
  <c r="Y868" i="2"/>
  <c r="AC868" i="2"/>
  <c r="AD868" i="2" s="1"/>
  <c r="Z868" i="2"/>
  <c r="AA868" i="2"/>
  <c r="Y308" i="2"/>
  <c r="AC308" i="2"/>
  <c r="AD308" i="2" s="1"/>
  <c r="AA308" i="2"/>
  <c r="Z308" i="2"/>
  <c r="Y759" i="2"/>
  <c r="AA759" i="2"/>
  <c r="AC759" i="2"/>
  <c r="AD759" i="2" s="1"/>
  <c r="Z759" i="2"/>
  <c r="Y191" i="2"/>
  <c r="AA191" i="2"/>
  <c r="AC191" i="2"/>
  <c r="AD191" i="2" s="1"/>
  <c r="Z191" i="2"/>
  <c r="Y198" i="2"/>
  <c r="AC198" i="2"/>
  <c r="AD198" i="2" s="1"/>
  <c r="AA198" i="2"/>
  <c r="Z198" i="2"/>
  <c r="Y588" i="2"/>
  <c r="AA588" i="2"/>
  <c r="AC588" i="2"/>
  <c r="AD588" i="2" s="1"/>
  <c r="Z588" i="2"/>
  <c r="Y337" i="2"/>
  <c r="AC337" i="2"/>
  <c r="AD337" i="2" s="1"/>
  <c r="AA337" i="2"/>
  <c r="Z337" i="2"/>
  <c r="Y726" i="2"/>
  <c r="AA726" i="2"/>
  <c r="AC726" i="2"/>
  <c r="AD726" i="2" s="1"/>
  <c r="Z726" i="2"/>
  <c r="Y325" i="2"/>
  <c r="AA325" i="2"/>
  <c r="AC325" i="2"/>
  <c r="AD325" i="2" s="1"/>
  <c r="Z325" i="2"/>
  <c r="Y443" i="2"/>
  <c r="AC443" i="2"/>
  <c r="AD443" i="2" s="1"/>
  <c r="Z443" i="2"/>
  <c r="AA443" i="2"/>
  <c r="Y542" i="2"/>
  <c r="AC542" i="2"/>
  <c r="AD542" i="2" s="1"/>
  <c r="Z542" i="2"/>
  <c r="AA542" i="2"/>
  <c r="Y791" i="2"/>
  <c r="AC791" i="2"/>
  <c r="AD791" i="2" s="1"/>
  <c r="AA791" i="2"/>
  <c r="Z791" i="2"/>
  <c r="Y248" i="2"/>
  <c r="AC248" i="2"/>
  <c r="AD248" i="2" s="1"/>
  <c r="AA248" i="2"/>
  <c r="Z248" i="2"/>
  <c r="Y213" i="2"/>
  <c r="AA213" i="2"/>
  <c r="AC213" i="2"/>
  <c r="AD213" i="2" s="1"/>
  <c r="Z213" i="2"/>
  <c r="Y642" i="2"/>
  <c r="AC642" i="2"/>
  <c r="AD642" i="2" s="1"/>
  <c r="AA642" i="2"/>
  <c r="Z642" i="2"/>
  <c r="Y8" i="2"/>
  <c r="AC8" i="2"/>
  <c r="AD8" i="2" s="1"/>
  <c r="AA8" i="2"/>
  <c r="Z8" i="2"/>
  <c r="Y867" i="2"/>
  <c r="Z867" i="2"/>
  <c r="AA867" i="2"/>
  <c r="Y301" i="2"/>
  <c r="AA301" i="2"/>
  <c r="AC301" i="2"/>
  <c r="AD301" i="2" s="1"/>
  <c r="Z301" i="2"/>
  <c r="Y184" i="2"/>
  <c r="AA184" i="2"/>
  <c r="AC184" i="2"/>
  <c r="AD184" i="2" s="1"/>
  <c r="Z184" i="2"/>
  <c r="AC801" i="2"/>
  <c r="AD801" i="2" s="1"/>
  <c r="Y175" i="2"/>
  <c r="AC175" i="2"/>
  <c r="AD175" i="2" s="1"/>
  <c r="AA175" i="2"/>
  <c r="Z175" i="2"/>
  <c r="Y338" i="2"/>
  <c r="AA338" i="2"/>
  <c r="AC338" i="2"/>
  <c r="AD338" i="2" s="1"/>
  <c r="Z338" i="2"/>
  <c r="Y318" i="2"/>
  <c r="AA318" i="2"/>
  <c r="AC318" i="2"/>
  <c r="AD318" i="2" s="1"/>
  <c r="Z318" i="2"/>
  <c r="Y430" i="2"/>
  <c r="AA430" i="2"/>
  <c r="AC430" i="2"/>
  <c r="AD430" i="2" s="1"/>
  <c r="Z430" i="2"/>
  <c r="Y512" i="2"/>
  <c r="AC512" i="2"/>
  <c r="AD512" i="2" s="1"/>
  <c r="AA512" i="2"/>
  <c r="Z512" i="2"/>
  <c r="Y53" i="2"/>
  <c r="AC53" i="2"/>
  <c r="AD53" i="2" s="1"/>
  <c r="AA53" i="2"/>
  <c r="Z53" i="2"/>
  <c r="Y247" i="2"/>
  <c r="AC247" i="2"/>
  <c r="AD247" i="2" s="1"/>
  <c r="Z247" i="2"/>
  <c r="AA247" i="2"/>
  <c r="Y292" i="2"/>
  <c r="AC292" i="2"/>
  <c r="AD292" i="2" s="1"/>
  <c r="Z292" i="2"/>
  <c r="AA292" i="2"/>
  <c r="Y620" i="2"/>
  <c r="Z620" i="2"/>
  <c r="AA620" i="2"/>
  <c r="AC620" i="2"/>
  <c r="AD620" i="2" s="1"/>
  <c r="Y839" i="2"/>
  <c r="AA839" i="2"/>
  <c r="Z839" i="2"/>
  <c r="AC839" i="2"/>
  <c r="AD839" i="2" s="1"/>
  <c r="Y846" i="2"/>
  <c r="AC846" i="2"/>
  <c r="AD846" i="2" s="1"/>
  <c r="AA846" i="2"/>
  <c r="Z846" i="2"/>
  <c r="Y20" i="2"/>
  <c r="Z20" i="2"/>
  <c r="AA20" i="2"/>
  <c r="AC20" i="2"/>
  <c r="AD20" i="2" s="1"/>
  <c r="Y470" i="2"/>
  <c r="AC470" i="2"/>
  <c r="AD470" i="2" s="1"/>
  <c r="AA470" i="2"/>
  <c r="Z470" i="2"/>
  <c r="Y663" i="2"/>
  <c r="AA663" i="2"/>
  <c r="AC663" i="2"/>
  <c r="AD663" i="2" s="1"/>
  <c r="Z663" i="2"/>
  <c r="Y110" i="2"/>
  <c r="AA110" i="2"/>
  <c r="AC110" i="2"/>
  <c r="AD110" i="2" s="1"/>
  <c r="Z110" i="2"/>
  <c r="Y173" i="2"/>
  <c r="AA173" i="2"/>
  <c r="AC173" i="2"/>
  <c r="AD173" i="2" s="1"/>
  <c r="Z173" i="2"/>
  <c r="Y604" i="2"/>
  <c r="AA604" i="2"/>
  <c r="AC604" i="2"/>
  <c r="AD604" i="2" s="1"/>
  <c r="Z604" i="2"/>
  <c r="Y609" i="2"/>
  <c r="AA609" i="2"/>
  <c r="AC609" i="2"/>
  <c r="AD609" i="2" s="1"/>
  <c r="Z609" i="2"/>
  <c r="Y401" i="2"/>
  <c r="AA401" i="2"/>
  <c r="AC401" i="2"/>
  <c r="AD401" i="2" s="1"/>
  <c r="Z401" i="2"/>
  <c r="Y744" i="2"/>
  <c r="AC744" i="2"/>
  <c r="AD744" i="2" s="1"/>
  <c r="Z744" i="2"/>
  <c r="AA744" i="2"/>
  <c r="Y907" i="2"/>
  <c r="AC907" i="2"/>
  <c r="AD907" i="2" s="1"/>
  <c r="AA907" i="2"/>
  <c r="Z907" i="2"/>
  <c r="Y417" i="2"/>
  <c r="AC417" i="2"/>
  <c r="AD417" i="2" s="1"/>
  <c r="AA417" i="2"/>
  <c r="Z417" i="2"/>
  <c r="Y162" i="2"/>
  <c r="AC162" i="2"/>
  <c r="AD162" i="2" s="1"/>
  <c r="Z162" i="2"/>
  <c r="AA162" i="2"/>
  <c r="Y537" i="2"/>
  <c r="AA537" i="2"/>
  <c r="AC537" i="2"/>
  <c r="AD537" i="2" s="1"/>
  <c r="Z537" i="2"/>
  <c r="Y67" i="2"/>
  <c r="AC67" i="2"/>
  <c r="AD67" i="2" s="1"/>
  <c r="AA67" i="2"/>
  <c r="Z67" i="2"/>
  <c r="Y217" i="2"/>
  <c r="AC217" i="2"/>
  <c r="AD217" i="2" s="1"/>
  <c r="Z217" i="2"/>
  <c r="AA217" i="2"/>
  <c r="Y849" i="2"/>
  <c r="AA849" i="2"/>
  <c r="AC849" i="2"/>
  <c r="AD849" i="2" s="1"/>
  <c r="Z849" i="2"/>
  <c r="Y755" i="2"/>
  <c r="AA755" i="2"/>
  <c r="AC755" i="2"/>
  <c r="AD755" i="2" s="1"/>
  <c r="Z755" i="2"/>
  <c r="Y482" i="2"/>
  <c r="AC482" i="2"/>
  <c r="AD482" i="2" s="1"/>
  <c r="AA482" i="2"/>
  <c r="Z482" i="2"/>
  <c r="Y257" i="2"/>
  <c r="AC257" i="2"/>
  <c r="AD257" i="2" s="1"/>
  <c r="AA257" i="2"/>
  <c r="Z257" i="2"/>
  <c r="Y352" i="2"/>
  <c r="AC352" i="2"/>
  <c r="AD352" i="2" s="1"/>
  <c r="Z352" i="2"/>
  <c r="AA352" i="2"/>
  <c r="Y815" i="2"/>
  <c r="Z815" i="2"/>
  <c r="AA815" i="2"/>
  <c r="AC815" i="2"/>
  <c r="AD815" i="2" s="1"/>
  <c r="Y124" i="2"/>
  <c r="AA124" i="2"/>
  <c r="Z124" i="2"/>
  <c r="Y196" i="2"/>
  <c r="AC196" i="2"/>
  <c r="AD196" i="2" s="1"/>
  <c r="AA196" i="2"/>
  <c r="Z196" i="2"/>
  <c r="Y603" i="2"/>
  <c r="AA603" i="2"/>
  <c r="AC603" i="2"/>
  <c r="AD603" i="2" s="1"/>
  <c r="Z603" i="2"/>
  <c r="Y553" i="2"/>
  <c r="AA553" i="2"/>
  <c r="AC553" i="2"/>
  <c r="AD553" i="2" s="1"/>
  <c r="Z553" i="2"/>
  <c r="Y404" i="2"/>
  <c r="AC404" i="2"/>
  <c r="AD404" i="2" s="1"/>
  <c r="AA404" i="2"/>
  <c r="Z404" i="2"/>
  <c r="Y502" i="2"/>
  <c r="AC502" i="2"/>
  <c r="AD502" i="2" s="1"/>
  <c r="AA502" i="2"/>
  <c r="Z502" i="2"/>
  <c r="Y225" i="2"/>
  <c r="AC225" i="2"/>
  <c r="AD225" i="2" s="1"/>
  <c r="AA225" i="2"/>
  <c r="Z225" i="2"/>
  <c r="Y449" i="2"/>
  <c r="AA449" i="2"/>
  <c r="AC449" i="2"/>
  <c r="AD449" i="2" s="1"/>
  <c r="Z449" i="2"/>
  <c r="Y908" i="2"/>
  <c r="AA908" i="2"/>
  <c r="Z908" i="2"/>
  <c r="AC908" i="2"/>
  <c r="AD908" i="2" s="1"/>
  <c r="Y68" i="2"/>
  <c r="AA68" i="2"/>
  <c r="AC68" i="2"/>
  <c r="AD68" i="2" s="1"/>
  <c r="Z68" i="2"/>
  <c r="Y680" i="2"/>
  <c r="AA680" i="2"/>
  <c r="AC680" i="2"/>
  <c r="AD680" i="2" s="1"/>
  <c r="Z680" i="2"/>
  <c r="Y490" i="2"/>
  <c r="AC490" i="2"/>
  <c r="AD490" i="2" s="1"/>
  <c r="AA490" i="2"/>
  <c r="Z490" i="2"/>
  <c r="AE127" i="2"/>
  <c r="AF127" i="2" s="1"/>
  <c r="AB127" i="2"/>
  <c r="AE126" i="2"/>
  <c r="AF126" i="2" s="1"/>
  <c r="AB126" i="2"/>
  <c r="Y561" i="2"/>
  <c r="AC561" i="2"/>
  <c r="AD561" i="2" s="1"/>
  <c r="Z561" i="2"/>
  <c r="AA561" i="2"/>
  <c r="Y697" i="2"/>
  <c r="AA697" i="2"/>
  <c r="AC697" i="2"/>
  <c r="AD697" i="2" s="1"/>
  <c r="Z697" i="2"/>
  <c r="Y323" i="2"/>
  <c r="AA323" i="2"/>
  <c r="AC323" i="2"/>
  <c r="AD323" i="2" s="1"/>
  <c r="Z323" i="2"/>
  <c r="Y421" i="2"/>
  <c r="AA421" i="2"/>
  <c r="AC421" i="2"/>
  <c r="AD421" i="2" s="1"/>
  <c r="Z421" i="2"/>
  <c r="Y137" i="2"/>
  <c r="AA137" i="2"/>
  <c r="AC137" i="2"/>
  <c r="AD137" i="2" s="1"/>
  <c r="Z137" i="2"/>
  <c r="Y161" i="2"/>
  <c r="AC161" i="2"/>
  <c r="AD161" i="2" s="1"/>
  <c r="Z161" i="2"/>
  <c r="AA161" i="2"/>
  <c r="Y519" i="2"/>
  <c r="AC519" i="2"/>
  <c r="AD519" i="2" s="1"/>
  <c r="AA519" i="2"/>
  <c r="Z519" i="2"/>
  <c r="Y303" i="2"/>
  <c r="AA303" i="2"/>
  <c r="AC303" i="2"/>
  <c r="AD303" i="2" s="1"/>
  <c r="Z303" i="2"/>
  <c r="Y477" i="2"/>
  <c r="AC477" i="2"/>
  <c r="AD477" i="2" s="1"/>
  <c r="AA477" i="2"/>
  <c r="Z477" i="2"/>
  <c r="Y260" i="2"/>
  <c r="AC260" i="2"/>
  <c r="AD260" i="2" s="1"/>
  <c r="Z260" i="2"/>
  <c r="AA260" i="2"/>
  <c r="Y358" i="2"/>
  <c r="AA358" i="2"/>
  <c r="AC358" i="2"/>
  <c r="AD358" i="2" s="1"/>
  <c r="Z358" i="2"/>
  <c r="Y795" i="2"/>
  <c r="AA795" i="2"/>
  <c r="Z795" i="2"/>
  <c r="AC795" i="2"/>
  <c r="AD795" i="2" s="1"/>
  <c r="Y107" i="2"/>
  <c r="AC107" i="2"/>
  <c r="AD107" i="2" s="1"/>
  <c r="AA107" i="2"/>
  <c r="Z107" i="2"/>
  <c r="Y203" i="2"/>
  <c r="AC203" i="2"/>
  <c r="AD203" i="2" s="1"/>
  <c r="AA203" i="2"/>
  <c r="Z203" i="2"/>
  <c r="Y555" i="2"/>
  <c r="AA555" i="2"/>
  <c r="AC555" i="2"/>
  <c r="AD555" i="2" s="1"/>
  <c r="Z555" i="2"/>
  <c r="Y568" i="2"/>
  <c r="AC568" i="2"/>
  <c r="AD568" i="2" s="1"/>
  <c r="Z568" i="2"/>
  <c r="AA568" i="2"/>
  <c r="Y342" i="2"/>
  <c r="AA342" i="2"/>
  <c r="AC342" i="2"/>
  <c r="AD342" i="2" s="1"/>
  <c r="Z342" i="2"/>
  <c r="Y704" i="2"/>
  <c r="AC704" i="2"/>
  <c r="AD704" i="2" s="1"/>
  <c r="Z704" i="2"/>
  <c r="AA704" i="2"/>
  <c r="Y82" i="2"/>
  <c r="AC82" i="2"/>
  <c r="AD82" i="2" s="1"/>
  <c r="AA82" i="2"/>
  <c r="Z82" i="2"/>
  <c r="Y418" i="2"/>
  <c r="AC418" i="2"/>
  <c r="AD418" i="2" s="1"/>
  <c r="AA418" i="2"/>
  <c r="Z418" i="2"/>
  <c r="Y156" i="2"/>
  <c r="AC156" i="2"/>
  <c r="AD156" i="2" s="1"/>
  <c r="AA156" i="2"/>
  <c r="Z156" i="2"/>
  <c r="Y793" i="2"/>
  <c r="AC793" i="2"/>
  <c r="AD793" i="2" s="1"/>
  <c r="AA793" i="2"/>
  <c r="Z793" i="2"/>
  <c r="Y141" i="2"/>
  <c r="AC141" i="2"/>
  <c r="AD141" i="2" s="1"/>
  <c r="AA141" i="2"/>
  <c r="Z141" i="2"/>
  <c r="Y218" i="2"/>
  <c r="AA218" i="2"/>
  <c r="AC218" i="2"/>
  <c r="AD218" i="2" s="1"/>
  <c r="Z218" i="2"/>
  <c r="Y628" i="2"/>
  <c r="AC628" i="2"/>
  <c r="AD628" i="2" s="1"/>
  <c r="Z628" i="2"/>
  <c r="AA628" i="2"/>
  <c r="Y841" i="2"/>
  <c r="AC841" i="2"/>
  <c r="AD841" i="2" s="1"/>
  <c r="Z841" i="2"/>
  <c r="AA841" i="2"/>
  <c r="Y104" i="2"/>
  <c r="AA104" i="2"/>
  <c r="AC104" i="2"/>
  <c r="AD104" i="2" s="1"/>
  <c r="Z104" i="2"/>
  <c r="Y252" i="2"/>
  <c r="AC252" i="2"/>
  <c r="AD252" i="2" s="1"/>
  <c r="Z252" i="2"/>
  <c r="AA252" i="2"/>
  <c r="Y636" i="2"/>
  <c r="AC636" i="2"/>
  <c r="AD636" i="2" s="1"/>
  <c r="AA636" i="2"/>
  <c r="Z636" i="2"/>
  <c r="Y876" i="2"/>
  <c r="AA876" i="2"/>
  <c r="Z876" i="2"/>
  <c r="AC876" i="2"/>
  <c r="AD876" i="2" s="1"/>
  <c r="Y590" i="2"/>
  <c r="AA590" i="2"/>
  <c r="AC590" i="2"/>
  <c r="AD590" i="2" s="1"/>
  <c r="Z590" i="2"/>
  <c r="Y364" i="2"/>
  <c r="AA364" i="2"/>
  <c r="AC364" i="2"/>
  <c r="AD364" i="2" s="1"/>
  <c r="Z364" i="2"/>
  <c r="Y154" i="2"/>
  <c r="AC154" i="2"/>
  <c r="AD154" i="2" s="1"/>
  <c r="Z154" i="2"/>
  <c r="AA154" i="2"/>
  <c r="Y226" i="2"/>
  <c r="AC226" i="2"/>
  <c r="AD226" i="2" s="1"/>
  <c r="AA226" i="2"/>
  <c r="Z226" i="2"/>
  <c r="Y753" i="2"/>
  <c r="AC753" i="2"/>
  <c r="AD753" i="2" s="1"/>
  <c r="AA753" i="2"/>
  <c r="Z753" i="2"/>
  <c r="Y361" i="2"/>
  <c r="AC361" i="2"/>
  <c r="AD361" i="2" s="1"/>
  <c r="Z361" i="2"/>
  <c r="AA361" i="2"/>
  <c r="Y580" i="2"/>
  <c r="AC580" i="2"/>
  <c r="AD580" i="2" s="1"/>
  <c r="AA580" i="2"/>
  <c r="Z580" i="2"/>
  <c r="Y894" i="2"/>
  <c r="AA894" i="2"/>
  <c r="Z894" i="2"/>
  <c r="Y798" i="2"/>
  <c r="Z798" i="2"/>
  <c r="AC798" i="2"/>
  <c r="AD798" i="2" s="1"/>
  <c r="AA798" i="2"/>
  <c r="Y739" i="2"/>
  <c r="AC739" i="2"/>
  <c r="AD739" i="2" s="1"/>
  <c r="AA739" i="2"/>
  <c r="Z739" i="2"/>
  <c r="Y524" i="2"/>
  <c r="AA524" i="2"/>
  <c r="AC524" i="2"/>
  <c r="AD524" i="2" s="1"/>
  <c r="Z524" i="2"/>
  <c r="Y637" i="2"/>
  <c r="AC637" i="2"/>
  <c r="AD637" i="2" s="1"/>
  <c r="Z637" i="2"/>
  <c r="AA637" i="2"/>
  <c r="Y357" i="2"/>
  <c r="AC357" i="2"/>
  <c r="AD357" i="2" s="1"/>
  <c r="AA357" i="2"/>
  <c r="Z357" i="2"/>
  <c r="Y734" i="2"/>
  <c r="AC734" i="2"/>
  <c r="AD734" i="2" s="1"/>
  <c r="AA734" i="2"/>
  <c r="Z734" i="2"/>
  <c r="Y541" i="2"/>
  <c r="AA541" i="2"/>
  <c r="AC541" i="2"/>
  <c r="AD541" i="2" s="1"/>
  <c r="Z541" i="2"/>
  <c r="Y392" i="2"/>
  <c r="AC392" i="2"/>
  <c r="AD392" i="2" s="1"/>
  <c r="AA392" i="2"/>
  <c r="Z392" i="2"/>
  <c r="Y436" i="2"/>
  <c r="AA436" i="2"/>
  <c r="AC436" i="2"/>
  <c r="AD436" i="2" s="1"/>
  <c r="Z436" i="2"/>
  <c r="Y425" i="2"/>
  <c r="AC425" i="2"/>
  <c r="AD425" i="2" s="1"/>
  <c r="Z425" i="2"/>
  <c r="AA425" i="2"/>
  <c r="Y113" i="2"/>
  <c r="AA113" i="2"/>
  <c r="AC113" i="2"/>
  <c r="AD113" i="2" s="1"/>
  <c r="Z113" i="2"/>
  <c r="Y402" i="2"/>
  <c r="AA402" i="2"/>
  <c r="AC402" i="2"/>
  <c r="AD402" i="2" s="1"/>
  <c r="Z402" i="2"/>
  <c r="Y855" i="2"/>
  <c r="Z855" i="2"/>
  <c r="AC855" i="2"/>
  <c r="AD855" i="2" s="1"/>
  <c r="AA855" i="2"/>
  <c r="Y429" i="2"/>
  <c r="AA429" i="2"/>
  <c r="AC429" i="2"/>
  <c r="AD429" i="2" s="1"/>
  <c r="Z429" i="2"/>
  <c r="Y820" i="2"/>
  <c r="AC820" i="2"/>
  <c r="AD820" i="2" s="1"/>
  <c r="Z820" i="2"/>
  <c r="AA820" i="2"/>
  <c r="Y115" i="2"/>
  <c r="AC115" i="2"/>
  <c r="AD115" i="2" s="1"/>
  <c r="Z115" i="2"/>
  <c r="AA115" i="2"/>
  <c r="Y901" i="2"/>
  <c r="AC901" i="2"/>
  <c r="AD901" i="2" s="1"/>
  <c r="Z901" i="2"/>
  <c r="AA901" i="2"/>
  <c r="Y244" i="2"/>
  <c r="AC244" i="2"/>
  <c r="AD244" i="2" s="1"/>
  <c r="AA244" i="2"/>
  <c r="Z244" i="2"/>
  <c r="Y652" i="2"/>
  <c r="AA652" i="2"/>
  <c r="AC652" i="2"/>
  <c r="AD652" i="2" s="1"/>
  <c r="Z652" i="2"/>
  <c r="Y21" i="2"/>
  <c r="AC21" i="2"/>
  <c r="AD21" i="2" s="1"/>
  <c r="Z21" i="2"/>
  <c r="AA21" i="2"/>
  <c r="Y827" i="2"/>
  <c r="AA827" i="2"/>
  <c r="AC827" i="2"/>
  <c r="AD827" i="2" s="1"/>
  <c r="Z827" i="2"/>
  <c r="Y153" i="2"/>
  <c r="AC153" i="2"/>
  <c r="AD153" i="2" s="1"/>
  <c r="AA153" i="2"/>
  <c r="Z153" i="2"/>
  <c r="Y649" i="2"/>
  <c r="AC649" i="2"/>
  <c r="AD649" i="2" s="1"/>
  <c r="AA649" i="2"/>
  <c r="Z649" i="2"/>
  <c r="Y875" i="2"/>
  <c r="AC875" i="2"/>
  <c r="AD875" i="2" s="1"/>
  <c r="Z875" i="2"/>
  <c r="AA875" i="2"/>
  <c r="Y749" i="2"/>
  <c r="AC749" i="2"/>
  <c r="AD749" i="2" s="1"/>
  <c r="AA749" i="2"/>
  <c r="Z749" i="2"/>
  <c r="Y579" i="2"/>
  <c r="AC579" i="2"/>
  <c r="AD579" i="2" s="1"/>
  <c r="Z579" i="2"/>
  <c r="AA579" i="2"/>
  <c r="Y725" i="2"/>
  <c r="AA725" i="2"/>
  <c r="AC725" i="2"/>
  <c r="AD725" i="2" s="1"/>
  <c r="Z725" i="2"/>
  <c r="Y420" i="2"/>
  <c r="AC420" i="2"/>
  <c r="AD420" i="2" s="1"/>
  <c r="AA420" i="2"/>
  <c r="Z420" i="2"/>
  <c r="Y778" i="2"/>
  <c r="AC778" i="2"/>
  <c r="AD778" i="2" s="1"/>
  <c r="Z778" i="2"/>
  <c r="AA778" i="2"/>
  <c r="Y211" i="2"/>
  <c r="AC211" i="2"/>
  <c r="AD211" i="2" s="1"/>
  <c r="AA211" i="2"/>
  <c r="Z211" i="2"/>
  <c r="Y149" i="2"/>
  <c r="AA149" i="2"/>
  <c r="AC149" i="2"/>
  <c r="AD149" i="2" s="1"/>
  <c r="Z149" i="2"/>
  <c r="Y186" i="2"/>
  <c r="AA186" i="2"/>
  <c r="AC186" i="2"/>
  <c r="AD186" i="2" s="1"/>
  <c r="Z186" i="2"/>
  <c r="Y472" i="2"/>
  <c r="AC472" i="2"/>
  <c r="AD472" i="2" s="1"/>
  <c r="AA472" i="2"/>
  <c r="Z472" i="2"/>
  <c r="Y658" i="2"/>
  <c r="AC658" i="2"/>
  <c r="AD658" i="2" s="1"/>
  <c r="AA658" i="2"/>
  <c r="Z658" i="2"/>
  <c r="Y377" i="2"/>
  <c r="AA377" i="2"/>
  <c r="AC377" i="2"/>
  <c r="AD377" i="2" s="1"/>
  <c r="Z377" i="2"/>
  <c r="Y818" i="2"/>
  <c r="AA818" i="2"/>
  <c r="AC818" i="2"/>
  <c r="AD818" i="2" s="1"/>
  <c r="Z818" i="2"/>
  <c r="Y577" i="2"/>
  <c r="AC577" i="2"/>
  <c r="AD577" i="2" s="1"/>
  <c r="AA577" i="2"/>
  <c r="Z577" i="2"/>
  <c r="Y399" i="2"/>
  <c r="AC399" i="2"/>
  <c r="AD399" i="2" s="1"/>
  <c r="Z399" i="2"/>
  <c r="AA399" i="2"/>
  <c r="Y709" i="2"/>
  <c r="AA709" i="2"/>
  <c r="AC709" i="2"/>
  <c r="AD709" i="2" s="1"/>
  <c r="Z709" i="2"/>
  <c r="Y803" i="2"/>
  <c r="AA803" i="2"/>
  <c r="AC803" i="2"/>
  <c r="AD803" i="2" s="1"/>
  <c r="Z803" i="2"/>
  <c r="Y75" i="2"/>
  <c r="AC75" i="2"/>
  <c r="AD75" i="2" s="1"/>
  <c r="AA75" i="2"/>
  <c r="Z75" i="2"/>
  <c r="Y435" i="2"/>
  <c r="AC435" i="2"/>
  <c r="AD435" i="2" s="1"/>
  <c r="Z435" i="2"/>
  <c r="AA435" i="2"/>
  <c r="Y779" i="2"/>
  <c r="AC779" i="2"/>
  <c r="AD779" i="2" s="1"/>
  <c r="Z779" i="2"/>
  <c r="AA779" i="2"/>
  <c r="Y785" i="2"/>
  <c r="AA785" i="2"/>
  <c r="Z785" i="2"/>
  <c r="AC785" i="2"/>
  <c r="AD785" i="2" s="1"/>
  <c r="Y231" i="2"/>
  <c r="AC231" i="2"/>
  <c r="AD231" i="2" s="1"/>
  <c r="Z231" i="2"/>
  <c r="AA231" i="2"/>
  <c r="Y287" i="2"/>
  <c r="AA287" i="2"/>
  <c r="AC287" i="2"/>
  <c r="AD287" i="2" s="1"/>
  <c r="Z287" i="2"/>
  <c r="Y88" i="2"/>
  <c r="AA88" i="2"/>
  <c r="AC88" i="2"/>
  <c r="AD88" i="2" s="1"/>
  <c r="Z88" i="2"/>
  <c r="Y300" i="2"/>
  <c r="AC300" i="2"/>
  <c r="AD300" i="2" s="1"/>
  <c r="AA300" i="2"/>
  <c r="Z300" i="2"/>
  <c r="Y476" i="2"/>
  <c r="AC476" i="2"/>
  <c r="AD476" i="2" s="1"/>
  <c r="AA476" i="2"/>
  <c r="Z476" i="2"/>
  <c r="Y497" i="2"/>
  <c r="AA497" i="2"/>
  <c r="AC497" i="2"/>
  <c r="AD497" i="2" s="1"/>
  <c r="Z497" i="2"/>
  <c r="Y266" i="2"/>
  <c r="Z266" i="2"/>
  <c r="AC266" i="2"/>
  <c r="AD266" i="2" s="1"/>
  <c r="AA266" i="2"/>
  <c r="Y374" i="2"/>
  <c r="AA374" i="2"/>
  <c r="AC374" i="2"/>
  <c r="AD374" i="2" s="1"/>
  <c r="Z374" i="2"/>
  <c r="Y812" i="2"/>
  <c r="AC812" i="2"/>
  <c r="AD812" i="2" s="1"/>
  <c r="AA812" i="2"/>
  <c r="Z812" i="2"/>
  <c r="Y123" i="2"/>
  <c r="AA123" i="2"/>
  <c r="Z123" i="2"/>
  <c r="Y206" i="2"/>
  <c r="AC206" i="2"/>
  <c r="AD206" i="2" s="1"/>
  <c r="AA206" i="2"/>
  <c r="Z206" i="2"/>
  <c r="Y571" i="2"/>
  <c r="AC571" i="2"/>
  <c r="AD571" i="2" s="1"/>
  <c r="Z571" i="2"/>
  <c r="AA571" i="2"/>
  <c r="Y708" i="2"/>
  <c r="AC708" i="2"/>
  <c r="AD708" i="2" s="1"/>
  <c r="Z708" i="2"/>
  <c r="AA708" i="2"/>
  <c r="Y720" i="2"/>
  <c r="AC720" i="2"/>
  <c r="AD720" i="2" s="1"/>
  <c r="Z720" i="2"/>
  <c r="AA720" i="2"/>
  <c r="Y904" i="2"/>
  <c r="AC904" i="2"/>
  <c r="AD904" i="2" s="1"/>
  <c r="AA904" i="2"/>
  <c r="Z904" i="2"/>
  <c r="Y23" i="2"/>
  <c r="AC23" i="2"/>
  <c r="AD23" i="2" s="1"/>
  <c r="AA23" i="2"/>
  <c r="Z23" i="2"/>
  <c r="Y52" i="2"/>
  <c r="AA52" i="2"/>
  <c r="AC52" i="2"/>
  <c r="AD52" i="2" s="1"/>
  <c r="Z52" i="2"/>
  <c r="Y216" i="2"/>
  <c r="AC216" i="2"/>
  <c r="AD216" i="2" s="1"/>
  <c r="AA216" i="2"/>
  <c r="Z216" i="2"/>
  <c r="Y629" i="2"/>
  <c r="AA629" i="2"/>
  <c r="AC629" i="2"/>
  <c r="AD629" i="2" s="1"/>
  <c r="Z629" i="2"/>
  <c r="Y844" i="2"/>
  <c r="AA844" i="2"/>
  <c r="AC844" i="2"/>
  <c r="AD844" i="2" s="1"/>
  <c r="Z844" i="2"/>
  <c r="Y454" i="2"/>
  <c r="AC454" i="2"/>
  <c r="AD454" i="2" s="1"/>
  <c r="AA454" i="2"/>
  <c r="Z454" i="2"/>
  <c r="Y661" i="2"/>
  <c r="AC661" i="2"/>
  <c r="AD661" i="2" s="1"/>
  <c r="Z661" i="2"/>
  <c r="AA661" i="2"/>
  <c r="Y381" i="2"/>
  <c r="AA381" i="2"/>
  <c r="AC381" i="2"/>
  <c r="AD381" i="2" s="1"/>
  <c r="Z381" i="2"/>
  <c r="Y369" i="2"/>
  <c r="AA369" i="2"/>
  <c r="AC369" i="2"/>
  <c r="AD369" i="2" s="1"/>
  <c r="Z369" i="2"/>
  <c r="Y808" i="2"/>
  <c r="AC808" i="2"/>
  <c r="AD808" i="2" s="1"/>
  <c r="AA808" i="2"/>
  <c r="Z808" i="2"/>
  <c r="Y95" i="2"/>
  <c r="AC95" i="2"/>
  <c r="AD95" i="2" s="1"/>
  <c r="Z95" i="2"/>
  <c r="AA95" i="2"/>
  <c r="Y94" i="2"/>
  <c r="AA94" i="2"/>
  <c r="AC94" i="2"/>
  <c r="AD94" i="2" s="1"/>
  <c r="Z94" i="2"/>
  <c r="Y593" i="2"/>
  <c r="AC593" i="2"/>
  <c r="AD593" i="2" s="1"/>
  <c r="Z593" i="2"/>
  <c r="AA593" i="2"/>
  <c r="Y730" i="2"/>
  <c r="AA730" i="2"/>
  <c r="AC730" i="2"/>
  <c r="AD730" i="2" s="1"/>
  <c r="Z730" i="2"/>
  <c r="Y895" i="2"/>
  <c r="AC895" i="2"/>
  <c r="AD895" i="2" s="1"/>
  <c r="AA895" i="2"/>
  <c r="Z895" i="2"/>
  <c r="Y422" i="2"/>
  <c r="AC422" i="2"/>
  <c r="AD422" i="2" s="1"/>
  <c r="Z422" i="2"/>
  <c r="AA422" i="2"/>
  <c r="Y26" i="2"/>
  <c r="AA26" i="2"/>
  <c r="AC26" i="2"/>
  <c r="AD26" i="2" s="1"/>
  <c r="Z26" i="2"/>
  <c r="Y515" i="2"/>
  <c r="AC515" i="2"/>
  <c r="AD515" i="2" s="1"/>
  <c r="Z515" i="2"/>
  <c r="AA515" i="2"/>
  <c r="Y860" i="2"/>
  <c r="AA860" i="2"/>
  <c r="AC860" i="2"/>
  <c r="AD860" i="2" s="1"/>
  <c r="Z860" i="2"/>
  <c r="Y616" i="2"/>
  <c r="Z616" i="2"/>
  <c r="AC616" i="2"/>
  <c r="AD616" i="2" s="1"/>
  <c r="AA616" i="2"/>
  <c r="AC879" i="2"/>
  <c r="AD879" i="2" s="1"/>
  <c r="Y762" i="2"/>
  <c r="AC762" i="2"/>
  <c r="AD762" i="2" s="1"/>
  <c r="AA762" i="2"/>
  <c r="Z762" i="2"/>
  <c r="Y479" i="2"/>
  <c r="AC479" i="2"/>
  <c r="AD479" i="2" s="1"/>
  <c r="Z479" i="2"/>
  <c r="AA479" i="2"/>
  <c r="Y667" i="2"/>
  <c r="AA667" i="2"/>
  <c r="AC667" i="2"/>
  <c r="AD667" i="2" s="1"/>
  <c r="Z667" i="2"/>
  <c r="Y355" i="2"/>
  <c r="AA355" i="2"/>
  <c r="AC355" i="2"/>
  <c r="AD355" i="2" s="1"/>
  <c r="Z355" i="2"/>
  <c r="Y671" i="2"/>
  <c r="AA671" i="2"/>
  <c r="AC671" i="2"/>
  <c r="AD671" i="2" s="1"/>
  <c r="Z671" i="2"/>
  <c r="Y801" i="2"/>
  <c r="AA801" i="2"/>
  <c r="Z801" i="2"/>
  <c r="Y128" i="2"/>
  <c r="AA128" i="2"/>
  <c r="AC128" i="2"/>
  <c r="AD128" i="2" s="1"/>
  <c r="Z128" i="2"/>
  <c r="Y136" i="2"/>
  <c r="AA136" i="2"/>
  <c r="Z136" i="2"/>
  <c r="AC136" i="2"/>
  <c r="AD136" i="2" s="1"/>
  <c r="Y596" i="2"/>
  <c r="AA596" i="2"/>
  <c r="AC596" i="2"/>
  <c r="AD596" i="2" s="1"/>
  <c r="Z596" i="2"/>
  <c r="Y601" i="2"/>
  <c r="AC601" i="2"/>
  <c r="AD601" i="2" s="1"/>
  <c r="Z601" i="2"/>
  <c r="AA601" i="2"/>
  <c r="Y733" i="2"/>
  <c r="AA733" i="2"/>
  <c r="AC733" i="2"/>
  <c r="AD733" i="2" s="1"/>
  <c r="Z733" i="2"/>
  <c r="Y737" i="2"/>
  <c r="AA737" i="2"/>
  <c r="AC737" i="2"/>
  <c r="AD737" i="2" s="1"/>
  <c r="Z737" i="2"/>
  <c r="Y905" i="2"/>
  <c r="AC905" i="2"/>
  <c r="AD905" i="2" s="1"/>
  <c r="AA905" i="2"/>
  <c r="Z905" i="2"/>
  <c r="Y24" i="2"/>
  <c r="AC24" i="2"/>
  <c r="AD24" i="2" s="1"/>
  <c r="Z24" i="2"/>
  <c r="AA24" i="2"/>
  <c r="Y532" i="2"/>
  <c r="AC532" i="2"/>
  <c r="AD532" i="2" s="1"/>
  <c r="AA532" i="2"/>
  <c r="Z532" i="2"/>
  <c r="Y72" i="2"/>
  <c r="AC72" i="2"/>
  <c r="AD72" i="2" s="1"/>
  <c r="AA72" i="2"/>
  <c r="Z72" i="2"/>
  <c r="Y765" i="2"/>
  <c r="AC765" i="2"/>
  <c r="AD765" i="2" s="1"/>
  <c r="Z765" i="2"/>
  <c r="AA765" i="2"/>
  <c r="Y182" i="2"/>
  <c r="AC182" i="2"/>
  <c r="AD182" i="2" s="1"/>
  <c r="Z182" i="2"/>
  <c r="AA182" i="2"/>
  <c r="Y375" i="2"/>
  <c r="AC375" i="2"/>
  <c r="AD375" i="2" s="1"/>
  <c r="AA375" i="2"/>
  <c r="AE375" i="2" s="1"/>
  <c r="Z375" i="2"/>
  <c r="Y362" i="2"/>
  <c r="AC362" i="2"/>
  <c r="AD362" i="2" s="1"/>
  <c r="AA362" i="2"/>
  <c r="Z362" i="2"/>
  <c r="Y821" i="2"/>
  <c r="Z821" i="2"/>
  <c r="AC821" i="2"/>
  <c r="AD821" i="2" s="1"/>
  <c r="AA821" i="2"/>
  <c r="Y97" i="2"/>
  <c r="AA97" i="2"/>
  <c r="AC97" i="2"/>
  <c r="AD97" i="2" s="1"/>
  <c r="Z97" i="2"/>
  <c r="Y346" i="2"/>
  <c r="AA346" i="2"/>
  <c r="AC346" i="2"/>
  <c r="AD346" i="2" s="1"/>
  <c r="Z346" i="2"/>
  <c r="Y549" i="2"/>
  <c r="AA549" i="2"/>
  <c r="AC549" i="2"/>
  <c r="AD549" i="2" s="1"/>
  <c r="Z549" i="2"/>
  <c r="Y289" i="2"/>
  <c r="AA289" i="2"/>
  <c r="AC289" i="2"/>
  <c r="AD289" i="2" s="1"/>
  <c r="Z289" i="2"/>
  <c r="Y623" i="2"/>
  <c r="AC623" i="2"/>
  <c r="AD623" i="2" s="1"/>
  <c r="AA623" i="2"/>
  <c r="Z623" i="2"/>
  <c r="Y448" i="2"/>
  <c r="AC448" i="2"/>
  <c r="AD448" i="2" s="1"/>
  <c r="Z448" i="2"/>
  <c r="AA448" i="2"/>
  <c r="Y913" i="2"/>
  <c r="AC913" i="2"/>
  <c r="AD913" i="2" s="1"/>
  <c r="AA913" i="2"/>
  <c r="Z913" i="2"/>
  <c r="Y73" i="2"/>
  <c r="AA73" i="2"/>
  <c r="AC73" i="2"/>
  <c r="AD73" i="2" s="1"/>
  <c r="Z73" i="2"/>
  <c r="Y679" i="2"/>
  <c r="AA679" i="2"/>
  <c r="AC679" i="2"/>
  <c r="AD679" i="2" s="1"/>
  <c r="Z679" i="2"/>
  <c r="Y758" i="2"/>
  <c r="AC758" i="2"/>
  <c r="AD758" i="2" s="1"/>
  <c r="Z758" i="2"/>
  <c r="AA758" i="2"/>
  <c r="Y478" i="2"/>
  <c r="AC478" i="2"/>
  <c r="AD478" i="2" s="1"/>
  <c r="AA478" i="2"/>
  <c r="Z478" i="2"/>
  <c r="Y119" i="2"/>
  <c r="AC119" i="2"/>
  <c r="AD119" i="2" s="1"/>
  <c r="AA119" i="2"/>
  <c r="Z119" i="2"/>
  <c r="Y686" i="2"/>
  <c r="AA686" i="2"/>
  <c r="AC686" i="2"/>
  <c r="AD686" i="2" s="1"/>
  <c r="Z686" i="2"/>
  <c r="Y690" i="2"/>
  <c r="AA690" i="2"/>
  <c r="AC690" i="2"/>
  <c r="AD690" i="2" s="1"/>
  <c r="Z690" i="2"/>
  <c r="Y889" i="2"/>
  <c r="Z889" i="2"/>
  <c r="AA889" i="2"/>
  <c r="AC889" i="2"/>
  <c r="AD889" i="2" s="1"/>
  <c r="Y328" i="2"/>
  <c r="Z328" i="2"/>
  <c r="AA328" i="2"/>
  <c r="AC328" i="2"/>
  <c r="AD328" i="2" s="1"/>
  <c r="Y415" i="2"/>
  <c r="AC415" i="2"/>
  <c r="AD415" i="2" s="1"/>
  <c r="Z415" i="2"/>
  <c r="AA415" i="2"/>
  <c r="Y442" i="2"/>
  <c r="AC442" i="2"/>
  <c r="AD442" i="2" s="1"/>
  <c r="AA442" i="2"/>
  <c r="Z442" i="2"/>
  <c r="Y160" i="2"/>
  <c r="AC160" i="2"/>
  <c r="AD160" i="2" s="1"/>
  <c r="AA160" i="2"/>
  <c r="Z160" i="2"/>
  <c r="Y685" i="2"/>
  <c r="AA685" i="2"/>
  <c r="AC685" i="2"/>
  <c r="AD685" i="2" s="1"/>
  <c r="Z685" i="2"/>
  <c r="Y210" i="2"/>
  <c r="AA210" i="2"/>
  <c r="Z210" i="2"/>
  <c r="AC210" i="2"/>
  <c r="AD210" i="2" s="1"/>
  <c r="Y297" i="2"/>
  <c r="AA297" i="2"/>
  <c r="AC297" i="2"/>
  <c r="AD297" i="2" s="1"/>
  <c r="Z297" i="2"/>
  <c r="Y914" i="2"/>
  <c r="AC914" i="2"/>
  <c r="AD914" i="2" s="1"/>
  <c r="AA914" i="2"/>
  <c r="Z914" i="2"/>
  <c r="Y16" i="2"/>
  <c r="AC16" i="2"/>
  <c r="AD16" i="2" s="1"/>
  <c r="AA16" i="2"/>
  <c r="Z16" i="2"/>
  <c r="Y18" i="2"/>
  <c r="AC18" i="2"/>
  <c r="AD18" i="2" s="1"/>
  <c r="AA18" i="2"/>
  <c r="Z18" i="2"/>
  <c r="Y262" i="2"/>
  <c r="AC262" i="2"/>
  <c r="AD262" i="2" s="1"/>
  <c r="AA262" i="2"/>
  <c r="Z262" i="2"/>
  <c r="Y360" i="2"/>
  <c r="AA360" i="2"/>
  <c r="AC360" i="2"/>
  <c r="AD360" i="2" s="1"/>
  <c r="Z360" i="2"/>
  <c r="Y807" i="2"/>
  <c r="AA807" i="2"/>
  <c r="Z807" i="2"/>
  <c r="AC807" i="2"/>
  <c r="AD807" i="2" s="1"/>
  <c r="Y254" i="2"/>
  <c r="AA254" i="2"/>
  <c r="AC254" i="2"/>
  <c r="AD254" i="2" s="1"/>
  <c r="Z254" i="2"/>
  <c r="Y565" i="2"/>
  <c r="AC565" i="2"/>
  <c r="AD565" i="2" s="1"/>
  <c r="AA565" i="2"/>
  <c r="Z565" i="2"/>
  <c r="Y405" i="2"/>
  <c r="AA405" i="2"/>
  <c r="AC405" i="2"/>
  <c r="AD405" i="2" s="1"/>
  <c r="Z405" i="2"/>
  <c r="Y694" i="2"/>
  <c r="AA694" i="2"/>
  <c r="AC694" i="2"/>
  <c r="AD694" i="2" s="1"/>
  <c r="Z694" i="2"/>
  <c r="Y789" i="2"/>
  <c r="AA789" i="2"/>
  <c r="Z789" i="2"/>
  <c r="AC789" i="2"/>
  <c r="AD789" i="2" s="1"/>
  <c r="Y212" i="2"/>
  <c r="AC212" i="2"/>
  <c r="AD212" i="2" s="1"/>
  <c r="AA212" i="2"/>
  <c r="Z212" i="2"/>
  <c r="Y396" i="2"/>
  <c r="AC396" i="2"/>
  <c r="AD396" i="2" s="1"/>
  <c r="Z396" i="2"/>
  <c r="AA396" i="2"/>
  <c r="Y619" i="2"/>
  <c r="AC619" i="2"/>
  <c r="AD619" i="2" s="1"/>
  <c r="AA619" i="2"/>
  <c r="Z619" i="2"/>
  <c r="Y655" i="2"/>
  <c r="AC655" i="2"/>
  <c r="AD655" i="2" s="1"/>
  <c r="AA655" i="2"/>
  <c r="Z655" i="2"/>
  <c r="Y12" i="2"/>
  <c r="AC12" i="2"/>
  <c r="AD12" i="2" s="1"/>
  <c r="AA12" i="2"/>
  <c r="Z12" i="2"/>
  <c r="Y866" i="2"/>
  <c r="AC866" i="2"/>
  <c r="AD866" i="2" s="1"/>
  <c r="Z866" i="2"/>
  <c r="AA866" i="2"/>
  <c r="Y828" i="2"/>
  <c r="Z828" i="2"/>
  <c r="AA828" i="2"/>
  <c r="AC828" i="2"/>
  <c r="AD828" i="2" s="1"/>
  <c r="Y701" i="2"/>
  <c r="AA701" i="2"/>
  <c r="AC701" i="2"/>
  <c r="AD701" i="2" s="1"/>
  <c r="Z701" i="2"/>
  <c r="Y883" i="2"/>
  <c r="AC883" i="2"/>
  <c r="AD883" i="2" s="1"/>
  <c r="Z883" i="2"/>
  <c r="AA883" i="2"/>
  <c r="Y427" i="2"/>
  <c r="AC427" i="2"/>
  <c r="AD427" i="2" s="1"/>
  <c r="AA427" i="2"/>
  <c r="Z427" i="2"/>
  <c r="Y518" i="2"/>
  <c r="AA518" i="2"/>
  <c r="AC518" i="2"/>
  <c r="AD518" i="2" s="1"/>
  <c r="Z518" i="2"/>
  <c r="Y298" i="2"/>
  <c r="AA298" i="2"/>
  <c r="AC298" i="2"/>
  <c r="AD298" i="2" s="1"/>
  <c r="Z298" i="2"/>
  <c r="Y748" i="2"/>
  <c r="AA748" i="2"/>
  <c r="AC748" i="2"/>
  <c r="AD748" i="2" s="1"/>
  <c r="Z748" i="2"/>
  <c r="Y877" i="2"/>
  <c r="AA877" i="2"/>
  <c r="AC877" i="2"/>
  <c r="AD877" i="2" s="1"/>
  <c r="Z877" i="2"/>
  <c r="Y766" i="2"/>
  <c r="AA766" i="2"/>
  <c r="AC766" i="2"/>
  <c r="AD766" i="2" s="1"/>
  <c r="Z766" i="2"/>
  <c r="Z30" i="2"/>
  <c r="AA30" i="2"/>
  <c r="AC30" i="2"/>
  <c r="AD30" i="2" s="1"/>
  <c r="T32" i="2"/>
  <c r="W32" i="2" s="1"/>
  <c r="Y32" i="2" s="1"/>
  <c r="AE29" i="2"/>
  <c r="AF29" i="2" s="1"/>
  <c r="AB29" i="2"/>
  <c r="Z126" i="2"/>
  <c r="AD126" i="2"/>
  <c r="Z127" i="2"/>
  <c r="AD127" i="2"/>
  <c r="AE297" i="2" l="1"/>
  <c r="AF297" i="2" s="1"/>
  <c r="AB297" i="2"/>
  <c r="AB628" i="2"/>
  <c r="AE628" i="2"/>
  <c r="AF628" i="2" s="1"/>
  <c r="AB417" i="2"/>
  <c r="AE417" i="2"/>
  <c r="AF417" i="2" s="1"/>
  <c r="AE618" i="2"/>
  <c r="AF618" i="2" s="1"/>
  <c r="AB618" i="2"/>
  <c r="AE523" i="2"/>
  <c r="AF523" i="2" s="1"/>
  <c r="AB523" i="2"/>
  <c r="AE484" i="2"/>
  <c r="AF484" i="2" s="1"/>
  <c r="AB484" i="2"/>
  <c r="AE538" i="2"/>
  <c r="AF538" i="2" s="1"/>
  <c r="AB538" i="2"/>
  <c r="AE356" i="2"/>
  <c r="AF356" i="2" s="1"/>
  <c r="AB356" i="2"/>
  <c r="AE817" i="2"/>
  <c r="AF817" i="2" s="1"/>
  <c r="AB817" i="2"/>
  <c r="AE4" i="2"/>
  <c r="AF4" i="2" s="1"/>
  <c r="AB4" i="2"/>
  <c r="AE340" i="2"/>
  <c r="AF340" i="2" s="1"/>
  <c r="AB340" i="2"/>
  <c r="AE273" i="2"/>
  <c r="AF273" i="2" s="1"/>
  <c r="AB273" i="2"/>
  <c r="AE591" i="2"/>
  <c r="AF591" i="2" s="1"/>
  <c r="AB591" i="2"/>
  <c r="AE28" i="2"/>
  <c r="AF28" i="2" s="1"/>
  <c r="AB28" i="2"/>
  <c r="AE575" i="2"/>
  <c r="AF575" i="2" s="1"/>
  <c r="AB575" i="2"/>
  <c r="AB498" i="2"/>
  <c r="AE498" i="2"/>
  <c r="AF498" i="2" s="1"/>
  <c r="AE423" i="2"/>
  <c r="AF423" i="2" s="1"/>
  <c r="AB423" i="2"/>
  <c r="AE782" i="2"/>
  <c r="AF782" i="2" s="1"/>
  <c r="AB782" i="2"/>
  <c r="AE610" i="2"/>
  <c r="AF610" i="2" s="1"/>
  <c r="AB610" i="2"/>
  <c r="AE187" i="2"/>
  <c r="AF187" i="2" s="1"/>
  <c r="AB187" i="2"/>
  <c r="AE445" i="2"/>
  <c r="AF445" i="2" s="1"/>
  <c r="AB445" i="2"/>
  <c r="AE479" i="2"/>
  <c r="AF479" i="2" s="1"/>
  <c r="AB479" i="2"/>
  <c r="AE266" i="2"/>
  <c r="AF266" i="2" s="1"/>
  <c r="AB266" i="2"/>
  <c r="AB231" i="2"/>
  <c r="AE231" i="2"/>
  <c r="AF231" i="2" s="1"/>
  <c r="AE779" i="2"/>
  <c r="AF779" i="2" s="1"/>
  <c r="AB779" i="2"/>
  <c r="AE778" i="2"/>
  <c r="AF778" i="2" s="1"/>
  <c r="AB778" i="2"/>
  <c r="AE901" i="2"/>
  <c r="AF901" i="2" s="1"/>
  <c r="AB901" i="2"/>
  <c r="AE820" i="2"/>
  <c r="AF820" i="2" s="1"/>
  <c r="AB820" i="2"/>
  <c r="AE855" i="2"/>
  <c r="AF855" i="2" s="1"/>
  <c r="AB855" i="2"/>
  <c r="AB798" i="2"/>
  <c r="AE798" i="2"/>
  <c r="AF798" i="2" s="1"/>
  <c r="AE580" i="2"/>
  <c r="AF580" i="2" s="1"/>
  <c r="AB580" i="2"/>
  <c r="AB753" i="2"/>
  <c r="AE753" i="2"/>
  <c r="AF753" i="2" s="1"/>
  <c r="AE636" i="2"/>
  <c r="AF636" i="2" s="1"/>
  <c r="AB636" i="2"/>
  <c r="AB141" i="2"/>
  <c r="AE141" i="2"/>
  <c r="AF141" i="2" s="1"/>
  <c r="AE156" i="2"/>
  <c r="AF156" i="2" s="1"/>
  <c r="AB156" i="2"/>
  <c r="AE82" i="2"/>
  <c r="AF82" i="2" s="1"/>
  <c r="AB82" i="2"/>
  <c r="AE107" i="2"/>
  <c r="AF107" i="2" s="1"/>
  <c r="AB107" i="2"/>
  <c r="AE477" i="2"/>
  <c r="AF477" i="2" s="1"/>
  <c r="AB477" i="2"/>
  <c r="AE519" i="2"/>
  <c r="AF519" i="2" s="1"/>
  <c r="AB519" i="2"/>
  <c r="AE490" i="2"/>
  <c r="AF490" i="2" s="1"/>
  <c r="AB490" i="2"/>
  <c r="AE502" i="2"/>
  <c r="AF502" i="2" s="1"/>
  <c r="AB502" i="2"/>
  <c r="AE196" i="2"/>
  <c r="AF196" i="2" s="1"/>
  <c r="AB196" i="2"/>
  <c r="AE755" i="2"/>
  <c r="AF755" i="2" s="1"/>
  <c r="AB755" i="2"/>
  <c r="AE537" i="2"/>
  <c r="AF537" i="2" s="1"/>
  <c r="AB537" i="2"/>
  <c r="AE609" i="2"/>
  <c r="AF609" i="2" s="1"/>
  <c r="AB609" i="2"/>
  <c r="AE173" i="2"/>
  <c r="AF173" i="2" s="1"/>
  <c r="AB173" i="2"/>
  <c r="AE663" i="2"/>
  <c r="AF663" i="2" s="1"/>
  <c r="AB663" i="2"/>
  <c r="AE839" i="2"/>
  <c r="AF839" i="2" s="1"/>
  <c r="AB839" i="2"/>
  <c r="AE430" i="2"/>
  <c r="AF430" i="2" s="1"/>
  <c r="AB430" i="2"/>
  <c r="AE338" i="2"/>
  <c r="AF338" i="2" s="1"/>
  <c r="AB338" i="2"/>
  <c r="AE325" i="2"/>
  <c r="AF325" i="2" s="1"/>
  <c r="AB325" i="2"/>
  <c r="AE759" i="2"/>
  <c r="AF759" i="2" s="1"/>
  <c r="AB759" i="2"/>
  <c r="AE526" i="2"/>
  <c r="AF526" i="2" s="1"/>
  <c r="AB526" i="2"/>
  <c r="AE572" i="2"/>
  <c r="AF572" i="2" s="1"/>
  <c r="AB572" i="2"/>
  <c r="AE100" i="2"/>
  <c r="AF100" i="2" s="1"/>
  <c r="AB100" i="2"/>
  <c r="AE788" i="2"/>
  <c r="AF788" i="2" s="1"/>
  <c r="AB788" i="2"/>
  <c r="AE170" i="2"/>
  <c r="AF170" i="2" s="1"/>
  <c r="AB170" i="2"/>
  <c r="AE467" i="2"/>
  <c r="AF467" i="2" s="1"/>
  <c r="AB467" i="2"/>
  <c r="AE414" i="2"/>
  <c r="AF414" i="2" s="1"/>
  <c r="AB414" i="2"/>
  <c r="AE517" i="2"/>
  <c r="AF517" i="2" s="1"/>
  <c r="AB517" i="2"/>
  <c r="AB536" i="2"/>
  <c r="AE536" i="2"/>
  <c r="AF536" i="2" s="1"/>
  <c r="AE687" i="2"/>
  <c r="AF687" i="2" s="1"/>
  <c r="AB687" i="2"/>
  <c r="AE122" i="2"/>
  <c r="AF122" i="2" s="1"/>
  <c r="AB122" i="2"/>
  <c r="AE446" i="2"/>
  <c r="AF446" i="2" s="1"/>
  <c r="AB446" i="2"/>
  <c r="AE304" i="2"/>
  <c r="AF304" i="2" s="1"/>
  <c r="AB304" i="2"/>
  <c r="AE710" i="2"/>
  <c r="AF710" i="2" s="1"/>
  <c r="AB710" i="2"/>
  <c r="AE295" i="2"/>
  <c r="AF295" i="2" s="1"/>
  <c r="AB295" i="2"/>
  <c r="AE692" i="2"/>
  <c r="AF692" i="2" s="1"/>
  <c r="AB692" i="2"/>
  <c r="AE290" i="2"/>
  <c r="AF290" i="2" s="1"/>
  <c r="AB290" i="2"/>
  <c r="AE207" i="2"/>
  <c r="AF207" i="2" s="1"/>
  <c r="AB207" i="2"/>
  <c r="AE891" i="2"/>
  <c r="AF891" i="2" s="1"/>
  <c r="AB891" i="2"/>
  <c r="AE334" i="2"/>
  <c r="AF334" i="2" s="1"/>
  <c r="AB334" i="2"/>
  <c r="AE192" i="2"/>
  <c r="AF192" i="2" s="1"/>
  <c r="AB192" i="2"/>
  <c r="AE58" i="2"/>
  <c r="AF58" i="2" s="1"/>
  <c r="AB58" i="2"/>
  <c r="AE293" i="2"/>
  <c r="AF293" i="2" s="1"/>
  <c r="AB293" i="2"/>
  <c r="AE775" i="2"/>
  <c r="AF775" i="2" s="1"/>
  <c r="AB775" i="2"/>
  <c r="AE57" i="2"/>
  <c r="AF57" i="2" s="1"/>
  <c r="AB57" i="2"/>
  <c r="AB863" i="2"/>
  <c r="AE863" i="2"/>
  <c r="AF863" i="2" s="1"/>
  <c r="AE741" i="2"/>
  <c r="AF741" i="2" s="1"/>
  <c r="AB741" i="2"/>
  <c r="AE264" i="2"/>
  <c r="AF264" i="2" s="1"/>
  <c r="AB264" i="2"/>
  <c r="AE600" i="2"/>
  <c r="AF600" i="2" s="1"/>
  <c r="AB600" i="2"/>
  <c r="AB660" i="2"/>
  <c r="AE660" i="2"/>
  <c r="AF660" i="2" s="1"/>
  <c r="AE826" i="2"/>
  <c r="AF826" i="2" s="1"/>
  <c r="AB826" i="2"/>
  <c r="AE773" i="2"/>
  <c r="AF773" i="2" s="1"/>
  <c r="AB773" i="2"/>
  <c r="AE602" i="2"/>
  <c r="AF602" i="2" s="1"/>
  <c r="AB602" i="2"/>
  <c r="AE209" i="2"/>
  <c r="AF209" i="2" s="1"/>
  <c r="AB209" i="2"/>
  <c r="AE648" i="2"/>
  <c r="AF648" i="2" s="1"/>
  <c r="AB648" i="2"/>
  <c r="AE832" i="2"/>
  <c r="AF832" i="2" s="1"/>
  <c r="AB832" i="2"/>
  <c r="AE606" i="2"/>
  <c r="AF606" i="2" s="1"/>
  <c r="AB606" i="2"/>
  <c r="AE703" i="2"/>
  <c r="AF703" i="2" s="1"/>
  <c r="AB703" i="2"/>
  <c r="AE465" i="2"/>
  <c r="AF465" i="2" s="1"/>
  <c r="AB465" i="2"/>
  <c r="AE438" i="2"/>
  <c r="AF438" i="2" s="1"/>
  <c r="AB438" i="2"/>
  <c r="AE906" i="2"/>
  <c r="AF906" i="2" s="1"/>
  <c r="AB906" i="2"/>
  <c r="AB237" i="2"/>
  <c r="AE237" i="2"/>
  <c r="AF237" i="2" s="1"/>
  <c r="AE349" i="2"/>
  <c r="AF349" i="2" s="1"/>
  <c r="AB349" i="2"/>
  <c r="AE761" i="2"/>
  <c r="AF761" i="2" s="1"/>
  <c r="AB761" i="2"/>
  <c r="AE850" i="2"/>
  <c r="AF850" i="2" s="1"/>
  <c r="AB850" i="2"/>
  <c r="AE228" i="2"/>
  <c r="AF228" i="2" s="1"/>
  <c r="AB228" i="2"/>
  <c r="AE165" i="2"/>
  <c r="AF165" i="2" s="1"/>
  <c r="AB165" i="2"/>
  <c r="AE678" i="2"/>
  <c r="AF678" i="2" s="1"/>
  <c r="AB678" i="2"/>
  <c r="AE909" i="2"/>
  <c r="AF909" i="2" s="1"/>
  <c r="AB909" i="2"/>
  <c r="AE570" i="2"/>
  <c r="AF570" i="2" s="1"/>
  <c r="AB570" i="2"/>
  <c r="AE890" i="2"/>
  <c r="AF890" i="2" s="1"/>
  <c r="AB890" i="2"/>
  <c r="AB695" i="2"/>
  <c r="AE695" i="2"/>
  <c r="AF695" i="2" s="1"/>
  <c r="AE645" i="2"/>
  <c r="AF645" i="2" s="1"/>
  <c r="AB645" i="2"/>
  <c r="AE444" i="2"/>
  <c r="AF444" i="2" s="1"/>
  <c r="AB444" i="2"/>
  <c r="AE172" i="2"/>
  <c r="AF172" i="2" s="1"/>
  <c r="AB172" i="2"/>
  <c r="AE830" i="2"/>
  <c r="AF830" i="2" s="1"/>
  <c r="AB830" i="2"/>
  <c r="AE632" i="2"/>
  <c r="AF632" i="2" s="1"/>
  <c r="AB632" i="2"/>
  <c r="AE208" i="2"/>
  <c r="AF208" i="2" s="1"/>
  <c r="AB208" i="2"/>
  <c r="AE251" i="2"/>
  <c r="AF251" i="2" s="1"/>
  <c r="AB251" i="2"/>
  <c r="AE316" i="2"/>
  <c r="AF316" i="2" s="1"/>
  <c r="AB316" i="2"/>
  <c r="AE569" i="2"/>
  <c r="AF569" i="2" s="1"/>
  <c r="AB569" i="2"/>
  <c r="AE59" i="2"/>
  <c r="AF59" i="2" s="1"/>
  <c r="AB59" i="2"/>
  <c r="AE771" i="2"/>
  <c r="AF771" i="2" s="1"/>
  <c r="AB771" i="2"/>
  <c r="AE900" i="2"/>
  <c r="AF900" i="2" s="1"/>
  <c r="AB900" i="2"/>
  <c r="AE562" i="2"/>
  <c r="AF562" i="2" s="1"/>
  <c r="AB562" i="2"/>
  <c r="AE750" i="2"/>
  <c r="AF750" i="2" s="1"/>
  <c r="AB750" i="2"/>
  <c r="AB851" i="2"/>
  <c r="AE851" i="2"/>
  <c r="AF851" i="2" s="1"/>
  <c r="AE647" i="2"/>
  <c r="AF647" i="2" s="1"/>
  <c r="AB647" i="2"/>
  <c r="AE511" i="2"/>
  <c r="AF511" i="2" s="1"/>
  <c r="AB511" i="2"/>
  <c r="AE383" i="2"/>
  <c r="AF383" i="2" s="1"/>
  <c r="AB383" i="2"/>
  <c r="AE915" i="2"/>
  <c r="AF915" i="2" s="1"/>
  <c r="AB915" i="2"/>
  <c r="AE3" i="2"/>
  <c r="AF3" i="2" s="1"/>
  <c r="AB3" i="2"/>
  <c r="AE910" i="2"/>
  <c r="AF910" i="2" s="1"/>
  <c r="AB910" i="2"/>
  <c r="AE630" i="2"/>
  <c r="AF630" i="2" s="1"/>
  <c r="AB630" i="2"/>
  <c r="AE66" i="2"/>
  <c r="AF66" i="2" s="1"/>
  <c r="AB66" i="2"/>
  <c r="AE269" i="2"/>
  <c r="AF269" i="2" s="1"/>
  <c r="AB269" i="2"/>
  <c r="AE766" i="2"/>
  <c r="AF766" i="2" s="1"/>
  <c r="AB766" i="2"/>
  <c r="AB543" i="2"/>
  <c r="AE543" i="2"/>
  <c r="AF543" i="2" s="1"/>
  <c r="AE189" i="2"/>
  <c r="AF189" i="2" s="1"/>
  <c r="AB189" i="2"/>
  <c r="AE294" i="2"/>
  <c r="AF294" i="2" s="1"/>
  <c r="AB294" i="2"/>
  <c r="AE350" i="2"/>
  <c r="AF350" i="2" s="1"/>
  <c r="AB350" i="2"/>
  <c r="AE689" i="2"/>
  <c r="AF689" i="2" s="1"/>
  <c r="AB689" i="2"/>
  <c r="AE313" i="2"/>
  <c r="AF313" i="2" s="1"/>
  <c r="AB313" i="2"/>
  <c r="AE102" i="2"/>
  <c r="AF102" i="2" s="1"/>
  <c r="AB102" i="2"/>
  <c r="AE271" i="2"/>
  <c r="AF271" i="2" s="1"/>
  <c r="AB271" i="2"/>
  <c r="AE626" i="2"/>
  <c r="AF626" i="2" s="1"/>
  <c r="AB626" i="2"/>
  <c r="AE90" i="2"/>
  <c r="AF90" i="2" s="1"/>
  <c r="AB90" i="2"/>
  <c r="AB749" i="2"/>
  <c r="AE749" i="2"/>
  <c r="AF749" i="2" s="1"/>
  <c r="AE137" i="2"/>
  <c r="AF137" i="2" s="1"/>
  <c r="AB137" i="2"/>
  <c r="AE323" i="2"/>
  <c r="AF323" i="2" s="1"/>
  <c r="AB323" i="2"/>
  <c r="AB449" i="2"/>
  <c r="AE449" i="2"/>
  <c r="AF449" i="2" s="1"/>
  <c r="AE184" i="2"/>
  <c r="AF184" i="2" s="1"/>
  <c r="AB184" i="2"/>
  <c r="AE183" i="2"/>
  <c r="AF183" i="2" s="1"/>
  <c r="AB183" i="2"/>
  <c r="AB864" i="2"/>
  <c r="AE864" i="2"/>
  <c r="AF864" i="2" s="1"/>
  <c r="AE117" i="2"/>
  <c r="AF117" i="2" s="1"/>
  <c r="AB117" i="2"/>
  <c r="AE459" i="2"/>
  <c r="AF459" i="2" s="1"/>
  <c r="AB459" i="2"/>
  <c r="AE351" i="2"/>
  <c r="AF351" i="2" s="1"/>
  <c r="AB351" i="2"/>
  <c r="AB862" i="2"/>
  <c r="AE862" i="2"/>
  <c r="AF862" i="2" s="1"/>
  <c r="AE719" i="2"/>
  <c r="AF719" i="2" s="1"/>
  <c r="AB719" i="2"/>
  <c r="AE372" i="2"/>
  <c r="AF372" i="2" s="1"/>
  <c r="AB372" i="2"/>
  <c r="AE164" i="2"/>
  <c r="AF164" i="2" s="1"/>
  <c r="AB164" i="2"/>
  <c r="AE347" i="2"/>
  <c r="AF347" i="2" s="1"/>
  <c r="AB347" i="2"/>
  <c r="AE700" i="2"/>
  <c r="AF700" i="2" s="1"/>
  <c r="AB700" i="2"/>
  <c r="AE353" i="2"/>
  <c r="AF353" i="2" s="1"/>
  <c r="AB353" i="2"/>
  <c r="AE702" i="2"/>
  <c r="AF702" i="2" s="1"/>
  <c r="AB702" i="2"/>
  <c r="AB767" i="2"/>
  <c r="AE767" i="2"/>
  <c r="AF767" i="2" s="1"/>
  <c r="AE259" i="2"/>
  <c r="AF259" i="2" s="1"/>
  <c r="AB259" i="2"/>
  <c r="AB576" i="2"/>
  <c r="AE576" i="2"/>
  <c r="AF576" i="2" s="1"/>
  <c r="AE166" i="2"/>
  <c r="AF166" i="2" s="1"/>
  <c r="AB166" i="2"/>
  <c r="AB84" i="2"/>
  <c r="AE84" i="2"/>
  <c r="AF84" i="2" s="1"/>
  <c r="AB507" i="2"/>
  <c r="AE507" i="2"/>
  <c r="AF507" i="2" s="1"/>
  <c r="AE145" i="2"/>
  <c r="AF145" i="2" s="1"/>
  <c r="AB145" i="2"/>
  <c r="AB824" i="2"/>
  <c r="AE824" i="2"/>
  <c r="AF824" i="2" s="1"/>
  <c r="AE834" i="2"/>
  <c r="AF834" i="2" s="1"/>
  <c r="AB834" i="2"/>
  <c r="AE197" i="2"/>
  <c r="AF197" i="2" s="1"/>
  <c r="AB197" i="2"/>
  <c r="AE794" i="2"/>
  <c r="AF794" i="2" s="1"/>
  <c r="AB794" i="2"/>
  <c r="AB339" i="2"/>
  <c r="AE339" i="2"/>
  <c r="AF339" i="2" s="1"/>
  <c r="AE527" i="2"/>
  <c r="AF527" i="2" s="1"/>
  <c r="AB527" i="2"/>
  <c r="AB368" i="2"/>
  <c r="AE368" i="2"/>
  <c r="AF368" i="2" s="1"/>
  <c r="AE171" i="2"/>
  <c r="AF171" i="2" s="1"/>
  <c r="AB171" i="2"/>
  <c r="AE242" i="2"/>
  <c r="AF242" i="2" s="1"/>
  <c r="AB242" i="2"/>
  <c r="AE813" i="2"/>
  <c r="AF813" i="2" s="1"/>
  <c r="AB813" i="2"/>
  <c r="AB227" i="2"/>
  <c r="AE227" i="2"/>
  <c r="AF227" i="2" s="1"/>
  <c r="AE114" i="2"/>
  <c r="AF114" i="2" s="1"/>
  <c r="AB114" i="2"/>
  <c r="AE120" i="2"/>
  <c r="AF120" i="2" s="1"/>
  <c r="AB120" i="2"/>
  <c r="AE835" i="2"/>
  <c r="AF835" i="2" s="1"/>
  <c r="AB835" i="2"/>
  <c r="AE434" i="2"/>
  <c r="AF434" i="2" s="1"/>
  <c r="AB434" i="2"/>
  <c r="AE315" i="2"/>
  <c r="AF315" i="2" s="1"/>
  <c r="AB315" i="2"/>
  <c r="AB86" i="2"/>
  <c r="AE86" i="2"/>
  <c r="AF86" i="2" s="1"/>
  <c r="AB230" i="2"/>
  <c r="AE230" i="2"/>
  <c r="AF230" i="2" s="1"/>
  <c r="AE140" i="2"/>
  <c r="AF140" i="2" s="1"/>
  <c r="AB140" i="2"/>
  <c r="AE282" i="2"/>
  <c r="AF282" i="2" s="1"/>
  <c r="AB282" i="2"/>
  <c r="AB214" i="2"/>
  <c r="AE214" i="2"/>
  <c r="AF214" i="2" s="1"/>
  <c r="AE302" i="2"/>
  <c r="AF302" i="2" s="1"/>
  <c r="AB302" i="2"/>
  <c r="AE825" i="2"/>
  <c r="AF825" i="2" s="1"/>
  <c r="AB825" i="2"/>
  <c r="AE770" i="2"/>
  <c r="AF770" i="2" s="1"/>
  <c r="AB770" i="2"/>
  <c r="AE550" i="2"/>
  <c r="AF550" i="2" s="1"/>
  <c r="AB550" i="2"/>
  <c r="AE641" i="2"/>
  <c r="AF641" i="2" s="1"/>
  <c r="AB641" i="2"/>
  <c r="AE488" i="2"/>
  <c r="AF488" i="2" s="1"/>
  <c r="AB488" i="2"/>
  <c r="AE240" i="2"/>
  <c r="AF240" i="2" s="1"/>
  <c r="AB240" i="2"/>
  <c r="AE534" i="2"/>
  <c r="AF534" i="2" s="1"/>
  <c r="AB534" i="2"/>
  <c r="AE903" i="2"/>
  <c r="AF903" i="2" s="1"/>
  <c r="AB903" i="2"/>
  <c r="AE718" i="2"/>
  <c r="AF718" i="2" s="1"/>
  <c r="AB718" i="2"/>
  <c r="AE670" i="2"/>
  <c r="AF670" i="2" s="1"/>
  <c r="AB670" i="2"/>
  <c r="AE439" i="2"/>
  <c r="AF439" i="2" s="1"/>
  <c r="AB439" i="2"/>
  <c r="AE366" i="2"/>
  <c r="AF366" i="2" s="1"/>
  <c r="AB366" i="2"/>
  <c r="AE622" i="2"/>
  <c r="AF622" i="2" s="1"/>
  <c r="AB622" i="2"/>
  <c r="AE376" i="2"/>
  <c r="AF376" i="2" s="1"/>
  <c r="AB376" i="2"/>
  <c r="AE150" i="2"/>
  <c r="AF150" i="2" s="1"/>
  <c r="AB150" i="2"/>
  <c r="AE157" i="2"/>
  <c r="AF157" i="2" s="1"/>
  <c r="AB157" i="2"/>
  <c r="AE493" i="2"/>
  <c r="AF493" i="2" s="1"/>
  <c r="AB493" i="2"/>
  <c r="AE578" i="2"/>
  <c r="AF578" i="2" s="1"/>
  <c r="AB578" i="2"/>
  <c r="AE243" i="2"/>
  <c r="AF243" i="2" s="1"/>
  <c r="AB243" i="2"/>
  <c r="AE756" i="2"/>
  <c r="AF756" i="2" s="1"/>
  <c r="AB756" i="2"/>
  <c r="AE501" i="2"/>
  <c r="AF501" i="2" s="1"/>
  <c r="AB501" i="2"/>
  <c r="AE433" i="2"/>
  <c r="AF433" i="2" s="1"/>
  <c r="AB433" i="2"/>
  <c r="AE168" i="2"/>
  <c r="AF168" i="2" s="1"/>
  <c r="AB168" i="2"/>
  <c r="AB10" i="2"/>
  <c r="AE10" i="2"/>
  <c r="AF10" i="2" s="1"/>
  <c r="AE409" i="2"/>
  <c r="AF409" i="2" s="1"/>
  <c r="AB409" i="2"/>
  <c r="AE118" i="2"/>
  <c r="AF118" i="2" s="1"/>
  <c r="AB118" i="2"/>
  <c r="AE15" i="2"/>
  <c r="AF15" i="2" s="1"/>
  <c r="AB15" i="2"/>
  <c r="AE684" i="2"/>
  <c r="AF684" i="2" s="1"/>
  <c r="AB684" i="2"/>
  <c r="AE807" i="2"/>
  <c r="AF807" i="2" s="1"/>
  <c r="AB807" i="2"/>
  <c r="AE596" i="2"/>
  <c r="AF596" i="2" s="1"/>
  <c r="AB596" i="2"/>
  <c r="AE198" i="2"/>
  <c r="AF198" i="2" s="1"/>
  <c r="AB198" i="2"/>
  <c r="AE311" i="2"/>
  <c r="AF311" i="2" s="1"/>
  <c r="AB311" i="2"/>
  <c r="AB540" i="2"/>
  <c r="AE540" i="2"/>
  <c r="AF540" i="2" s="1"/>
  <c r="AE474" i="2"/>
  <c r="AF474" i="2" s="1"/>
  <c r="AB474" i="2"/>
  <c r="AE599" i="2"/>
  <c r="AF599" i="2" s="1"/>
  <c r="AB599" i="2"/>
  <c r="AE345" i="2"/>
  <c r="AF345" i="2" s="1"/>
  <c r="AB345" i="2"/>
  <c r="AE866" i="2"/>
  <c r="AF866" i="2" s="1"/>
  <c r="AB866" i="2"/>
  <c r="AB24" i="2"/>
  <c r="AE24" i="2"/>
  <c r="AF24" i="2" s="1"/>
  <c r="AE616" i="2"/>
  <c r="AF616" i="2" s="1"/>
  <c r="AB616" i="2"/>
  <c r="AE812" i="2"/>
  <c r="AF812" i="2" s="1"/>
  <c r="AB812" i="2"/>
  <c r="AE104" i="2"/>
  <c r="AF104" i="2" s="1"/>
  <c r="AB104" i="2"/>
  <c r="AE342" i="2"/>
  <c r="AF342" i="2" s="1"/>
  <c r="AB342" i="2"/>
  <c r="AE553" i="2"/>
  <c r="AF553" i="2" s="1"/>
  <c r="AB553" i="2"/>
  <c r="AE914" i="2"/>
  <c r="AF914" i="2" s="1"/>
  <c r="AB914" i="2"/>
  <c r="AE889" i="2"/>
  <c r="AF889" i="2" s="1"/>
  <c r="AB889" i="2"/>
  <c r="AE478" i="2"/>
  <c r="AF478" i="2" s="1"/>
  <c r="AB478" i="2"/>
  <c r="AE913" i="2"/>
  <c r="AF913" i="2" s="1"/>
  <c r="AB913" i="2"/>
  <c r="AB623" i="2"/>
  <c r="AE623" i="2"/>
  <c r="AF623" i="2" s="1"/>
  <c r="AE362" i="2"/>
  <c r="AF362" i="2" s="1"/>
  <c r="AB362" i="2"/>
  <c r="AB72" i="2"/>
  <c r="AE72" i="2"/>
  <c r="AF72" i="2" s="1"/>
  <c r="AE801" i="2"/>
  <c r="AF801" i="2" s="1"/>
  <c r="AB801" i="2"/>
  <c r="AE355" i="2"/>
  <c r="AF355" i="2" s="1"/>
  <c r="AB355" i="2"/>
  <c r="AE808" i="2"/>
  <c r="AF808" i="2" s="1"/>
  <c r="AB808" i="2"/>
  <c r="AE454" i="2"/>
  <c r="AF454" i="2" s="1"/>
  <c r="AB454" i="2"/>
  <c r="AE904" i="2"/>
  <c r="AF904" i="2" s="1"/>
  <c r="AB904" i="2"/>
  <c r="AE206" i="2"/>
  <c r="AF206" i="2" s="1"/>
  <c r="AB206" i="2"/>
  <c r="AE88" i="2"/>
  <c r="AF88" i="2" s="1"/>
  <c r="AB88" i="2"/>
  <c r="AE709" i="2"/>
  <c r="AF709" i="2" s="1"/>
  <c r="AB709" i="2"/>
  <c r="AE377" i="2"/>
  <c r="AF377" i="2" s="1"/>
  <c r="AB377" i="2"/>
  <c r="AE149" i="2"/>
  <c r="AF149" i="2" s="1"/>
  <c r="AB149" i="2"/>
  <c r="AE725" i="2"/>
  <c r="AF725" i="2" s="1"/>
  <c r="AB725" i="2"/>
  <c r="AB827" i="2"/>
  <c r="AE827" i="2"/>
  <c r="AF827" i="2" s="1"/>
  <c r="AE652" i="2"/>
  <c r="AF652" i="2" s="1"/>
  <c r="AB652" i="2"/>
  <c r="AE113" i="2"/>
  <c r="AF113" i="2" s="1"/>
  <c r="AB113" i="2"/>
  <c r="AE436" i="2"/>
  <c r="AF436" i="2" s="1"/>
  <c r="AB436" i="2"/>
  <c r="AE541" i="2"/>
  <c r="AF541" i="2" s="1"/>
  <c r="AB541" i="2"/>
  <c r="AE524" i="2"/>
  <c r="AF524" i="2" s="1"/>
  <c r="AB524" i="2"/>
  <c r="AE352" i="2"/>
  <c r="AF352" i="2" s="1"/>
  <c r="AB352" i="2"/>
  <c r="AE162" i="2"/>
  <c r="AF162" i="2" s="1"/>
  <c r="AB162" i="2"/>
  <c r="AE247" i="2"/>
  <c r="AF247" i="2" s="1"/>
  <c r="AB247" i="2"/>
  <c r="AE443" i="2"/>
  <c r="AF443" i="2" s="1"/>
  <c r="AB443" i="2"/>
  <c r="AE299" i="2"/>
  <c r="AF299" i="2" s="1"/>
  <c r="AB299" i="2"/>
  <c r="AB322" i="2"/>
  <c r="AE322" i="2"/>
  <c r="AF322" i="2" s="1"/>
  <c r="AB586" i="2"/>
  <c r="AE586" i="2"/>
  <c r="AF586" i="2" s="1"/>
  <c r="AE752" i="2"/>
  <c r="AF752" i="2" s="1"/>
  <c r="AB752" i="2"/>
  <c r="AE810" i="2"/>
  <c r="AF810" i="2" s="1"/>
  <c r="AB810" i="2"/>
  <c r="AE787" i="2"/>
  <c r="AF787" i="2" s="1"/>
  <c r="AB787" i="2"/>
  <c r="AE816" i="2"/>
  <c r="AF816" i="2" s="1"/>
  <c r="AB816" i="2"/>
  <c r="AE865" i="2"/>
  <c r="AF865" i="2" s="1"/>
  <c r="AB865" i="2"/>
  <c r="AE804" i="2"/>
  <c r="AF804" i="2" s="1"/>
  <c r="AB804" i="2"/>
  <c r="AE693" i="2"/>
  <c r="AF693" i="2" s="1"/>
  <c r="AB693" i="2"/>
  <c r="AE265" i="2"/>
  <c r="AF265" i="2" s="1"/>
  <c r="AB265" i="2"/>
  <c r="AE631" i="2"/>
  <c r="AF631" i="2" s="1"/>
  <c r="AB631" i="2"/>
  <c r="AE155" i="2"/>
  <c r="AF155" i="2" s="1"/>
  <c r="AB155" i="2"/>
  <c r="AB638" i="2"/>
  <c r="AE638" i="2"/>
  <c r="AF638" i="2" s="1"/>
  <c r="AE111" i="2"/>
  <c r="AF111" i="2" s="1"/>
  <c r="AB111" i="2"/>
  <c r="AE17" i="2"/>
  <c r="AF17" i="2" s="1"/>
  <c r="AB17" i="2"/>
  <c r="AE858" i="2"/>
  <c r="AF858" i="2" s="1"/>
  <c r="AB858" i="2"/>
  <c r="AB587" i="2"/>
  <c r="AE587" i="2"/>
  <c r="AF587" i="2" s="1"/>
  <c r="AE354" i="2"/>
  <c r="AF354" i="2" s="1"/>
  <c r="AB354" i="2"/>
  <c r="AE6" i="2"/>
  <c r="AF6" i="2" s="1"/>
  <c r="AB6" i="2"/>
  <c r="AE202" i="2"/>
  <c r="AF202" i="2" s="1"/>
  <c r="AB202" i="2"/>
  <c r="AB398" i="2"/>
  <c r="AE398" i="2"/>
  <c r="AF398" i="2" s="1"/>
  <c r="AE190" i="2"/>
  <c r="AF190" i="2" s="1"/>
  <c r="AB190" i="2"/>
  <c r="AE796" i="2"/>
  <c r="AF796" i="2" s="1"/>
  <c r="AB796" i="2"/>
  <c r="AE633" i="2"/>
  <c r="AF633" i="2" s="1"/>
  <c r="AB633" i="2"/>
  <c r="AB76" i="2"/>
  <c r="AE76" i="2"/>
  <c r="AF76" i="2" s="1"/>
  <c r="AE223" i="2"/>
  <c r="AF223" i="2" s="1"/>
  <c r="AB223" i="2"/>
  <c r="AE144" i="2"/>
  <c r="AF144" i="2" s="1"/>
  <c r="AB144" i="2"/>
  <c r="AE783" i="2"/>
  <c r="AF783" i="2" s="1"/>
  <c r="AB783" i="2"/>
  <c r="AE696" i="2"/>
  <c r="AF696" i="2" s="1"/>
  <c r="AB696" i="2"/>
  <c r="AE473" i="2"/>
  <c r="AF473" i="2" s="1"/>
  <c r="AB473" i="2"/>
  <c r="AE899" i="2"/>
  <c r="AF899" i="2" s="1"/>
  <c r="AB899" i="2"/>
  <c r="AE373" i="2"/>
  <c r="AF373" i="2" s="1"/>
  <c r="AB373" i="2"/>
  <c r="AB760" i="2"/>
  <c r="AE760" i="2"/>
  <c r="AF760" i="2" s="1"/>
  <c r="AE520" i="2"/>
  <c r="AF520" i="2" s="1"/>
  <c r="AB520" i="2"/>
  <c r="AE403" i="2"/>
  <c r="AF403" i="2" s="1"/>
  <c r="AB403" i="2"/>
  <c r="AB116" i="2"/>
  <c r="AE116" i="2"/>
  <c r="AF116" i="2" s="1"/>
  <c r="AE871" i="2"/>
  <c r="AF871" i="2" s="1"/>
  <c r="AB871" i="2"/>
  <c r="AE617" i="2"/>
  <c r="AF617" i="2" s="1"/>
  <c r="AB617" i="2"/>
  <c r="AE221" i="2"/>
  <c r="AF221" i="2" s="1"/>
  <c r="AB221" i="2"/>
  <c r="AE428" i="2"/>
  <c r="AF428" i="2" s="1"/>
  <c r="AB428" i="2"/>
  <c r="AE592" i="2"/>
  <c r="AF592" i="2" s="1"/>
  <c r="AB592" i="2"/>
  <c r="AE491" i="2"/>
  <c r="AF491" i="2" s="1"/>
  <c r="AB491" i="2"/>
  <c r="AE721" i="2"/>
  <c r="AF721" i="2" s="1"/>
  <c r="AB721" i="2"/>
  <c r="AE324" i="2"/>
  <c r="AF324" i="2" s="1"/>
  <c r="AB324" i="2"/>
  <c r="AE535" i="2"/>
  <c r="AF535" i="2" s="1"/>
  <c r="AB535" i="2"/>
  <c r="AE544" i="2"/>
  <c r="AF544" i="2" s="1"/>
  <c r="AB544" i="2"/>
  <c r="AE669" i="2"/>
  <c r="AF669" i="2" s="1"/>
  <c r="AB669" i="2"/>
  <c r="AE394" i="2"/>
  <c r="AF394" i="2" s="1"/>
  <c r="AB394" i="2"/>
  <c r="AE99" i="2"/>
  <c r="AF99" i="2" s="1"/>
  <c r="AB99" i="2"/>
  <c r="AE674" i="2"/>
  <c r="AF674" i="2" s="1"/>
  <c r="AB674" i="2"/>
  <c r="AE5" i="2"/>
  <c r="AF5" i="2" s="1"/>
  <c r="AB5" i="2"/>
  <c r="AE177" i="2"/>
  <c r="AF177" i="2" s="1"/>
  <c r="AB177" i="2"/>
  <c r="AE621" i="2"/>
  <c r="AF621" i="2" s="1"/>
  <c r="AB621" i="2"/>
  <c r="AE780" i="2"/>
  <c r="AF780" i="2" s="1"/>
  <c r="AB780" i="2"/>
  <c r="AE639" i="2"/>
  <c r="AF639" i="2" s="1"/>
  <c r="AB639" i="2"/>
  <c r="AE130" i="2"/>
  <c r="AF130" i="2" s="1"/>
  <c r="AB130" i="2"/>
  <c r="AE612" i="2"/>
  <c r="AF612" i="2" s="1"/>
  <c r="AB612" i="2"/>
  <c r="AE732" i="2"/>
  <c r="AF732" i="2" s="1"/>
  <c r="AB732" i="2"/>
  <c r="AE391" i="2"/>
  <c r="AF391" i="2" s="1"/>
  <c r="AB391" i="2"/>
  <c r="AE108" i="2"/>
  <c r="AF108" i="2" s="1"/>
  <c r="AB108" i="2"/>
  <c r="AE359" i="2"/>
  <c r="AF359" i="2" s="1"/>
  <c r="AB359" i="2"/>
  <c r="AE466" i="2"/>
  <c r="AF466" i="2" s="1"/>
  <c r="AB466" i="2"/>
  <c r="AE533" i="2"/>
  <c r="AF533" i="2" s="1"/>
  <c r="AB533" i="2"/>
  <c r="AB728" i="2"/>
  <c r="AE728" i="2"/>
  <c r="AF728" i="2" s="1"/>
  <c r="AE106" i="2"/>
  <c r="AF106" i="2" s="1"/>
  <c r="AB106" i="2"/>
  <c r="AE148" i="2"/>
  <c r="AF148" i="2" s="1"/>
  <c r="AB148" i="2"/>
  <c r="AE558" i="2"/>
  <c r="AF558" i="2" s="1"/>
  <c r="AB558" i="2"/>
  <c r="AE132" i="2"/>
  <c r="AF132" i="2" s="1"/>
  <c r="AB132" i="2"/>
  <c r="AE666" i="2"/>
  <c r="AF666" i="2" s="1"/>
  <c r="AB666" i="2"/>
  <c r="AE884" i="2"/>
  <c r="AF884" i="2" s="1"/>
  <c r="AB884" i="2"/>
  <c r="AE589" i="2"/>
  <c r="AF589" i="2" s="1"/>
  <c r="AB589" i="2"/>
  <c r="AE151" i="2"/>
  <c r="AF151" i="2" s="1"/>
  <c r="AB151" i="2"/>
  <c r="AE897" i="2"/>
  <c r="AF897" i="2" s="1"/>
  <c r="AB897" i="2"/>
  <c r="AE574" i="2"/>
  <c r="AF574" i="2" s="1"/>
  <c r="AB574" i="2"/>
  <c r="AE387" i="2"/>
  <c r="AF387" i="2" s="1"/>
  <c r="AB387" i="2"/>
  <c r="AE138" i="2"/>
  <c r="AF138" i="2" s="1"/>
  <c r="AB138" i="2"/>
  <c r="AE892" i="2"/>
  <c r="AF892" i="2" s="1"/>
  <c r="AB892" i="2"/>
  <c r="AE253" i="2"/>
  <c r="AF253" i="2" s="1"/>
  <c r="AB253" i="2"/>
  <c r="AE96" i="2"/>
  <c r="AF96" i="2" s="1"/>
  <c r="AB96" i="2"/>
  <c r="AE665" i="2"/>
  <c r="AF665" i="2" s="1"/>
  <c r="AB665" i="2"/>
  <c r="AE456" i="2"/>
  <c r="AF456" i="2" s="1"/>
  <c r="AB456" i="2"/>
  <c r="AB539" i="2"/>
  <c r="AE539" i="2"/>
  <c r="AF539" i="2" s="1"/>
  <c r="AE551" i="2"/>
  <c r="AF551" i="2" s="1"/>
  <c r="AB551" i="2"/>
  <c r="AE371" i="2"/>
  <c r="AF371" i="2" s="1"/>
  <c r="AB371" i="2"/>
  <c r="AE786" i="2"/>
  <c r="AF786" i="2" s="1"/>
  <c r="AB786" i="2"/>
  <c r="AE531" i="2"/>
  <c r="AF531" i="2" s="1"/>
  <c r="AB531" i="2"/>
  <c r="AE205" i="2"/>
  <c r="AF205" i="2" s="1"/>
  <c r="AB205" i="2"/>
  <c r="AE9" i="2"/>
  <c r="AF9" i="2" s="1"/>
  <c r="AB9" i="2"/>
  <c r="AE776" i="2"/>
  <c r="AF776" i="2" s="1"/>
  <c r="AB776" i="2"/>
  <c r="AB887" i="2"/>
  <c r="AE887" i="2"/>
  <c r="AF887" i="2" s="1"/>
  <c r="AE757" i="2"/>
  <c r="AF757" i="2" s="1"/>
  <c r="AB757" i="2"/>
  <c r="AE854" i="2"/>
  <c r="AF854" i="2" s="1"/>
  <c r="AB854" i="2"/>
  <c r="AB424" i="2"/>
  <c r="AE424" i="2"/>
  <c r="AF424" i="2" s="1"/>
  <c r="AE716" i="2"/>
  <c r="AF716" i="2" s="1"/>
  <c r="AB716" i="2"/>
  <c r="AE280" i="2"/>
  <c r="AF280" i="2" s="1"/>
  <c r="AB280" i="2"/>
  <c r="AE625" i="2"/>
  <c r="AF625" i="2" s="1"/>
  <c r="AB625" i="2"/>
  <c r="AE847" i="2"/>
  <c r="AF847" i="2" s="1"/>
  <c r="AB847" i="2"/>
  <c r="AE220" i="2"/>
  <c r="AF220" i="2" s="1"/>
  <c r="AB220" i="2"/>
  <c r="AE781" i="2"/>
  <c r="AF781" i="2" s="1"/>
  <c r="AB781" i="2"/>
  <c r="AB742" i="2"/>
  <c r="AE742" i="2"/>
  <c r="AF742" i="2" s="1"/>
  <c r="AE134" i="2"/>
  <c r="AF134" i="2" s="1"/>
  <c r="AB134" i="2"/>
  <c r="AE483" i="2"/>
  <c r="AF483" i="2" s="1"/>
  <c r="AB483" i="2"/>
  <c r="AE246" i="2"/>
  <c r="AF246" i="2" s="1"/>
  <c r="AB246" i="2"/>
  <c r="AE343" i="2"/>
  <c r="AF343" i="2" s="1"/>
  <c r="AB343" i="2"/>
  <c r="AE518" i="2"/>
  <c r="AF518" i="2" s="1"/>
  <c r="AB518" i="2"/>
  <c r="AB860" i="2"/>
  <c r="AE860" i="2"/>
  <c r="AF860" i="2" s="1"/>
  <c r="AE867" i="2"/>
  <c r="AF867" i="2" s="1"/>
  <c r="AB867" i="2"/>
  <c r="AE416" i="2"/>
  <c r="AF416" i="2" s="1"/>
  <c r="AB416" i="2"/>
  <c r="AE469" i="2"/>
  <c r="AF469" i="2" s="1"/>
  <c r="AB469" i="2"/>
  <c r="AB176" i="2"/>
  <c r="AE176" i="2"/>
  <c r="AF176" i="2" s="1"/>
  <c r="AE823" i="2"/>
  <c r="AF823" i="2" s="1"/>
  <c r="AB823" i="2"/>
  <c r="AE763" i="2"/>
  <c r="AF763" i="2" s="1"/>
  <c r="AB763" i="2"/>
  <c r="AE870" i="2"/>
  <c r="AF870" i="2" s="1"/>
  <c r="AB870" i="2"/>
  <c r="AE71" i="2"/>
  <c r="AF71" i="2" s="1"/>
  <c r="AB71" i="2"/>
  <c r="AE505" i="2"/>
  <c r="AF505" i="2" s="1"/>
  <c r="AB505" i="2"/>
  <c r="AE754" i="2"/>
  <c r="AF754" i="2" s="1"/>
  <c r="AB754" i="2"/>
  <c r="AE396" i="2"/>
  <c r="AF396" i="2" s="1"/>
  <c r="AB396" i="2"/>
  <c r="AB708" i="2"/>
  <c r="AE708" i="2"/>
  <c r="AF708" i="2" s="1"/>
  <c r="AE472" i="2"/>
  <c r="AF472" i="2" s="1"/>
  <c r="AB472" i="2"/>
  <c r="AE877" i="2"/>
  <c r="AF877" i="2" s="1"/>
  <c r="AB877" i="2"/>
  <c r="AE789" i="2"/>
  <c r="AF789" i="2" s="1"/>
  <c r="AB789" i="2"/>
  <c r="AE679" i="2"/>
  <c r="AF679" i="2" s="1"/>
  <c r="AB679" i="2"/>
  <c r="AE549" i="2"/>
  <c r="AF549" i="2" s="1"/>
  <c r="AB549" i="2"/>
  <c r="AE737" i="2"/>
  <c r="AF737" i="2" s="1"/>
  <c r="AB737" i="2"/>
  <c r="AE136" i="2"/>
  <c r="AF136" i="2" s="1"/>
  <c r="AB136" i="2"/>
  <c r="AE730" i="2"/>
  <c r="AF730" i="2" s="1"/>
  <c r="AB730" i="2"/>
  <c r="AE94" i="2"/>
  <c r="AF94" i="2" s="1"/>
  <c r="AB94" i="2"/>
  <c r="AE381" i="2"/>
  <c r="AF381" i="2" s="1"/>
  <c r="AB381" i="2"/>
  <c r="AE629" i="2"/>
  <c r="AF629" i="2" s="1"/>
  <c r="AB629" i="2"/>
  <c r="AE52" i="2"/>
  <c r="AF52" i="2" s="1"/>
  <c r="AB52" i="2"/>
  <c r="AE361" i="2"/>
  <c r="AF361" i="2" s="1"/>
  <c r="AB361" i="2"/>
  <c r="AB252" i="2"/>
  <c r="AE252" i="2"/>
  <c r="AF252" i="2" s="1"/>
  <c r="AE841" i="2"/>
  <c r="AF841" i="2" s="1"/>
  <c r="AB841" i="2"/>
  <c r="AB704" i="2"/>
  <c r="AE704" i="2"/>
  <c r="AF704" i="2" s="1"/>
  <c r="AE568" i="2"/>
  <c r="AF568" i="2" s="1"/>
  <c r="AB568" i="2"/>
  <c r="AE260" i="2"/>
  <c r="AF260" i="2" s="1"/>
  <c r="AB260" i="2"/>
  <c r="AE161" i="2"/>
  <c r="AF161" i="2" s="1"/>
  <c r="AB161" i="2"/>
  <c r="AB482" i="2"/>
  <c r="AE482" i="2"/>
  <c r="AF482" i="2" s="1"/>
  <c r="AE67" i="2"/>
  <c r="AF67" i="2" s="1"/>
  <c r="AB67" i="2"/>
  <c r="AE907" i="2"/>
  <c r="AF907" i="2" s="1"/>
  <c r="AB907" i="2"/>
  <c r="AB470" i="2"/>
  <c r="AE470" i="2"/>
  <c r="AF470" i="2" s="1"/>
  <c r="AE846" i="2"/>
  <c r="AF846" i="2" s="1"/>
  <c r="AB846" i="2"/>
  <c r="AE620" i="2"/>
  <c r="AF620" i="2" s="1"/>
  <c r="AB620" i="2"/>
  <c r="AB512" i="2"/>
  <c r="AE512" i="2"/>
  <c r="AF512" i="2" s="1"/>
  <c r="AE175" i="2"/>
  <c r="AF175" i="2" s="1"/>
  <c r="AB175" i="2"/>
  <c r="AB8" i="2"/>
  <c r="AE8" i="2"/>
  <c r="AF8" i="2" s="1"/>
  <c r="AE791" i="2"/>
  <c r="AF791" i="2" s="1"/>
  <c r="AB791" i="2"/>
  <c r="AB308" i="2"/>
  <c r="AE308" i="2"/>
  <c r="AF308" i="2" s="1"/>
  <c r="AE516" i="2"/>
  <c r="AF516" i="2" s="1"/>
  <c r="AB516" i="2"/>
  <c r="AE656" i="2"/>
  <c r="AF656" i="2" s="1"/>
  <c r="AB656" i="2"/>
  <c r="AB712" i="2"/>
  <c r="AE712" i="2"/>
  <c r="AF712" i="2" s="1"/>
  <c r="AB60" i="2"/>
  <c r="AE60" i="2"/>
  <c r="AF60" i="2" s="1"/>
  <c r="AE272" i="2"/>
  <c r="AF272" i="2" s="1"/>
  <c r="AB272" i="2"/>
  <c r="AB83" i="2"/>
  <c r="AE83" i="2"/>
  <c r="AF83" i="2" s="1"/>
  <c r="AE147" i="2"/>
  <c r="AF147" i="2" s="1"/>
  <c r="AB147" i="2"/>
  <c r="AE769" i="2"/>
  <c r="AF769" i="2" s="1"/>
  <c r="AB769" i="2"/>
  <c r="AE468" i="2"/>
  <c r="AF468" i="2" s="1"/>
  <c r="AB468" i="2"/>
  <c r="AE611" i="2"/>
  <c r="AF611" i="2" s="1"/>
  <c r="AB611" i="2"/>
  <c r="AE556" i="2"/>
  <c r="AF556" i="2" s="1"/>
  <c r="AB556" i="2"/>
  <c r="AE178" i="2"/>
  <c r="AF178" i="2" s="1"/>
  <c r="AB178" i="2"/>
  <c r="AE139" i="2"/>
  <c r="AF139" i="2" s="1"/>
  <c r="AB139" i="2"/>
  <c r="AB740" i="2"/>
  <c r="AE740" i="2"/>
  <c r="AF740" i="2" s="1"/>
  <c r="AE306" i="2"/>
  <c r="AF306" i="2" s="1"/>
  <c r="AB306" i="2"/>
  <c r="AE842" i="2"/>
  <c r="AF842" i="2" s="1"/>
  <c r="AB842" i="2"/>
  <c r="AE285" i="2"/>
  <c r="AF285" i="2" s="1"/>
  <c r="AB285" i="2"/>
  <c r="AE367" i="2"/>
  <c r="AF367" i="2" s="1"/>
  <c r="AB367" i="2"/>
  <c r="AE888" i="2"/>
  <c r="AF888" i="2" s="1"/>
  <c r="AB888" i="2"/>
  <c r="AE724" i="2"/>
  <c r="AF724" i="2" s="1"/>
  <c r="AB724" i="2"/>
  <c r="AB103" i="2"/>
  <c r="AE103" i="2"/>
  <c r="AF103" i="2" s="1"/>
  <c r="AE662" i="2"/>
  <c r="AF662" i="2" s="1"/>
  <c r="AB662" i="2"/>
  <c r="AE886" i="2"/>
  <c r="AF886" i="2" s="1"/>
  <c r="AB886" i="2"/>
  <c r="AE98" i="2"/>
  <c r="AF98" i="2" s="1"/>
  <c r="AB98" i="2"/>
  <c r="AE91" i="2"/>
  <c r="AF91" i="2" s="1"/>
  <c r="AB91" i="2"/>
  <c r="AE389" i="2"/>
  <c r="AF389" i="2" s="1"/>
  <c r="AB389" i="2"/>
  <c r="AE496" i="2"/>
  <c r="AF496" i="2" s="1"/>
  <c r="AB496" i="2"/>
  <c r="AE668" i="2"/>
  <c r="AF668" i="2" s="1"/>
  <c r="AB668" i="2"/>
  <c r="AE715" i="2"/>
  <c r="AF715" i="2" s="1"/>
  <c r="AB715" i="2"/>
  <c r="AE567" i="2"/>
  <c r="AF567" i="2" s="1"/>
  <c r="AB567" i="2"/>
  <c r="AE169" i="2"/>
  <c r="AF169" i="2" s="1"/>
  <c r="AB169" i="2"/>
  <c r="AE307" i="2"/>
  <c r="AF307" i="2" s="1"/>
  <c r="AB307" i="2"/>
  <c r="AE510" i="2"/>
  <c r="AF510" i="2" s="1"/>
  <c r="AB510" i="2"/>
  <c r="AE81" i="2"/>
  <c r="AF81" i="2" s="1"/>
  <c r="AB81" i="2"/>
  <c r="AE314" i="2"/>
  <c r="AF314" i="2" s="1"/>
  <c r="AB314" i="2"/>
  <c r="AE548" i="2"/>
  <c r="AF548" i="2" s="1"/>
  <c r="AB548" i="2"/>
  <c r="AE552" i="2"/>
  <c r="AF552" i="2" s="1"/>
  <c r="AB552" i="2"/>
  <c r="AB861" i="2"/>
  <c r="AE861" i="2"/>
  <c r="AF861" i="2" s="1"/>
  <c r="AE595" i="2"/>
  <c r="AF595" i="2" s="1"/>
  <c r="AB595" i="2"/>
  <c r="AE837" i="2"/>
  <c r="AF837" i="2" s="1"/>
  <c r="AB837" i="2"/>
  <c r="AE286" i="2"/>
  <c r="AF286" i="2" s="1"/>
  <c r="AB286" i="2"/>
  <c r="AE653" i="2"/>
  <c r="AF653" i="2" s="1"/>
  <c r="AB653" i="2"/>
  <c r="AE310" i="2"/>
  <c r="AF310" i="2" s="1"/>
  <c r="AB310" i="2"/>
  <c r="AE651" i="2"/>
  <c r="AF651" i="2" s="1"/>
  <c r="AB651" i="2"/>
  <c r="AE393" i="2"/>
  <c r="AF393" i="2" s="1"/>
  <c r="AB393" i="2"/>
  <c r="AE188" i="2"/>
  <c r="AF188" i="2" s="1"/>
  <c r="AB188" i="2"/>
  <c r="AE691" i="2"/>
  <c r="AF691" i="2" s="1"/>
  <c r="AB691" i="2"/>
  <c r="AE607" i="2"/>
  <c r="AF607" i="2" s="1"/>
  <c r="AB607" i="2"/>
  <c r="AE185" i="2"/>
  <c r="AF185" i="2" s="1"/>
  <c r="AB185" i="2"/>
  <c r="AE634" i="2"/>
  <c r="AF634" i="2" s="1"/>
  <c r="AB634" i="2"/>
  <c r="AE179" i="2"/>
  <c r="AF179" i="2" s="1"/>
  <c r="AB179" i="2"/>
  <c r="AB194" i="2"/>
  <c r="AE194" i="2"/>
  <c r="AF194" i="2" s="1"/>
  <c r="AE492" i="2"/>
  <c r="AF492" i="2" s="1"/>
  <c r="AB492" i="2"/>
  <c r="AE224" i="2"/>
  <c r="AF224" i="2" s="1"/>
  <c r="AB224" i="2"/>
  <c r="AE521" i="2"/>
  <c r="AF521" i="2" s="1"/>
  <c r="AB521" i="2"/>
  <c r="AE772" i="2"/>
  <c r="AF772" i="2" s="1"/>
  <c r="AB772" i="2"/>
  <c r="AE279" i="2"/>
  <c r="AF279" i="2" s="1"/>
  <c r="AB279" i="2"/>
  <c r="AE485" i="2"/>
  <c r="AF485" i="2" s="1"/>
  <c r="AB485" i="2"/>
  <c r="AB451" i="2"/>
  <c r="AE451" i="2"/>
  <c r="AF451" i="2" s="1"/>
  <c r="AE792" i="2"/>
  <c r="AF792" i="2" s="1"/>
  <c r="AB792" i="2"/>
  <c r="AE564" i="2"/>
  <c r="AF564" i="2" s="1"/>
  <c r="AB564" i="2"/>
  <c r="AE258" i="2"/>
  <c r="AF258" i="2" s="1"/>
  <c r="AB258" i="2"/>
  <c r="AE494" i="2"/>
  <c r="AF494" i="2" s="1"/>
  <c r="AB494" i="2"/>
  <c r="AB250" i="2"/>
  <c r="AE250" i="2"/>
  <c r="AF250" i="2" s="1"/>
  <c r="AE327" i="2"/>
  <c r="AF327" i="2" s="1"/>
  <c r="AB327" i="2"/>
  <c r="AE698" i="2"/>
  <c r="AF698" i="2" s="1"/>
  <c r="AB698" i="2"/>
  <c r="AB486" i="2"/>
  <c r="AE486" i="2"/>
  <c r="AF486" i="2" s="1"/>
  <c r="AE235" i="2"/>
  <c r="AF235" i="2" s="1"/>
  <c r="AB235" i="2"/>
  <c r="AE664" i="2"/>
  <c r="AF664" i="2" s="1"/>
  <c r="AB664" i="2"/>
  <c r="AE848" i="2"/>
  <c r="AF848" i="2" s="1"/>
  <c r="AB848" i="2"/>
  <c r="AE181" i="2"/>
  <c r="AF181" i="2" s="1"/>
  <c r="AB181" i="2"/>
  <c r="AE159" i="2"/>
  <c r="AF159" i="2" s="1"/>
  <c r="AB159" i="2"/>
  <c r="AE582" i="2"/>
  <c r="AF582" i="2" s="1"/>
  <c r="AB582" i="2"/>
  <c r="AE487" i="2"/>
  <c r="AF487" i="2" s="1"/>
  <c r="AB487" i="2"/>
  <c r="AE232" i="2"/>
  <c r="AF232" i="2" s="1"/>
  <c r="AB232" i="2"/>
  <c r="AE332" i="2"/>
  <c r="AF332" i="2" s="1"/>
  <c r="AB332" i="2"/>
  <c r="AE879" i="2"/>
  <c r="AF879" i="2" s="1"/>
  <c r="AB879" i="2"/>
  <c r="AB836" i="2"/>
  <c r="AE836" i="2"/>
  <c r="AF836" i="2" s="1"/>
  <c r="AE331" i="2"/>
  <c r="AF331" i="2" s="1"/>
  <c r="AB331" i="2"/>
  <c r="AE400" i="2"/>
  <c r="AF400" i="2" s="1"/>
  <c r="AB400" i="2"/>
  <c r="AE276" i="2"/>
  <c r="AF276" i="2" s="1"/>
  <c r="AB276" i="2"/>
  <c r="AE747" i="2"/>
  <c r="AF747" i="2" s="1"/>
  <c r="AB747" i="2"/>
  <c r="AE73" i="2"/>
  <c r="AF73" i="2" s="1"/>
  <c r="AB73" i="2"/>
  <c r="AE369" i="2"/>
  <c r="AF369" i="2" s="1"/>
  <c r="AB369" i="2"/>
  <c r="AE561" i="2"/>
  <c r="AF561" i="2" s="1"/>
  <c r="AB561" i="2"/>
  <c r="AB815" i="2"/>
  <c r="AE815" i="2"/>
  <c r="AF815" i="2" s="1"/>
  <c r="AE257" i="2"/>
  <c r="AF257" i="2" s="1"/>
  <c r="AB257" i="2"/>
  <c r="AB20" i="2"/>
  <c r="AE20" i="2"/>
  <c r="AF20" i="2" s="1"/>
  <c r="AE53" i="2"/>
  <c r="AF53" i="2" s="1"/>
  <c r="AB53" i="2"/>
  <c r="AB642" i="2"/>
  <c r="AE642" i="2"/>
  <c r="AF642" i="2" s="1"/>
  <c r="AE613" i="2"/>
  <c r="AF613" i="2" s="1"/>
  <c r="AB613" i="2"/>
  <c r="AE911" i="2"/>
  <c r="AF911" i="2" s="1"/>
  <c r="AB911" i="2"/>
  <c r="AE79" i="2"/>
  <c r="AF79" i="2" s="1"/>
  <c r="AB79" i="2"/>
  <c r="AB525" i="2"/>
  <c r="AE525" i="2"/>
  <c r="AF525" i="2" s="1"/>
  <c r="AE673" i="2"/>
  <c r="AF673" i="2" s="1"/>
  <c r="AB673" i="2"/>
  <c r="AE646" i="2"/>
  <c r="AF646" i="2" s="1"/>
  <c r="AB646" i="2"/>
  <c r="AB234" i="2"/>
  <c r="AE234" i="2"/>
  <c r="AF234" i="2" s="1"/>
  <c r="AE146" i="2"/>
  <c r="AF146" i="2" s="1"/>
  <c r="AB146" i="2"/>
  <c r="AE199" i="2"/>
  <c r="AF199" i="2" s="1"/>
  <c r="AB199" i="2"/>
  <c r="AE557" i="2"/>
  <c r="AF557" i="2" s="1"/>
  <c r="AB557" i="2"/>
  <c r="AE745" i="2"/>
  <c r="AF745" i="2" s="1"/>
  <c r="AB745" i="2"/>
  <c r="AE182" i="2"/>
  <c r="AF182" i="2" s="1"/>
  <c r="AB182" i="2"/>
  <c r="AE577" i="2"/>
  <c r="AF577" i="2" s="1"/>
  <c r="AB577" i="2"/>
  <c r="AE357" i="2"/>
  <c r="AF357" i="2" s="1"/>
  <c r="AB357" i="2"/>
  <c r="AE590" i="2"/>
  <c r="AF590" i="2" s="1"/>
  <c r="AB590" i="2"/>
  <c r="AE555" i="2"/>
  <c r="AF555" i="2" s="1"/>
  <c r="AB555" i="2"/>
  <c r="AE358" i="2"/>
  <c r="AF358" i="2" s="1"/>
  <c r="AB358" i="2"/>
  <c r="AB427" i="2"/>
  <c r="AE427" i="2"/>
  <c r="AF427" i="2" s="1"/>
  <c r="AE360" i="2"/>
  <c r="AF360" i="2" s="1"/>
  <c r="AB360" i="2"/>
  <c r="AE686" i="2"/>
  <c r="AF686" i="2" s="1"/>
  <c r="AB686" i="2"/>
  <c r="AE97" i="2"/>
  <c r="AF97" i="2" s="1"/>
  <c r="AB97" i="2"/>
  <c r="AE435" i="2"/>
  <c r="AF435" i="2" s="1"/>
  <c r="AB435" i="2"/>
  <c r="AE399" i="2"/>
  <c r="AF399" i="2" s="1"/>
  <c r="AB399" i="2"/>
  <c r="AE579" i="2"/>
  <c r="AF579" i="2" s="1"/>
  <c r="AB579" i="2"/>
  <c r="AE875" i="2"/>
  <c r="AF875" i="2" s="1"/>
  <c r="AB875" i="2"/>
  <c r="AE21" i="2"/>
  <c r="AF21" i="2" s="1"/>
  <c r="AB21" i="2"/>
  <c r="AE115" i="2"/>
  <c r="AF115" i="2" s="1"/>
  <c r="AB115" i="2"/>
  <c r="AE425" i="2"/>
  <c r="AF425" i="2" s="1"/>
  <c r="AB425" i="2"/>
  <c r="AE637" i="2"/>
  <c r="AF637" i="2" s="1"/>
  <c r="AB637" i="2"/>
  <c r="AE226" i="2"/>
  <c r="AF226" i="2" s="1"/>
  <c r="AB226" i="2"/>
  <c r="AE793" i="2"/>
  <c r="AF793" i="2" s="1"/>
  <c r="AB793" i="2"/>
  <c r="AB418" i="2"/>
  <c r="AE418" i="2"/>
  <c r="AF418" i="2" s="1"/>
  <c r="AE203" i="2"/>
  <c r="AF203" i="2" s="1"/>
  <c r="AB203" i="2"/>
  <c r="AE225" i="2"/>
  <c r="AF225" i="2" s="1"/>
  <c r="AB225" i="2"/>
  <c r="AE404" i="2"/>
  <c r="AF404" i="2" s="1"/>
  <c r="AB404" i="2"/>
  <c r="AB124" i="2"/>
  <c r="AE124" i="2"/>
  <c r="AF124" i="2" s="1"/>
  <c r="AE849" i="2"/>
  <c r="AF849" i="2" s="1"/>
  <c r="AB849" i="2"/>
  <c r="AE401" i="2"/>
  <c r="AF401" i="2" s="1"/>
  <c r="AB401" i="2"/>
  <c r="AE604" i="2"/>
  <c r="AF604" i="2" s="1"/>
  <c r="AB604" i="2"/>
  <c r="AE110" i="2"/>
  <c r="AF110" i="2" s="1"/>
  <c r="AB110" i="2"/>
  <c r="AE318" i="2"/>
  <c r="AF318" i="2" s="1"/>
  <c r="AB318" i="2"/>
  <c r="AE213" i="2"/>
  <c r="AF213" i="2" s="1"/>
  <c r="AB213" i="2"/>
  <c r="AE726" i="2"/>
  <c r="AF726" i="2" s="1"/>
  <c r="AB726" i="2"/>
  <c r="AE588" i="2"/>
  <c r="AF588" i="2" s="1"/>
  <c r="AB588" i="2"/>
  <c r="AE191" i="2"/>
  <c r="AF191" i="2" s="1"/>
  <c r="AB191" i="2"/>
  <c r="AE89" i="2"/>
  <c r="AF89" i="2" s="1"/>
  <c r="AB89" i="2"/>
  <c r="AB751" i="2"/>
  <c r="AE751" i="2"/>
  <c r="AF751" i="2" s="1"/>
  <c r="AE458" i="2"/>
  <c r="AF458" i="2" s="1"/>
  <c r="AB458" i="2"/>
  <c r="AE245" i="2"/>
  <c r="AF245" i="2" s="1"/>
  <c r="AB245" i="2"/>
  <c r="AE731" i="2"/>
  <c r="AF731" i="2" s="1"/>
  <c r="AB731" i="2"/>
  <c r="AE142" i="2"/>
  <c r="AF142" i="2" s="1"/>
  <c r="AB142" i="2"/>
  <c r="AE291" i="2"/>
  <c r="AF291" i="2" s="1"/>
  <c r="AB291" i="2"/>
  <c r="AE426" i="2"/>
  <c r="AF426" i="2" s="1"/>
  <c r="AB426" i="2"/>
  <c r="AB723" i="2"/>
  <c r="AE723" i="2"/>
  <c r="AF723" i="2" s="1"/>
  <c r="AE335" i="2"/>
  <c r="AF335" i="2" s="1"/>
  <c r="AB335" i="2"/>
  <c r="AE379" i="2"/>
  <c r="AF379" i="2" s="1"/>
  <c r="AB379" i="2"/>
  <c r="AE563" i="2"/>
  <c r="AF563" i="2" s="1"/>
  <c r="AB563" i="2"/>
  <c r="AE838" i="2"/>
  <c r="AF838" i="2" s="1"/>
  <c r="AB838" i="2"/>
  <c r="AE395" i="2"/>
  <c r="AF395" i="2" s="1"/>
  <c r="AB395" i="2"/>
  <c r="AE654" i="2"/>
  <c r="AF654" i="2" s="1"/>
  <c r="AB654" i="2"/>
  <c r="AE594" i="2"/>
  <c r="AF594" i="2" s="1"/>
  <c r="AB594" i="2"/>
  <c r="AE70" i="2"/>
  <c r="AF70" i="2" s="1"/>
  <c r="AB70" i="2"/>
  <c r="AE581" i="2"/>
  <c r="AF581" i="2" s="1"/>
  <c r="AB581" i="2"/>
  <c r="AE514" i="2"/>
  <c r="AF514" i="2" s="1"/>
  <c r="AB514" i="2"/>
  <c r="AE675" i="2"/>
  <c r="AF675" i="2" s="1"/>
  <c r="AB675" i="2"/>
  <c r="AE873" i="2"/>
  <c r="AF873" i="2" s="1"/>
  <c r="AB873" i="2"/>
  <c r="AE87" i="2"/>
  <c r="AF87" i="2" s="1"/>
  <c r="AB87" i="2"/>
  <c r="AE233" i="2"/>
  <c r="AF233" i="2" s="1"/>
  <c r="AB233" i="2"/>
  <c r="AE790" i="2"/>
  <c r="AF790" i="2" s="1"/>
  <c r="AB790" i="2"/>
  <c r="AE101" i="2"/>
  <c r="AF101" i="2" s="1"/>
  <c r="AB101" i="2"/>
  <c r="AE809" i="2"/>
  <c r="AF809" i="2" s="1"/>
  <c r="AB809" i="2"/>
  <c r="AE319" i="2"/>
  <c r="AF319" i="2" s="1"/>
  <c r="AB319" i="2"/>
  <c r="AE461" i="2"/>
  <c r="AF461" i="2" s="1"/>
  <c r="AB461" i="2"/>
  <c r="AE333" i="2"/>
  <c r="AF333" i="2" s="1"/>
  <c r="AB333" i="2"/>
  <c r="AE898" i="2"/>
  <c r="AF898" i="2" s="1"/>
  <c r="AB898" i="2"/>
  <c r="AE659" i="2"/>
  <c r="AF659" i="2" s="1"/>
  <c r="AB659" i="2"/>
  <c r="AE437" i="2"/>
  <c r="AF437" i="2" s="1"/>
  <c r="AB437" i="2"/>
  <c r="AE713" i="2"/>
  <c r="AF713" i="2" s="1"/>
  <c r="AB713" i="2"/>
  <c r="AE330" i="2"/>
  <c r="AF330" i="2" s="1"/>
  <c r="AB330" i="2"/>
  <c r="AB390" i="2"/>
  <c r="AE390" i="2"/>
  <c r="AF390" i="2" s="1"/>
  <c r="AE239" i="2"/>
  <c r="AF239" i="2" s="1"/>
  <c r="AB239" i="2"/>
  <c r="AE348" i="2"/>
  <c r="AF348" i="2" s="1"/>
  <c r="AB348" i="2"/>
  <c r="AE688" i="2"/>
  <c r="AF688" i="2" s="1"/>
  <c r="AB688" i="2"/>
  <c r="AE365" i="2"/>
  <c r="AF365" i="2" s="1"/>
  <c r="AB365" i="2"/>
  <c r="AB853" i="2"/>
  <c r="AE853" i="2"/>
  <c r="AF853" i="2" s="1"/>
  <c r="AB843" i="2"/>
  <c r="AE843" i="2"/>
  <c r="AF843" i="2" s="1"/>
  <c r="AE278" i="2"/>
  <c r="AF278" i="2" s="1"/>
  <c r="AB278" i="2"/>
  <c r="AB681" i="2"/>
  <c r="AE681" i="2"/>
  <c r="AF681" i="2" s="1"/>
  <c r="AE500" i="2"/>
  <c r="AF500" i="2" s="1"/>
  <c r="AB500" i="2"/>
  <c r="AE384" i="2"/>
  <c r="AF384" i="2" s="1"/>
  <c r="AB384" i="2"/>
  <c r="AE25" i="2"/>
  <c r="AF25" i="2" s="1"/>
  <c r="AB25" i="2"/>
  <c r="AE388" i="2"/>
  <c r="AF388" i="2" s="1"/>
  <c r="AB388" i="2"/>
  <c r="AE777" i="2"/>
  <c r="AF777" i="2" s="1"/>
  <c r="AB777" i="2"/>
  <c r="AE336" i="2"/>
  <c r="AF336" i="2" s="1"/>
  <c r="AB336" i="2"/>
  <c r="AE869" i="2"/>
  <c r="AF869" i="2" s="1"/>
  <c r="AB869" i="2"/>
  <c r="AE508" i="2"/>
  <c r="AF508" i="2" s="1"/>
  <c r="AB508" i="2"/>
  <c r="AE714" i="2"/>
  <c r="AF714" i="2" s="1"/>
  <c r="AB714" i="2"/>
  <c r="AE129" i="2"/>
  <c r="AF129" i="2" s="1"/>
  <c r="AB129" i="2"/>
  <c r="AE705" i="2"/>
  <c r="AF705" i="2" s="1"/>
  <c r="AB705" i="2"/>
  <c r="AE109" i="2"/>
  <c r="AF109" i="2" s="1"/>
  <c r="AB109" i="2"/>
  <c r="AE831" i="2"/>
  <c r="AF831" i="2" s="1"/>
  <c r="AB831" i="2"/>
  <c r="AB27" i="2"/>
  <c r="AE27" i="2"/>
  <c r="AF27" i="2" s="1"/>
  <c r="AE174" i="2"/>
  <c r="AF174" i="2" s="1"/>
  <c r="AB174" i="2"/>
  <c r="AE370" i="2"/>
  <c r="AF370" i="2" s="1"/>
  <c r="AB370" i="2"/>
  <c r="AE856" i="2"/>
  <c r="AF856" i="2" s="1"/>
  <c r="AB856" i="2"/>
  <c r="AE447" i="2"/>
  <c r="AF447" i="2" s="1"/>
  <c r="AB447" i="2"/>
  <c r="AE529" i="2"/>
  <c r="AF529" i="2" s="1"/>
  <c r="AB529" i="2"/>
  <c r="AE289" i="2"/>
  <c r="AF289" i="2" s="1"/>
  <c r="AB289" i="2"/>
  <c r="AE733" i="2"/>
  <c r="AF733" i="2" s="1"/>
  <c r="AB733" i="2"/>
  <c r="AE26" i="2"/>
  <c r="AF26" i="2" s="1"/>
  <c r="AB26" i="2"/>
  <c r="AE154" i="2"/>
  <c r="AF154" i="2" s="1"/>
  <c r="AB154" i="2"/>
  <c r="AE248" i="2"/>
  <c r="AF248" i="2" s="1"/>
  <c r="AB248" i="2"/>
  <c r="AB337" i="2"/>
  <c r="AE337" i="2"/>
  <c r="AF337" i="2" s="1"/>
  <c r="AE682" i="2"/>
  <c r="AF682" i="2" s="1"/>
  <c r="AB682" i="2"/>
  <c r="AE378" i="2"/>
  <c r="AF378" i="2" s="1"/>
  <c r="AB378" i="2"/>
  <c r="AB509" i="2"/>
  <c r="AE509" i="2"/>
  <c r="AF509" i="2" s="1"/>
  <c r="AE407" i="2"/>
  <c r="AF407" i="2" s="1"/>
  <c r="AB407" i="2"/>
  <c r="AE413" i="2"/>
  <c r="AF413" i="2" s="1"/>
  <c r="AB413" i="2"/>
  <c r="AE811" i="2"/>
  <c r="AF811" i="2" s="1"/>
  <c r="AB811" i="2"/>
  <c r="AE768" i="2"/>
  <c r="AF768" i="2" s="1"/>
  <c r="AB768" i="2"/>
  <c r="AE601" i="2"/>
  <c r="AF601" i="2" s="1"/>
  <c r="AB601" i="2"/>
  <c r="AB422" i="2"/>
  <c r="AE422" i="2"/>
  <c r="AF422" i="2" s="1"/>
  <c r="AE476" i="2"/>
  <c r="AF476" i="2" s="1"/>
  <c r="AB476" i="2"/>
  <c r="AE75" i="2"/>
  <c r="AF75" i="2" s="1"/>
  <c r="AB75" i="2"/>
  <c r="AE68" i="2"/>
  <c r="AF68" i="2" s="1"/>
  <c r="AB68" i="2"/>
  <c r="AE160" i="2"/>
  <c r="AF160" i="2" s="1"/>
  <c r="AB160" i="2"/>
  <c r="AE883" i="2"/>
  <c r="AF883" i="2" s="1"/>
  <c r="AB883" i="2"/>
  <c r="AE758" i="2"/>
  <c r="AF758" i="2" s="1"/>
  <c r="AB758" i="2"/>
  <c r="AE448" i="2"/>
  <c r="AF448" i="2" s="1"/>
  <c r="AB448" i="2"/>
  <c r="AE821" i="2"/>
  <c r="AF821" i="2" s="1"/>
  <c r="AB821" i="2"/>
  <c r="AE765" i="2"/>
  <c r="AF765" i="2" s="1"/>
  <c r="AB765" i="2"/>
  <c r="AE762" i="2"/>
  <c r="AF762" i="2" s="1"/>
  <c r="AB762" i="2"/>
  <c r="AB593" i="2"/>
  <c r="AE593" i="2"/>
  <c r="AF593" i="2" s="1"/>
  <c r="AE95" i="2"/>
  <c r="AF95" i="2" s="1"/>
  <c r="AB95" i="2"/>
  <c r="AE661" i="2"/>
  <c r="AF661" i="2" s="1"/>
  <c r="AB661" i="2"/>
  <c r="AE720" i="2"/>
  <c r="AF720" i="2" s="1"/>
  <c r="AB720" i="2"/>
  <c r="AE571" i="2"/>
  <c r="AF571" i="2" s="1"/>
  <c r="AB571" i="2"/>
  <c r="AB300" i="2"/>
  <c r="AE300" i="2"/>
  <c r="AF300" i="2" s="1"/>
  <c r="AB658" i="2"/>
  <c r="AE658" i="2"/>
  <c r="AF658" i="2" s="1"/>
  <c r="AE211" i="2"/>
  <c r="AF211" i="2" s="1"/>
  <c r="AB211" i="2"/>
  <c r="AE420" i="2"/>
  <c r="AF420" i="2" s="1"/>
  <c r="AB420" i="2"/>
  <c r="AE153" i="2"/>
  <c r="AF153" i="2" s="1"/>
  <c r="AB153" i="2"/>
  <c r="AB244" i="2"/>
  <c r="AE244" i="2"/>
  <c r="AF244" i="2" s="1"/>
  <c r="AB392" i="2"/>
  <c r="AE392" i="2"/>
  <c r="AF392" i="2" s="1"/>
  <c r="AE734" i="2"/>
  <c r="AF734" i="2" s="1"/>
  <c r="AB734" i="2"/>
  <c r="AE739" i="2"/>
  <c r="AF739" i="2" s="1"/>
  <c r="AB739" i="2"/>
  <c r="AE894" i="2"/>
  <c r="AF894" i="2" s="1"/>
  <c r="AB894" i="2"/>
  <c r="AE364" i="2"/>
  <c r="AF364" i="2" s="1"/>
  <c r="AB364" i="2"/>
  <c r="AE876" i="2"/>
  <c r="AF876" i="2" s="1"/>
  <c r="AB876" i="2"/>
  <c r="AE218" i="2"/>
  <c r="AF218" i="2" s="1"/>
  <c r="AB218" i="2"/>
  <c r="AE795" i="2"/>
  <c r="AF795" i="2" s="1"/>
  <c r="AB795" i="2"/>
  <c r="AE303" i="2"/>
  <c r="AF303" i="2" s="1"/>
  <c r="AB303" i="2"/>
  <c r="AE421" i="2"/>
  <c r="AF421" i="2" s="1"/>
  <c r="AB421" i="2"/>
  <c r="AE697" i="2"/>
  <c r="AF697" i="2" s="1"/>
  <c r="AB697" i="2"/>
  <c r="AE680" i="2"/>
  <c r="AF680" i="2" s="1"/>
  <c r="AB680" i="2"/>
  <c r="AE908" i="2"/>
  <c r="AF908" i="2" s="1"/>
  <c r="AB908" i="2"/>
  <c r="AE603" i="2"/>
  <c r="AF603" i="2" s="1"/>
  <c r="AB603" i="2"/>
  <c r="AE301" i="2"/>
  <c r="AF301" i="2" s="1"/>
  <c r="AB301" i="2"/>
  <c r="AE800" i="2"/>
  <c r="AF800" i="2" s="1"/>
  <c r="AB800" i="2"/>
  <c r="AE193" i="2"/>
  <c r="AF193" i="2" s="1"/>
  <c r="AB193" i="2"/>
  <c r="AE729" i="2"/>
  <c r="AF729" i="2" s="1"/>
  <c r="AB729" i="2"/>
  <c r="AE819" i="2"/>
  <c r="AF819" i="2" s="1"/>
  <c r="AB819" i="2"/>
  <c r="AE822" i="2"/>
  <c r="AF822" i="2" s="1"/>
  <c r="AB822" i="2"/>
  <c r="AE19" i="2"/>
  <c r="AF19" i="2" s="1"/>
  <c r="AB19" i="2"/>
  <c r="AE676" i="2"/>
  <c r="AF676" i="2" s="1"/>
  <c r="AB676" i="2"/>
  <c r="AE105" i="2"/>
  <c r="AF105" i="2" s="1"/>
  <c r="AB105" i="2"/>
  <c r="AE382" i="2"/>
  <c r="AF382" i="2" s="1"/>
  <c r="AB382" i="2"/>
  <c r="AB522" i="2"/>
  <c r="AE522" i="2"/>
  <c r="AF522" i="2" s="1"/>
  <c r="AE397" i="2"/>
  <c r="AF397" i="2" s="1"/>
  <c r="AB397" i="2"/>
  <c r="AE635" i="2"/>
  <c r="AF635" i="2" s="1"/>
  <c r="AB635" i="2"/>
  <c r="AE460" i="2"/>
  <c r="AF460" i="2" s="1"/>
  <c r="AB460" i="2"/>
  <c r="AE163" i="2"/>
  <c r="AF163" i="2" s="1"/>
  <c r="AB163" i="2"/>
  <c r="AE640" i="2"/>
  <c r="AF640" i="2" s="1"/>
  <c r="AB640" i="2"/>
  <c r="AE874" i="2"/>
  <c r="AF874" i="2" s="1"/>
  <c r="AB874" i="2"/>
  <c r="AB255" i="2"/>
  <c r="AE255" i="2"/>
  <c r="AF255" i="2" s="1"/>
  <c r="AE256" i="2"/>
  <c r="AF256" i="2" s="1"/>
  <c r="AB256" i="2"/>
  <c r="AE440" i="2"/>
  <c r="AF440" i="2" s="1"/>
  <c r="AB440" i="2"/>
  <c r="AE201" i="2"/>
  <c r="AF201" i="2" s="1"/>
  <c r="AB201" i="2"/>
  <c r="AE195" i="2"/>
  <c r="AF195" i="2" s="1"/>
  <c r="AB195" i="2"/>
  <c r="AB406" i="2"/>
  <c r="AE406" i="2"/>
  <c r="AF406" i="2" s="1"/>
  <c r="AE222" i="2"/>
  <c r="AF222" i="2" s="1"/>
  <c r="AB222" i="2"/>
  <c r="AB657" i="2"/>
  <c r="AE657" i="2"/>
  <c r="AF657" i="2" s="1"/>
  <c r="AE699" i="2"/>
  <c r="AF699" i="2" s="1"/>
  <c r="AB699" i="2"/>
  <c r="AE495" i="2"/>
  <c r="AF495" i="2" s="1"/>
  <c r="AB495" i="2"/>
  <c r="AB408" i="2"/>
  <c r="AE408" i="2"/>
  <c r="AF408" i="2" s="1"/>
  <c r="AE471" i="2"/>
  <c r="AF471" i="2" s="1"/>
  <c r="AB471" i="2"/>
  <c r="AE275" i="2"/>
  <c r="AF275" i="2" s="1"/>
  <c r="AB275" i="2"/>
  <c r="AE859" i="2"/>
  <c r="AF859" i="2" s="1"/>
  <c r="AB859" i="2"/>
  <c r="AE62" i="2"/>
  <c r="AF62" i="2" s="1"/>
  <c r="AB62" i="2"/>
  <c r="AE431" i="2"/>
  <c r="AF431" i="2" s="1"/>
  <c r="AB431" i="2"/>
  <c r="AE410" i="2"/>
  <c r="AF410" i="2" s="1"/>
  <c r="AB410" i="2"/>
  <c r="AB215" i="2"/>
  <c r="AE215" i="2"/>
  <c r="AF215" i="2" s="1"/>
  <c r="AB605" i="2"/>
  <c r="AE605" i="2"/>
  <c r="AF605" i="2" s="1"/>
  <c r="AE200" i="2"/>
  <c r="AF200" i="2" s="1"/>
  <c r="AB200" i="2"/>
  <c r="AE627" i="2"/>
  <c r="AF627" i="2" s="1"/>
  <c r="AB627" i="2"/>
  <c r="AE799" i="2"/>
  <c r="AF799" i="2" s="1"/>
  <c r="AB799" i="2"/>
  <c r="AE229" i="2"/>
  <c r="AF229" i="2" s="1"/>
  <c r="AB229" i="2"/>
  <c r="AB743" i="2"/>
  <c r="AE743" i="2"/>
  <c r="AF743" i="2" s="1"/>
  <c r="AE735" i="2"/>
  <c r="AF735" i="2" s="1"/>
  <c r="AB735" i="2"/>
  <c r="AE261" i="2"/>
  <c r="AF261" i="2" s="1"/>
  <c r="AB261" i="2"/>
  <c r="AE896" i="2"/>
  <c r="AF896" i="2" s="1"/>
  <c r="AB896" i="2"/>
  <c r="AE597" i="2"/>
  <c r="AF597" i="2" s="1"/>
  <c r="AB597" i="2"/>
  <c r="AE475" i="2"/>
  <c r="AF475" i="2" s="1"/>
  <c r="AB475" i="2"/>
  <c r="AB530" i="2"/>
  <c r="AE530" i="2"/>
  <c r="AF530" i="2" s="1"/>
  <c r="AE722" i="2"/>
  <c r="AF722" i="2" s="1"/>
  <c r="AB722" i="2"/>
  <c r="AE283" i="2"/>
  <c r="AF283" i="2" s="1"/>
  <c r="AB283" i="2"/>
  <c r="AE385" i="2"/>
  <c r="AF385" i="2" s="1"/>
  <c r="AB385" i="2"/>
  <c r="AE463" i="2"/>
  <c r="AF463" i="2" s="1"/>
  <c r="AB463" i="2"/>
  <c r="AE63" i="2"/>
  <c r="AF63" i="2" s="1"/>
  <c r="AB63" i="2"/>
  <c r="AE321" i="2"/>
  <c r="AF321" i="2" s="1"/>
  <c r="AB321" i="2"/>
  <c r="AE711" i="2"/>
  <c r="AF711" i="2" s="1"/>
  <c r="AB711" i="2"/>
  <c r="AE797" i="2"/>
  <c r="AF797" i="2" s="1"/>
  <c r="AB797" i="2"/>
  <c r="AB296" i="2"/>
  <c r="AE296" i="2"/>
  <c r="AF296" i="2" s="1"/>
  <c r="AE738" i="2"/>
  <c r="AF738" i="2" s="1"/>
  <c r="AB738" i="2"/>
  <c r="AE806" i="2"/>
  <c r="AF806" i="2" s="1"/>
  <c r="AB806" i="2"/>
  <c r="AE902" i="2"/>
  <c r="AF902" i="2" s="1"/>
  <c r="AB902" i="2"/>
  <c r="AE706" i="2"/>
  <c r="AF706" i="2" s="1"/>
  <c r="AB706" i="2"/>
  <c r="AE573" i="2"/>
  <c r="AF573" i="2" s="1"/>
  <c r="AB573" i="2"/>
  <c r="AB69" i="2"/>
  <c r="AE69" i="2"/>
  <c r="AF69" i="2" s="1"/>
  <c r="AE707" i="2"/>
  <c r="AF707" i="2" s="1"/>
  <c r="AB707" i="2"/>
  <c r="AB559" i="2"/>
  <c r="AE559" i="2"/>
  <c r="AF559" i="2" s="1"/>
  <c r="AE598" i="2"/>
  <c r="AF598" i="2" s="1"/>
  <c r="AB598" i="2"/>
  <c r="AE270" i="2"/>
  <c r="AF270" i="2" s="1"/>
  <c r="AB270" i="2"/>
  <c r="AE546" i="2"/>
  <c r="AF546" i="2" s="1"/>
  <c r="AB546" i="2"/>
  <c r="AE65" i="2"/>
  <c r="AF65" i="2" s="1"/>
  <c r="AB65" i="2"/>
  <c r="AE344" i="2"/>
  <c r="AF344" i="2" s="1"/>
  <c r="AB344" i="2"/>
  <c r="AE152" i="2"/>
  <c r="AF152" i="2" s="1"/>
  <c r="AB152" i="2"/>
  <c r="AE11" i="2"/>
  <c r="AF11" i="2" s="1"/>
  <c r="AB11" i="2"/>
  <c r="AE554" i="2"/>
  <c r="AF554" i="2" s="1"/>
  <c r="AB554" i="2"/>
  <c r="AE504" i="2"/>
  <c r="AF504" i="2" s="1"/>
  <c r="AB504" i="2"/>
  <c r="AE727" i="2"/>
  <c r="AF727" i="2" s="1"/>
  <c r="AB727" i="2"/>
  <c r="AE566" i="2"/>
  <c r="AF566" i="2" s="1"/>
  <c r="AB566" i="2"/>
  <c r="AE748" i="2"/>
  <c r="AF748" i="2" s="1"/>
  <c r="AB748" i="2"/>
  <c r="AE694" i="2"/>
  <c r="AF694" i="2" s="1"/>
  <c r="AB694" i="2"/>
  <c r="AE685" i="2"/>
  <c r="AF685" i="2" s="1"/>
  <c r="AB685" i="2"/>
  <c r="AE690" i="2"/>
  <c r="AF690" i="2" s="1"/>
  <c r="AB690" i="2"/>
  <c r="AE346" i="2"/>
  <c r="AF346" i="2" s="1"/>
  <c r="AB346" i="2"/>
  <c r="AE128" i="2"/>
  <c r="AF128" i="2" s="1"/>
  <c r="AB128" i="2"/>
  <c r="AB844" i="2"/>
  <c r="AE844" i="2"/>
  <c r="AF844" i="2" s="1"/>
  <c r="AB893" i="2"/>
  <c r="AE893" i="2"/>
  <c r="AF893" i="2" s="1"/>
  <c r="AE857" i="2"/>
  <c r="AF857" i="2" s="1"/>
  <c r="AB857" i="2"/>
  <c r="AE180" i="2"/>
  <c r="AF180" i="2" s="1"/>
  <c r="AB180" i="2"/>
  <c r="AB584" i="2"/>
  <c r="AE584" i="2"/>
  <c r="AF584" i="2" s="1"/>
  <c r="AE833" i="2"/>
  <c r="AF833" i="2" s="1"/>
  <c r="AB833" i="2"/>
  <c r="AB13" i="2"/>
  <c r="AE13" i="2"/>
  <c r="AF13" i="2" s="1"/>
  <c r="AE805" i="2"/>
  <c r="AF805" i="2" s="1"/>
  <c r="AB805" i="2"/>
  <c r="AB312" i="2"/>
  <c r="AE312" i="2"/>
  <c r="AF312" i="2" s="1"/>
  <c r="AE121" i="2"/>
  <c r="AF121" i="2" s="1"/>
  <c r="AB121" i="2"/>
  <c r="AB415" i="2"/>
  <c r="AE415" i="2"/>
  <c r="AF415" i="2" s="1"/>
  <c r="AB515" i="2"/>
  <c r="AE515" i="2"/>
  <c r="AF515" i="2" s="1"/>
  <c r="AE649" i="2"/>
  <c r="AF649" i="2" s="1"/>
  <c r="AB649" i="2"/>
  <c r="AB655" i="2"/>
  <c r="AE655" i="2"/>
  <c r="AF655" i="2" s="1"/>
  <c r="AE18" i="2"/>
  <c r="AF18" i="2" s="1"/>
  <c r="AB18" i="2"/>
  <c r="AE298" i="2"/>
  <c r="AF298" i="2" s="1"/>
  <c r="AB298" i="2"/>
  <c r="AE701" i="2"/>
  <c r="AF701" i="2" s="1"/>
  <c r="AB701" i="2"/>
  <c r="AE405" i="2"/>
  <c r="AF405" i="2" s="1"/>
  <c r="AB405" i="2"/>
  <c r="AE254" i="2"/>
  <c r="AF254" i="2" s="1"/>
  <c r="AB254" i="2"/>
  <c r="AE210" i="2"/>
  <c r="AF210" i="2" s="1"/>
  <c r="AB210" i="2"/>
  <c r="AE828" i="2"/>
  <c r="AF828" i="2" s="1"/>
  <c r="AB828" i="2"/>
  <c r="AE12" i="2"/>
  <c r="AF12" i="2" s="1"/>
  <c r="AB12" i="2"/>
  <c r="AE619" i="2"/>
  <c r="AF619" i="2" s="1"/>
  <c r="AB619" i="2"/>
  <c r="AE212" i="2"/>
  <c r="AF212" i="2" s="1"/>
  <c r="AB212" i="2"/>
  <c r="AE565" i="2"/>
  <c r="AF565" i="2" s="1"/>
  <c r="AB565" i="2"/>
  <c r="AE262" i="2"/>
  <c r="AF262" i="2" s="1"/>
  <c r="AB262" i="2"/>
  <c r="AB16" i="2"/>
  <c r="AE16" i="2"/>
  <c r="AF16" i="2" s="1"/>
  <c r="AE442" i="2"/>
  <c r="AF442" i="2" s="1"/>
  <c r="AB442" i="2"/>
  <c r="AE328" i="2"/>
  <c r="AF328" i="2" s="1"/>
  <c r="AB328" i="2"/>
  <c r="AE119" i="2"/>
  <c r="AF119" i="2" s="1"/>
  <c r="AB119" i="2"/>
  <c r="AF375" i="2"/>
  <c r="AB375" i="2"/>
  <c r="AE532" i="2"/>
  <c r="AF532" i="2" s="1"/>
  <c r="AB532" i="2"/>
  <c r="AE905" i="2"/>
  <c r="AF905" i="2" s="1"/>
  <c r="AB905" i="2"/>
  <c r="AE671" i="2"/>
  <c r="AF671" i="2" s="1"/>
  <c r="AB671" i="2"/>
  <c r="AE667" i="2"/>
  <c r="AF667" i="2" s="1"/>
  <c r="AB667" i="2"/>
  <c r="AE895" i="2"/>
  <c r="AF895" i="2" s="1"/>
  <c r="AB895" i="2"/>
  <c r="AE216" i="2"/>
  <c r="AF216" i="2" s="1"/>
  <c r="AB216" i="2"/>
  <c r="AB23" i="2"/>
  <c r="AE23" i="2"/>
  <c r="AF23" i="2" s="1"/>
  <c r="AE123" i="2"/>
  <c r="AF123" i="2" s="1"/>
  <c r="AB123" i="2"/>
  <c r="AE374" i="2"/>
  <c r="AF374" i="2" s="1"/>
  <c r="AB374" i="2"/>
  <c r="AE497" i="2"/>
  <c r="AF497" i="2" s="1"/>
  <c r="AB497" i="2"/>
  <c r="AE287" i="2"/>
  <c r="AF287" i="2" s="1"/>
  <c r="AB287" i="2"/>
  <c r="AE785" i="2"/>
  <c r="AF785" i="2" s="1"/>
  <c r="AB785" i="2"/>
  <c r="AE803" i="2"/>
  <c r="AF803" i="2" s="1"/>
  <c r="AB803" i="2"/>
  <c r="AB818" i="2"/>
  <c r="AE818" i="2"/>
  <c r="AF818" i="2" s="1"/>
  <c r="AE186" i="2"/>
  <c r="AF186" i="2" s="1"/>
  <c r="AB186" i="2"/>
  <c r="AE429" i="2"/>
  <c r="AF429" i="2" s="1"/>
  <c r="AB429" i="2"/>
  <c r="AE402" i="2"/>
  <c r="AF402" i="2" s="1"/>
  <c r="AB402" i="2"/>
  <c r="AE217" i="2"/>
  <c r="AF217" i="2" s="1"/>
  <c r="AB217" i="2"/>
  <c r="AB744" i="2"/>
  <c r="AE744" i="2"/>
  <c r="AF744" i="2" s="1"/>
  <c r="AE292" i="2"/>
  <c r="AF292" i="2" s="1"/>
  <c r="AB292" i="2"/>
  <c r="AB542" i="2"/>
  <c r="AE542" i="2"/>
  <c r="AF542" i="2" s="1"/>
  <c r="AE868" i="2"/>
  <c r="AF868" i="2" s="1"/>
  <c r="AB868" i="2"/>
  <c r="AB583" i="2"/>
  <c r="AE583" i="2"/>
  <c r="AF583" i="2" s="1"/>
  <c r="AB677" i="2"/>
  <c r="AE677" i="2"/>
  <c r="AF677" i="2" s="1"/>
  <c r="AB481" i="2"/>
  <c r="AE481" i="2"/>
  <c r="AF481" i="2" s="1"/>
  <c r="AE852" i="2"/>
  <c r="AF852" i="2" s="1"/>
  <c r="AB852" i="2"/>
  <c r="AB545" i="2"/>
  <c r="AE545" i="2"/>
  <c r="AF545" i="2" s="1"/>
  <c r="AE736" i="2"/>
  <c r="AF736" i="2" s="1"/>
  <c r="AB736" i="2"/>
  <c r="AE829" i="2"/>
  <c r="AF829" i="2" s="1"/>
  <c r="AB829" i="2"/>
  <c r="AB462" i="2"/>
  <c r="AE462" i="2"/>
  <c r="AF462" i="2" s="1"/>
  <c r="AE85" i="2"/>
  <c r="AF85" i="2" s="1"/>
  <c r="AB85" i="2"/>
  <c r="AB54" i="2"/>
  <c r="AE54" i="2"/>
  <c r="AF54" i="2" s="1"/>
  <c r="AE480" i="2"/>
  <c r="AF480" i="2" s="1"/>
  <c r="AB480" i="2"/>
  <c r="AB455" i="2"/>
  <c r="AE455" i="2"/>
  <c r="AF455" i="2" s="1"/>
  <c r="AE845" i="2"/>
  <c r="AF845" i="2" s="1"/>
  <c r="AB845" i="2"/>
  <c r="AB77" i="2"/>
  <c r="AE77" i="2"/>
  <c r="AF77" i="2" s="1"/>
  <c r="AB7" i="2"/>
  <c r="AE7" i="2"/>
  <c r="AF7" i="2" s="1"/>
  <c r="AE236" i="2"/>
  <c r="AF236" i="2" s="1"/>
  <c r="AB236" i="2"/>
  <c r="AE784" i="2"/>
  <c r="AF784" i="2" s="1"/>
  <c r="AB784" i="2"/>
  <c r="AE885" i="2"/>
  <c r="AF885" i="2" s="1"/>
  <c r="AB885" i="2"/>
  <c r="AB61" i="2"/>
  <c r="AE61" i="2"/>
  <c r="AF61" i="2" s="1"/>
  <c r="AE513" i="2"/>
  <c r="AF513" i="2" s="1"/>
  <c r="AB513" i="2"/>
  <c r="AE882" i="2"/>
  <c r="AF882" i="2" s="1"/>
  <c r="AB882" i="2"/>
  <c r="AB450" i="2"/>
  <c r="AE450" i="2"/>
  <c r="AF450" i="2" s="1"/>
  <c r="AE419" i="2"/>
  <c r="AF419" i="2" s="1"/>
  <c r="AB419" i="2"/>
  <c r="AE560" i="2"/>
  <c r="AF560" i="2" s="1"/>
  <c r="AB560" i="2"/>
  <c r="AE341" i="2"/>
  <c r="AF341" i="2" s="1"/>
  <c r="AB341" i="2"/>
  <c r="AE274" i="2"/>
  <c r="AF274" i="2" s="1"/>
  <c r="AB274" i="2"/>
  <c r="AE238" i="2"/>
  <c r="AF238" i="2" s="1"/>
  <c r="AB238" i="2"/>
  <c r="AE92" i="2"/>
  <c r="AF92" i="2" s="1"/>
  <c r="AB92" i="2"/>
  <c r="AE441" i="2"/>
  <c r="AF441" i="2" s="1"/>
  <c r="AB441" i="2"/>
  <c r="AE608" i="2"/>
  <c r="AF608" i="2" s="1"/>
  <c r="AB608" i="2"/>
  <c r="AE204" i="2"/>
  <c r="AF204" i="2" s="1"/>
  <c r="AB204" i="2"/>
  <c r="AE650" i="2"/>
  <c r="AF650" i="2" s="1"/>
  <c r="AB650" i="2"/>
  <c r="AE241" i="2"/>
  <c r="AF241" i="2" s="1"/>
  <c r="AB241" i="2"/>
  <c r="AE78" i="2"/>
  <c r="AF78" i="2" s="1"/>
  <c r="AB78" i="2"/>
  <c r="AE672" i="2"/>
  <c r="AF672" i="2" s="1"/>
  <c r="AB672" i="2"/>
  <c r="AE64" i="2"/>
  <c r="AF64" i="2" s="1"/>
  <c r="AB64" i="2"/>
  <c r="AE380" i="2"/>
  <c r="AF380" i="2" s="1"/>
  <c r="AB380" i="2"/>
  <c r="AE489" i="2"/>
  <c r="AF489" i="2" s="1"/>
  <c r="AB489" i="2"/>
  <c r="AB614" i="2"/>
  <c r="AE614" i="2"/>
  <c r="AF614" i="2" s="1"/>
  <c r="AE872" i="2"/>
  <c r="AF872" i="2" s="1"/>
  <c r="AB872" i="2"/>
  <c r="AE880" i="2"/>
  <c r="AF880" i="2" s="1"/>
  <c r="AB880" i="2"/>
  <c r="AE624" i="2"/>
  <c r="AF624" i="2" s="1"/>
  <c r="AB624" i="2"/>
  <c r="AE506" i="2"/>
  <c r="AF506" i="2" s="1"/>
  <c r="AB506" i="2"/>
  <c r="AE802" i="2"/>
  <c r="AF802" i="2" s="1"/>
  <c r="AB802" i="2"/>
  <c r="AE452" i="2"/>
  <c r="AF452" i="2" s="1"/>
  <c r="AB452" i="2"/>
  <c r="AB93" i="2"/>
  <c r="AE93" i="2"/>
  <c r="AF93" i="2" s="1"/>
  <c r="AE22" i="2"/>
  <c r="AF22" i="2" s="1"/>
  <c r="AB22" i="2"/>
  <c r="AE80" i="2"/>
  <c r="AF80" i="2" s="1"/>
  <c r="AB80" i="2"/>
  <c r="AE499" i="2"/>
  <c r="AF499" i="2" s="1"/>
  <c r="AB499" i="2"/>
  <c r="AE643" i="2"/>
  <c r="AF643" i="2" s="1"/>
  <c r="AB643" i="2"/>
  <c r="AE326" i="2"/>
  <c r="AF326" i="2" s="1"/>
  <c r="AB326" i="2"/>
  <c r="AE56" i="2"/>
  <c r="AF56" i="2" s="1"/>
  <c r="AB56" i="2"/>
  <c r="AE453" i="2"/>
  <c r="AF453" i="2" s="1"/>
  <c r="AB453" i="2"/>
  <c r="AE309" i="2"/>
  <c r="AF309" i="2" s="1"/>
  <c r="AB309" i="2"/>
  <c r="AE158" i="2"/>
  <c r="AF158" i="2" s="1"/>
  <c r="AB158" i="2"/>
  <c r="AE912" i="2"/>
  <c r="AF912" i="2" s="1"/>
  <c r="AB912" i="2"/>
  <c r="AE814" i="2"/>
  <c r="AF814" i="2" s="1"/>
  <c r="AB814" i="2"/>
  <c r="AE143" i="2"/>
  <c r="AF143" i="2" s="1"/>
  <c r="AB143" i="2"/>
  <c r="AE317" i="2"/>
  <c r="AF317" i="2" s="1"/>
  <c r="AB317" i="2"/>
  <c r="AE585" i="2"/>
  <c r="AF585" i="2" s="1"/>
  <c r="AB585" i="2"/>
  <c r="AE112" i="2"/>
  <c r="AF112" i="2" s="1"/>
  <c r="AB112" i="2"/>
  <c r="AE683" i="2"/>
  <c r="AF683" i="2" s="1"/>
  <c r="AB683" i="2"/>
  <c r="AE263" i="2"/>
  <c r="AF263" i="2" s="1"/>
  <c r="AB263" i="2"/>
  <c r="AE615" i="2"/>
  <c r="AF615" i="2" s="1"/>
  <c r="AB615" i="2"/>
  <c r="AE386" i="2"/>
  <c r="AF386" i="2" s="1"/>
  <c r="AB386" i="2"/>
  <c r="AE363" i="2"/>
  <c r="AF363" i="2" s="1"/>
  <c r="AB363" i="2"/>
  <c r="AE717" i="2"/>
  <c r="AF717" i="2" s="1"/>
  <c r="AB717" i="2"/>
  <c r="AE746" i="2"/>
  <c r="AF746" i="2" s="1"/>
  <c r="AB746" i="2"/>
  <c r="AE131" i="2"/>
  <c r="AF131" i="2" s="1"/>
  <c r="AB131" i="2"/>
  <c r="AE644" i="2"/>
  <c r="AF644" i="2" s="1"/>
  <c r="AB644" i="2"/>
  <c r="AE320" i="2"/>
  <c r="AF320" i="2" s="1"/>
  <c r="AB320" i="2"/>
  <c r="AE135" i="2"/>
  <c r="AF135" i="2" s="1"/>
  <c r="AB135" i="2"/>
  <c r="AE464" i="2"/>
  <c r="AF464" i="2" s="1"/>
  <c r="AB464" i="2"/>
  <c r="AE329" i="2"/>
  <c r="AF329" i="2" s="1"/>
  <c r="AB329" i="2"/>
  <c r="AE881" i="2"/>
  <c r="AF881" i="2" s="1"/>
  <c r="AB881" i="2"/>
  <c r="AE528" i="2"/>
  <c r="AF528" i="2" s="1"/>
  <c r="AB528" i="2"/>
  <c r="AB411" i="2"/>
  <c r="AE411" i="2"/>
  <c r="AF411" i="2" s="1"/>
  <c r="AE249" i="2"/>
  <c r="AF249" i="2" s="1"/>
  <c r="AB249" i="2"/>
  <c r="AB503" i="2"/>
  <c r="AE503" i="2"/>
  <c r="AF503" i="2" s="1"/>
  <c r="AE774" i="2"/>
  <c r="AF774" i="2" s="1"/>
  <c r="AB774" i="2"/>
  <c r="AE281" i="2"/>
  <c r="AF281" i="2" s="1"/>
  <c r="AB281" i="2"/>
  <c r="AE457" i="2"/>
  <c r="AF457" i="2" s="1"/>
  <c r="AB457" i="2"/>
  <c r="AE878" i="2"/>
  <c r="AF878" i="2" s="1"/>
  <c r="AB878" i="2"/>
  <c r="AE219" i="2"/>
  <c r="AF219" i="2" s="1"/>
  <c r="AB219" i="2"/>
  <c r="AB55" i="2"/>
  <c r="AE55" i="2"/>
  <c r="AF55" i="2" s="1"/>
  <c r="AB14" i="2"/>
  <c r="AE14" i="2"/>
  <c r="AF14" i="2" s="1"/>
  <c r="AE288" i="2"/>
  <c r="AF288" i="2" s="1"/>
  <c r="AB288" i="2"/>
  <c r="AE167" i="2"/>
  <c r="AF167" i="2" s="1"/>
  <c r="AB167" i="2"/>
  <c r="AB133" i="2"/>
  <c r="AE133" i="2"/>
  <c r="AF133" i="2" s="1"/>
  <c r="AE412" i="2"/>
  <c r="AF412" i="2" s="1"/>
  <c r="AB412" i="2"/>
  <c r="AE764" i="2"/>
  <c r="AF764" i="2" s="1"/>
  <c r="AB764" i="2"/>
  <c r="AE840" i="2"/>
  <c r="AF840" i="2" s="1"/>
  <c r="AB840" i="2"/>
  <c r="AE547" i="2"/>
  <c r="AF547" i="2" s="1"/>
  <c r="AB547" i="2"/>
  <c r="AE277" i="2"/>
  <c r="AF277" i="2" s="1"/>
  <c r="AB277" i="2"/>
  <c r="AE432" i="2"/>
  <c r="AF432" i="2" s="1"/>
  <c r="AB432" i="2"/>
  <c r="AE305" i="2"/>
  <c r="AF305" i="2" s="1"/>
  <c r="AB305" i="2"/>
  <c r="AE284" i="2"/>
  <c r="AF284" i="2" s="1"/>
  <c r="AB284" i="2"/>
  <c r="Z31" i="2"/>
  <c r="AA31" i="2"/>
  <c r="AC31" i="2"/>
  <c r="AD31" i="2" s="1"/>
  <c r="T33" i="2"/>
  <c r="W33" i="2" s="1"/>
  <c r="Y33" i="2" s="1"/>
  <c r="AE30" i="2"/>
  <c r="AF30" i="2" s="1"/>
  <c r="AB30" i="2"/>
  <c r="AE31" i="2" l="1"/>
  <c r="AF31" i="2" s="1"/>
  <c r="AB31" i="2"/>
  <c r="AC32" i="2"/>
  <c r="AD32" i="2" s="1"/>
  <c r="AA32" i="2"/>
  <c r="Z32" i="2"/>
  <c r="T34" i="2"/>
  <c r="W34" i="2" s="1"/>
  <c r="Y34" i="2" s="1"/>
  <c r="AC33" i="2" l="1"/>
  <c r="AD33" i="2" s="1"/>
  <c r="Z33" i="2"/>
  <c r="AA33" i="2"/>
  <c r="T35" i="2"/>
  <c r="W35" i="2" s="1"/>
  <c r="Y35" i="2" s="1"/>
  <c r="AE32" i="2"/>
  <c r="AF32" i="2" s="1"/>
  <c r="AB32" i="2"/>
  <c r="AA34" i="2" l="1"/>
  <c r="AC34" i="2"/>
  <c r="AD34" i="2" s="1"/>
  <c r="Z34" i="2"/>
  <c r="AE33" i="2"/>
  <c r="AF33" i="2" s="1"/>
  <c r="AB33" i="2"/>
  <c r="T36" i="2"/>
  <c r="W36" i="2" s="1"/>
  <c r="Y36" i="2" s="1"/>
  <c r="T37" i="2" l="1"/>
  <c r="W37" i="2" s="1"/>
  <c r="Y37" i="2" s="1"/>
  <c r="Z35" i="2"/>
  <c r="AC35" i="2"/>
  <c r="AD35" i="2" s="1"/>
  <c r="AA35" i="2"/>
  <c r="AE34" i="2"/>
  <c r="AF34" i="2" s="1"/>
  <c r="AB34" i="2"/>
  <c r="T38" i="2" l="1"/>
  <c r="W38" i="2" s="1"/>
  <c r="Y38" i="2" s="1"/>
  <c r="AE35" i="2"/>
  <c r="AF35" i="2" s="1"/>
  <c r="AB35" i="2"/>
  <c r="AA36" i="2"/>
  <c r="Z36" i="2"/>
  <c r="AC36" i="2"/>
  <c r="AD36" i="2" s="1"/>
  <c r="AE36" i="2" l="1"/>
  <c r="AF36" i="2" s="1"/>
  <c r="AB36" i="2"/>
  <c r="AA37" i="2"/>
  <c r="Z37" i="2"/>
  <c r="AC37" i="2"/>
  <c r="AD37" i="2" s="1"/>
  <c r="T39" i="2"/>
  <c r="W39" i="2" s="1"/>
  <c r="Y39" i="2" s="1"/>
  <c r="T40" i="2" l="1"/>
  <c r="W40" i="2" s="1"/>
  <c r="Y40" i="2" s="1"/>
  <c r="Z38" i="2"/>
  <c r="AA38" i="2"/>
  <c r="AC38" i="2"/>
  <c r="AD38" i="2" s="1"/>
  <c r="AE37" i="2"/>
  <c r="AF37" i="2" s="1"/>
  <c r="AB37" i="2"/>
  <c r="T41" i="2" l="1"/>
  <c r="W41" i="2" s="1"/>
  <c r="Y41" i="2" s="1"/>
  <c r="AE38" i="2"/>
  <c r="AF38" i="2" s="1"/>
  <c r="AB38" i="2"/>
  <c r="AC39" i="2"/>
  <c r="AD39" i="2" s="1"/>
  <c r="Z39" i="2"/>
  <c r="AA39" i="2"/>
  <c r="AE39" i="2" l="1"/>
  <c r="AF39" i="2" s="1"/>
  <c r="AB39" i="2"/>
  <c r="T42" i="2"/>
  <c r="W42" i="2" s="1"/>
  <c r="Y42" i="2" s="1"/>
  <c r="AC40" i="2"/>
  <c r="AD40" i="2" s="1"/>
  <c r="Z40" i="2"/>
  <c r="AA40" i="2"/>
  <c r="AE40" i="2" l="1"/>
  <c r="AF40" i="2" s="1"/>
  <c r="AB40" i="2"/>
  <c r="T43" i="2"/>
  <c r="W43" i="2" s="1"/>
  <c r="Y43" i="2" s="1"/>
  <c r="AA41" i="2"/>
  <c r="AC41" i="2"/>
  <c r="AD41" i="2" s="1"/>
  <c r="Z41" i="2"/>
  <c r="AA48" i="2"/>
  <c r="AE48" i="2" s="1"/>
  <c r="AF48" i="2" s="1"/>
  <c r="AC48" i="2"/>
  <c r="AD48" i="2" s="1"/>
  <c r="Z48" i="2"/>
  <c r="AE41" i="2" l="1"/>
  <c r="AF41" i="2" s="1"/>
  <c r="AB41" i="2"/>
  <c r="T44" i="2"/>
  <c r="W44" i="2" s="1"/>
  <c r="Y44" i="2" s="1"/>
  <c r="AC42" i="2"/>
  <c r="AD42" i="2" s="1"/>
  <c r="Z42" i="2"/>
  <c r="AA42" i="2"/>
  <c r="AA49" i="2"/>
  <c r="AE49" i="2" s="1"/>
  <c r="AF49" i="2" s="1"/>
  <c r="AC49" i="2"/>
  <c r="AD49" i="2" s="1"/>
  <c r="AB48" i="2"/>
  <c r="Z49" i="2"/>
  <c r="AE42" i="2" l="1"/>
  <c r="AF42" i="2" s="1"/>
  <c r="AB42" i="2"/>
  <c r="AA43" i="2"/>
  <c r="AC43" i="2"/>
  <c r="AD43" i="2" s="1"/>
  <c r="Z43" i="2"/>
  <c r="T45" i="2"/>
  <c r="W45" i="2" s="1"/>
  <c r="Y45" i="2" s="1"/>
  <c r="AA50" i="2"/>
  <c r="AE50" i="2" s="1"/>
  <c r="AF50" i="2" s="1"/>
  <c r="AC50" i="2"/>
  <c r="AD50" i="2" s="1"/>
  <c r="AA51" i="2"/>
  <c r="AE51" i="2" s="1"/>
  <c r="AF51" i="2" s="1"/>
  <c r="AC51" i="2"/>
  <c r="AD51" i="2" s="1"/>
  <c r="AB49" i="2"/>
  <c r="Z51" i="2"/>
  <c r="Z50" i="2"/>
  <c r="T46" i="2" l="1"/>
  <c r="W46" i="2" s="1"/>
  <c r="Y46" i="2" s="1"/>
  <c r="AE43" i="2"/>
  <c r="AF43" i="2" s="1"/>
  <c r="AB43" i="2"/>
  <c r="Z44" i="2"/>
  <c r="AA44" i="2"/>
  <c r="AC44" i="2"/>
  <c r="AD44" i="2" s="1"/>
  <c r="AB50" i="2"/>
  <c r="AB51" i="2"/>
  <c r="AC45" i="2" l="1"/>
  <c r="AD45" i="2" s="1"/>
  <c r="Z45" i="2"/>
  <c r="AA45" i="2"/>
  <c r="AE44" i="2"/>
  <c r="AF44" i="2" s="1"/>
  <c r="AB44" i="2"/>
  <c r="T47" i="2"/>
  <c r="W47" i="2" s="1"/>
  <c r="Y47" i="2" s="1"/>
  <c r="AC47" i="2" l="1"/>
  <c r="AD47" i="2" s="1"/>
  <c r="Z47" i="2"/>
  <c r="AA47" i="2"/>
  <c r="AE45" i="2"/>
  <c r="AF45" i="2" s="1"/>
  <c r="AB45" i="2"/>
  <c r="AC46" i="2"/>
  <c r="AD46" i="2" s="1"/>
  <c r="Z46" i="2"/>
  <c r="AA46" i="2"/>
  <c r="AE46" i="2" l="1"/>
  <c r="AF46" i="2" s="1"/>
  <c r="AB46" i="2"/>
  <c r="AE47" i="2"/>
  <c r="AF47" i="2" s="1"/>
  <c r="AB4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tc={0622965A-9BBB-4BA8-BBD5-9F1F00ACF6BB}</author>
    <author>tc={BADBF203-B0C6-4BA7-BB8B-A0519610D7BF}</author>
    <author>tc={E887E8D2-752C-4167-905D-4D84E6364563}</author>
    <author>tc={53B24E85-04BE-4A2C-BCCF-AE5738BC7D2A}</author>
    <author>tc={F374F0EB-1087-4C13-A790-9D78B29A8533}</author>
    <author>tc={2B3FA292-6D96-41CB-8CA6-A94F0F53AA29}</author>
    <author>tc={0C29B139-CF0C-4E33-8B87-EF2F62E6097C}</author>
    <author>tc={323BCE7D-7E35-415B-B00C-9708B13F4DAB}</author>
    <author>Alberto Ramirez Nuñez</author>
  </authors>
  <commentList>
    <comment ref="L1" authorId="0" shapeId="0" xr:uid="{0622965A-9BBB-4BA8-BBD5-9F1F00ACF6BB}">
      <text>
        <t xml:space="preserve">[Threaded comment]
Your version of Excel allows you to read this threaded comment; however, any edits to it will get removed if the file is opened in a newer version of Excel. Learn more: https://go.microsoft.com/fwlink/?linkid=870924
Comment:
    El presupuesto del proyecto es la estimación total de recursos financieros necesarios para ejecutar todas las actividades del proyecto y cumplir con su alcance, cronograma y objetivos establecidos 
Reply:
    ✅ Para calcular Valor Ganado, el presupuesto debe ser el Total Costos del Proyecto (BAC) </t>
      </text>
    </comment>
    <comment ref="Q1" authorId="1" shapeId="0" xr:uid="{BADBF203-B0C6-4BA7-BB8B-A0519610D7BF}">
      <text>
        <t xml:space="preserve">[Threaded comment]
Your version of Excel allows you to read this threaded comment; however, any edits to it will get removed if the file is opened in a newer version of Excel. Learn more: https://go.microsoft.com/fwlink/?linkid=870924
Comment:
    El tiempo de ejecución es el período comprendido entre el inicio formal de las actividades del proyecto y su finalización real, es decir, el lapso durante el cual se llevan a cabo los entregables, tareas y actividades planificadas para cumplir con el alcance del proyecto. </t>
      </text>
    </comment>
    <comment ref="W1" authorId="2" shapeId="0" xr:uid="{E887E8D2-752C-4167-905D-4D84E6364563}">
      <text>
        <t>[Threaded comment]
Your version of Excel allows you to read this threaded comment; however, any edits to it will get removed if the file is opened in a newer version of Excel. Learn more: https://go.microsoft.com/fwlink/?linkid=870924
Comment:
    Representa el valor del trabajo realmente completado a una fecha determinada, expresado en unidades monetarias (según el presupuesto aprobado).</t>
      </text>
    </comment>
    <comment ref="X1" authorId="3" shapeId="0" xr:uid="{53B24E85-04BE-4A2C-BCCF-AE5738BC7D2A}">
      <text>
        <t xml:space="preserve">[Threaded comment]
Your version of Excel allows you to read this threaded comment; however, any edits to it will get removed if the file is opened in a newer version of Excel. Learn more: https://go.microsoft.com/fwlink/?linkid=870924
Comment:
    Representa el valor del trabajo que se debía haber completado a una fecha determinada según la línea base del cronograma. </t>
      </text>
    </comment>
    <comment ref="Y1" authorId="4" shapeId="0" xr:uid="{F374F0EB-1087-4C13-A790-9D78B29A8533}">
      <text>
        <t>[Threaded comment]
Your version of Excel allows you to read this threaded comment; however, any edits to it will get removed if the file is opened in a newer version of Excel. Learn more: https://go.microsoft.com/fwlink/?linkid=870924
Comment:
    Mide la diferencia entre el valor del trabajo completado (EV) y el costo real incurrido (AC). Indica si hay ahorro o sobrecosto.</t>
      </text>
    </comment>
    <comment ref="Z1" authorId="5" shapeId="0" xr:uid="{2B3FA292-6D96-41CB-8CA6-A94F0F53AA29}">
      <text>
        <t>[Threaded comment]
Your version of Excel allows you to read this threaded comment; however, any edits to it will get removed if the file is opened in a newer version of Excel. Learn more: https://go.microsoft.com/fwlink/?linkid=870924
Comment:
    Mide la diferencia entre el valor del trabajo ejecutado (EV) y el que se debía haber ejecutado según el plan (PV). Indica adelanto o retraso.</t>
      </text>
    </comment>
    <comment ref="AA1" authorId="6" shapeId="0" xr:uid="{0C29B139-CF0C-4E33-8B87-EF2F62E6097C}">
      <text>
        <t>[Threaded comment]
Your version of Excel allows you to read this threaded comment; however, any edits to it will get removed if the file is opened in a newer version of Excel. Learn more: https://go.microsoft.com/fwlink/?linkid=870924
Comment:
    Evalúa la eficiencia del uso del presupuesto. Indica cuánto valor se obtiene por cada unidad monetaria gastada.</t>
      </text>
    </comment>
    <comment ref="AC1" authorId="7" shapeId="0" xr:uid="{323BCE7D-7E35-415B-B00C-9708B13F4DAB}">
      <text>
        <t>[Threaded comment]
Your version of Excel allows you to read this threaded comment; however, any edits to it will get removed if the file is opened in a newer version of Excel. Learn more: https://go.microsoft.com/fwlink/?linkid=870924
Comment:
    Evalúa la eficiencia del cronograma. Muestra qué tan bien se avanza respecto al plan.</t>
      </text>
    </comment>
    <comment ref="AE1" authorId="8" shapeId="0" xr:uid="{538827C7-1FBE-459C-9241-4665262CB3A8}">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AF1" authorId="8" shapeId="0" xr:uid="{C3B56616-F86F-4B54-87B8-D9C6425910F3}">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tc={E76C9D19-3294-41AF-A118-5C0296F6F94A}</author>
    <author>tc={B505EA2F-8EF7-4804-AF92-EC4C09155B42}</author>
    <author>tc={989B7BEB-245D-4ED0-9D19-1E235937CE8D}</author>
    <author>tc={18DE217E-D2FD-4063-B51A-E166885CADA3}</author>
    <author>tc={4699E194-DC61-4015-A771-708B7917626F}</author>
    <author>tc={102E8C8E-5D63-46F8-9194-BADAF2492023}</author>
    <author>tc={E039A975-BEB7-4028-BB2C-92C2EBE3E1E2}</author>
    <author>tc={53AF90AF-4F1F-402A-9578-6315C35BBF2A}</author>
    <author>Alberto Ramirez Nuñez</author>
  </authors>
  <commentList>
    <comment ref="L1" authorId="0" shapeId="0" xr:uid="{E76C9D19-3294-41AF-A118-5C0296F6F94A}">
      <text>
        <t xml:space="preserve">[Threaded comment]
Your version of Excel allows you to read this threaded comment; however, any edits to it will get removed if the file is opened in a newer version of Excel. Learn more: https://go.microsoft.com/fwlink/?linkid=870924
Comment:
    El presupuesto del proyecto es la estimación total de recursos financieros necesarios para ejecutar todas las actividades del proyecto y cumplir con su alcance, cronograma y objetivos establecidos 
Reply:
    ✅ Para calcular Valor Ganado, el presupuesto debe ser el Total Costos del Proyecto (BAC) </t>
      </text>
    </comment>
    <comment ref="Q1" authorId="1" shapeId="0" xr:uid="{B505EA2F-8EF7-4804-AF92-EC4C09155B42}">
      <text>
        <t xml:space="preserve">[Threaded comment]
Your version of Excel allows you to read this threaded comment; however, any edits to it will get removed if the file is opened in a newer version of Excel. Learn more: https://go.microsoft.com/fwlink/?linkid=870924
Comment:
    El tiempo de ejecución es el período comprendido entre el inicio formal de las actividades del proyecto y su finalización real, es decir, el lapso durante el cual se llevan a cabo los entregables, tareas y actividades planificadas para cumplir con el alcance del proyecto. </t>
      </text>
    </comment>
    <comment ref="V1" authorId="2" shapeId="0" xr:uid="{989B7BEB-245D-4ED0-9D19-1E235937CE8D}">
      <text>
        <t>[Threaded comment]
Your version of Excel allows you to read this threaded comment; however, any edits to it will get removed if the file is opened in a newer version of Excel. Learn more: https://go.microsoft.com/fwlink/?linkid=870924
Comment:
    Representa el valor del trabajo realmente completado a una fecha determinada, expresado en unidades monetarias (según el presupuesto aprobado).</t>
      </text>
    </comment>
    <comment ref="W1" authorId="3" shapeId="0" xr:uid="{18DE217E-D2FD-4063-B51A-E166885CADA3}">
      <text>
        <t xml:space="preserve">[Threaded comment]
Your version of Excel allows you to read this threaded comment; however, any edits to it will get removed if the file is opened in a newer version of Excel. Learn more: https://go.microsoft.com/fwlink/?linkid=870924
Comment:
    Representa el valor del trabajo que se debía haber completado a una fecha determinada según la línea base del cronograma. </t>
      </text>
    </comment>
    <comment ref="X1" authorId="4" shapeId="0" xr:uid="{4699E194-DC61-4015-A771-708B7917626F}">
      <text>
        <t>[Threaded comment]
Your version of Excel allows you to read this threaded comment; however, any edits to it will get removed if the file is opened in a newer version of Excel. Learn more: https://go.microsoft.com/fwlink/?linkid=870924
Comment:
    Mide la diferencia entre el valor del trabajo completado (EV) y el costo real incurrido (AC). Indica si hay ahorro o sobrecosto.</t>
      </text>
    </comment>
    <comment ref="Y1" authorId="5" shapeId="0" xr:uid="{102E8C8E-5D63-46F8-9194-BADAF2492023}">
      <text>
        <t>[Threaded comment]
Your version of Excel allows you to read this threaded comment; however, any edits to it will get removed if the file is opened in a newer version of Excel. Learn more: https://go.microsoft.com/fwlink/?linkid=870924
Comment:
    Mide la diferencia entre el valor del trabajo ejecutado (EV) y el que se debía haber ejecutado según el plan (PV). Indica adelanto o retraso.</t>
      </text>
    </comment>
    <comment ref="Z1" authorId="6" shapeId="0" xr:uid="{E039A975-BEB7-4028-BB2C-92C2EBE3E1E2}">
      <text>
        <t>[Threaded comment]
Your version of Excel allows you to read this threaded comment; however, any edits to it will get removed if the file is opened in a newer version of Excel. Learn more: https://go.microsoft.com/fwlink/?linkid=870924
Comment:
    Evalúa la eficiencia del uso del presupuesto. Indica cuánto valor se obtiene por cada unidad monetaria gastada.</t>
      </text>
    </comment>
    <comment ref="AB1" authorId="7" shapeId="0" xr:uid="{53AF90AF-4F1F-402A-9578-6315C35BBF2A}">
      <text>
        <t>[Threaded comment]
Your version of Excel allows you to read this threaded comment; however, any edits to it will get removed if the file is opened in a newer version of Excel. Learn more: https://go.microsoft.com/fwlink/?linkid=870924
Comment:
    Evalúa la eficiencia del cronograma. Muestra qué tan bien se avanza respecto al plan.</t>
      </text>
    </comment>
    <comment ref="AD1" authorId="8" shapeId="0" xr:uid="{5F4AEFA3-73F8-480C-B0FF-9640207FBE4E}">
      <text>
        <r>
          <rPr>
            <b/>
            <sz val="9"/>
            <color indexed="81"/>
            <rFont val="Tahoma"/>
            <family val="2"/>
          </rPr>
          <t>Alberto Ramirez Nuñez:</t>
        </r>
        <r>
          <rPr>
            <sz val="9"/>
            <color indexed="81"/>
            <rFont val="Tahoma"/>
            <family val="2"/>
          </rPr>
          <t xml:space="preserve">
Alberto Ramirez Nuñez:
Es la proyección del costo total estimado del proyecto al final, con base en el desempeño actual. Hay varias formas de calcularlo.</t>
        </r>
      </text>
    </comment>
    <comment ref="AE1" authorId="8" shapeId="0" xr:uid="{E988410E-8173-4B76-91A9-2E53AF987239}">
      <text>
        <r>
          <rPr>
            <b/>
            <sz val="9"/>
            <color indexed="81"/>
            <rFont val="Tahoma"/>
            <family val="2"/>
          </rPr>
          <t>Alberto Ramirez Nuñez:</t>
        </r>
        <r>
          <rPr>
            <sz val="9"/>
            <color indexed="81"/>
            <rFont val="Tahoma"/>
            <family val="2"/>
          </rPr>
          <t xml:space="preserve">
La VAC indica cuánto más o menos costará el proyecto en comparación con el presupuesto aprobado (BAC o PBO), basándose en la proyección actual (EAC)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tc={D4C9E463-61C2-4420-9334-9B288C0DD118}</author>
  </authors>
  <commentList>
    <comment ref="AA43" authorId="0" shapeId="0" xr:uid="{D4C9E463-61C2-4420-9334-9B288C0DD118}">
      <text>
        <t>[Threaded comment]
Your version of Excel allows you to read this threaded comment; however, any edits to it will get removed if the file is opened in a newer version of Excel. Learn more: https://go.microsoft.com/fwlink/?linkid=870924
Comment:
    31/12/2025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tc={F1E0C0BD-ED22-4C8D-9CCF-E4083919E680}</author>
  </authors>
  <commentList>
    <comment ref="C43" authorId="0" shapeId="0" xr:uid="{F1E0C0BD-ED22-4C8D-9CCF-E4083919E680}">
      <text>
        <t>[Threaded comment]
Your version of Excel allows you to read this threaded comment; however, any edits to it will get removed if the file is opened in a newer version of Excel. Learn more: https://go.microsoft.com/fwlink/?linkid=870924
Comment:
    31/12/2025</t>
      </text>
    </comment>
  </commentList>
</comments>
</file>

<file path=xl/sharedStrings.xml><?xml version="1.0" encoding="utf-8"?>
<sst xmlns="http://schemas.openxmlformats.org/spreadsheetml/2006/main" count="10052" uniqueCount="742">
  <si>
    <t>ProjectName</t>
  </si>
  <si>
    <t>UT - ENTERRITORIO 2027</t>
  </si>
  <si>
    <t>CPI (Cost Performance Index)</t>
  </si>
  <si>
    <t>SPI (Schedule Performance Index)</t>
  </si>
  <si>
    <t>Etiquetas de fila</t>
  </si>
  <si>
    <t>Promedio de SPI (Schedule Performance Index)</t>
  </si>
  <si>
    <t>Suma de Meta SPI</t>
  </si>
  <si>
    <t>Promedio de CPI (Cost Performance Index)</t>
  </si>
  <si>
    <t>Suma de Meta CPI</t>
  </si>
  <si>
    <t>CPI = EV / AC</t>
  </si>
  <si>
    <t>SPI = EV / PV</t>
  </si>
  <si>
    <r>
      <t>CPI = 1,00</t>
    </r>
    <r>
      <rPr>
        <sz val="11"/>
        <color theme="1"/>
        <rFont val="Calibri"/>
        <family val="2"/>
        <scheme val="minor"/>
      </rPr>
      <t xml:space="preserve"> → gasto exacto según lo presupuestado</t>
    </r>
  </si>
  <si>
    <r>
      <t>SPI = 1,00</t>
    </r>
    <r>
      <rPr>
        <sz val="11"/>
        <color theme="1"/>
        <rFont val="Calibri"/>
        <family val="2"/>
        <scheme val="minor"/>
      </rPr>
      <t xml:space="preserve"> → a tiempo</t>
    </r>
  </si>
  <si>
    <t>Mayo</t>
  </si>
  <si>
    <t>Enero</t>
  </si>
  <si>
    <r>
      <t>CPI &gt; 1,00</t>
    </r>
    <r>
      <rPr>
        <sz val="11"/>
        <color theme="1"/>
        <rFont val="Calibri"/>
        <family val="2"/>
        <scheme val="minor"/>
      </rPr>
      <t xml:space="preserve"> → eficiente (gastas menos de lo esperado)</t>
    </r>
  </si>
  <si>
    <r>
      <t>SPI &gt; 1,00</t>
    </r>
    <r>
      <rPr>
        <sz val="11"/>
        <color theme="1"/>
        <rFont val="Calibri"/>
        <family val="2"/>
        <scheme val="minor"/>
      </rPr>
      <t xml:space="preserve"> → adelantado</t>
    </r>
  </si>
  <si>
    <t>Proyecto adelantado respecto al cronograma</t>
  </si>
  <si>
    <t>Costo eficiente: se está gastando menos de lo presupuestado</t>
  </si>
  <si>
    <r>
      <t>CPI &lt; 1,00</t>
    </r>
    <r>
      <rPr>
        <sz val="11"/>
        <color theme="1"/>
        <rFont val="Calibri"/>
        <family val="2"/>
        <scheme val="minor"/>
      </rPr>
      <t xml:space="preserve"> → ineficiente (gastas más de lo esperado)</t>
    </r>
  </si>
  <si>
    <r>
      <t>SPI &lt; 1,00</t>
    </r>
    <r>
      <rPr>
        <sz val="11"/>
        <color theme="1"/>
        <rFont val="Calibri"/>
        <family val="2"/>
        <scheme val="minor"/>
      </rPr>
      <t xml:space="preserve"> → atrasado</t>
    </r>
  </si>
  <si>
    <t>Junio</t>
  </si>
  <si>
    <t>Febrero</t>
  </si>
  <si>
    <t>Julio</t>
  </si>
  <si>
    <t>Marzo</t>
  </si>
  <si>
    <t>Proyecto a tiempo según lo planificado</t>
  </si>
  <si>
    <t>Agosto</t>
  </si>
  <si>
    <t>Abril</t>
  </si>
  <si>
    <t>Septiembre</t>
  </si>
  <si>
    <t>Proyecto atrasado con respecto al cronograma</t>
  </si>
  <si>
    <t>Octubre</t>
  </si>
  <si>
    <t>Noviembre</t>
  </si>
  <si>
    <t>Diciembre</t>
  </si>
  <si>
    <t>Total general</t>
  </si>
  <si>
    <t>Sin Línea Base</t>
  </si>
  <si>
    <t>Cuenta de CPI (Cost Performance Index)</t>
  </si>
  <si>
    <t>FONDO ACCION - MEJORAS APLICATIVO ASEC</t>
  </si>
  <si>
    <t>UT CIBERSEGURIDAD MT</t>
  </si>
  <si>
    <t>EMTEL - ICFES - FABRICA</t>
  </si>
  <si>
    <t>ERT- MT– DISPOSITIVOS IOT Y ANALÍTICA</t>
  </si>
  <si>
    <t>SNR- MIGRACION FOLIO A SIR</t>
  </si>
  <si>
    <t>EXPERTIX - DEFENSORIA – RENOVACIÓN MEGA</t>
  </si>
  <si>
    <t>TELEFONICA - RNEC-ELECCIONES 2026</t>
  </si>
  <si>
    <t>CCD-INM-AE-2025</t>
  </si>
  <si>
    <t>FNA -DATAFABRIC</t>
  </si>
  <si>
    <t>COMREDES - URT - SOLUCIÓN HCI FASE II</t>
  </si>
  <si>
    <t>SNR-MIGRACION FOLIO A SIR-BID</t>
  </si>
  <si>
    <t>DIAN-BORRADO SEGURO BLANCCO</t>
  </si>
  <si>
    <t>CCD- PGN - PGN MDA INTEGRAL</t>
  </si>
  <si>
    <t>DNP- LICENCIAMIENTO MEGAHOPEX</t>
  </si>
  <si>
    <t>FCM- HERRAMIENTA CALIDAD</t>
  </si>
  <si>
    <t>EMTEL - ANT - INFRAESTRUCTURA 2025</t>
  </si>
  <si>
    <t>PHARMBILLS - SEGURIDAD Y UPS</t>
  </si>
  <si>
    <t>ADRES-MEGA HOPEX 2025</t>
  </si>
  <si>
    <t>SNR- MIGRACION FOLIO A SIR - 2025</t>
  </si>
  <si>
    <t>EMTEL-ANT-ARQ-SOFT-2025</t>
  </si>
  <si>
    <t>SUPERSUBSIDIO-MEGA</t>
  </si>
  <si>
    <t>BISA - RUNT - CSE</t>
  </si>
  <si>
    <t>UT CENTRO DE SERVICIOS DNP 2025</t>
  </si>
  <si>
    <t>UT DATOS INTEGRALES CGR 2025</t>
  </si>
  <si>
    <t>ERT-URT-HIPERCORVENGENCIA</t>
  </si>
  <si>
    <t>UT SERT PASTO - VENTA DE EQUIPOS</t>
  </si>
  <si>
    <t>ERT-CNE-TI FASE 5</t>
  </si>
  <si>
    <t>472 - ARQUITECTURA EMPRESARIAL</t>
  </si>
  <si>
    <t>ALDESARROLLO - ICFES - SOSTENIBILIDAD</t>
  </si>
  <si>
    <t>CORP COLOMBIA DIGITAL-FNA-AE</t>
  </si>
  <si>
    <t>DNP-MEGAHOPEX</t>
  </si>
  <si>
    <t>ANT-RESO</t>
  </si>
  <si>
    <t>TELEFONICA - SENA MDA</t>
  </si>
  <si>
    <t>DATASEC-RENATA MININTERIOR-CIBERSEG</t>
  </si>
  <si>
    <t>ALDESARROLLO - INM - DATOS Y PROCESOS</t>
  </si>
  <si>
    <t>INFOTIC - ICFES - PRUEBAS CSJ</t>
  </si>
  <si>
    <t>RUNT - MEGA</t>
  </si>
  <si>
    <t>RUNT- PLANILLA DE DESPACHO</t>
  </si>
  <si>
    <t>AEROCIVIL - ARQUITECTURA 2025</t>
  </si>
  <si>
    <t>RUNT – DISEÑO,IMPLEMENTACION MDM</t>
  </si>
  <si>
    <t>INFOTIC-DPC-SOC</t>
  </si>
  <si>
    <t>TELEFONICA – DPC  SALA DE ANALITICA</t>
  </si>
  <si>
    <t>UT TRANSITO PASTO - FIREWALL SEMAFOROS</t>
  </si>
  <si>
    <t>IDU-LICENCIAMIENTO MEGAHOPEX</t>
  </si>
  <si>
    <t>UNIÓN TEMPORAL BIG DATA</t>
  </si>
  <si>
    <t>CCD- ANT- ARQUITECTURA Y DESARROLLOS</t>
  </si>
  <si>
    <t>ADRES-MEGA HOPEX</t>
  </si>
  <si>
    <t>TELEFONICA - CORMAGDALENA- SALA ANALITICA</t>
  </si>
  <si>
    <t>RUNT – ANALITICA BI-BA</t>
  </si>
  <si>
    <t>CCD - DPC - IMPLEMENTACIÓN ERP</t>
  </si>
  <si>
    <t>ELECTROHUILA- FORTINET</t>
  </si>
  <si>
    <t>RUNT-MIGRACIÓN MEGA</t>
  </si>
  <si>
    <t>CLARO -FGN - GOBIERNO DE DATOS</t>
  </si>
  <si>
    <t>CCD-CANCILLERIA-VENTA DE EQUIPOS LAN Y SEG</t>
  </si>
  <si>
    <t>EMTEL-CNE-INFRAEST Y APLICACIONES 2025</t>
  </si>
  <si>
    <t>CCD - CANCILLERIA-INFRAESTRUCTURA</t>
  </si>
  <si>
    <t>FNA - LICENCIAMIENTO MEGA HOPEX</t>
  </si>
  <si>
    <t>RUNT-DESARROLLO CALES</t>
  </si>
  <si>
    <t>UT ANH FISCALIZACIÓN</t>
  </si>
  <si>
    <t>UT AMESC - ARN - ALQUILER EQUIPOS 2026</t>
  </si>
  <si>
    <t>UT GROW OMEGA - CORTOLIMA - ERA</t>
  </si>
  <si>
    <t>UT PORTAL TRANSACCIONAL ALCALDIA BOG</t>
  </si>
  <si>
    <t>FGN - INTRAESTRUCTURA DE RED</t>
  </si>
  <si>
    <t>CCD-DEPTO ADMON FUNCION PUBLICA-WAF</t>
  </si>
  <si>
    <t>RAMA JUDICIAL - RENOVACION</t>
  </si>
  <si>
    <t>CONSYCOM - CAMARA DE FOTODECCION 2</t>
  </si>
  <si>
    <t>CODALTEC – MINISTERIO DEL INTERIOR</t>
  </si>
  <si>
    <t>SPSM-DESARROLLO Y MIGRACION SPSM</t>
  </si>
  <si>
    <t>CONSYCOM- CAMARA FOTODETECCION</t>
  </si>
  <si>
    <t>UNAD- IMPLEMENTACION TI Y LABORATORIOS</t>
  </si>
  <si>
    <t>LA PREVISORA SEGUROS</t>
  </si>
  <si>
    <t>UT SOLUCIONES SOFTWARE 2025</t>
  </si>
  <si>
    <t>CCD - CONSEJO NACIONAL CNE - LICENCIAMIENTO</t>
  </si>
  <si>
    <t>UT OUTSOURCING TECNOLOGICO 2025 MINVIVIENDA</t>
  </si>
  <si>
    <t>UT ARQUITECTURA HACIENDA 2025</t>
  </si>
  <si>
    <t>INTERNEXA-MT-ANALITICA IOT</t>
  </si>
  <si>
    <t>INTERNEXA-SUPERINT SERV PUBLICOS-SOPORTE</t>
  </si>
  <si>
    <t>UT GROW OMEGA - CORTOLIMA</t>
  </si>
  <si>
    <t>UNIEMPRESARIAL-INFRAESTRUC ALIBABA</t>
  </si>
  <si>
    <t>COLPENSIONES-GOBDATOS</t>
  </si>
  <si>
    <t>Año</t>
  </si>
  <si>
    <t>Mes</t>
  </si>
  <si>
    <t>ProjectId</t>
  </si>
  <si>
    <t>ProjectCreatedDate</t>
  </si>
  <si>
    <t>ProjectOwnerName</t>
  </si>
  <si>
    <t>ProjectWorkspaceInternalUrl</t>
  </si>
  <si>
    <t>Objetocontractual</t>
  </si>
  <si>
    <t>Portafolio</t>
  </si>
  <si>
    <t>CentrodeCostosProyecto</t>
  </si>
  <si>
    <t>Estado</t>
  </si>
  <si>
    <t>Presupuesto</t>
  </si>
  <si>
    <t>Inicio</t>
  </si>
  <si>
    <t>Fin</t>
  </si>
  <si>
    <t>Meses</t>
  </si>
  <si>
    <t>Tiempo Diferencia</t>
  </si>
  <si>
    <t>Tiempo Ejecución</t>
  </si>
  <si>
    <t>Tiempo Proyectado</t>
  </si>
  <si>
    <t>% Planeado</t>
  </si>
  <si>
    <t>Completado Real</t>
  </si>
  <si>
    <t>AC (Actual Cost)</t>
  </si>
  <si>
    <t>Costo Mensual</t>
  </si>
  <si>
    <t>EV (Earned Value)</t>
  </si>
  <si>
    <t>PV (Planned Value)</t>
  </si>
  <si>
    <t>CV (Cost Variance)</t>
  </si>
  <si>
    <t>SV (Schedule Variance)</t>
  </si>
  <si>
    <t>Detalle de CPI</t>
  </si>
  <si>
    <t>Detalle SPI</t>
  </si>
  <si>
    <t>EAC (Estimación al finalizar)</t>
  </si>
  <si>
    <t>VAC (Exceso de presupuesto proyectado)</t>
  </si>
  <si>
    <t>Ruta</t>
  </si>
  <si>
    <t>Meta SPI</t>
  </si>
  <si>
    <t>Meta CPI</t>
  </si>
  <si>
    <t>72cbf93a-8da6-ef11-bd95-00155d10dc02</t>
  </si>
  <si>
    <t>Carlos Alberto Osorio Ortiz</t>
  </si>
  <si>
    <t>https://growdatasas.sharepoint.com/sites/pwa/ERT-URT-HIPERCORVENGENCIA</t>
  </si>
  <si>
    <t xml:space="preserve"> ​Suministro de una solución de Hiperconvergencia para la unidad de restitución de tierras </t>
  </si>
  <si>
    <t>TI</t>
  </si>
  <si>
    <t>0349</t>
  </si>
  <si>
    <t>Activo.En Cierre</t>
  </si>
  <si>
    <t>a514ea09-ced4-ee11-bd00-00155d682338</t>
  </si>
  <si>
    <t>Carlos Fernando Gomez Rodriguez</t>
  </si>
  <si>
    <t>https://growdatasas.sharepoint.com/sites/pwa/TELEFONICA - SENA MDA</t>
  </si>
  <si>
    <t xml:space="preserve"> ​Mesa de servicio para el SENA </t>
  </si>
  <si>
    <t>0319</t>
  </si>
  <si>
    <t>Cerrado</t>
  </si>
  <si>
    <t>b3dee2f4-49c1-ee11-add8-00155d10211a</t>
  </si>
  <si>
    <t>Johan Sebastian Rodriguez Niño</t>
  </si>
  <si>
    <t>https://growdatasas.sharepoint.com/sites/pwa/CORP COLOMBIA DIGITAL-FNA-AE</t>
  </si>
  <si>
    <t xml:space="preserve">Consultoría para el diseño de la Transformación Digital de la entidad que designe la Corporación Colombia Digital, basado en desarrollar la arquitectura empresarial - AR, la definición e implementación del Gobierno y la gestión de datos, la definición de la hoja de ruta de la AR para el plan estratégico de TI PETI, la formación de personal y la planeación del proyecto de la entidad designada.    </t>
  </si>
  <si>
    <t>CONSULTORÍA</t>
  </si>
  <si>
    <t>0315</t>
  </si>
  <si>
    <t>93afa0f2-87b4-ee11-b12b-00155d10d37b</t>
  </si>
  <si>
    <t>Janeth Annelise Araujo Ramos</t>
  </si>
  <si>
    <t>https://growdatasas.sharepoint.com/sites/pwa/INFOTIC-DPC-SOC</t>
  </si>
  <si>
    <t xml:space="preserve"> ​Implementación y puesta en operación del Centro de Operaciones de Seguridad (SOC).  </t>
  </si>
  <si>
    <t>0320</t>
  </si>
  <si>
    <t>227b8bc1-c7ab-ee11-ba7f-00155d104f2c</t>
  </si>
  <si>
    <t>https://growdatasas.sharepoint.com/sites/pwa/CCD - DPC - IMPLEMENTACIÓN ERP</t>
  </si>
  <si>
    <t xml:space="preserve">Suministro e implementación del sistema de información         ADMINISTRATIVO ERP NOVASOFT – versión ENTERPRISE WEB y el GESTOR DE RIESGOS para la entidad Defensoría del Pueblo.Incluye: 14 módulos específicos + 5 módulos financieros con licencia para 5000 usuarios finales, Licenciamiento de la Base de Datos SQL Server (Estándar para 8 Cores), Consultoría estándar de implementación de cada uno de los sistemas ofrecidos, soporte y actualización por 2 años y una bolsa de horas (según acuerdo por 2 años)   </t>
  </si>
  <si>
    <t>DATOS Y SISTEMAS DE INFORMACIÓN</t>
  </si>
  <si>
    <t>0318</t>
  </si>
  <si>
    <t>Activo.En Ejecución</t>
  </si>
  <si>
    <t>becfcaa1-85b4-ee11-871a-00155d105d1e</t>
  </si>
  <si>
    <t>Guiovanni Andres Serrano Serna</t>
  </si>
  <si>
    <t>https://growdatasas.sharepoint.com/sites/pwa/TELEFONICA – DPC  SALA DE ANALITICA</t>
  </si>
  <si>
    <t xml:space="preserve"> ​Adecuación de la sala de analítica en dos fases, fase 1 obra civil y remodelación.  </t>
  </si>
  <si>
    <t>0314</t>
  </si>
  <si>
    <t>Postventa</t>
  </si>
  <si>
    <t>3f6c4573-29db-ee11-8860-00155d681010</t>
  </si>
  <si>
    <t>Mario Andres Pirachican Gil</t>
  </si>
  <si>
    <t>https://growdatasas.sharepoint.com/sites/pwa/ERT- MT– DISPOSITIVOS IOT Y ANALÍTICA</t>
  </si>
  <si>
    <t xml:space="preserve">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t>
  </si>
  <si>
    <t>0322</t>
  </si>
  <si>
    <t>b325f473-91e8-ee11-b9dc-00155d68784b</t>
  </si>
  <si>
    <t>Leidy Susana Ramirez Herrera</t>
  </si>
  <si>
    <t>https://growdatasas.sharepoint.com/sites/pwa/RUNT – DISEÑO,IMPLEMENTACION MDM</t>
  </si>
  <si>
    <t xml:space="preserve">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t>
  </si>
  <si>
    <t>0324</t>
  </si>
  <si>
    <t>7bad0cc0-6d01-ef11-b0c0-00155d68bf05</t>
  </si>
  <si>
    <t>Laura Johanna Jaramillo Soto</t>
  </si>
  <si>
    <t>https://growdatasas.sharepoint.com/sites/pwa/ALDESARROLLO - ICFES - SOSTENIBILIDAD</t>
  </si>
  <si>
    <t xml:space="preserve">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t>
  </si>
  <si>
    <t>0327</t>
  </si>
  <si>
    <t>ed6f263f-f345-ef11-adcb-00155d68d723</t>
  </si>
  <si>
    <t>https://growdatasas.sharepoint.com/sites/pwa/UT SERT PASTO - VENTA DE EQUIPOS</t>
  </si>
  <si>
    <t xml:space="preserve"> ​Realizar la entrega, suministro e instalación de  dos servidores Hewlett Packard host DL360 GEN10 PLUS , un HPE StoreEasy 1660 MS WS IoT19 40 TB SAS y Servicios Profesionales </t>
  </si>
  <si>
    <t>0334</t>
  </si>
  <si>
    <t>Activo.En Liquidación</t>
  </si>
  <si>
    <t>378e9b3a-aa01-ef11-88ac-00155d682343</t>
  </si>
  <si>
    <t>https://growdatasas.sharepoint.com/sites/pwa/EMTEL - ICFES - FABRICA</t>
  </si>
  <si>
    <t xml:space="preserve">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t>
  </si>
  <si>
    <t>0326</t>
  </si>
  <si>
    <t>fb6b6bf8-513d-ef11-964f-00155d687105</t>
  </si>
  <si>
    <t>https://growdatasas.sharepoint.com/sites/pwa/INM-ALDESARROLLO-DATOS Y PROCESOS</t>
  </si>
  <si>
    <t xml:space="preserve"> ​CONTRATAR LOS SERVICIOS PARA CONTINUAR IMPLEMENTANDO LA POLÍTICA DE GOBIERNO DIGITAL A TRAVÉS DEL DESARROLLO DE EJERCICIOS DE ARQUITECTURA EMPRESARIAL EN LOS DOMINIOS INSTITUCIONAL, DE INFORMACIÓN Y DE TECNOLOGÍA.  </t>
  </si>
  <si>
    <t>0331</t>
  </si>
  <si>
    <t>2f048f31-0b0f-ef11-9ac8-00155d68220c</t>
  </si>
  <si>
    <t>https://growdatasas.sharepoint.com/sites/pwa/INFOTIC - ICFES - PRUEBAS CSJ</t>
  </si>
  <si>
    <t xml:space="preserve"> APLICACIÓN ELECTRÓNICA DEL EXAMEN PARA EJERCER LA PROFESIÓN DE ABOGADO A REALIZARSE EN LA VIGENCIA 2024SUMINISTRO DE MESA DE SERVICIO CON COBERTURA NACIONAL   </t>
  </si>
  <si>
    <t>0328</t>
  </si>
  <si>
    <t>4387201d-861f-ef11-963a-00155d690311</t>
  </si>
  <si>
    <t>https://growdatasas.sharepoint.com/sites/pwa/UT - ENTERRITORIO 2027</t>
  </si>
  <si>
    <t xml:space="preserve"> ​PRESTACIÓN DE SERVICIOS INTEGRALES EN TECNOLOGÍAS DE INFORMACIÓN Y COMUNICACIONES -TIC, PARA LLEVAR A CABO LA ADMINISTRACIÓN, OPERACIÓN, MANTENIMIENTO Y LA GESTIÓN DE LA PLATAFORMA TECNOLÓGICA DE ENTERRITORIO. </t>
  </si>
  <si>
    <t>10025</t>
  </si>
  <si>
    <t>883d5780-4a3d-ef11-adcc-00155d685926</t>
  </si>
  <si>
    <t>Rodrigo Alexander Ramirez Ospina</t>
  </si>
  <si>
    <t>https://growdatasas.sharepoint.com/sites/pwa/RUNT - MEGA</t>
  </si>
  <si>
    <t xml:space="preserve">GESTIÓN DE REQUERIMIENTOS Y SOPORTE SOBRE HOPEXOBJETO:	PRESTACION DEL SERVICIO PARA LA GESTION DE REQUERIMIENTOS Y SOPORTE SOBRE LA HERRAMIENTA DE ARQUITECTURA EMPRESARIAL HOPEX UTILIZADA POR LA CONCESION RUNT  2.0 S.A.S </t>
  </si>
  <si>
    <t>0333</t>
  </si>
  <si>
    <t>9814f6b7-7622-ef11-9641-00155d68271a</t>
  </si>
  <si>
    <t>Natalia Maritza Guaje Berdugo</t>
  </si>
  <si>
    <t>https://growdatasas.sharepoint.com/sites/pwa/472 - Iteración de Arquitectura Empresarial</t>
  </si>
  <si>
    <t xml:space="preserve"> ​GENERACIÓN DE HOJA DE RUTA, BASADO EN UNA ITERACIÓN DE ARQUITECTURA EMPRESARIAL QUE INCLUYA LA EVALUACIÓN DE LAS CAPACIDADES DE GOBIERNO Y GESTIÓN DE LA ARQUITECTURA EMPRESARIAL PARA SOPORTAR LA DIVERSIFICACIÓN DEL PORTAFOLIO DE SERVICIOS INCLUYENDO COMPONENTES TECNOLÓGICOS Y DIGITALES.  FINANCIADO POR GROW </t>
  </si>
  <si>
    <t>0330</t>
  </si>
  <si>
    <t>94d43fe7-932e-ef11-9646-00155d688417</t>
  </si>
  <si>
    <t>https://growdatasas.sharepoint.com/sites/pwa/FONDO ACCION - MEJORAS APLICATIVO ASEC</t>
  </si>
  <si>
    <t xml:space="preserve"> ​Se propone prestar los servicios de ajustes y mejoras al aplicativo ASEC, para la depuración de secuenciales, en el marco del Componente 5 del proyecto por medio del cual se financia parcialmente el Programa para la Adopción e Implementación de un Catastro Multipropósito Rural – Urbano. </t>
  </si>
  <si>
    <t>0329</t>
  </si>
  <si>
    <t>2c770481-3c3d-ef11-9649-00155d688a06</t>
  </si>
  <si>
    <t>Liliana Isabel Paba Alvear</t>
  </si>
  <si>
    <t>https://growdatasas.sharepoint.com/sites/pwa/RUNT – ANALITICA BI-BA</t>
  </si>
  <si>
    <t xml:space="preserve"> ​Se propone prestar los servicios de configuración y parametrización de los componentes en Microsoft Fabric para despliegue de 5 reportes BI, y 1 caso de uso en BA, utilizando e implementando el modelo de capas Medallion.  </t>
  </si>
  <si>
    <t>0332</t>
  </si>
  <si>
    <t>dca5645a-745a-ef11-90d5-00155d681f04</t>
  </si>
  <si>
    <t>https://growdatasas.sharepoint.com/sites/pwa/SNR- MIGRACION FOLIO A SIR</t>
  </si>
  <si>
    <t xml:space="preserve"> ​Se propone prestar el servicios de migración de la información contenida en el sistema misional FOLIO a SIR de la SNR de conformidad con las características y condiciones establecidas para este proceso.  Contrato Adición 3 oficinas (Guateque, Tuquerres, Ipiales) $375.620.940 </t>
  </si>
  <si>
    <t>0335</t>
  </si>
  <si>
    <t>7834372e-5782-ef11-ba47-00155d684d05</t>
  </si>
  <si>
    <t>https://growdatasas.sharepoint.com/sites/pwa/EXPERTIX - DEFENSORIA – RENOVACIÓN MEGA</t>
  </si>
  <si>
    <t xml:space="preserve"> ​RENOVACION LICENCIAMIENTO MEGA EN LA DEFENSORIA DEL PUEBLO. </t>
  </si>
  <si>
    <t>0339</t>
  </si>
  <si>
    <t>68e40705-cb64-ef11-90d3-00155d68a702</t>
  </si>
  <si>
    <t>https://growdatasas.sharepoint.com/sites/pwa/ANT-RESO</t>
  </si>
  <si>
    <t xml:space="preserve">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t>
  </si>
  <si>
    <t>0337</t>
  </si>
  <si>
    <t>5aa69b5c-cc5f-ef11-90cb-00155d68d002</t>
  </si>
  <si>
    <t>Luis Gabriel Rojas Angarita</t>
  </si>
  <si>
    <t>https://growdatasas.sharepoint.com/sites/pwa/TELEFONICA - CORMAGDALENA- SALA ANALITICA</t>
  </si>
  <si>
    <t xml:space="preserve">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t>
  </si>
  <si>
    <t>0338</t>
  </si>
  <si>
    <t>521f5ded-34b7-ef11-bbda-00155d105606</t>
  </si>
  <si>
    <t>https://growdatasas.sharepoint.com/sites/pwa/DNP- LICENCIAMIENTO MEGAHOPEX</t>
  </si>
  <si>
    <t xml:space="preserve"> ​ADQUIRIR, INSTALAR, CONFIGURAR Y PONER EN FUNCIONAMIENTO UN SISTEMA DE GESTIÓN DE LA ARQUITECTURA EMPRESARIAL, DE CONFORMIDAD CON LAS CONDICIONES TÉCNICAS EXIGIDAS POR EL DEPARTAMENTO NACIONAL DE PLANEACIÓN (DNP). </t>
  </si>
  <si>
    <t>0353</t>
  </si>
  <si>
    <t>f25ed764-c9b0-ef11-bd94-00155d10b206</t>
  </si>
  <si>
    <t>https://growdatasas.sharepoint.com/sites/pwa/RUNT-MIGRACIÓN MEGA</t>
  </si>
  <si>
    <t xml:space="preserve"> ​ACTUALIZACION DE LA VERSION DE LA PLATAFORMA MEGA HOPEX EN LA EJECUCION DEL PROCESO DE MIGRACION RUNT. </t>
  </si>
  <si>
    <t>0348</t>
  </si>
  <si>
    <t>7cec2a49-4869-ef11-9771-00155d684b0c</t>
  </si>
  <si>
    <t>https://growdatasas.sharepoint.com/sites/pwa/ELECTROHUILA- FORTINET</t>
  </si>
  <si>
    <t xml:space="preserve"> ​Compra, Instalación, configuración y puesta en marcha de un sistema de seguridad perimetral con equipos y licenciamiento FORTINET </t>
  </si>
  <si>
    <t>0340</t>
  </si>
  <si>
    <t xml:space="preserve">$ -   </t>
  </si>
  <si>
    <t>170c879a-c379-ef11-9770-00155d687501</t>
  </si>
  <si>
    <t>Diego Armando Giraldo Pachecho</t>
  </si>
  <si>
    <t>https://growdatasas.sharepoint.com/sites/pwa/BISA - RUNT - CSE</t>
  </si>
  <si>
    <t xml:space="preserve"> ​Contratar fábrica de software para el desarrollo de contenedores estratégicos RUNT, a partir de los casos de uso suministrados por el cliente, desarrollo de servicios web. </t>
  </si>
  <si>
    <t>0342</t>
  </si>
  <si>
    <t xml:space="preserve"> $ -   </t>
  </si>
  <si>
    <t>bf1f2588-497b-ef11-9776-00155d68b20b</t>
  </si>
  <si>
    <t>Alberto Ramirez Nuñez</t>
  </si>
  <si>
    <t>https://growdatasas.sharepoint.com/sites/pwa/UT CIBERSEGURIDAD MT</t>
  </si>
  <si>
    <t xml:space="preserve"> ​Contratar servicios e infraestructura de seguridad digital y ciberseguridad a través de una solución tecnológica en caminada al fortalecimiento del cumplimiento de los estándares nacionales e internacionales por parte del ministerio de transporte. </t>
  </si>
  <si>
    <t>10026</t>
  </si>
  <si>
    <t>750d983e-5f82-ef11-977e-00155d688508</t>
  </si>
  <si>
    <t>https://growdatasas.sharepoint.com/sites/pwa/ADRES-MEGA HOPEX</t>
  </si>
  <si>
    <t xml:space="preserve"> ​CONTRATAR LOS SERVICIOS DE RENOVACIÓN, SOPORTE, ACTUALIZACIÓN Y MIGRACIÓN DE LA HERRAMIENTA DE ARQUITECTURA EMPRESARIAL MEGA HOPEX DE LA ADRES. </t>
  </si>
  <si>
    <t>0343</t>
  </si>
  <si>
    <t>1d360cd6-69e2-ef11-8f0b-00155d101608</t>
  </si>
  <si>
    <t>https://growdatasas.sharepoint.com/sites/pwa/CORTOLIMA - RÍO OPIA Y SABANDIJA</t>
  </si>
  <si>
    <t xml:space="preserve"> ​FORMULACIÓN DE
INSTRUMENTOS PARA LA PLANIFICACIÓN Y ADMINISTRACIÓN DEL RECURSO HÍDRICO EN LA
SUBZONA HIDROGRÁFICA DEL RÍO OPIA Y SABANDIJA </t>
  </si>
  <si>
    <t>10030</t>
  </si>
  <si>
    <t>27b762b8-6282-ef11-9782-00155d688501</t>
  </si>
  <si>
    <t>https://growdatasas.sharepoint.com/sites/pwa/CCD- ANT- ARQUITECTURA Y DESARROLLOS</t>
  </si>
  <si>
    <t xml:space="preserve"> ​Se propone prestar los servicios para la definición, diseño e implementación de arquitectura empresarial integral y de segmento para fortalecer las capacidades de análisis y estructuración de los sistemas de información de la Agencia Nacional de Tierras, de acuerdo con las especificaciones técnicas definidas por la Entidad. </t>
  </si>
  <si>
    <t>0344</t>
  </si>
  <si>
    <t>105f4a72-7aa7-ef11-bd97-00155d107901</t>
  </si>
  <si>
    <t>https://growdatasas.sharepoint.com/sites/pwa/FNA - LICENCIAMIENTO MEGA HOPEX</t>
  </si>
  <si>
    <t xml:space="preserve"> ​CONTRATAR LA HERRAMIENTA DE ARQUITECTURA EMPRESARIAL MEGA HOPEX EN LA MODALIDAD SAAS – SOFTWARE COMO SERVICIO, EN SU ÚLTIMA VERSIÓN PARA EL MODELAMIENTO DE LAS ARQUITECTURAS DE NEGOCIO Y DE TI DEL FONDO NACIONAL DEL AHORRO S.A. </t>
  </si>
  <si>
    <t>0351</t>
  </si>
  <si>
    <t>fe16bf69-5ba7-ef11-bd93-00155d10f806</t>
  </si>
  <si>
    <t>https://growdatasas.sharepoint.com/sites/pwa/SNR-MIGRACION FOLIO A SIR-BID</t>
  </si>
  <si>
    <t xml:space="preserve"> ​EL PROVEEDOR o Prestador el Servicio se obliga con el Contratante a la prestación de servicios de no consultoría  para realizar la migración de la información de los sistemas misionales de la SNR contenida en las bases de datos del sistema Folio Magnético (local) para las Oficinas de Registro de Instrumentos Públicos de Tuquerres, Ipiales y Guateque al Sistema de Información Registral SIR (sistema centralizado). </t>
  </si>
  <si>
    <t>0350</t>
  </si>
  <si>
    <t>0fba7e6f-4ac9-ef11-bbda-00155d688502</t>
  </si>
  <si>
    <t>https://growdatasas.sharepoint.com/sites/pwa/UT TRANSITO PASTO - FRIREWALL SEMAFOROS</t>
  </si>
  <si>
    <t xml:space="preserve"> ​​​Renovación tecnológica Firewall 240D </t>
  </si>
  <si>
    <t>0356</t>
  </si>
  <si>
    <t>b0b294ab-85bd-ef11-bbdd-00155d109601</t>
  </si>
  <si>
    <t>https://growdatasas.sharepoint.com/sites/pwa/IDU-LICENCIAMIENTO MEGAHOPEX</t>
  </si>
  <si>
    <t xml:space="preserve"> ​PRESTAR LOS SERVICIOS DE SOPORTE Y ACTUALIZACIÓN DEL SOFTWARE MEGA-HOPEX DE REPOSITORIO PARA LA ARQUITECTURA EMPRESARIAL DEL IDU. </t>
  </si>
  <si>
    <t>0354</t>
  </si>
  <si>
    <t>f9db1218-bbc6-ef11-bbdd-00155d688504</t>
  </si>
  <si>
    <t>Jose Alfonso Espinosa Rodriguez</t>
  </si>
  <si>
    <t>https://growdatasas.sharepoint.com/sites/pwa/UT CENTRO DE SERVICIOS DNP 2025</t>
  </si>
  <si>
    <t xml:space="preserve"> ​Servicios de Soporte, que permita la gestión, mantenimiento, administración, soporte técnico, monitoreo y disponibilidad de la infraestructura tecnológica que provee servicios de las (TIC), asegurando la continuidad en la operación e implementando el servicio de (SOC). </t>
  </si>
  <si>
    <t>10029</t>
  </si>
  <si>
    <t>b33075ff-84e9-ef11-8f0e-00155d10160b</t>
  </si>
  <si>
    <t>https://growdatasas.sharepoint.com/sites/pwa/PHARMBILLS - SEGURIDAD Y UPS</t>
  </si>
  <si>
    <t xml:space="preserve"> Suministro de equipos Fortinet y Ups con instalación en la sede del cliente.​  </t>
  </si>
  <si>
    <t>0361</t>
  </si>
  <si>
    <t>f7e43a42-42e2-ef11-8f0a-00155d10c30c</t>
  </si>
  <si>
    <t>https://growdatasas.sharepoint.com/sites/pwa/COMREDES - UNIDAD RESTITUCION DE TIERRAS - HCI - Fase II</t>
  </si>
  <si>
    <t xml:space="preserve"> ​Venta solución HCI. </t>
  </si>
  <si>
    <t>0359</t>
  </si>
  <si>
    <t>2c75a646-56ed-ef11-8f0c-00155d10e412</t>
  </si>
  <si>
    <t>https://growdatasas.sharepoint.com/sites/pwa/RUNT- PLANILLA DE DESPACHO</t>
  </si>
  <si>
    <t xml:space="preserve"> ​Desarrollo de casos uso para planilla de viajes, distribuidos en 107 casos de uso </t>
  </si>
  <si>
    <t>0360</t>
  </si>
  <si>
    <t>f3e379db-aefd-ef11-9121-00155d68400c</t>
  </si>
  <si>
    <t>Francy Viviana Gonzalez Barriga</t>
  </si>
  <si>
    <t>https://growdatasas.sharepoint.com/sites/pwa/CCD- PGN - PGN MDA INTEGRAL</t>
  </si>
  <si>
    <t xml:space="preserve"> ​Prestar un servicio de mesa integral, con soporte en sitio en Bogotá y a nivel nacional, servicio de colocación, outsorcing de impresión, Servicio de UPS, Suministro de Portátiles, bolsa para cableado estructurado.		 </t>
  </si>
  <si>
    <t>0362</t>
  </si>
  <si>
    <t>2469b30a-cd0d-f011-9298-00155d102412</t>
  </si>
  <si>
    <t>Marlon Fabian Moreno Buitrago</t>
  </si>
  <si>
    <t>https://growdatasas.sharepoint.com/sites/pwa/EMTEL - ANT - INFRAESTRUCTURA 2025</t>
  </si>
  <si>
    <t xml:space="preserve"> Brindar una solución integral para diferentes líneas de servicios y componentes tecnológicos que permitan garantizar la continuidad y adecuada operación de los Sistemas de Información de Tierras de la ANT y servicios conexos.    </t>
  </si>
  <si>
    <t>0363</t>
  </si>
  <si>
    <t>abb9e9f1-943c-f011-b02d-00155d101c0c</t>
  </si>
  <si>
    <t>https://growdatasas.sharepoint.com/sites/pwa/UNIÓN TEMPORAL BIG DATA</t>
  </si>
  <si>
    <t xml:space="preserve"> ​REALIZAR LA EVALUACIÓN Y PROPUESTA DE ACTUALIZACIÓN DEL SISTEMA DE INFORMACIÓN DEL OBSERVATORIO NACIONAL DE SEGURIDAD VIAL CON BASE EN ARQUITECTURAS DE REFERENCIA PARA BIG DATA </t>
  </si>
  <si>
    <t>0371</t>
  </si>
  <si>
    <t>Activo.Iniciado</t>
  </si>
  <si>
    <t>6705f71d-405b-f011-aa72-00155d101412</t>
  </si>
  <si>
    <t>https://growdatasas.sharepoint.com/sites/pwa/ADRES-MEGA HOPEX 2025</t>
  </si>
  <si>
    <t xml:space="preserve"> ​Contratar la renovación del licenciamiento, actualizaciones y soporte técnico del software de arquitectura empresarial hopex de mega de la ADRES </t>
  </si>
  <si>
    <t>0370</t>
  </si>
  <si>
    <t>836922e6-3a5b-f011-aa66-00155d103d05</t>
  </si>
  <si>
    <t>Juan Carlos Muñoz Gomez</t>
  </si>
  <si>
    <t>https://growdatasas.sharepoint.com/sites/pwa/ERT-CNE-TI FASE 5</t>
  </si>
  <si>
    <t xml:space="preserve"> Contratar los servicios de una solución integral para mantener, asegurar y optimizar la plataforma tecnológica del CNE.   </t>
  </si>
  <si>
    <t>0369</t>
  </si>
  <si>
    <t>a9cd0d86-7287-f011-b73a-00155d102b0e</t>
  </si>
  <si>
    <t>https://growdatasas.sharepoint.com/sites/pwa/SNR- MIGRACION FOLIO A SIR - 2025</t>
  </si>
  <si>
    <t xml:space="preserve"> ​CONTRATAR CON ENFOQUE DE CATASTRO MULTIPROPÓSITO LOS SERVICIOS DE NO CONSULTORÍA DE MIGRACIÓN DE LA INFORMACIÓN DE SISTEMAS MISIONALES DE LA SNR DE CONFORMIDAD CON LAS CARACTERÍSTICAS Y CONDICIONES ESTABLECIDAS EN LAS ESPECIFICACIONES TÉCNICAS DE LOS SERVICIOS </t>
  </si>
  <si>
    <t>0375</t>
  </si>
  <si>
    <t>da7743bf-fe9f-f011-ad65-00155d10510e</t>
  </si>
  <si>
    <t>https://growdatasas.sharepoint.com/sites/pwa/UT GROW OMEGA - CORTOLIMA - ERA</t>
  </si>
  <si>
    <t xml:space="preserve"> ​REALIZAR
LA EVALUACIÓN REGIONAL DEL AGUA EN EL DEPARTAMENTO DEL TOLIMA </t>
  </si>
  <si>
    <t>10033</t>
  </si>
  <si>
    <t>53987d4b-0a7e-f011-b522-00155d103c1f</t>
  </si>
  <si>
    <t>Jose Leonardo Gutierrez Cumbe</t>
  </si>
  <si>
    <t>https://growdatasas.sharepoint.com/sites/pwa/TELEFONICA - RNEC-ELECCIONES 2026</t>
  </si>
  <si>
    <t xml:space="preserve"> Grow Data S.A.S. presenta una solución integral que cubre los tres componentes establecidos por TELEFÓNICA en el Capítulo XIII: Plan de Comunicaciones (acompañamiento regional y monitoreo Starlink), Mesa de ayuda nivel 1 y Plataforma Tecnológica de Comunicaciones (Infocandidatos).  </t>
  </si>
  <si>
    <t>0373</t>
  </si>
  <si>
    <t>b351b482-1d7a-f011-b525-00155d685e04</t>
  </si>
  <si>
    <t>https://growdatasas.sharepoint.com/sites/pwa/EMTEL-ANT-ARQ-SOFT-2025</t>
  </si>
  <si>
    <t xml:space="preserve"> ​Fortalecimiento, integración y mejoras del sistema integral de tierras (SIT), Diseño e Implementación de la Arquitectura Empresarial (AE) y Gestión Estratégica de TI e Inteligencia Artificial para Ubicación Predial </t>
  </si>
  <si>
    <t>0372</t>
  </si>
  <si>
    <t>005160ba-1588-f011-b73c-00155d109318</t>
  </si>
  <si>
    <t>https://growdatasas.sharepoint.com/sites/pwa/FCM- HERRAMIENTA CALIDAD</t>
  </si>
  <si>
    <t xml:space="preserve"> ​Concurso
  de méritos  CM-02-FCM-2025.  
    Contrato de consultoría para el desarrollo de una herramienta para la
  calidad del dato en la interoperabilidad de los sistemas de recaudo de la
  Federación Colombiana de Municipios en cumplimiento de la función pública
  asignada - Simit   </t>
  </si>
  <si>
    <t>10032</t>
  </si>
  <si>
    <t>bafcc872-0f88-f011-b73c-00155d107618</t>
  </si>
  <si>
    <t>https://growdatasas.sharepoint.com/sites/pwa/CCD-INM-AE-2025</t>
  </si>
  <si>
    <t xml:space="preserve"> ​CONTRATAR LOS SERVICIOS PARA IMPLEMENTAR LA HOJA DE RUTA DE ARQUITECTURA EMPRESARIAL, MODELO DE GESTIÓN POR PROCESOS Y MODELO DE GOBIERNO DE DATOS PARA EL INM </t>
  </si>
  <si>
    <t>0376</t>
  </si>
  <si>
    <t>949f22f0-0d7e-f011-b522-00155d109605</t>
  </si>
  <si>
    <t>https://growdatasas.sharepoint.com/sites/pwa/FNA-FNA -DATAFABRIC</t>
  </si>
  <si>
    <t xml:space="preserve">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t>
  </si>
  <si>
    <t>0374</t>
  </si>
  <si>
    <t>11742009-4d92-f011-b748-00155d10e50b</t>
  </si>
  <si>
    <t>Gerardo Andres Segura Rincon</t>
  </si>
  <si>
    <t>https://growdatasas.sharepoint.com/sites/pwa/UT PORTAL TRANSACCIONAL ALCALDIA BOG</t>
  </si>
  <si>
    <t xml:space="preserve">UT PORTAL TRANSACCIONAL ALCALDIA BOG </t>
  </si>
  <si>
    <t>10031</t>
  </si>
  <si>
    <t>1b43123c-dca2-f011-ad61-00155d10ce02</t>
  </si>
  <si>
    <t>https://growdatasas.sharepoint.com/sites/pwa/CONTRALORIA GENERAL DE LA REPUBLICA</t>
  </si>
  <si>
    <t xml:space="preserve">Diseñar e implementar un sistema metabuscador integral para los modelos de analítica e información generada por los procesos automatizados en la cgr, aprovechando las capacidades de data lake y haciendo uso de un modelo semántico de documentos, expediente electrónico y datos </t>
  </si>
  <si>
    <t>10034</t>
  </si>
  <si>
    <t>Activo</t>
  </si>
  <si>
    <t>814cb47a-69be-f011-a2d0-00155d102a0d</t>
  </si>
  <si>
    <t>Yhon Jairo Martinez Gaviria</t>
  </si>
  <si>
    <t>https://growdatasas.sharepoint.com/sites/pwa/CCD - CANCILLERIA-INFRAESTRUCTURA</t>
  </si>
  <si>
    <t xml:space="preserve"> ​CCD - CANCILLERIA-INFRAESTRUCTURA   </t>
  </si>
  <si>
    <t>0379</t>
  </si>
  <si>
    <t>d79ac27b-ce9f-f011-ad66-00155d10d01e</t>
  </si>
  <si>
    <t>https://growdatasas.sharepoint.com/sites/pwa/CONSYCOM - CAMARA DE FOTODECCION 2</t>
  </si>
  <si>
    <t xml:space="preserve"> ​Realizar una venta financiada de una cámara de foto  iDS-TCE907-BR(F)/150m/1140(AF) Cámara para tres carriles a 5 años </t>
  </si>
  <si>
    <t>0378</t>
  </si>
  <si>
    <t>b2c2cee9-ca9f-f011-ad66-00155d10cc0e</t>
  </si>
  <si>
    <t>https://growdatasas.sharepoint.com/sites/pwa/CODALTEC – MINISTERIO DEL INTERIOR</t>
  </si>
  <si>
    <t xml:space="preserve"> ​OBJETO:  	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t>
  </si>
  <si>
    <t>0005</t>
  </si>
  <si>
    <t>a30c7fbe-c51e-f011-92a8-00155d103b0a</t>
  </si>
  <si>
    <t>https://growdatasas.sharepoint.com/sites/pwa/CONSYCOM- CAMARA FOTODETECCION</t>
  </si>
  <si>
    <t xml:space="preserve"> ​Suministro de Camara de Foto deteccion financiada a 60 meses 
    </t>
  </si>
  <si>
    <t>0364</t>
  </si>
  <si>
    <t>1b5f767b-beb8-ef11-bbdf-00155d10cc0b</t>
  </si>
  <si>
    <t>https://growdatasas.sharepoint.com/sites/pwa/UNIEMPRESARIAL-INFRAESTRUC ALIBABA</t>
  </si>
  <si>
    <t xml:space="preserve"> ​Implementación, configuración y puesta en marcha del servicio de Nube Pública, ambiente de producción y de pruebas. </t>
  </si>
  <si>
    <t>0352</t>
  </si>
  <si>
    <t>db1b0b93-c7ca-f011-86bf-00155d10c402</t>
  </si>
  <si>
    <t>Fernando Linares Castro</t>
  </si>
  <si>
    <t>https://growdatasas.sharepoint.com/sites/pwa/COLPENSIONES-GOBDATOS</t>
  </si>
  <si>
    <t xml:space="preserve"> ​PRESTACION DE SERVICIOS TECNICOS ESPECIALIZADOS PARA EL ANALISIS, DISEÑO, LEVANTAMIENTO TECNICO E IMPLEMENTACION DEL GOBIERNO DE DATOS PARA COLPENSIONES </t>
  </si>
  <si>
    <t>0381</t>
  </si>
  <si>
    <t>e85d2141-26ca-f011-86be-00155d109619</t>
  </si>
  <si>
    <t>https://growdatasas.sharepoint.com/sites/pwa/AEROCIVIL - ARQUITECTURA 2025</t>
  </si>
  <si>
    <t xml:space="preserve"> ​Prestar servicios para actualizar el modelo de la arquitectura   empresarial de gestión de TI y determinar el estado funcional y   técnico del proceso y sistema de información de mantenimiento   operacional aeronáutico -SIMOA. </t>
  </si>
  <si>
    <t>0385</t>
  </si>
  <si>
    <t>cf6abfed-bec4-f011-a2d5-00155d10610d</t>
  </si>
  <si>
    <t>Jairo Alfredo Cuellar Ortiz</t>
  </si>
  <si>
    <t>https://growdatasas.sharepoint.com/sites/pwa/UT ANH FISCALIZACIÓN</t>
  </si>
  <si>
    <t xml:space="preserve">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t>
  </si>
  <si>
    <t>10040</t>
  </si>
  <si>
    <t>a571ec8c-1aca-f011-86be-00155d10d427</t>
  </si>
  <si>
    <t>https://growdatasas.sharepoint.com/sites/pwa/INTERNEXA-MT-ANALITICA IOT</t>
  </si>
  <si>
    <t xml:space="preserve"> ​Renovación plataforma, conectividad y soporte técnico para el MINISTERIO DE TRANSPORTE continuidad del servicio </t>
  </si>
  <si>
    <t>0389</t>
  </si>
  <si>
    <t>cda84f1e-b9c4-f011-a2c3-00155d102501</t>
  </si>
  <si>
    <t>Mario Briceño Torres</t>
  </si>
  <si>
    <t>https://growdatasas.sharepoint.com/sites/pwa/UT SOLUCIONES SOFTWARE 2025</t>
  </si>
  <si>
    <t xml:space="preserve">  PRESTAR EL SERVICIO DE DESARROLLO, IMPLEMENTACION, SOPORTE Y MANTENIMIENTO ADAPTATIVO Y EVOLUTIVO PARA LA MEJORA CONTINUA DE SOLUCIONES DE SOFTWARE PARA LA FISCALÍA GENERAL DE LA NACION, MEDIANTE EL MODELO DE FABRICA DE SOFTWARE. </t>
  </si>
  <si>
    <t>10039</t>
  </si>
  <si>
    <t>de44d35f-a3c4-f011-a2d3-00155d10a20e</t>
  </si>
  <si>
    <t>John Fredy Farias Peña</t>
  </si>
  <si>
    <t>https://growdatasas.sharepoint.com/sites/pwa/CLARO -FGN - GOBIERNO DE DATOS</t>
  </si>
  <si>
    <t>Implementar un modelo integral de Gobierno de Datos en la FGN que permita fortalecer la coordinación, control y aprovechamiento estratégico de la información institucional</t>
  </si>
  <si>
    <t>0387</t>
  </si>
  <si>
    <t>7a907e06-82be-f011-a2c8-00155d104505</t>
  </si>
  <si>
    <t>Lida Milena Rodriguez</t>
  </si>
  <si>
    <t>https://growdatasas.sharepoint.com/sites/pwa/DIAN-BORRADO SEGURO BLANCCO</t>
  </si>
  <si>
    <t xml:space="preserve"> ​EVENTO
PRESENTADO POR COLOMBIA COMPRA EFICIENTE </t>
  </si>
  <si>
    <t>0382</t>
  </si>
  <si>
    <t>3e0420fc-6cbe-f011-a2c4-00155d10161a</t>
  </si>
  <si>
    <t>https://growdatasas.sharepoint.com/sites/pwa/UT - UNAD - CLARO</t>
  </si>
  <si>
    <t xml:space="preserve"> ​UT - UNAD - CLARO </t>
  </si>
  <si>
    <t>10038</t>
  </si>
  <si>
    <t>d48feed8-6abe-f011-a2cc-00155d11080d</t>
  </si>
  <si>
    <t>https://growdatasas.sharepoint.com/sites/pwa/CCD-CANCILLERIA-VENTA DE EQUIPOS LAN Y SEG</t>
  </si>
  <si>
    <t xml:space="preserve"> ​CCD-CANCILLERIA-VENTA DE EQUIPOS LAN Y SEG  </t>
  </si>
  <si>
    <t>0380</t>
  </si>
  <si>
    <t>170cbfc7-d6e4-f011-9aac-00155d103e1e</t>
  </si>
  <si>
    <t>https://growdatasas.sharepoint.com/sites/pwa/RAMA JUDICIAL - RENOVACION</t>
  </si>
  <si>
    <t xml:space="preserve"> ​Adquirir el licenciamiento de la herramienta tecnológica Mega HOPEX Cloud, junto con la prestación de los servicios asociados de mantenimiento, soporte especializado y servicios sobre la solución, para soportar los procesos de arquitectura empresarial en la Rama Judicial. </t>
  </si>
  <si>
    <t>0384</t>
  </si>
  <si>
    <t>26796451-d9f4-f011-8782-00155d10b911</t>
  </si>
  <si>
    <t>https://growdatasas.sharepoint.com/sites/pwa/DATASEC-RENATA MININTERIOR-CIBERSEG</t>
  </si>
  <si>
    <t xml:space="preserve"> ​ Red Nacional de Investigación y Educación de Colombia - RENATA 		   </t>
  </si>
  <si>
    <t>0396</t>
  </si>
  <si>
    <t>d8464488-bcc4-f011-a2d2-00155d110115</t>
  </si>
  <si>
    <t>https://growdatasas.sharepoint.com/sites/pwa/EMTEL-CNE-INFRAEST Y APLICACIONES 2025</t>
  </si>
  <si>
    <t xml:space="preserve">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t>
  </si>
  <si>
    <t>0388</t>
  </si>
  <si>
    <t>053eec63-eeca-f011-86c1-00155d106a17</t>
  </si>
  <si>
    <t>https://growdatasas.sharepoint.com/sites/pwa/RUNT-DESARROLLO CALES</t>
  </si>
  <si>
    <t xml:space="preserve"> ​DESARROLLO DE SOFTWARE PARA IMPLEMENTACIÓN CALE Implementar las funcionalidades de Consulta, Registro y Validación del Examen Teórico de Conducción en RUNT para los Centros de Apoyo Logístico de Evaluación (CALE) según la Resolución 20253040037125 del 10/09/2025. </t>
  </si>
  <si>
    <t>0390</t>
  </si>
  <si>
    <t>44516f2a-f1fa-f011-b5f8-00155d10100b</t>
  </si>
  <si>
    <t>https://growdatasas.sharepoint.com/sites/pwa/UT AMESC - ARN - ALQUILER EQUIPOS 2026</t>
  </si>
  <si>
    <t xml:space="preserve"> ​servicio de seguridad electronica		   </t>
  </si>
  <si>
    <t>0393</t>
  </si>
  <si>
    <t>da353807-f0d1-f011-86be-00155d10d315</t>
  </si>
  <si>
    <t>https://growdatasas.sharepoint.com/sites/pwa/SUPERSUBSIDIO-MEGA</t>
  </si>
  <si>
    <t xml:space="preserve"> ​LICENCIA MEGA </t>
  </si>
  <si>
    <t>0391</t>
  </si>
  <si>
    <t>c611b5bc-bbe5-f011-9aac-00155d10300c</t>
  </si>
  <si>
    <t>https://growdatasas.sharepoint.com/sites/pwa/Secretaría Distrital de Hacienda - SDH</t>
  </si>
  <si>
    <t xml:space="preserve">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t>
  </si>
  <si>
    <t>00001</t>
  </si>
  <si>
    <t>ec074182-14e0-f011-9aac-00155d10d91f</t>
  </si>
  <si>
    <t>https://growdatasas.sharepoint.com/sites/pwa/DNP-MEGAHOPEX</t>
  </si>
  <si>
    <t xml:space="preserve"> ​Contratar el soporte y mantenimiento del Sistema de Gestión de Arquitectura Empresarial MEGA HOPEX para el Departamento Nacional de Planeación, según lo especificado en el anexo técnico. </t>
  </si>
  <si>
    <t>2a4aeec0-1ee0-f011-9aac-00155d11040d</t>
  </si>
  <si>
    <t>https://growdatasas.sharepoint.com/sites/pwa/CCD-DEPTO ADMON FUNCION PUBLICA-WAF</t>
  </si>
  <si>
    <t xml:space="preserve"> ​Adquisición, instalación y configuración de un WEB Application Firewall para los servicios tecnológicos para el Departamento Administrativo de la Función Pública </t>
  </si>
  <si>
    <t>a46c1f5d-1bd1-f011-86c0-00155d104312</t>
  </si>
  <si>
    <t>Blanca Johanna Rangel Martinez</t>
  </si>
  <si>
    <t>https://growdatasas.sharepoint.com/sites/pwa/UT OUTSOURCING TECNOLOGICO 2025 MINVIVIENDA</t>
  </si>
  <si>
    <t xml:space="preserve"> ​  UT OUTSOURCING TECNOLOGICO 2025 MINVIVIENDA   </t>
  </si>
  <si>
    <t>c5a4c8cd-7abe-f011-a2cf-00155d10ce0f</t>
  </si>
  <si>
    <t>https://growdatasas.sharepoint.com/sites/pwa/FGN - INTRAESTRUCTURA DE RED</t>
  </si>
  <si>
    <t xml:space="preserve">  "Suiministro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   </t>
  </si>
  <si>
    <t>0383</t>
  </si>
  <si>
    <t>8102396e-b6fc-f011-b5fb-00155d108229</t>
  </si>
  <si>
    <t>https://growdatasas.sharepoint.com/sites/pwa/SPSM-DESARROLLO Y MIGRACION SPSM</t>
  </si>
  <si>
    <t xml:space="preserve"> MIGRACIÓN Y ACTUALIZACIÓN DE LA PLATAFORMA ONLINE PUERTO VIRTUAL Y APP MÓVIL DEL PUERTO DE SANTA MARTA     </t>
  </si>
  <si>
    <t>15847220-bafc-f011-b5fb-00155d101522</t>
  </si>
  <si>
    <t>https://growdatasas.sharepoint.com/sites/pwa/LA PREVISORA SEGUROS</t>
  </si>
  <si>
    <t xml:space="preserve"> ​Servicio especializado que proporcione una solución Tecnológica de gestión de vulnerabilidades, orientada a la identificación, detección, prevención, análisis, monitoreo continuo y seguimiento en tiempo real 	de vulnerabilidades presentes en los activos tecnológicos de LA PREVISORA S.A   </t>
  </si>
  <si>
    <t>0402</t>
  </si>
  <si>
    <t>c56b3dfc-02fb-f011-b5fb-00155d10d10e</t>
  </si>
  <si>
    <t>https://growdatasas.sharepoint.com/sites/pwa/INTERNEXA-SUPERINT SERV PUBLICOS-SOPORTE</t>
  </si>
  <si>
    <t xml:space="preserve"> ​Pestación de servicios de Mesa de Servicios, Soporte en sitio a nivel nacional, para la atención de incidentes y requerimientos en las diferentes verticales de Infraestructura, Networking, Seguridad y Software (Sistemas de información, Aplicaciones, herramientas).   </t>
  </si>
  <si>
    <t>0400</t>
  </si>
  <si>
    <t>466e3d54-fffa-f011-b5f8-00155d10e10d</t>
  </si>
  <si>
    <t>https://growdatasas.sharepoint.com/sites/pwa/CCD - CONSEJO NACIONAL CNE - LICENCIAMIENTO</t>
  </si>
  <si>
    <t xml:space="preserve">  Suministro de licencias de uso de software comercial especializado como solución tecnológica Integral para el fortalecimiento tecnológicos de los procesos operativos y misionales de las diferentes áreas del consejo nacional electoral.  </t>
  </si>
  <si>
    <t>0398</t>
  </si>
  <si>
    <t>enero</t>
  </si>
  <si>
    <t>ADRES-MEGA HOPEX 2026</t>
  </si>
  <si>
    <t>https://growdatasas.sharepoint.com/sites/pwa/ADRES-MEGA HOPEX 2026</t>
  </si>
  <si>
    <t>Bolsa de Horas</t>
  </si>
  <si>
    <t>marzo</t>
  </si>
  <si>
    <t>abril</t>
  </si>
  <si>
    <t>mayo</t>
  </si>
  <si>
    <t>junio</t>
  </si>
  <si>
    <t>julio</t>
  </si>
  <si>
    <t>agosto</t>
  </si>
  <si>
    <t>septiembre</t>
  </si>
  <si>
    <t>octubre</t>
  </si>
  <si>
    <t>noviembre</t>
  </si>
  <si>
    <t>diciembre</t>
  </si>
  <si>
    <t>% Variación Presupuestal</t>
  </si>
  <si>
    <t>Detalle de Variación</t>
  </si>
  <si>
    <t>%Cumplimiento de Facturación</t>
  </si>
  <si>
    <t>Detalle cumplimiento facturación</t>
  </si>
  <si>
    <t>% Variación en facturación (Facturación Real Vs Facturación Proyectada)</t>
  </si>
  <si>
    <t>Detalle variación facturación</t>
  </si>
  <si>
    <t>Comentarios</t>
  </si>
  <si>
    <t>1be326b8-780e-f011-9294-00155d10e20b</t>
  </si>
  <si>
    <t>GROW DATA - ENTERRITORIO - ERP</t>
  </si>
  <si>
    <t>https://growdatasas.sharepoint.com/sites/pwa/GROW DATA - ENTERRITORIO - ERP</t>
  </si>
  <si>
    <t xml:space="preserve"> ​Implementación ERP. Proyecto Enterritorio   </t>
  </si>
  <si>
    <t>PROYECTOS INTERNOS</t>
  </si>
  <si>
    <t>10001</t>
  </si>
  <si>
    <t>Costo ineficiente: se está gastando más de lo presupuestado</t>
  </si>
  <si>
    <t>No calculado</t>
  </si>
  <si>
    <t>Se ha facturado el 0,00% sobre el 100% de facturación del proyecto</t>
  </si>
  <si>
    <t>Se ha facturado oportunamente el 0% del total proyectado para el periodo</t>
  </si>
  <si>
    <t>Medido</t>
  </si>
  <si>
    <t xml:space="preserve">Faltan los dos ultimos </t>
  </si>
  <si>
    <t>eba2b168-36f5-f011-8780-00155d10c418</t>
  </si>
  <si>
    <t>SOPORTE - MEGA HOPEX - IDU</t>
  </si>
  <si>
    <t>https://growdatasas.sharepoint.com/sites/pwa/SOPORTE - MEGA HOPEX - IDU</t>
  </si>
  <si>
    <t xml:space="preserve"> ​Prestar los servicios de soporte y actualización del software Mega-Hopex de repositorio para la arquitectura empresarial del IDU.   </t>
  </si>
  <si>
    <t>0399</t>
  </si>
  <si>
    <t>5ca1d5ae-31f5-f011-9aae-00155d10e102</t>
  </si>
  <si>
    <t>CCB - CLARO - SDWAN</t>
  </si>
  <si>
    <t>https://growdatasas.sharepoint.com/sites/pwa/CCB - CLARO - SDWAN</t>
  </si>
  <si>
    <t xml:space="preserve"> ​Solución SD-WAN  </t>
  </si>
  <si>
    <t>0397</t>
  </si>
  <si>
    <t>dea0b13f-b59f-f011-ad65-00155d10d116</t>
  </si>
  <si>
    <t>UT GROWDXT REDES LAN</t>
  </si>
  <si>
    <t>https://growdatasas.sharepoint.com/sites/pwa/UT GROWDXT REDES LAN</t>
  </si>
  <si>
    <t xml:space="preserve"> ​UT GROWDXT REDES LAN </t>
  </si>
  <si>
    <t>89b111e7-cb89-f011-b73f-00155d11081f</t>
  </si>
  <si>
    <t>UT CSJ DEXTERA</t>
  </si>
  <si>
    <t>https://growdatasas.sharepoint.com/sites/pwa/UT CSJ DEXTERA</t>
  </si>
  <si>
    <t xml:space="preserve"> ​UT CSJ DEXTERA </t>
  </si>
  <si>
    <t>11001</t>
  </si>
  <si>
    <t>67546f77-614d-f011-b03d-00155d101409</t>
  </si>
  <si>
    <t>EON DIGITAL</t>
  </si>
  <si>
    <t>https://growdatasas.sharepoint.com/sites/pwa/EON DIGITAL</t>
  </si>
  <si>
    <t xml:space="preserve"> ​Desarrollo de ambiente EON </t>
  </si>
  <si>
    <t>5342fece-5d4d-f011-b02a-00155d10f505</t>
  </si>
  <si>
    <t>MINISTERIO DE VIVIENDA CIUDAD Y TERRITORIO</t>
  </si>
  <si>
    <t>https://growdatasas.sharepoint.com/sites/pwa/MINISTERIO DE VIVIENDA CIUDAD Y TERRITORIO</t>
  </si>
  <si>
    <t xml:space="preserve"> ​Contratar los servicios de centro de datos, mesa de ayuda y comunicaciones unificadas, conectividad impresión y escáner para el Ministerio de Vivienda, Ciudad y Territorio </t>
  </si>
  <si>
    <t>401c8392-4df9-ef11-911f-00155d68fc15</t>
  </si>
  <si>
    <t>IMPLEMENTACIÓN PORTAL DE PROVEEDORES</t>
  </si>
  <si>
    <t>https://growdatasas.sharepoint.com/sites/pwa/IMPLEMENTACIÓN PORTAL DE PROVEEDORES</t>
  </si>
  <si>
    <t xml:space="preserve">Optimizar los procesos de registro, evaluacion y vinculacion atraves de un portal de proveedores generando asertividad yconfiabilidad con los datos, ofreciendo organizacion, control ydando valor agregado a la gestion interna de todo el equiporequirente de la cadena de abastecimiento.   </t>
  </si>
  <si>
    <t>6ac24d05-fba1-ef11-bd96-00155d105707</t>
  </si>
  <si>
    <t>EMTEL-ANT-INFRAESTRUCTURA 2024</t>
  </si>
  <si>
    <t>https://growdatasas.sharepoint.com/sites/pwa/EMTEL-ANT-INFRAESTRUCTURA 2024</t>
  </si>
  <si>
    <t xml:space="preserve"> ​Proveer una solución integral para diferentes líneas de servicios y componentes tecnológicos que permitan garantizar la continua y adecuada operación de los Sistemas de Información de Tierras de la ANT. </t>
  </si>
  <si>
    <t>0347</t>
  </si>
  <si>
    <t>99ae0d23-1592-ef11-bd94-00155d101f03</t>
  </si>
  <si>
    <t>UT PGD 2024_MIN TIC HABILITADORES</t>
  </si>
  <si>
    <t>https://growdatasas.sharepoint.com/sites/pwa/UT PGD 2024_MIN TIC HABILITADORES</t>
  </si>
  <si>
    <t xml:space="preserve">Prestar serviciospara Potenciar la adopción e implementación de la Política de Gobierno Digital- PGD, en lo que respecta a los habilitadores, Estándares y lineamientos establecidos por MINTIC en la PGD   </t>
  </si>
  <si>
    <t>10027</t>
  </si>
  <si>
    <t>6827c8c7-1092-ef11-bd97-00155d110504</t>
  </si>
  <si>
    <t>TELEFONICA-RNEC-ELECCIONES 2024</t>
  </si>
  <si>
    <t>https://growdatasas.sharepoint.com/sites/pwa/TELEFONICA-RNEC-ELECCIONES 2024</t>
  </si>
  <si>
    <t xml:space="preserve"> ​Suministro de Servicios para la Gestión Estratégica, Gestión de Servicios 	Operativos y Servicio de Recurso Humano al Plan de Comunicaciones, para el proceso de Participación Ciudadana y Elecciones de Juntas Administradoras Locales RNEC 2024 </t>
  </si>
  <si>
    <t>0345</t>
  </si>
  <si>
    <t>5ceb238b-998d-ef11-ba48-00155d68af02</t>
  </si>
  <si>
    <t>UT GOBIERNO DE DATOS CNE</t>
  </si>
  <si>
    <t>Diana Marcela Ubaque Lopez</t>
  </si>
  <si>
    <t>https://growdatasas.sharepoint.com/sites/pwa/UT GROW BISA CNE</t>
  </si>
  <si>
    <t xml:space="preserve"> ​CONTRATAR LOS SERVICIOS DE CONSULTORIA PARA DISEÑAR EL MODELO DE GOBIERNO DE DATOS Y GESTION DE LA INFORMACION DEL CONSEJO NACIONAL ELECTORAL  </t>
  </si>
  <si>
    <t>10028</t>
  </si>
  <si>
    <t>e4f8b4d1-0d0f-ef11-9111-00155d68b204</t>
  </si>
  <si>
    <t>PGN ANALITICA DE DATOS</t>
  </si>
  <si>
    <t>https://growdatasas.sharepoint.com/sites/pwa/PGN Analítica de datos</t>
  </si>
  <si>
    <t xml:space="preserve"> ​Analitica de datos </t>
  </si>
  <si>
    <t>c9e30792-8802-ef11-a540-00155d68a605</t>
  </si>
  <si>
    <t>ERT - CNE-TI FASE4</t>
  </si>
  <si>
    <t>https://growdatasas.sharepoint.com/sites/pwa/ERT - CNE-TI FASE4</t>
  </si>
  <si>
    <t xml:space="preserve"> ​Contratar los servicios de una solución integral para mantener, asegurar y optimizar la plataforma tecnológica del CNE. </t>
  </si>
  <si>
    <t>0367, 0358, 0325</t>
  </si>
  <si>
    <t>c21b6ada-e7df-ee11-a836-00155d68c947</t>
  </si>
  <si>
    <t>REMODELACION OFICINA CR 15</t>
  </si>
  <si>
    <t>https://growdatasas.sharepoint.com/sites/pwa/REMODELACION OFICINA CR 15</t>
  </si>
  <si>
    <t xml:space="preserve"> ​Remodelación Oficina Cra 15 </t>
  </si>
  <si>
    <t>0085</t>
  </si>
  <si>
    <t>d4572359-7fbb-ee11-8bb8-00155d10522d</t>
  </si>
  <si>
    <t>CONS INGENIUM-CGR-DISEÑO_IMPLEMENT GD_AR</t>
  </si>
  <si>
    <t>https://growdatasas.sharepoint.com/sites/pwa/CONS INGENIUM-CGR-DISEÑO_IMPLEMENT GD_AR</t>
  </si>
  <si>
    <t xml:space="preserve"> ​Se propone prestar el servicio de diseño e implementación del modelo de datos y la arquitectura de referencia en el dominio de datos para Contraloría General de la República del Perú. </t>
  </si>
  <si>
    <t>10023</t>
  </si>
  <si>
    <t>7abce916-7cbb-ee11-9208-00155d103056</t>
  </si>
  <si>
    <t>ALDESARROLLO - DPC - CABLEADO ESTRUCTURADO</t>
  </si>
  <si>
    <t>https://growdatasas.sharepoint.com/sites/pwa/ALDESARROLLO - DPC - CABLEADO ESTRUCTURADO</t>
  </si>
  <si>
    <t xml:space="preserve"> ​El Fortalecimiento del sistema de cableado estructurado y de red para la ejecución de los diseños para veintinueve (29) sedes regionales de la Defensoría del Pueblo de conformidad con las especificaciones técnicas. </t>
  </si>
  <si>
    <t>0321, 0341, 0336</t>
  </si>
  <si>
    <t>CCOSTO</t>
  </si>
  <si>
    <t>Ingreso Model 1</t>
  </si>
  <si>
    <t>Costo Model 1</t>
  </si>
  <si>
    <t>Utilidad Bruta 1</t>
  </si>
  <si>
    <t>Ingreso Model 2</t>
  </si>
  <si>
    <t>Costo Model 2</t>
  </si>
  <si>
    <t>Utilidad Bruta 2</t>
  </si>
  <si>
    <t>Ingreso Model 3</t>
  </si>
  <si>
    <t>Costo Model 3</t>
  </si>
  <si>
    <t>Utilidad Bruta 3</t>
  </si>
  <si>
    <t>Ingreso Model 4</t>
  </si>
  <si>
    <t>Costo Model 4</t>
  </si>
  <si>
    <t>Utilidad Bruta 4</t>
  </si>
  <si>
    <t>Ingreso Model 5</t>
  </si>
  <si>
    <t>Costo Model 5</t>
  </si>
  <si>
    <t>Utilidad Bruta 5</t>
  </si>
  <si>
    <t>Ingreso Model 6</t>
  </si>
  <si>
    <t>Costo Model 6</t>
  </si>
  <si>
    <t>Utilidad Bruta 6</t>
  </si>
  <si>
    <t>Total Ingresos</t>
  </si>
  <si>
    <t>Total Costos</t>
  </si>
  <si>
    <t>Utilidad Bruta</t>
  </si>
  <si>
    <t>Url</t>
  </si>
  <si>
    <t>https://growdatasas.sharepoint.com/:x:/r/sites/Gestiondocumental/Administrativa/GD/Financiera/_layouts/15/Doc.aspx?sourcedoc=%7BEA2AC996-D46C-4123-8126-7F0BE9537AF4%7D&amp;file=20241108%20MODELO%20FINANCIERO%20REFERENCIA%20V7.2%20APROBADO.xlsm&amp;action=default&amp;mobileredirect=true</t>
  </si>
  <si>
    <t>https://growdatasas.sharepoint.com/:x:/r/sites/Gestiondocumental/Administrativa/GD/Financiera/_layouts/15/Doc.aspx?sourcedoc=%7B06FB1484-E2DE-40DA-83E0-D97F6AF0AE9B%7D&amp;file=MODELO%20FINANCIERO%20REFERENCIA%20V7%20MS%2020240130.xlsx&amp;action=default&amp;mobileredirect=true</t>
  </si>
  <si>
    <t>https://growdatasas.sharepoint.com/:x:/r/sites/Gestiondocumental/Administrativa/GD/Financiera/_layouts/15/Doc.aspx?sourcedoc=%7B453B6AA8-B631-4722-B916-8323F8C43E87%7D&amp;file=315%20CORP%20COLOMBIA%20DIGITAL%20FNA%20AE.xlsm&amp;action=default&amp;mobileredirect=true</t>
  </si>
  <si>
    <t>https://growdatasas.sharepoint.com/:x:/r/sites/Gestiondocumental/Administrativa/GD/Financiera/_layouts/15/Doc.aspx?sourcedoc=%7BB4DE39AF-1EC1-466C-A807-3FE95776A982%7D&amp;file=17012024%20INFOTIC%20DPC%20SOC%20V2.xlsm&amp;action=default&amp;mobileredirect=true</t>
  </si>
  <si>
    <t>Revisar IDU</t>
  </si>
  <si>
    <t>Ut claro grow</t>
  </si>
  <si>
    <t>https://growdatasas.sharepoint.com/:x:/r/sites/Gestiondocumental/Administrativa/GD/Financiera/_layouts/15/Doc.aspx?sourcedoc=%7BC3EFE0E2-C211-45B0-905D-ECEF11221767%7D&amp;file=299.%20DEFENSORIA_ERP.xlsm&amp;action=default&amp;mobileredirect=true</t>
  </si>
  <si>
    <t>https://growdatasas.sharepoint.com/:x:/r/sites/Gestiondocumental/Administrativa/GD/Financiera/_layouts/15/Doc.aspx?sourcedoc=%7B4F9BD6BF-F6F0-4033-84A5-4B5D6077FC32%7D&amp;file=314.%20TELEFONICA%20%E2%80%93%20DPC%20%20SALA%20DE%20ANALITICA.xlsx&amp;action=default&amp;mobileredirect=true</t>
  </si>
  <si>
    <t>https://growdatasas.sharepoint.com/:x:/r/sites/Gestiondocumental/Administrativa/GD/Financiera/_layouts/15/Doc.aspx?sourcedoc=%7B29DCF375-0847-4DAD-9B9A-9F9E84ABD4DE%7D&amp;file=322.%20MINTRANSPORTE.xlsx&amp;action=default&amp;mobileredirect=true</t>
  </si>
  <si>
    <t>https://growdatasas.sharepoint.com/:x:/r/sites/Gestiondocumental/Administrativa/GD/Financiera/_layouts/15/Doc.aspx?sourcedoc=%7B465AB503-754C-43E2-86C3-8E24183E3BBF%7D&amp;file=090424%20324.%20RUNT%202.0%20-%20RUNT%20MDM.xlsx&amp;action=default&amp;mobileredirect=true</t>
  </si>
  <si>
    <t>https://growdatasas.sharepoint.com/:x:/r/sites/Gestiondocumental/Administrativa/GD/Financiera/_layouts/15/Doc.aspx?sourcedoc=%7B293F42A2-5CA4-4376-950C-5CBFEA13F436%7D&amp;file=327.%20ALDESARROLLO%20-%20ICFES%20-%20SOSTENIBILIDAD.xlsx&amp;action=default&amp;mobileredirect=true</t>
  </si>
  <si>
    <t>https://growdatasas.sharepoint.com/:x:/r/sites/Gestiondocumental/Administrativa/GD/Financiera/_layouts/15/Doc.aspx?sourcedoc=%7BE4604918-6887-44A1-B732-65186E485C0C%7D&amp;file=V7_UTPASTO_20240321%20-%20VERSION%202.xlsm&amp;action=default&amp;mobileredirect=true</t>
  </si>
  <si>
    <t>https://growdatasas.sharepoint.com/:x:/r/sites/Gestiondocumental/Administrativa/GD/Financiera/_layouts/15/Doc.aspx?sourcedoc=%7BB89BD188-BEAD-4E84-BC3B-FF43B34DCCB0%7D&amp;file=326.%20ICFES%20-%20FABRICA%20DE%20SOFTWARE%20PRUEBAS.xlsx&amp;action=default&amp;mobileredirect=true</t>
  </si>
  <si>
    <t>https://growdatasas.sharepoint.com/:x:/r/sites/Gestiondocumental/Administrativa/GD/Financiera/_layouts/15/Doc.aspx?sourcedoc=%7B90300F8C-6F13-418B-97E4-626034BE9C0E%7D&amp;file=MODELO%20FINANCIERO%20REFERENCIA%20V7-INM_V1.0%20-%20500M.xlsm&amp;action=default&amp;mobileredirect=true</t>
  </si>
  <si>
    <t>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t>
  </si>
  <si>
    <t>https://growdatasas.sharepoint.com/:x:/r/sites/Gestiondocumental/Administrativa/GD/Financiera/_layouts/15/Doc.aspx?sourcedoc=%7B0974E3E6-B78B-4C29-8F8A-9CF11A235CF4%7D&amp;file=20240530%20UT%20ENTERRITORIO%202027%20(SERVICIO).xlsm&amp;action=default&amp;mobileredirect=true</t>
  </si>
  <si>
    <t>https://growdatasas.sharepoint.com/:x:/r/sites/Gestiondocumental/Administrativa/GD/Financiera/_layouts/15/Doc.aspx?sourcedoc=%7B3ECBF673-32CF-4911-B729-AC56604B4A34%7D&amp;file=25062024%20MODELO%20FINANCIERO%20REFERENCIA%20V7_RUNT.xlsm&amp;action=default&amp;mobileredirect=true</t>
  </si>
  <si>
    <t>https://growdatasas.sharepoint.com/:x:/r/sites/Gestiondocumental/Administrativa/GD/Financiera/_layouts/15/Doc.aspx?sourcedoc=%7B7CA5727E-8CD9-4225-BEF4-3B8118646894%7D&amp;file=20240530%20MODELO%20FINANCIERO%20REFERENCIA%20V7_472.xlsm&amp;action=default&amp;mobileredirect=true</t>
  </si>
  <si>
    <t>https://growdatasas.sharepoint.com/:x:/r/sites/Gestiondocumental/Administrativa/GD/Financiera/_layouts/15/Doc.aspx?sourcedoc=%7B753ECAFE-B168-40EE-B86E-63C339FE122B%7D&amp;file=20240607%20FONDO%20ACCION%20MEJORAS%20APLICATIVO%20ASEC%20V5.xlsm&amp;action=default&amp;mobileredirect=true</t>
  </si>
  <si>
    <t>https://growdatasas.sharepoint.com/:x:/r/sites/Gestiondocumental/Administrativa/GD/Financiera/_layouts/15/Doc.aspx?sourcedoc=%7B9AED4F39-5D53-43D6-BACC-397FDB920633%7D&amp;file=20240613%20RUNT_DATAWAREHOUSE_23024V5%20P.xlsm&amp;action=default&amp;mobileredirect=true</t>
  </si>
  <si>
    <t>https://growdatasas.sharepoint.com/:x:/r/sites/Gestiondocumental/Administrativa/GD/Financiera/_layouts/15/Doc.aspx?sourcedoc=%7BE27BC622-4961-4BA4-8FF2-7949D6CE364A%7D&amp;file=20062024%20SNR%20MIGRACION.xlsm&amp;action=default&amp;mobileredirect=true</t>
  </si>
  <si>
    <t>https://growdatasas.sharepoint.com/:x:/r/sites/Gestiondocumental/Administrativa/GD/Financiera/_layouts/15/Doc.aspx?sourcedoc=%7B8B953C7E-D0F5-422E-BC36-C51DAEC457DB%7D&amp;file=28082024%20MODELO%20FINANCIERO%20V7.1_DEFENSORIA_RENOVACION.xlsm&amp;action=default&amp;mobileredirect=true</t>
  </si>
  <si>
    <t>https://growdatasas.sharepoint.com/:x:/r/sites/Gestiondocumental/Administrativa/GD/Financiera/_layouts/15/Doc.aspx?sourcedoc=%7BF2E3591A-55F1-4A8D-BD90-47A8970F2219%7D&amp;file=2082024%20%20ANT%20CALL%20CENTER%20UNIDADES%20MOVILES%20Y%20DESARROLLO%20V1.xlsm&amp;action=default&amp;mobileredirect=true</t>
  </si>
  <si>
    <t>https://growdatasas.sharepoint.com/:x:/r/sites/Gestiondocumental/Administrativa/GD/Financiera/_layouts/15/Doc.aspx?sourcedoc=%7B0288FE6C-6AAB-43FF-AEC6-9D8F73023920%7D&amp;file=29082024%20TELEFONICA_CORMAGDALENA%20V2.xlsm&amp;action=default&amp;mobileredirect=true</t>
  </si>
  <si>
    <t>https://growdatasas.sharepoint.com/:x:/r/sites/Gestiondocumental/Administrativa/GD/Financiera/_layouts/15/Doc.aspx?sourcedoc=%7B825EA9F7-C4AC-4367-8925-5CE1786AE91A%7D&amp;file=20241118%20MODELO%20FINANCIERO%20REFERENCIA%20V7.1_%20PERPETUIDAD_TOTAL.xlsm&amp;action=default&amp;mobileredirect=true</t>
  </si>
  <si>
    <t>https://growdatasas.sharepoint.com/:x:/r/sites/Gestiondocumental/Administrativa/GD/Financiera/_layouts/15/Doc.aspx?sourcedoc=%7BFBEECA15-7AD7-44CB-BB15-659366F92F74%7D&amp;file=20241115%20MODELO%20FINANCIERO%20REFERENCIA%20V7.1_RUNT_MIGRACION.xlsm&amp;action=default&amp;mobileredirect=true</t>
  </si>
  <si>
    <t>https://growdatasas.sharepoint.com/:x:/r/sites/Gestiondocumental/Administrativa/GD/Financiera/_layouts/15/Doc.aspx?sourcedoc=%7B8532EC43-3D9D-499E-986C-E4DDBEFDC382%7D&amp;file=20250122%20ELECTROHUILA_Modelo%20de%20negocio%20-%20(versi%C3%B3n%20real)_v20250122.xlsm&amp;action=default&amp;mobileredirect=true</t>
  </si>
  <si>
    <t>https://growdatasas.sharepoint.com/:x:/r/sites/Gestiondocumental/Administrativa/GD/Financiera/_layouts/15/Doc.aspx?sourcedoc=%7BE250AEF5-F247-458E-91D3-6BE23701DF39%7D&amp;file=RUNT%20CONTENEDORES%20ESTRATEGICOS%20V5.xlsm&amp;action=default&amp;mobileredirect=true</t>
  </si>
  <si>
    <t>https://growdatasas.sharepoint.com/:x:/r/sites/Gestiondocumental/Administrativa/GD/Financiera/_layouts/15/Doc.aspx?sourcedoc=%7B7847B3E7-120E-4453-ABEB-FCCD451C6101%7D&amp;file=MODELO%20FINANCIERO%20REFERENCIA%20V7.2_Aprobado_Mintransporte_23092024%20V1.xlsm&amp;action=default&amp;mobileredirect=true</t>
  </si>
  <si>
    <t>https://growdatasas.sharepoint.com/:x:/r/sites/Gestiondocumental/Administrativa/GD/Financiera/_layouts/15/Doc.aspx?sourcedoc=%7BC1202124-0C11-4B86-BB8D-77A938B88AD7%7D&amp;file=09092024%20MODELO%20FINANCIERO%20REFERENCIA%20V7.1_1ANIO_ADRES.xlsm&amp;action=default&amp;mobileredirect=true</t>
  </si>
  <si>
    <t>https://growdatasas.sharepoint.com/:x:/r/sites/Gestiondocumental/Administrativa/GD/Financiera/_layouts/15/Doc.aspx?sourcedoc=%7B74DBEC6A-69C6-4C69-8B83-8B465ADA35AB%7D&amp;file=Modelo%20Cortolima%20%20V2.xlsm&amp;action=default&amp;mobileredirect=true</t>
  </si>
  <si>
    <t>https://growdatasas.sharepoint.com/:x:/r/sites/Gestiondocumental/Administrativa/GD/Financiera/_layouts/15/Doc.aspx?sourcedoc=%7B31D60157-8CD5-4C3C-8CC4-ED72E8A94FED%7D&amp;file=ANT_20241101.xlsm&amp;action=default&amp;mobileredirect=true</t>
  </si>
  <si>
    <t>https://growdatasas.sharepoint.com/:x:/r/sites/Gestiondocumental/Administrativa/GD/Financiera/_layouts/15/Doc.aspx?sourcedoc=%7BBEB26481-98E1-4A71-BC98-FA27225C2807%7D&amp;file=TELEFONICA%20ELECCIONES%20MODELO%20FINANCIERO%20V7.2%20MESA%20DE%20SERVICIO%2017102024.xlsm&amp;action=default&amp;mobileredirect=true</t>
  </si>
  <si>
    <t>https://growdatasas.sharepoint.com/:x:/r/sites/Gestiondocumental/Administrativa/GD/Financiera/_layouts/15/Doc.aspx?sourcedoc=%7B2C873097-3FE4-4C6E-BF7F-92677DD9D26A%7D&amp;file=Copia%20de%2020251301%20MODELO%20FINANCIERO%20REFERENCIA%20V7.4_FNA%2020251114_NOV_18%20AD%201.xlsm&amp;action=default&amp;mobileredirect=true</t>
  </si>
  <si>
    <t>https://growdatasas.sharepoint.com/:x:/r/sites/Gestiondocumental/Administrativa/GD/Financiera/_layouts/15/Doc.aspx?sourcedoc=%7BD278ABBE-F1D6-4C56-888E-6E01CED7BFDD%7D&amp;file=SNR%20MIGRACION%203%20CIUDADES%20V6%20FINAL.xlsm&amp;action=default&amp;mobileredirect=true</t>
  </si>
  <si>
    <t>Revisar</t>
  </si>
  <si>
    <t>https://growdatasas.sharepoint.com/:x:/r/sites/Gestiondocumental/Administrativa/GD/Financiera/_layouts/15/Doc.aspx?sourcedoc=%7B64199AB1-933D-448B-A513-EAC54C1C777D%7D&amp;file=20241101%20MODELO%20FINANCIERO%20TRANSITO_PASTO_Fortigate_120G.xlsm&amp;action=default&amp;mobileredirect=true</t>
  </si>
  <si>
    <t>https://growdatasas.sharepoint.com/:x:/r/sites/Gestiondocumental/Administrativa/GD/Financiera/_layouts/15/Doc.aspx?sourcedoc=%7BB7BAA080-4266-4F0B-BA53-BBE294612E30%7D&amp;file=MODELO%20FINANCIERO%20REFERENCIA%20V7_IDU_2024.xlsm&amp;action=default&amp;mobileredirect=true</t>
  </si>
  <si>
    <t>https://growdatasas.sharepoint.com/:x:/r/sites/Gestiondocumental/Administrativa/GD/Financiera/_layouts/15/Doc.aspx?sourcedoc=%7B0E336D45-736A-482E-8FD2-86305F4DA8CF%7D&amp;file=DNP%20MODELO%20FINANCIERO%20REFERENCIA%20V7%2024122024.xlsm&amp;action=default&amp;mobileredirect=true</t>
  </si>
  <si>
    <t>https://growdatasas.sharepoint.com/:x:/r/sites/Gestiondocumental/Administrativa/GD/Financiera/_layouts/15/Doc.aspx?sourcedoc=%7B63ACCEFA-DDF2-4B3A-ACF3-AA1C9CA2E579%7D&amp;file=MODELO%20FINANCIERO%20PHARMBILLS%202025012281.xlsm&amp;action=default&amp;mobileredirect=true</t>
  </si>
  <si>
    <t>https://growdatasas.sharepoint.com/:x:/r/sites/Gestiondocumental/Administrativa/GD/Financiera/_layouts/15/Doc.aspx?sourcedoc=%7BB5DB12A1-D487-46F7-885A-EC149C252194%7D&amp;file=MODELO%20FINANCIERO%20-%20URT%20-%2020250124_v2.xlsm&amp;action=default&amp;mobileredirect=true</t>
  </si>
  <si>
    <t>https://growdatasas.sharepoint.com/:x:/r/sites/Gestiondocumental/Administrativa/GD/Financiera/_layouts/15/Doc.aspx?sourcedoc=%7B1EA3B8D8-B0B8-48BF-BDD1-3151961F579B%7D&amp;file=MODELO%20FINANCIERO%20PLANILLA%20VIAJES%2018.11.25%20V7.xlsm&amp;action=default&amp;mobileredirect=true</t>
  </si>
  <si>
    <t>https://growdatasas.sharepoint.com/:x:/r/sites/Gestiondocumental/Administrativa/GD/Financiera/_layouts/15/Doc.aspx?sourcedoc=%7BCE42BF27-1737-44F1-916A-DC83C8242696%7D&amp;file=20260122%20MODELO%20FINANCIERO%20REFERENCIA%20V7.6%20(adici%C3%B3n%202).xlsm&amp;action=default&amp;mobileredirect=true</t>
  </si>
  <si>
    <t>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t>
  </si>
  <si>
    <t>https://growdatasas.sharepoint.com/:x:/r/sites/Gestiondocumental/Administrativa/GD/Financiera/_layouts/15/Doc.aspx?sourcedoc=%7B992F7B45-9CC9-43D2-9E9D-0F8A68C8C555%7D&amp;file=22052025%20MODELO%20FINANCIERO%20REFERENCIA%20V7.4_ANSV_V1.0.xlsm&amp;action=default&amp;mobileredirect=true</t>
  </si>
  <si>
    <t>https://growdatasas.sharepoint.com/:x:/r/sites/Gestiondocumental/Administrativa/GD/Financiera/_layouts/15/Doc.aspx?sourcedoc=%7B9C76270D-595C-496E-97BB-8004054AF14A%7D&amp;file=20251301%20MODELO%20FINANCIERO%20REFERENCIA%20V7.4_ADRES_2A%C3%91OS_VF.xlsm&amp;action=default&amp;mobileredirect=true</t>
  </si>
  <si>
    <t>https://growdatasas.sharepoint.com/:x:/r/sites/Gestiondocumental/Administrativa/GD/Financiera/_layouts/15/Doc.aspx?sourcedoc=%7BCBD85F36-19B3-4585-A509-7CFC7A30BABA%7D&amp;file=MODELO%20FINANCIERO%20CNE%202025_8%20(Fase%205%20aprobado).xlsm&amp;action=default&amp;mobileredirect=true</t>
  </si>
  <si>
    <t>https://growdatasas.sharepoint.com/:x:/r/sites/Gestiondocumental/Administrativa/GD/Financiera/_layouts/15/Doc.aspx?sourcedoc=%7B43DBCCF8-194C-47D3-A7AD-28487A0065F6%7D&amp;file=MODELO%20FINANCIERO%20SNR%20MIGRACIONES%202025%2022.08.25%20v3.xlsm&amp;action=default&amp;mobileredirect=true</t>
  </si>
  <si>
    <t>https://growdatasas.sharepoint.com/:x:/r/sites/Gestiondocumental/Administrativa/GD/Financiera/_layouts/15/Doc.aspx?sourcedoc=%7B538AADB9-4832-4502-992B-5493EC06C9DB%7D&amp;file=250905%20ERA%20MODELO%20FINANCIERO%20REFERENCIA%20V7.5.xlsm&amp;action=default&amp;mobileredirect=true</t>
  </si>
  <si>
    <t>https://growdatasas.sharepoint.com/:x:/r/sites/Gestiondocumental/Administrativa/GD/Financiera/_layouts/15/Doc.aspx?sourcedoc=%7B41841B21-2BE8-4447-91BA-4CA8390FA143%7D&amp;file=MODELO%20FINANCIERO%20ELECCIONES%202025%20INTEGRADO%20V3%20DEF.xlsm&amp;action=default&amp;mobileredirect=true</t>
  </si>
  <si>
    <t>https://growdatasas.sharepoint.com/:x:/r/sites/Gestiondocumental/Administrativa/GD/Financiera/_layouts/15/Doc.aspx?sourcedoc=%7B7342DE4F-42D6-43D5-B227-6B91A3A42F97%7D&amp;file=MODELO%20FINANCIERO%20ANT%20DESARROLLO%2BARQ%2BIA%2022.08.25%20V4.xlsm&amp;action=default&amp;mobileredirect=true</t>
  </si>
  <si>
    <t>https://growdatasas.sharepoint.com/:x:/r/sites/Gestiondocumental/Administrativa/GD/Financiera/_layouts/15/Doc.aspx?sourcedoc=%7BBFBC0E56-0D26-4209-BEC0-A1582426050B%7D&amp;file=MODELO%20FINANCIERO%20FCM%20UT%2029.09.25%20V1.xlsm&amp;action=default&amp;mobileredirect=true</t>
  </si>
  <si>
    <t>https://growdatasas.sharepoint.com/:x:/r/sites/Gestiondocumental/Administrativa/GD/Financiera/_layouts/15/Doc.aspx?sourcedoc=%7B5693324A-E570-4B4F-9F46-B89F46926326%7D&amp;file=20251301%20MODELO%20FINANCIERO%20REFERENCIA%20V7.4_INM_2025%20-%20PMO.xlsm&amp;action=default&amp;mobileredirect=true</t>
  </si>
  <si>
    <t>https://growdatasas.sharepoint.com/:x:/r/sites/Gestiondocumental/Administrativa/GD/Financiera/_layouts/15/Doc.aspx?sourcedoc=%7BC3892D65-489F-443F-A599-C986A63B9A18%7D&amp;file=MODELO%20FINANCIERO%20FNA%20ECOSISTEMA%20DE%20DATOS%20V14_modDCU.xlsm&amp;action=default&amp;mobileredirect=true</t>
  </si>
  <si>
    <t>https://growdatasas.sharepoint.com/:x:/r/sites/Gestiondocumental/Administrativa/GD/Financiera/_layouts/15/Doc.aspx?sourcedoc=%7BDADD2B05-21D9-4686-A901-13FB00FDC4B4%7D&amp;file=MODELO%20FINANCIERO%20ALCALDIA%20DE%20BOGOTA%20PORTAL%20TRANSACCIONAL%2002.09.25%20V9.xlsm&amp;action=default&amp;mobileredirect=true</t>
  </si>
  <si>
    <t>https://growdatasas.sharepoint.com/:x:/r/sites/Gestiondocumental/Administrativa/GD/Financiera/_layouts/15/Doc.aspx?sourcedoc=%7B1DB7BB77-F516-4EEA-9E40-1031014F157D%7D&amp;file=MODELO%20FINANCIERO%20CGR%207.10.25%20v3.xlsm&amp;action=default&amp;mobileredirect=true</t>
  </si>
  <si>
    <t>https://growdatasas.sharepoint.com/:x:/r/sites/Gestiondocumental/Administrativa/GD/Financiera/_layouts/15/Doc.aspx?sourcedoc=%7BBD7E6B05-C8DF-4CE6-95B4-3ED6B2F351D2%7D&amp;file=MODELO%20FINANCIERO%20SUMINISTRO%20HCI%20CANCILLER%C3%8DA%20-%20GROW%20DATA%20-%20Consolidado.xlsm&amp;action=default&amp;mobileredirect=true</t>
  </si>
  <si>
    <t>https://growdatasas.sharepoint.com/:x:/r/sites/Gestiondocumental/Administrativa/GD/Financiera/_layouts/15/Doc.aspx?sourcedoc=%7B68938D93-F552-460C-83CE-BF34E8A8C037%7D&amp;file=20250407%20MODELO%20FINANCIERO%20REFERENCIA%20V7.4%2060%20Meses%20-%20Opcion%202.xlsm&amp;action=default&amp;mobileredirect=true</t>
  </si>
  <si>
    <t>https://growdatasas.sharepoint.com/:x:/r/sites/Gestiondocumental/Administrativa/GD/Financiera/_layouts/15/Doc.aspx?sourcedoc=%7BB9F619F2-CED9-492C-9912-ECF7B94ECFDC%7D&amp;file=MODELO%20FINANCIERO%20HCI%20Ministerio%20del%20Interior%20-%20UT%20GD%20HC%2026-09-2025.xlsm&amp;action=default&amp;mobileredirect=true</t>
  </si>
  <si>
    <t>Falta Adición</t>
  </si>
  <si>
    <t>https://growdatasas.sharepoint.com/:x:/r/sites/Gestiondocumental/Administrativa/GD/Financiera/_layouts/15/Doc.aspx?sourcedoc=%7B1DBFC819-A96C-4AF2-9C53-2D70E3ED9365%7D&amp;file=Modelo%20de%20negocio%20-%20Uniempresarial%20-%2020241127.xlsm&amp;action=default&amp;mobileredirect=true</t>
  </si>
  <si>
    <t>https://growdatasas.sharepoint.com/:x:/r/sites/Gestiondocumental/Administrativa/GD/Financiera/_layouts/15/Doc.aspx?sourcedoc=%7B0CDB7FA7-62D8-4102-9A59-9817018FB4BB%7D&amp;file=05112025%20MODELO%20FINANCIERO%20REFERENCIA_AEROCIVIL%20V7.4%20ajustada230.xlsm&amp;action=default&amp;mobileredirect=true</t>
  </si>
  <si>
    <t>https://growdatasas.sharepoint.com/:x:/r/sites/Gestiondocumental/Administrativa/GD/Financiera/_layouts/15/Doc.aspx?sourcedoc=%7B65B8247F-DA01-4A6A-8421-57629CEF7367%7D&amp;file=MODELO%20FINANCIERO%20ANH%20FISCALIZACION%2023.09.25%20V1.xlsm&amp;action=default&amp;mobileredirect=true</t>
  </si>
  <si>
    <t>https://growdatasas.sharepoint.com/:x:/r/sites/Gestiondocumental/Administrativa/GD/Financiera/_layouts/15/Doc.aspx?sourcedoc=%7BDC14EEB5-8BB0-4127-9C10-E6FA8B23CAA0%7D&amp;file=OK-%2020251301%20MODELO%20FINANCIERO%20FISCALIA%20FABRICA%20DE%20SW%2011.09.25%20V1.xlsm&amp;action=default&amp;mobileredirect=true</t>
  </si>
  <si>
    <t>http://growdatasas.sharepoint.com/:x:/r/sites/Gestiondocumental/Administrativa/GD/Financiera/_layouts/15/Doc.aspx?sourcedoc=%7B01BE6969-C81D-4E83-B0DC-5E1ADEBADCFC%7D&amp;file=20251301%20MODELO%20FINANCIERO%20FISCALIA%20GOBIERNO%20DE%20DATOS%2017.12.25%20V5.xlsm&amp;action=default&amp;mobileredirect=true</t>
  </si>
  <si>
    <t>https://growdatasas.sharepoint.com/:x:/r/sites/Gestiondocumental/Administrativa/GD/Financiera/_layouts/15/Doc.aspx?sourcedoc=%7B0EF085EC-8E84-47C2-BAD9-3C84DC86B615%7D&amp;file=20251301%20MODELO%20FINANCIERO%20REFERENCIA%20V7.4%20CCE_DIAN_20251031.xlsm&amp;action=default&amp;mobileredirect=true</t>
  </si>
  <si>
    <t>https://growdatasas.sharepoint.com/:x:/r/sites/Gestiondocumental/Administrativa/GD/Financiera/_layouts/15/Doc.aspx?sourcedoc=%7BBF6E8538-B113-45FF-83F6-596104EC0C59%7D&amp;file=3.0.0.%20%20MODELO%20UNAD%20V3.0.%20(ajustado).xlsm&amp;action=default&amp;mobileredirect=true</t>
  </si>
  <si>
    <t>https://growdatasas.sharepoint.com/:x:/r/sites/Gestiondocumental/Administrativa/GD/Financiera/_layouts/15/Doc.aspx?sourcedoc=%7BAAF63AB6-0AC1-49FD-8C96-9D5F6CE441A2%7D&amp;file=10112025%20MODELO%20FINANCIERO%20SUMINISTRO%20INFRESTRUCTURA%20LAN%20CANCILLERIA.xlsm&amp;action=default&amp;mobileredirect=true</t>
  </si>
  <si>
    <t>https://growdatasas.sharepoint.com/:x:/r/sites/Gestiondocumental/Administrativa/GD/Financiera/_layouts/15/Doc.aspx?sourcedoc=%7BD3D1C463-BD96-490E-8523-005453EFE334%7D&amp;file=20251301%20MODELO%20FINANCIERO%20REFERENCIA%20V7.4_CONTINUAR_SAAS_RAMA.xlsm&amp;action=default&amp;mobileredirect=true</t>
  </si>
  <si>
    <t>https://growdatasas.sharepoint.com/:x:/r/sites/Gestiondocumental/Administrativa/GD/Financiera/_layouts/15/Doc.aspx?sourcedoc=%7B380FDC26-2DE8-4445-A788-2A385F4CCDE1%7D&amp;file=MODELO%20FINANCIERO%20MIN%20INTERIOR%20CIBERSEGURIDAD%20v9%20-%20sin%20IVA%20WAF%20con%20Provisiones.xlsm&amp;action=default&amp;mobileredirect=true</t>
  </si>
  <si>
    <t>https://growdatasas.sharepoint.com/:x:/r/sites/Gestiondocumental/Administrativa/GD/Financiera/_layouts/15/Doc.aspx?sourcedoc=%7B5D4A893D-AEF1-4B8E-9B0A-8D07579BCA41%7D&amp;file=MODELO%20FINANCIERO%20-%20CNE%20-%20SOLUCI%C3%93N%20TECNOLOGICA%20(TI%20%2B%20DATOS)%2026012026.xlsm&amp;action=default&amp;mobileredirect=true</t>
  </si>
  <si>
    <t>https://growdatasas.sharepoint.com/:x:/r/sites/Gestiondocumental/Administrativa/GD/Financiera/_layouts/15/Doc.aspx?sourcedoc=%7B43DC271C-826E-42A6-8DDC-4B4FA4BB2E01%7D&amp;file=MODELO%20FINANCIERO%20-%20RUNT%20IMPLEMENTACI%C3%93N%20CALE%2024112025%20V5.xlsm&amp;action=default&amp;mobileredirect=true</t>
  </si>
  <si>
    <t>https://growdatasas.sharepoint.com/:x:/r/sites/Gestiondocumental/Administrativa/GD/Financiera/_layouts/15/Doc.aspx?sourcedoc=%7B2970928D-0288-4D5D-952F-67732B5D2028%7D&amp;file=251216_MODELO_FINANCIERO_SDH_V.2.0__V7.5%20VF.xlsm&amp;action=default&amp;mobileredirect=true</t>
  </si>
  <si>
    <t>https://growdatasas.sharepoint.com/:x:/r/sites/Gestiondocumental/Administrativa/GD/Financiera/_layouts/15/Doc.aspx?sourcedoc=%7B840D2BBF-2534-4DFF-B0DD-C6009F7470CE%7D&amp;file=20251301%20MODELO%20FINANCIERO%20REFERENCIA%20V7.4_583MILL.xlsm&amp;action=default&amp;mobileredirect=true</t>
  </si>
  <si>
    <t>https://growdatasas.sharepoint.com/:x:/r/sites/Gestiondocumental/Administrativa/GD/Financiera/_layouts/15/Doc.aspx?sourcedoc=%7BEA9029CE-8DE9-486F-84A4-ED3C150AEAC4%7D&amp;file=20251301%20MODELO%20FINANCIERO%20REFERENCIA%20V7.5_DNP.xlsm&amp;action=default&amp;mobileredirect=true</t>
  </si>
  <si>
    <t>https://growdatasas.sharepoint.com/:x:/r/sites/Gestiondocumental/Administrativa/GD/Financiera/_layouts/15/Doc.aspx?sourcedoc=%7BD8C5B8CC-D9E3-4D31-8BCE-513A1CE313F5%7D&amp;file=20251301%20MODELO%20FINANCIERO%20FUNCION%20PUBLICA%20V4.xlsm&amp;action=default&amp;mobileredirect=true</t>
  </si>
  <si>
    <t>https://growdatasas.sharepoint.com/:x:/r/sites/Gestiondocumental/Administrativa/GD/Financiera/_layouts/15/Doc.aspx?sourcedoc=%7BEE2DBDF3-CCDC-4051-9840-1FAD6578D68D%7D&amp;file=MODELO%20MINVIVIENDA%20V1.4.%20(aprobado).xlsm&amp;action=default&amp;mobileredirect=true</t>
  </si>
  <si>
    <t>https://growdatasas.sharepoint.com/:x:/r/sites/Gestiondocumental/Administrativa/GD/Financiera/_layouts/15/Doc.aspx?sourcedoc=%7BA2729A87-3B6F-45F5-B35B-1B6F95CA8221%7D&amp;file=MODELO%20FINANCIERO%20FGN%20GrowData.xlsm&amp;action=default&amp;mobileredirect=true</t>
  </si>
  <si>
    <t>https://growdatasas.sharepoint.com/:x:/r/sites/Gestiondocumental/Administrativa/GD/Financiera/_layouts/15/Doc.aspx?sourcedoc=%7B16E4E98F-3E73-4CD2-9FF8-7A90CA7DF968%7D&amp;file=MODELO%20FINANCIERO%20PUERTO%20DE%20SANTA%20MARTA%2018%20meses%2019.01.26%20V10.xlsm&amp;action=default&amp;mobileredirect=true</t>
  </si>
  <si>
    <t>https://growdatasas.sharepoint.com/:x:/r/sites/Gestiondocumental/Administrativa/GD/Financiera/_layouts/15/Doc.aspx?sourcedoc=%7B69FFBD03-5B13-48F9-8F84-54729A673BE7%7D&amp;file=MODELO%20FINANCIERO%20PREVISORA.xlsm&amp;action=default&amp;mobileredirect=true</t>
  </si>
  <si>
    <t>https://growdatasas.sharepoint.com/:x:/r/sites/Gestiondocumental/Administrativa/GD/Financiera/_layouts/15/Doc.aspx?sourcedoc=%7B7E88B81F-AC6E-4A4D-BFDA-5A4921E803E6%7D&amp;file=20261601%20MODELO%20FINANCIERO%20REFERENCIA%20V7.6%20INTERNEXA%20SUPERSERVICIOS%202026.xlsm&amp;action=default&amp;mobileredirect=true</t>
  </si>
  <si>
    <t>https://growdatasas.sharepoint.com/:x:/r/sites/Gestiondocumental/Administrativa/GD/Financiera/_layouts/15/Doc.aspx?sourcedoc=%7B9943DCC3-2507-4DCD-B6B6-BEC53480E8BA%7D&amp;file=MODELO%20FINANCIERO%20CNE%20LICENCIAMIENTO.xlsm&amp;action=default&amp;mobileredirect=true</t>
  </si>
  <si>
    <t>f01c6c32-3916-f111-a8cc-00155d10c429</t>
  </si>
  <si>
    <t>Runt instalacion c4</t>
  </si>
  <si>
    <t>Smart bi coljuegos</t>
  </si>
  <si>
    <t>Dpc cableado</t>
  </si>
  <si>
    <t>UTPGD</t>
  </si>
  <si>
    <t>Grow SVE</t>
  </si>
  <si>
    <t>Infotic Men</t>
  </si>
  <si>
    <t xml:space="preserve">Avante recaudo pasto </t>
  </si>
  <si>
    <t>UT DNP ADICIÓN 1 Y 2</t>
  </si>
  <si>
    <t>UT INFODATA</t>
  </si>
  <si>
    <t>UT SUPERSALUD</t>
  </si>
  <si>
    <t>Minciencias Barracuda</t>
  </si>
  <si>
    <t>Añoinicio</t>
  </si>
  <si>
    <t>AñoFin</t>
  </si>
  <si>
    <t>Mes Inicio</t>
  </si>
  <si>
    <t>Mes Fin</t>
  </si>
  <si>
    <t xml:space="preserve">Estado </t>
  </si>
  <si>
    <t>ok</t>
  </si>
  <si>
    <t>Pendiente</t>
  </si>
  <si>
    <t>Extens</t>
  </si>
  <si>
    <t xml:space="preserve">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</si>
</sst>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 #,##0;[Red]\-&quot;$&quot;\ #,##0"/>
    <numFmt numFmtId="165" formatCode="&quot;$&quot;\ #,##0.00;[Red]\-&quot;$&quot;\ #,##0.00"/>
    <numFmt numFmtId="166" formatCode="_-&quot;$&quot;\ * #,##0.00_-;\-&quot;$&quot;\ * #,##0.00_-;_-&quot;$&quot;\ * &quot;-&quot;??_-;_-@_-"/>
    <numFmt numFmtId="167" formatCode="_-&quot;$&quot;\ * #,##0_-;\-&quot;$&quot;\ * #,##0_-;_-&quot;$&quot;\ * &quot;-&quot;??_-;_-@_-"/>
    <numFmt numFmtId="168" formatCode="0.0"/>
    <numFmt numFmtId="169" formatCode="0.0%"/>
    <numFmt numFmtId="170" formatCode="&quot;$&quot;\ #,##0.000;[Red]\-&quot;$&quot;\ #,##0.000"/>
    <numFmt numFmtId="171" formatCode="_-&quot;$&quot;\ * #,##0.0000_-;\-&quot;$&quot;\ * #,##0.0000_-;_-&quot;$&quot;\ * &quot;-&quot;??_-;_-@_-"/>
  </numFmts>
  <fonts count="18">
    <font>
      <sz val="11"/>
      <color theme="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sz val="9"/>
      <color indexed="81"/>
      <name val="Tahoma"/>
      <family val="2"/>
    </font>
    <font>
      <b/>
      <sz val="11"/>
      <color theme="0"/>
      <name val="Century Gothic"/>
      <family val="2"/>
    </font>
    <font>
      <sz val="11"/>
      <color theme="0"/>
      <name val="Century Gothic"/>
      <family val="2"/>
    </font>
    <font>
      <b/>
      <sz val="9"/>
      <color indexed="81"/>
      <name val="Tahoma"/>
      <family val="2"/>
    </font>
    <font>
      <sz val="11"/>
      <color theme="1"/>
      <name val="Century Gothic"/>
      <family val="2"/>
    </font>
    <font>
      <b/>
      <sz val="11"/>
      <color rgb="FFFF0000"/>
      <name val="Century Gothic"/>
      <family val="2"/>
    </font>
    <font>
      <sz val="11"/>
      <color rgb="FFFF0000"/>
      <name val="Century Gothic"/>
      <family val="2"/>
    </font>
    <font>
      <u/>
      <sz val="11"/>
      <color rgb="FF323130"/>
      <name val="Calibri"/>
      <family val="2"/>
      <scheme val="minor"/>
    </font>
    <font>
      <sz val="9"/>
      <color rgb="FF706E6C"/>
      <name val="Segoe UI"/>
      <family val="2"/>
    </font>
    <font>
      <sz val="11"/>
      <color rgb="FF323130"/>
      <name val="Segoe UI"/>
      <family val="2"/>
    </font>
    <font>
      <sz val="8"/>
      <name val="Calibri"/>
      <family val="2"/>
      <scheme val="minor"/>
    </font>
    <font>
      <b/>
      <sz val="11"/>
      <color theme="1"/>
      <name val="Calibri"/>
      <family val="2"/>
      <scheme val="minor"/>
    </font>
    <font>
      <b/>
      <sz val="13.5"/>
      <color theme="1"/>
      <name val="Calibri"/>
      <family val="2"/>
      <scheme val="minor"/>
    </font>
    <font>
      <sz val="11"/>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3" tint="-0.249977111117893"/>
        <bgColor theme="4"/>
      </patternFill>
    </fill>
    <fill>
      <patternFill patternType="solid">
        <fgColor theme="3" tint="-0.249977111117893"/>
        <bgColor indexed="64"/>
      </patternFill>
    </fill>
    <fill>
      <patternFill patternType="solid">
        <fgColor rgb="FF002060"/>
        <bgColor rgb="FF000000"/>
      </patternFill>
    </fill>
    <fill>
      <patternFill patternType="solid">
        <fgColor rgb="FF002060"/>
        <bgColor theme="4"/>
      </patternFill>
    </fill>
    <fill>
      <patternFill patternType="solid">
        <fgColor theme="5" tint="-0.249977111117893"/>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4">
    <xf numFmtId="0" fontId="0" fillId="0" borderId="0"/>
    <xf numFmtId="166"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125">
    <xf numFmtId="0" fontId="0" fillId="0" borderId="0" xfId="0"/>
    <xf numFmtId="0" fontId="0" fillId="0" borderId="0" xfId="0" applyAlignment="1">
      <alignment horizontal="center"/>
    </xf>
    <xf numFmtId="0" fontId="0" fillId="0" borderId="1" xfId="0" applyBorder="1" applyAlignment="1">
      <alignment horizontal="center"/>
    </xf>
    <xf numFmtId="0" fontId="0" fillId="3" borderId="1" xfId="0" applyFill="1" applyBorder="1" applyAlignment="1">
      <alignment horizontal="center"/>
    </xf>
    <xf numFmtId="22" fontId="0" fillId="3" borderId="1" xfId="0" applyNumberFormat="1" applyFill="1" applyBorder="1" applyAlignment="1">
      <alignment horizontal="center"/>
    </xf>
    <xf numFmtId="0" fontId="0" fillId="2" borderId="1" xfId="0" applyFill="1" applyBorder="1" applyAlignment="1">
      <alignment horizontal="center"/>
    </xf>
    <xf numFmtId="22" fontId="0" fillId="0" borderId="1" xfId="0" applyNumberFormat="1" applyBorder="1" applyAlignment="1">
      <alignment horizontal="center"/>
    </xf>
    <xf numFmtId="0" fontId="3" fillId="0" borderId="1" xfId="3" applyNumberFormat="1" applyBorder="1" applyAlignment="1">
      <alignment horizontal="center"/>
    </xf>
    <xf numFmtId="0" fontId="3" fillId="3" borderId="1" xfId="3" applyNumberFormat="1" applyFill="1" applyBorder="1" applyAlignment="1">
      <alignment horizontal="center"/>
    </xf>
    <xf numFmtId="0" fontId="0" fillId="4" borderId="1" xfId="0" applyFill="1" applyBorder="1" applyAlignment="1">
      <alignment horizontal="center"/>
    </xf>
    <xf numFmtId="22" fontId="0" fillId="4" borderId="1" xfId="0" applyNumberFormat="1" applyFill="1" applyBorder="1" applyAlignment="1">
      <alignment horizontal="center"/>
    </xf>
    <xf numFmtId="0" fontId="8" fillId="0" borderId="1" xfId="0" applyFont="1" applyBorder="1" applyAlignment="1">
      <alignment horizontal="center"/>
    </xf>
    <xf numFmtId="166" fontId="8" fillId="0" borderId="1" xfId="1" applyFont="1" applyFill="1" applyBorder="1" applyAlignment="1">
      <alignment horizontal="center"/>
    </xf>
    <xf numFmtId="9" fontId="8" fillId="0" borderId="1" xfId="2" applyFont="1" applyFill="1" applyBorder="1" applyAlignment="1">
      <alignment horizontal="center"/>
    </xf>
    <xf numFmtId="164" fontId="8" fillId="0" borderId="1" xfId="0" applyNumberFormat="1" applyFont="1" applyBorder="1" applyAlignment="1">
      <alignment horizontal="center"/>
    </xf>
    <xf numFmtId="2" fontId="8" fillId="0" borderId="1" xfId="0" applyNumberFormat="1" applyFont="1" applyBorder="1" applyAlignment="1">
      <alignment horizontal="center"/>
    </xf>
    <xf numFmtId="14" fontId="8" fillId="2" borderId="1" xfId="1" applyNumberFormat="1" applyFont="1" applyFill="1" applyBorder="1" applyAlignment="1">
      <alignment horizontal="center"/>
    </xf>
    <xf numFmtId="166" fontId="8" fillId="2" borderId="1" xfId="1" applyFont="1" applyFill="1" applyBorder="1" applyAlignment="1">
      <alignment horizontal="center"/>
    </xf>
    <xf numFmtId="0" fontId="8" fillId="2" borderId="1" xfId="0" applyFont="1" applyFill="1" applyBorder="1" applyAlignment="1">
      <alignment horizontal="center"/>
    </xf>
    <xf numFmtId="165" fontId="9" fillId="2" borderId="1" xfId="0" applyNumberFormat="1" applyFont="1" applyFill="1" applyBorder="1" applyAlignment="1" applyProtection="1">
      <alignment horizontal="center" vertical="center" wrapText="1"/>
      <protection hidden="1"/>
    </xf>
    <xf numFmtId="0" fontId="2" fillId="5" borderId="1" xfId="0" applyFont="1" applyFill="1" applyBorder="1" applyAlignment="1">
      <alignment horizontal="center"/>
    </xf>
    <xf numFmtId="0" fontId="2" fillId="6" borderId="1" xfId="0" applyFont="1" applyFill="1" applyBorder="1" applyAlignment="1">
      <alignment horizontal="center"/>
    </xf>
    <xf numFmtId="0" fontId="5" fillId="6" borderId="1" xfId="0" applyFont="1" applyFill="1" applyBorder="1" applyAlignment="1">
      <alignment horizontal="center" vertical="center" wrapText="1"/>
    </xf>
    <xf numFmtId="166" fontId="5" fillId="6" borderId="1" xfId="1" applyFont="1" applyFill="1" applyBorder="1" applyAlignment="1">
      <alignment horizontal="center" vertical="center" wrapText="1"/>
    </xf>
    <xf numFmtId="9" fontId="5" fillId="6" borderId="1" xfId="2" applyFont="1" applyFill="1" applyBorder="1" applyAlignment="1">
      <alignment horizontal="center" vertical="center" wrapText="1"/>
    </xf>
    <xf numFmtId="0" fontId="5" fillId="6" borderId="1" xfId="0" applyFont="1" applyFill="1" applyBorder="1" applyAlignment="1">
      <alignment horizontal="center" vertical="center"/>
    </xf>
    <xf numFmtId="49"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center" vertical="center" wrapText="1"/>
    </xf>
    <xf numFmtId="0" fontId="6" fillId="6" borderId="1" xfId="0" applyFont="1" applyFill="1" applyBorder="1" applyAlignment="1">
      <alignment horizontal="center"/>
    </xf>
    <xf numFmtId="9" fontId="8" fillId="2" borderId="1" xfId="2" applyFont="1" applyFill="1" applyBorder="1" applyAlignment="1">
      <alignment horizontal="center"/>
    </xf>
    <xf numFmtId="166" fontId="0" fillId="2" borderId="1" xfId="1" applyFont="1" applyFill="1" applyBorder="1" applyAlignment="1">
      <alignment horizontal="center"/>
    </xf>
    <xf numFmtId="164" fontId="0" fillId="0" borderId="0" xfId="0" applyNumberFormat="1"/>
    <xf numFmtId="166" fontId="0" fillId="0" borderId="1" xfId="1" applyFont="1" applyBorder="1" applyAlignment="1">
      <alignment horizontal="center"/>
    </xf>
    <xf numFmtId="0" fontId="0" fillId="3" borderId="1" xfId="0" applyFill="1" applyBorder="1" applyAlignment="1">
      <alignment horizontal="center" vertical="center"/>
    </xf>
    <xf numFmtId="22" fontId="0" fillId="3" borderId="1" xfId="0" applyNumberFormat="1" applyFill="1"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xf>
    <xf numFmtId="22" fontId="0" fillId="0" borderId="1" xfId="0" applyNumberFormat="1" applyBorder="1" applyAlignment="1">
      <alignment horizontal="center" vertical="center"/>
    </xf>
    <xf numFmtId="0" fontId="0" fillId="4" borderId="1" xfId="0" applyFill="1" applyBorder="1" applyAlignment="1">
      <alignment horizontal="center" vertical="center"/>
    </xf>
    <xf numFmtId="22" fontId="0" fillId="4" borderId="1" xfId="0" applyNumberFormat="1" applyFill="1" applyBorder="1" applyAlignment="1">
      <alignment horizontal="center" vertical="center"/>
    </xf>
    <xf numFmtId="0" fontId="0" fillId="0" borderId="0" xfId="0" applyAlignment="1">
      <alignment horizontal="center" vertical="center"/>
    </xf>
    <xf numFmtId="167" fontId="0" fillId="0" borderId="1" xfId="1" applyNumberFormat="1" applyFont="1" applyBorder="1" applyAlignment="1">
      <alignment horizontal="center" vertical="center"/>
    </xf>
    <xf numFmtId="167" fontId="0" fillId="0" borderId="1" xfId="0" applyNumberFormat="1" applyBorder="1" applyAlignment="1">
      <alignment horizontal="center"/>
    </xf>
    <xf numFmtId="0" fontId="11" fillId="0" borderId="0" xfId="0" applyFont="1" applyAlignment="1">
      <alignment vertical="center" wrapText="1"/>
    </xf>
    <xf numFmtId="0" fontId="13" fillId="0" borderId="0" xfId="0" applyFont="1" applyAlignment="1">
      <alignment vertical="center" wrapText="1"/>
    </xf>
    <xf numFmtId="14" fontId="12" fillId="0" borderId="0" xfId="0" applyNumberFormat="1" applyFont="1" applyAlignment="1">
      <alignment vertical="center"/>
    </xf>
    <xf numFmtId="0" fontId="12" fillId="0" borderId="0" xfId="0" applyFont="1" applyAlignment="1">
      <alignment vertical="top" wrapText="1"/>
    </xf>
    <xf numFmtId="0" fontId="0" fillId="0" borderId="0" xfId="0" applyAlignment="1">
      <alignment wrapText="1"/>
    </xf>
    <xf numFmtId="167" fontId="0" fillId="0" borderId="0" xfId="0" applyNumberFormat="1" applyAlignment="1">
      <alignment horizontal="center"/>
    </xf>
    <xf numFmtId="166" fontId="0" fillId="0" borderId="1" xfId="1" applyFont="1" applyFill="1" applyBorder="1" applyAlignment="1">
      <alignment horizontal="center"/>
    </xf>
    <xf numFmtId="167" fontId="0" fillId="0" borderId="1" xfId="1" applyNumberFormat="1" applyFont="1" applyFill="1" applyBorder="1" applyAlignment="1">
      <alignment horizontal="center" vertical="center"/>
    </xf>
    <xf numFmtId="0" fontId="2" fillId="8" borderId="1" xfId="0" applyFont="1" applyFill="1" applyBorder="1" applyAlignment="1">
      <alignment horizontal="center" vertical="center"/>
    </xf>
    <xf numFmtId="14" fontId="0" fillId="0" borderId="1" xfId="0" applyNumberFormat="1" applyBorder="1" applyAlignment="1">
      <alignment horizontal="center"/>
    </xf>
    <xf numFmtId="1" fontId="0" fillId="0" borderId="1" xfId="0" applyNumberFormat="1" applyBorder="1" applyAlignment="1">
      <alignment horizontal="center"/>
    </xf>
    <xf numFmtId="0" fontId="0" fillId="9" borderId="1" xfId="0" applyFill="1" applyBorder="1" applyAlignment="1">
      <alignment horizontal="center" vertical="center"/>
    </xf>
    <xf numFmtId="0" fontId="5" fillId="7" borderId="1" xfId="0" applyFont="1" applyFill="1" applyBorder="1" applyAlignment="1">
      <alignment horizontal="center" vertical="center"/>
    </xf>
    <xf numFmtId="167" fontId="3" fillId="0" borderId="1" xfId="3" applyNumberFormat="1" applyBorder="1" applyAlignment="1">
      <alignment horizontal="center"/>
    </xf>
    <xf numFmtId="9" fontId="0" fillId="0" borderId="0" xfId="2" applyFont="1" applyAlignment="1">
      <alignment horizontal="center"/>
    </xf>
    <xf numFmtId="0" fontId="0" fillId="0" borderId="1" xfId="0" pivotButton="1" applyBorder="1" applyAlignment="1">
      <alignment horizontal="center"/>
    </xf>
    <xf numFmtId="0" fontId="0" fillId="0" borderId="1" xfId="0" applyBorder="1" applyAlignment="1">
      <alignment horizontal="center" indent="1"/>
    </xf>
    <xf numFmtId="0" fontId="0" fillId="0" borderId="1" xfId="0" applyBorder="1" applyAlignment="1">
      <alignment horizontal="center" indent="2"/>
    </xf>
    <xf numFmtId="168" fontId="0" fillId="0" borderId="1" xfId="0" applyNumberFormat="1" applyBorder="1" applyAlignment="1">
      <alignment horizontal="center"/>
    </xf>
    <xf numFmtId="0" fontId="16" fillId="0" borderId="0" xfId="0" applyFont="1" applyAlignment="1">
      <alignment vertical="center"/>
    </xf>
    <xf numFmtId="0" fontId="15" fillId="0" borderId="0" xfId="0" applyFont="1"/>
    <xf numFmtId="0" fontId="0" fillId="0" borderId="0" xfId="0" applyAlignment="1">
      <alignment horizontal="left" vertical="center" indent="1"/>
    </xf>
    <xf numFmtId="0" fontId="15" fillId="0" borderId="0" xfId="0" applyFont="1" applyAlignment="1">
      <alignment horizontal="left" vertical="center" indent="1"/>
    </xf>
    <xf numFmtId="0" fontId="5" fillId="0" borderId="1" xfId="0" applyFont="1" applyBorder="1" applyAlignment="1">
      <alignment horizontal="center" vertical="center" wrapText="1"/>
    </xf>
    <xf numFmtId="166" fontId="5" fillId="0" borderId="1" xfId="1" applyFont="1" applyFill="1" applyBorder="1" applyAlignment="1">
      <alignment horizontal="center" vertical="center" wrapText="1"/>
    </xf>
    <xf numFmtId="9" fontId="5" fillId="0" borderId="1" xfId="2" applyFont="1" applyFill="1" applyBorder="1" applyAlignment="1">
      <alignment horizontal="center" vertical="center" wrapText="1"/>
    </xf>
    <xf numFmtId="0" fontId="5" fillId="0" borderId="2" xfId="0" applyFont="1" applyBorder="1" applyAlignment="1">
      <alignment horizontal="center" vertical="center" wrapText="1"/>
    </xf>
    <xf numFmtId="166" fontId="5" fillId="0" borderId="2" xfId="1" applyFont="1" applyFill="1" applyBorder="1" applyAlignment="1">
      <alignment horizontal="center"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0" fillId="0" borderId="3" xfId="0" applyBorder="1" applyAlignment="1">
      <alignment horizontal="center" vertical="center"/>
    </xf>
    <xf numFmtId="166" fontId="0" fillId="0" borderId="1" xfId="1" applyFont="1" applyFill="1" applyBorder="1" applyAlignment="1">
      <alignment horizontal="center" vertical="center"/>
    </xf>
    <xf numFmtId="14" fontId="0" fillId="0" borderId="1" xfId="1" applyNumberFormat="1" applyFont="1" applyFill="1" applyBorder="1" applyAlignment="1">
      <alignment horizontal="center" vertical="center"/>
    </xf>
    <xf numFmtId="14" fontId="8" fillId="0" borderId="1" xfId="1" applyNumberFormat="1" applyFont="1" applyFill="1" applyBorder="1" applyAlignment="1">
      <alignment horizontal="center" vertical="center"/>
    </xf>
    <xf numFmtId="1" fontId="8" fillId="0" borderId="1" xfId="0" applyNumberFormat="1" applyFont="1" applyBorder="1" applyAlignment="1">
      <alignment horizontal="center" vertical="center"/>
    </xf>
    <xf numFmtId="0" fontId="8" fillId="0" borderId="1" xfId="0" applyFont="1" applyBorder="1" applyAlignment="1">
      <alignment horizontal="center" vertical="center"/>
    </xf>
    <xf numFmtId="1" fontId="8" fillId="0" borderId="1" xfId="2" applyNumberFormat="1" applyFont="1" applyFill="1" applyBorder="1" applyAlignment="1">
      <alignment horizontal="center" vertical="center"/>
    </xf>
    <xf numFmtId="9" fontId="8" fillId="0" borderId="1" xfId="2" applyFont="1" applyFill="1" applyBorder="1" applyAlignment="1">
      <alignment horizontal="center" vertical="center"/>
    </xf>
    <xf numFmtId="9" fontId="10" fillId="0" borderId="1" xfId="2" applyFont="1" applyFill="1" applyBorder="1" applyAlignment="1">
      <alignment horizontal="center" vertical="center"/>
    </xf>
    <xf numFmtId="164" fontId="8" fillId="0" borderId="1" xfId="0" applyNumberFormat="1" applyFont="1" applyBorder="1" applyAlignment="1">
      <alignment horizontal="center" vertical="center"/>
    </xf>
    <xf numFmtId="2" fontId="0" fillId="0" borderId="1" xfId="0" applyNumberFormat="1" applyBorder="1" applyAlignment="1">
      <alignment horizontal="center" vertical="center"/>
    </xf>
    <xf numFmtId="2" fontId="8" fillId="0" borderId="1" xfId="0" applyNumberFormat="1" applyFont="1" applyBorder="1" applyAlignment="1">
      <alignment horizontal="center" vertical="center"/>
    </xf>
    <xf numFmtId="166" fontId="8" fillId="0" borderId="1" xfId="1" applyFont="1" applyFill="1" applyBorder="1" applyAlignment="1">
      <alignment horizontal="center" vertical="center"/>
    </xf>
    <xf numFmtId="9" fontId="0" fillId="0" borderId="1" xfId="2" applyFont="1" applyFill="1" applyBorder="1" applyAlignment="1">
      <alignment horizontal="center" vertical="center"/>
    </xf>
    <xf numFmtId="0" fontId="0" fillId="0" borderId="4" xfId="0" applyBorder="1" applyAlignment="1">
      <alignment horizontal="center" vertical="center"/>
    </xf>
    <xf numFmtId="0" fontId="3" fillId="0" borderId="1" xfId="3" applyNumberFormat="1" applyFill="1" applyBorder="1" applyAlignment="1">
      <alignment horizontal="center" vertical="center"/>
    </xf>
    <xf numFmtId="166" fontId="0" fillId="0" borderId="6" xfId="1" applyFont="1" applyFill="1" applyBorder="1" applyAlignment="1">
      <alignment horizontal="center" vertical="center"/>
    </xf>
    <xf numFmtId="14" fontId="0" fillId="0" borderId="6" xfId="1" applyNumberFormat="1" applyFont="1" applyFill="1" applyBorder="1" applyAlignment="1">
      <alignment horizontal="center" vertical="center"/>
    </xf>
    <xf numFmtId="14" fontId="8" fillId="0" borderId="6" xfId="1" applyNumberFormat="1" applyFont="1" applyFill="1" applyBorder="1" applyAlignment="1">
      <alignment horizontal="center" vertical="center"/>
    </xf>
    <xf numFmtId="9" fontId="0" fillId="0" borderId="6" xfId="2" applyFont="1" applyFill="1" applyBorder="1" applyAlignment="1">
      <alignment horizontal="center" vertical="center"/>
    </xf>
    <xf numFmtId="166" fontId="8" fillId="0" borderId="6" xfId="1" applyFont="1" applyFill="1" applyBorder="1" applyAlignment="1">
      <alignment horizontal="center" vertical="center"/>
    </xf>
    <xf numFmtId="1" fontId="10" fillId="0" borderId="1" xfId="0" applyNumberFormat="1" applyFont="1" applyBorder="1" applyAlignment="1">
      <alignment horizontal="center" vertical="center"/>
    </xf>
    <xf numFmtId="9" fontId="0" fillId="10" borderId="1" xfId="2" applyFont="1" applyFill="1" applyBorder="1" applyAlignment="1">
      <alignment horizontal="center" vertical="center"/>
    </xf>
    <xf numFmtId="9" fontId="0" fillId="0" borderId="0" xfId="2" applyFont="1"/>
    <xf numFmtId="0" fontId="0" fillId="10" borderId="1" xfId="0" applyFill="1" applyBorder="1" applyAlignment="1">
      <alignment horizontal="center" vertical="center"/>
    </xf>
    <xf numFmtId="0" fontId="0" fillId="10" borderId="3" xfId="0" applyFill="1" applyBorder="1" applyAlignment="1">
      <alignment horizontal="center" vertical="center"/>
    </xf>
    <xf numFmtId="22" fontId="0" fillId="10" borderId="1" xfId="0" applyNumberFormat="1" applyFill="1" applyBorder="1" applyAlignment="1">
      <alignment horizontal="center" vertical="center"/>
    </xf>
    <xf numFmtId="169" fontId="0" fillId="0" borderId="1" xfId="2" applyNumberFormat="1" applyFont="1" applyFill="1" applyBorder="1" applyAlignment="1">
      <alignment horizontal="center" vertical="center"/>
    </xf>
    <xf numFmtId="0" fontId="17" fillId="10" borderId="1"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22" fontId="0" fillId="0" borderId="6" xfId="0" applyNumberFormat="1" applyBorder="1" applyAlignment="1">
      <alignment horizontal="center" vertical="center"/>
    </xf>
    <xf numFmtId="1" fontId="8" fillId="0" borderId="6" xfId="0" applyNumberFormat="1" applyFont="1" applyBorder="1" applyAlignment="1">
      <alignment horizontal="center" vertical="center"/>
    </xf>
    <xf numFmtId="0" fontId="8" fillId="0" borderId="6" xfId="0" applyFont="1" applyBorder="1" applyAlignment="1">
      <alignment horizontal="center" vertical="center"/>
    </xf>
    <xf numFmtId="164" fontId="8" fillId="0" borderId="6" xfId="0" applyNumberFormat="1" applyFont="1" applyBorder="1" applyAlignment="1">
      <alignment horizontal="center" vertical="center"/>
    </xf>
    <xf numFmtId="2" fontId="0" fillId="0" borderId="6" xfId="0" applyNumberFormat="1" applyBorder="1" applyAlignment="1">
      <alignment horizontal="center" vertical="center"/>
    </xf>
    <xf numFmtId="2" fontId="8" fillId="0" borderId="6" xfId="0" applyNumberFormat="1" applyFont="1" applyBorder="1" applyAlignment="1">
      <alignment horizontal="center" vertical="center"/>
    </xf>
    <xf numFmtId="166" fontId="8"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0" fillId="0" borderId="1" xfId="0" applyNumberFormat="1" applyBorder="1" applyAlignment="1">
      <alignment horizontal="center" vertical="center"/>
    </xf>
    <xf numFmtId="14" fontId="0" fillId="10" borderId="1" xfId="0" applyNumberFormat="1" applyFill="1" applyBorder="1" applyAlignment="1">
      <alignment horizontal="center" vertical="center"/>
    </xf>
    <xf numFmtId="14" fontId="0" fillId="0" borderId="6" xfId="0" applyNumberFormat="1" applyBorder="1" applyAlignment="1">
      <alignment horizontal="center" vertical="center"/>
    </xf>
    <xf numFmtId="14" fontId="0" fillId="0" borderId="0" xfId="0" applyNumberFormat="1" applyAlignment="1">
      <alignment horizontal="center"/>
    </xf>
    <xf numFmtId="0" fontId="0" fillId="3" borderId="7" xfId="0" applyFill="1" applyBorder="1"/>
    <xf numFmtId="22" fontId="0" fillId="3" borderId="8" xfId="0" applyNumberFormat="1" applyFill="1" applyBorder="1"/>
    <xf numFmtId="0" fontId="0" fillId="3" borderId="8" xfId="0" applyFill="1" applyBorder="1"/>
    <xf numFmtId="22" fontId="0" fillId="0" borderId="0" xfId="0" applyNumberFormat="1" applyAlignment="1">
      <alignment horizontal="center"/>
    </xf>
    <xf numFmtId="0" fontId="0" fillId="2" borderId="0" xfId="0" applyFill="1" applyAlignment="1">
      <alignment horizontal="center"/>
    </xf>
    <xf numFmtId="164" fontId="0" fillId="0" borderId="0" xfId="0" applyNumberFormat="1" applyAlignment="1">
      <alignment horizontal="center"/>
    </xf>
    <xf numFmtId="170" fontId="8" fillId="0" borderId="1" xfId="0" applyNumberFormat="1" applyFont="1" applyBorder="1" applyAlignment="1">
      <alignment horizontal="center" vertical="center"/>
    </xf>
    <xf numFmtId="164" fontId="8" fillId="0" borderId="1" xfId="0" applyNumberFormat="1" applyFont="1" applyBorder="1" applyAlignment="1">
      <alignment horizontal="center" vertical="center" wrapText="1"/>
    </xf>
    <xf numFmtId="171" fontId="0" fillId="0" borderId="1" xfId="1" applyNumberFormat="1" applyFont="1"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8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font>
        <b val="0"/>
        <i val="0"/>
        <strike val="0"/>
        <condense val="0"/>
        <extend val="0"/>
        <outline val="0"/>
        <shadow val="0"/>
        <u val="none"/>
        <vertAlign val="baseline"/>
        <sz val="11"/>
        <color theme="1"/>
        <name val="Century Gothic"/>
        <family val="2"/>
        <scheme val="none"/>
      </font>
      <numFmt numFmtId="166"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66"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64"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64"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64"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64"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64" formatCode="&quot;$&quot;\ #,##0;[Red]\-&quot;$&quot;\ #,##0"/>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name val="Century Gothic"/>
        <family val="2"/>
        <scheme val="none"/>
      </font>
      <numFmt numFmtId="164" formatCode="&quot;$&quot;\ #,##0;[Red]\-&quot;$&quot;\ #,##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entury Gothic"/>
        <family val="2"/>
        <scheme val="none"/>
      </font>
      <numFmt numFmtId="172"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2"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quot;\ * #,##0.00_-;\-&quot;$&quot;\ * #,##0.0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3" formatCode="d/mm/yyyy\ h:m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2" formatCode="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border>
    </dxf>
    <dxf>
      <fill>
        <patternFill patternType="none">
          <fgColor indexed="64"/>
          <bgColor auto="1"/>
        </patternFill>
      </fill>
      <alignment horizontal="center" vertical="center" textRotation="0" indent="0" justifyLastLine="0" shrinkToFit="0" readingOrder="0"/>
    </dxf>
    <dxf>
      <font>
        <b/>
        <i val="0"/>
        <strike val="0"/>
        <condense val="0"/>
        <extend val="0"/>
        <outline val="0"/>
        <shadow val="0"/>
        <u val="none"/>
        <vertAlign val="baseline"/>
        <sz val="11"/>
        <color theme="0"/>
        <name val="Century Gothic"/>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[2. BBDD Indicadores Proyecto..xlsx]Reporte!TablaDinámica1</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14029029520595E-2"/>
          <c:y val="8.1424344063365753E-2"/>
          <c:w val="0.90316234593550104"/>
          <c:h val="0.71712737699583218"/>
        </c:manualLayout>
      </c:layout>
      <c:lineChart>
        <c:grouping val="standard"/>
        <c:varyColors val="0"/>
        <c:ser>
          <c:idx val="0"/>
          <c:order val="0"/>
          <c:tx>
            <c:strRef>
              <c:f>Reporte!$B$4</c:f>
              <c:strCache>
                <c:ptCount val="1"/>
                <c:pt idx="0">
                  <c:v>Promedio de SPI (Schedule Performance Index)</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Reporte!$A$5:$A$83</c:f>
              <c:multiLvlStrCache>
                <c:ptCount val="37"/>
                <c:lvl>
                  <c:pt idx="0">
                    <c:v>Proyecto adelantado respecto al cronograma</c:v>
                  </c:pt>
                  <c:pt idx="1">
                    <c:v>Proyecto adelantado respecto al cronograma</c:v>
                  </c:pt>
                  <c:pt idx="2">
                    <c:v>Proyecto a tiempo según lo planificado</c:v>
                  </c:pt>
                  <c:pt idx="3">
                    <c:v>Proyecto a tiempo según lo planificado</c:v>
                  </c:pt>
                  <c:pt idx="4">
                    <c:v>Proyecto atrasado con respecto al cronograma</c:v>
                  </c:pt>
                  <c:pt idx="5">
                    <c:v>Proyecto adelantado respecto al cronograma</c:v>
                  </c:pt>
                  <c:pt idx="6">
                    <c:v>Proyecto adelantado respecto al cronograma</c:v>
                  </c:pt>
                  <c:pt idx="7">
                    <c:v>Proyecto a tiempo según lo planificado</c:v>
                  </c:pt>
                  <c:pt idx="8">
                    <c:v>Proyecto a tiempo según lo planificado</c:v>
                  </c:pt>
                  <c:pt idx="9">
                    <c:v>Proyecto a tiempo según lo planificado</c:v>
                  </c:pt>
                  <c:pt idx="10">
                    <c:v>Proyecto a tiempo según lo planificado</c:v>
                  </c:pt>
                  <c:pt idx="11">
                    <c:v>Proyecto a tiempo según lo planificado</c:v>
                  </c:pt>
                  <c:pt idx="12">
                    <c:v>Proyecto a tiempo según lo planificado</c:v>
                  </c:pt>
                  <c:pt idx="13">
                    <c:v>Proyecto adelantado respecto al cronograma</c:v>
                  </c:pt>
                  <c:pt idx="14">
                    <c:v>Proyecto adelantado respecto al cronograma</c:v>
                  </c:pt>
                  <c:pt idx="15">
                    <c:v>Proyecto adelantado respecto al cronograma</c:v>
                  </c:pt>
                  <c:pt idx="16">
                    <c:v>Proyecto a tiempo según lo planificado</c:v>
                  </c:pt>
                  <c:pt idx="17">
                    <c:v>Proyecto a tiempo según lo planificado</c:v>
                  </c:pt>
                  <c:pt idx="18">
                    <c:v>Proyecto a tiempo según lo planificado</c:v>
                  </c:pt>
                  <c:pt idx="19">
                    <c:v>Proyecto atrasado con respecto al cronograma</c:v>
                  </c:pt>
                  <c:pt idx="20">
                    <c:v>Proyecto atrasado con respecto al cronograma</c:v>
                  </c:pt>
                  <c:pt idx="21">
                    <c:v>Proyecto adelantado respecto al cronograma</c:v>
                  </c:pt>
                  <c:pt idx="22">
                    <c:v>Sin Línea Base</c:v>
                  </c:pt>
                  <c:pt idx="23">
                    <c:v>Sin Línea Base</c:v>
                  </c:pt>
                  <c:pt idx="24">
                    <c:v>Sin Línea Base</c:v>
                  </c:pt>
                  <c:pt idx="25">
                    <c:v>Sin Línea Base</c:v>
                  </c:pt>
                  <c:pt idx="26">
                    <c:v>Sin Línea Base</c:v>
                  </c:pt>
                  <c:pt idx="27">
                    <c:v>Sin Línea Base</c:v>
                  </c:pt>
                  <c:pt idx="28">
                    <c:v>Sin Línea Base</c:v>
                  </c:pt>
                  <c:pt idx="29">
                    <c:v>Sin Línea Base</c:v>
                  </c:pt>
                  <c:pt idx="30">
                    <c:v>Sin Línea Base</c:v>
                  </c:pt>
                  <c:pt idx="31">
                    <c:v>Sin Línea Base</c:v>
                  </c:pt>
                  <c:pt idx="32">
                    <c:v>Sin Línea Base</c:v>
                  </c:pt>
                  <c:pt idx="33">
                    <c:v>Sin Línea Base</c:v>
                  </c:pt>
                  <c:pt idx="34">
                    <c:v>Sin Línea Base</c:v>
                  </c:pt>
                  <c:pt idx="35">
                    <c:v>Sin Línea Base</c:v>
                  </c:pt>
                  <c:pt idx="36">
                    <c:v>Sin Línea Base</c:v>
                  </c:pt>
                </c:lvl>
                <c:lvl>
                  <c:pt idx="0">
                    <c:v>Mayo</c:v>
                  </c:pt>
                  <c:pt idx="1">
                    <c:v>Junio</c:v>
                  </c:pt>
                  <c:pt idx="2">
                    <c:v>Julio</c:v>
                  </c:pt>
                  <c:pt idx="3">
                    <c:v>Agosto</c:v>
                  </c:pt>
                  <c:pt idx="4">
                    <c:v>Septiembre</c:v>
                  </c:pt>
                  <c:pt idx="5">
                    <c:v>Octubre</c:v>
                  </c:pt>
                  <c:pt idx="6">
                    <c:v>Noviembre</c:v>
                  </c:pt>
                  <c:pt idx="7">
                    <c:v>Diciembre</c:v>
                  </c:pt>
                  <c:pt idx="8">
                    <c:v>Enero</c:v>
                  </c:pt>
                  <c:pt idx="9">
                    <c:v>Febrero</c:v>
                  </c:pt>
                  <c:pt idx="10">
                    <c:v>Marzo</c:v>
                  </c:pt>
                  <c:pt idx="11">
                    <c:v>Abril</c:v>
                  </c:pt>
                  <c:pt idx="12">
                    <c:v>Mayo</c:v>
                  </c:pt>
                  <c:pt idx="13">
                    <c:v>Junio</c:v>
                  </c:pt>
                  <c:pt idx="14">
                    <c:v>Julio</c:v>
                  </c:pt>
                  <c:pt idx="15">
                    <c:v>Agosto</c:v>
                  </c:pt>
                  <c:pt idx="16">
                    <c:v>Septiembre</c:v>
                  </c:pt>
                  <c:pt idx="17">
                    <c:v>Octubre</c:v>
                  </c:pt>
                  <c:pt idx="18">
                    <c:v>Noviembre</c:v>
                  </c:pt>
                  <c:pt idx="19">
                    <c:v>Diciembre</c:v>
                  </c:pt>
                  <c:pt idx="20">
                    <c:v>Enero</c:v>
                  </c:pt>
                  <c:pt idx="21">
                    <c:v>Febrero</c:v>
                  </c:pt>
                  <c:pt idx="22">
                    <c:v>Marzo</c:v>
                  </c:pt>
                  <c:pt idx="23">
                    <c:v>Abril</c:v>
                  </c:pt>
                  <c:pt idx="24">
                    <c:v>Mayo</c:v>
                  </c:pt>
                  <c:pt idx="25">
                    <c:v>Junio</c:v>
                  </c:pt>
                  <c:pt idx="26">
                    <c:v>Julio</c:v>
                  </c:pt>
                  <c:pt idx="27">
                    <c:v>Agosto</c:v>
                  </c:pt>
                  <c:pt idx="28">
                    <c:v>Septiembre</c:v>
                  </c:pt>
                  <c:pt idx="29">
                    <c:v>Octubre</c:v>
                  </c:pt>
                  <c:pt idx="30">
                    <c:v>Noviembre</c:v>
                  </c:pt>
                  <c:pt idx="31">
                    <c:v>Diciembre</c:v>
                  </c:pt>
                  <c:pt idx="32">
                    <c:v>Enero</c:v>
                  </c:pt>
                  <c:pt idx="33">
                    <c:v>Febrero</c:v>
                  </c:pt>
                  <c:pt idx="34">
                    <c:v>Marzo</c:v>
                  </c:pt>
                  <c:pt idx="35">
                    <c:v>Abril</c:v>
                  </c:pt>
                  <c:pt idx="36">
                    <c:v>Mayo</c:v>
                  </c:pt>
                </c:lvl>
                <c:lvl>
                  <c:pt idx="0">
                    <c:v>2024</c:v>
                  </c:pt>
                  <c:pt idx="8">
                    <c:v>2025</c:v>
                  </c:pt>
                  <c:pt idx="20">
                    <c:v>2026</c:v>
                  </c:pt>
                  <c:pt idx="32">
                    <c:v>2027</c:v>
                  </c:pt>
                </c:lvl>
              </c:multiLvlStrCache>
            </c:multiLvlStrRef>
          </c:cat>
          <c:val>
            <c:numRef>
              <c:f>Reporte!$B$5:$B$83</c:f>
              <c:numCache>
                <c:formatCode>0.0</c:formatCode>
                <c:ptCount val="37"/>
                <c:pt idx="0">
                  <c:v>2.5000000000000004</c:v>
                </c:pt>
                <c:pt idx="1">
                  <c:v>1.4</c:v>
                </c:pt>
                <c:pt idx="2">
                  <c:v>1</c:v>
                </c:pt>
                <c:pt idx="3">
                  <c:v>1</c:v>
                </c:pt>
                <c:pt idx="4">
                  <c:v>0.92857142857142849</c:v>
                </c:pt>
                <c:pt idx="5">
                  <c:v>1.0588235294117647</c:v>
                </c:pt>
                <c:pt idx="6">
                  <c:v>1.0499999999999998</c:v>
                </c:pt>
                <c:pt idx="7">
                  <c:v>1</c:v>
                </c:pt>
                <c:pt idx="8">
                  <c:v>1</c:v>
                </c:pt>
                <c:pt idx="9">
                  <c:v>0.99999999999999978</c:v>
                </c:pt>
                <c:pt idx="10">
                  <c:v>0.99999999999999989</c:v>
                </c:pt>
                <c:pt idx="11">
                  <c:v>0.99999999999999967</c:v>
                </c:pt>
                <c:pt idx="12">
                  <c:v>0.99999999999999967</c:v>
                </c:pt>
                <c:pt idx="13">
                  <c:v>1.0243902439024386</c:v>
                </c:pt>
                <c:pt idx="14">
                  <c:v>1.0227272727272723</c:v>
                </c:pt>
                <c:pt idx="15">
                  <c:v>1.0212765957446805</c:v>
                </c:pt>
                <c:pt idx="16">
                  <c:v>0.99999999999999956</c:v>
                </c:pt>
                <c:pt idx="17">
                  <c:v>0.99999999999999956</c:v>
                </c:pt>
                <c:pt idx="18">
                  <c:v>0.99999999999999967</c:v>
                </c:pt>
                <c:pt idx="19">
                  <c:v>0.99999999999999933</c:v>
                </c:pt>
                <c:pt idx="20">
                  <c:v>0.98387096774193494</c:v>
                </c:pt>
                <c:pt idx="21">
                  <c:v>1.0307692307692302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val>
          <c:smooth val="0"/>
          <c:extLst>
            <c:ext xmlns:c16="http://schemas.microsoft.com/office/drawing/2014/chart" uri="{C3380CC4-5D6E-409C-BE32-E72D297353CC}">
              <c16:uniqueId val="{00000000-52E0-4120-9CF6-9AC1E7DF6D53}"/>
            </c:ext>
          </c:extLst>
        </c:ser>
        <c:ser>
          <c:idx val="1"/>
          <c:order val="1"/>
          <c:tx>
            <c:strRef>
              <c:f>Reporte!$C$4</c:f>
              <c:strCache>
                <c:ptCount val="1"/>
                <c:pt idx="0">
                  <c:v>Suma de Meta SPI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Reporte!$A$5:$A$83</c:f>
              <c:multiLvlStrCache>
                <c:ptCount val="37"/>
                <c:lvl>
                  <c:pt idx="0">
                    <c:v>Proyecto adelantado respecto al cronograma</c:v>
                  </c:pt>
                  <c:pt idx="1">
                    <c:v>Proyecto adelantado respecto al cronograma</c:v>
                  </c:pt>
                  <c:pt idx="2">
                    <c:v>Proyecto a tiempo según lo planificado</c:v>
                  </c:pt>
                  <c:pt idx="3">
                    <c:v>Proyecto a tiempo según lo planificado</c:v>
                  </c:pt>
                  <c:pt idx="4">
                    <c:v>Proyecto atrasado con respecto al cronograma</c:v>
                  </c:pt>
                  <c:pt idx="5">
                    <c:v>Proyecto adelantado respecto al cronograma</c:v>
                  </c:pt>
                  <c:pt idx="6">
                    <c:v>Proyecto adelantado respecto al cronograma</c:v>
                  </c:pt>
                  <c:pt idx="7">
                    <c:v>Proyecto a tiempo según lo planificado</c:v>
                  </c:pt>
                  <c:pt idx="8">
                    <c:v>Proyecto a tiempo según lo planificado</c:v>
                  </c:pt>
                  <c:pt idx="9">
                    <c:v>Proyecto a tiempo según lo planificado</c:v>
                  </c:pt>
                  <c:pt idx="10">
                    <c:v>Proyecto a tiempo según lo planificado</c:v>
                  </c:pt>
                  <c:pt idx="11">
                    <c:v>Proyecto a tiempo según lo planificado</c:v>
                  </c:pt>
                  <c:pt idx="12">
                    <c:v>Proyecto a tiempo según lo planificado</c:v>
                  </c:pt>
                  <c:pt idx="13">
                    <c:v>Proyecto adelantado respecto al cronograma</c:v>
                  </c:pt>
                  <c:pt idx="14">
                    <c:v>Proyecto adelantado respecto al cronograma</c:v>
                  </c:pt>
                  <c:pt idx="15">
                    <c:v>Proyecto adelantado respecto al cronograma</c:v>
                  </c:pt>
                  <c:pt idx="16">
                    <c:v>Proyecto a tiempo según lo planificado</c:v>
                  </c:pt>
                  <c:pt idx="17">
                    <c:v>Proyecto a tiempo según lo planificado</c:v>
                  </c:pt>
                  <c:pt idx="18">
                    <c:v>Proyecto a tiempo según lo planificado</c:v>
                  </c:pt>
                  <c:pt idx="19">
                    <c:v>Proyecto atrasado con respecto al cronograma</c:v>
                  </c:pt>
                  <c:pt idx="20">
                    <c:v>Proyecto atrasado con respecto al cronograma</c:v>
                  </c:pt>
                  <c:pt idx="21">
                    <c:v>Proyecto adelantado respecto al cronograma</c:v>
                  </c:pt>
                  <c:pt idx="22">
                    <c:v>Sin Línea Base</c:v>
                  </c:pt>
                  <c:pt idx="23">
                    <c:v>Sin Línea Base</c:v>
                  </c:pt>
                  <c:pt idx="24">
                    <c:v>Sin Línea Base</c:v>
                  </c:pt>
                  <c:pt idx="25">
                    <c:v>Sin Línea Base</c:v>
                  </c:pt>
                  <c:pt idx="26">
                    <c:v>Sin Línea Base</c:v>
                  </c:pt>
                  <c:pt idx="27">
                    <c:v>Sin Línea Base</c:v>
                  </c:pt>
                  <c:pt idx="28">
                    <c:v>Sin Línea Base</c:v>
                  </c:pt>
                  <c:pt idx="29">
                    <c:v>Sin Línea Base</c:v>
                  </c:pt>
                  <c:pt idx="30">
                    <c:v>Sin Línea Base</c:v>
                  </c:pt>
                  <c:pt idx="31">
                    <c:v>Sin Línea Base</c:v>
                  </c:pt>
                  <c:pt idx="32">
                    <c:v>Sin Línea Base</c:v>
                  </c:pt>
                  <c:pt idx="33">
                    <c:v>Sin Línea Base</c:v>
                  </c:pt>
                  <c:pt idx="34">
                    <c:v>Sin Línea Base</c:v>
                  </c:pt>
                  <c:pt idx="35">
                    <c:v>Sin Línea Base</c:v>
                  </c:pt>
                  <c:pt idx="36">
                    <c:v>Sin Línea Base</c:v>
                  </c:pt>
                </c:lvl>
                <c:lvl>
                  <c:pt idx="0">
                    <c:v>Mayo</c:v>
                  </c:pt>
                  <c:pt idx="1">
                    <c:v>Junio</c:v>
                  </c:pt>
                  <c:pt idx="2">
                    <c:v>Julio</c:v>
                  </c:pt>
                  <c:pt idx="3">
                    <c:v>Agosto</c:v>
                  </c:pt>
                  <c:pt idx="4">
                    <c:v>Septiembre</c:v>
                  </c:pt>
                  <c:pt idx="5">
                    <c:v>Octubre</c:v>
                  </c:pt>
                  <c:pt idx="6">
                    <c:v>Noviembre</c:v>
                  </c:pt>
                  <c:pt idx="7">
                    <c:v>Diciembre</c:v>
                  </c:pt>
                  <c:pt idx="8">
                    <c:v>Enero</c:v>
                  </c:pt>
                  <c:pt idx="9">
                    <c:v>Febrero</c:v>
                  </c:pt>
                  <c:pt idx="10">
                    <c:v>Marzo</c:v>
                  </c:pt>
                  <c:pt idx="11">
                    <c:v>Abril</c:v>
                  </c:pt>
                  <c:pt idx="12">
                    <c:v>Mayo</c:v>
                  </c:pt>
                  <c:pt idx="13">
                    <c:v>Junio</c:v>
                  </c:pt>
                  <c:pt idx="14">
                    <c:v>Julio</c:v>
                  </c:pt>
                  <c:pt idx="15">
                    <c:v>Agosto</c:v>
                  </c:pt>
                  <c:pt idx="16">
                    <c:v>Septiembre</c:v>
                  </c:pt>
                  <c:pt idx="17">
                    <c:v>Octubre</c:v>
                  </c:pt>
                  <c:pt idx="18">
                    <c:v>Noviembre</c:v>
                  </c:pt>
                  <c:pt idx="19">
                    <c:v>Diciembre</c:v>
                  </c:pt>
                  <c:pt idx="20">
                    <c:v>Enero</c:v>
                  </c:pt>
                  <c:pt idx="21">
                    <c:v>Febrero</c:v>
                  </c:pt>
                  <c:pt idx="22">
                    <c:v>Marzo</c:v>
                  </c:pt>
                  <c:pt idx="23">
                    <c:v>Abril</c:v>
                  </c:pt>
                  <c:pt idx="24">
                    <c:v>Mayo</c:v>
                  </c:pt>
                  <c:pt idx="25">
                    <c:v>Junio</c:v>
                  </c:pt>
                  <c:pt idx="26">
                    <c:v>Julio</c:v>
                  </c:pt>
                  <c:pt idx="27">
                    <c:v>Agosto</c:v>
                  </c:pt>
                  <c:pt idx="28">
                    <c:v>Septiembre</c:v>
                  </c:pt>
                  <c:pt idx="29">
                    <c:v>Octubre</c:v>
                  </c:pt>
                  <c:pt idx="30">
                    <c:v>Noviembre</c:v>
                  </c:pt>
                  <c:pt idx="31">
                    <c:v>Diciembre</c:v>
                  </c:pt>
                  <c:pt idx="32">
                    <c:v>Enero</c:v>
                  </c:pt>
                  <c:pt idx="33">
                    <c:v>Febrero</c:v>
                  </c:pt>
                  <c:pt idx="34">
                    <c:v>Marzo</c:v>
                  </c:pt>
                  <c:pt idx="35">
                    <c:v>Abril</c:v>
                  </c:pt>
                  <c:pt idx="36">
                    <c:v>Mayo</c:v>
                  </c:pt>
                </c:lvl>
                <c:lvl>
                  <c:pt idx="0">
                    <c:v>2024</c:v>
                  </c:pt>
                  <c:pt idx="8">
                    <c:v>2025</c:v>
                  </c:pt>
                  <c:pt idx="20">
                    <c:v>2026</c:v>
                  </c:pt>
                  <c:pt idx="32">
                    <c:v>2027</c:v>
                  </c:pt>
                </c:lvl>
              </c:multiLvlStrCache>
            </c:multiLvlStrRef>
          </c:cat>
          <c:val>
            <c:numRef>
              <c:f>Reporte!$C$5:$C$83</c:f>
              <c:numCache>
                <c:formatCode>0.0</c:formatCode>
                <c:ptCount val="3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numCache>
            </c:numRef>
          </c:val>
          <c:smooth val="0"/>
          <c:extLst>
            <c:ext xmlns:c16="http://schemas.microsoft.com/office/drawing/2014/chart" uri="{C3380CC4-5D6E-409C-BE32-E72D297353CC}">
              <c16:uniqueId val="{0000000A-52E0-4120-9CF6-9AC1E7DF6D53}"/>
            </c:ext>
          </c:extLst>
        </c:ser>
        <c:dLbls>
          <c:dLblPos val="t"/>
          <c:showLegendKey val="0"/>
          <c:showVal val="1"/>
          <c:showCatName val="0"/>
          <c:showSerName val="0"/>
          <c:showPercent val="0"/>
          <c:showBubbleSize val="0"/>
        </c:dLbls>
        <c:smooth val="0"/>
        <c:axId val="68983615"/>
        <c:axId val="304933695"/>
      </c:lineChart>
      <c:catAx>
        <c:axId val="6898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304933695"/>
        <c:crosses val="autoZero"/>
        <c:auto val="1"/>
        <c:lblAlgn val="ctr"/>
        <c:lblOffset val="100"/>
        <c:noMultiLvlLbl val="0"/>
      </c:catAx>
      <c:valAx>
        <c:axId val="3049336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898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[2. BBDD Indicadores Proyecto..xlsx]Reporte!TablaDinámica3</c:name>
    <c:fmtId val="2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596678331868885E-2"/>
          <c:y val="0.15632727625045892"/>
          <c:w val="0.83030505456367187"/>
          <c:h val="0.68946962279019031"/>
        </c:manualLayout>
      </c:layout>
      <c:lineChart>
        <c:grouping val="standard"/>
        <c:varyColors val="0"/>
        <c:ser>
          <c:idx val="0"/>
          <c:order val="0"/>
          <c:tx>
            <c:strRef>
              <c:f>Reporte!$F$4</c:f>
              <c:strCache>
                <c:ptCount val="1"/>
                <c:pt idx="0">
                  <c:v>Promedio de CPI (Cost Performance Index)</c:v>
                </c:pt>
              </c:strCache>
            </c:strRef>
          </c:tx>
          <c:spPr>
            <a:ln w="28575" cap="rnd">
              <a:solidFill>
                <a:schemeClr val="accent1"/>
              </a:solidFill>
              <a:round/>
            </a:ln>
            <a:effectLst/>
          </c:spPr>
          <c:marker>
            <c:symbol val="none"/>
          </c:marker>
          <c:cat>
            <c:multiLvlStrRef>
              <c:f>Reporte!$E$5:$E$30</c:f>
              <c:multiLvlStrCache>
                <c:ptCount val="12"/>
                <c:lvl>
                  <c:pt idx="0">
                    <c:v>Costo eficiente: se está gastando menos de lo presupuestado</c:v>
                  </c:pt>
                  <c:pt idx="1">
                    <c:v>Costo eficiente: se está gastando menos de lo presupuestado</c:v>
                  </c:pt>
                  <c:pt idx="2">
                    <c:v>Costo eficiente: se está gastando menos de lo presupuestado</c:v>
                  </c:pt>
                  <c:pt idx="3">
                    <c:v>Costo eficiente: se está gastando menos de lo presupuestado</c:v>
                  </c:pt>
                  <c:pt idx="4">
                    <c:v>Costo eficiente: se está gastando menos de lo presupuestado</c:v>
                  </c:pt>
                  <c:pt idx="5">
                    <c:v>Costo eficiente: se está gastando menos de lo presupuestado</c:v>
                  </c:pt>
                  <c:pt idx="6">
                    <c:v>Costo eficiente: se está gastando menos de lo presupuestado</c:v>
                  </c:pt>
                  <c:pt idx="7">
                    <c:v>Costo eficiente: se está gastando menos de lo presupuestado</c:v>
                  </c:pt>
                  <c:pt idx="8">
                    <c:v>Costo eficiente: se está gastando menos de lo presupuestado</c:v>
                  </c:pt>
                  <c:pt idx="9">
                    <c:v>Costo eficiente: se está gastando menos de lo presupuestado</c:v>
                  </c:pt>
                  <c:pt idx="10">
                    <c:v>Costo eficiente: se está gastando menos de lo presupuestado</c:v>
                  </c:pt>
                  <c:pt idx="11">
                    <c:v>Costo eficiente: se está gastando menos de lo presupuestado</c:v>
                  </c:pt>
                </c:lvl>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2025</c:v>
                  </c:pt>
                </c:lvl>
              </c:multiLvlStrCache>
            </c:multiLvlStrRef>
          </c:cat>
          <c:val>
            <c:numRef>
              <c:f>Reporte!$F$5:$F$30</c:f>
              <c:numCache>
                <c:formatCode>0.0</c:formatCode>
                <c:ptCount val="12"/>
                <c:pt idx="0">
                  <c:v>9.6622210066385676</c:v>
                </c:pt>
                <c:pt idx="1">
                  <c:v>10.777092661250711</c:v>
                </c:pt>
                <c:pt idx="2">
                  <c:v>11.891964315862854</c:v>
                </c:pt>
                <c:pt idx="3">
                  <c:v>13.006835970474995</c:v>
                </c:pt>
                <c:pt idx="4">
                  <c:v>14.12170762508714</c:v>
                </c:pt>
                <c:pt idx="5">
                  <c:v>15.608203164569995</c:v>
                </c:pt>
                <c:pt idx="6">
                  <c:v>16.723074819182138</c:v>
                </c:pt>
                <c:pt idx="7">
                  <c:v>17.837946473794283</c:v>
                </c:pt>
                <c:pt idx="8">
                  <c:v>18.581194243535709</c:v>
                </c:pt>
                <c:pt idx="9">
                  <c:v>19.69606589814785</c:v>
                </c:pt>
                <c:pt idx="10">
                  <c:v>20.810937552759995</c:v>
                </c:pt>
                <c:pt idx="11">
                  <c:v>21.925809207372133</c:v>
                </c:pt>
              </c:numCache>
            </c:numRef>
          </c:val>
          <c:smooth val="0"/>
          <c:extLst>
            <c:ext xmlns:c16="http://schemas.microsoft.com/office/drawing/2014/chart" uri="{C3380CC4-5D6E-409C-BE32-E72D297353CC}">
              <c16:uniqueId val="{00000000-2CB6-44A6-BBAF-3027DC571CFD}"/>
            </c:ext>
          </c:extLst>
        </c:ser>
        <c:ser>
          <c:idx val="1"/>
          <c:order val="1"/>
          <c:tx>
            <c:strRef>
              <c:f>Reporte!$G$4</c:f>
              <c:strCache>
                <c:ptCount val="1"/>
                <c:pt idx="0">
                  <c:v>Suma de Meta CPI</c:v>
                </c:pt>
              </c:strCache>
            </c:strRef>
          </c:tx>
          <c:spPr>
            <a:ln w="28575" cap="rnd">
              <a:solidFill>
                <a:schemeClr val="accent2"/>
              </a:solidFill>
              <a:round/>
            </a:ln>
            <a:effectLst/>
          </c:spPr>
          <c:marker>
            <c:symbol val="none"/>
          </c:marker>
          <c:cat>
            <c:multiLvlStrRef>
              <c:f>Reporte!$E$5:$E$30</c:f>
              <c:multiLvlStrCache>
                <c:ptCount val="12"/>
                <c:lvl>
                  <c:pt idx="0">
                    <c:v>Costo eficiente: se está gastando menos de lo presupuestado</c:v>
                  </c:pt>
                  <c:pt idx="1">
                    <c:v>Costo eficiente: se está gastando menos de lo presupuestado</c:v>
                  </c:pt>
                  <c:pt idx="2">
                    <c:v>Costo eficiente: se está gastando menos de lo presupuestado</c:v>
                  </c:pt>
                  <c:pt idx="3">
                    <c:v>Costo eficiente: se está gastando menos de lo presupuestado</c:v>
                  </c:pt>
                  <c:pt idx="4">
                    <c:v>Costo eficiente: se está gastando menos de lo presupuestado</c:v>
                  </c:pt>
                  <c:pt idx="5">
                    <c:v>Costo eficiente: se está gastando menos de lo presupuestado</c:v>
                  </c:pt>
                  <c:pt idx="6">
                    <c:v>Costo eficiente: se está gastando menos de lo presupuestado</c:v>
                  </c:pt>
                  <c:pt idx="7">
                    <c:v>Costo eficiente: se está gastando menos de lo presupuestado</c:v>
                  </c:pt>
                  <c:pt idx="8">
                    <c:v>Costo eficiente: se está gastando menos de lo presupuestado</c:v>
                  </c:pt>
                  <c:pt idx="9">
                    <c:v>Costo eficiente: se está gastando menos de lo presupuestado</c:v>
                  </c:pt>
                  <c:pt idx="10">
                    <c:v>Costo eficiente: se está gastando menos de lo presupuestado</c:v>
                  </c:pt>
                  <c:pt idx="11">
                    <c:v>Costo eficiente: se está gastando menos de lo presupuestado</c:v>
                  </c:pt>
                </c:lvl>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lvl>
                <c:lvl>
                  <c:pt idx="0">
                    <c:v>2025</c:v>
                  </c:pt>
                </c:lvl>
              </c:multiLvlStrCache>
            </c:multiLvlStrRef>
          </c:cat>
          <c:val>
            <c:numRef>
              <c:f>Reporte!$G$5:$G$30</c:f>
              <c:numCache>
                <c:formatCode>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1-2CB6-44A6-BBAF-3027DC571CFD}"/>
            </c:ext>
          </c:extLst>
        </c:ser>
        <c:dLbls>
          <c:showLegendKey val="0"/>
          <c:showVal val="0"/>
          <c:showCatName val="0"/>
          <c:showSerName val="0"/>
          <c:showPercent val="0"/>
          <c:showBubbleSize val="0"/>
        </c:dLbls>
        <c:smooth val="0"/>
        <c:axId val="78432831"/>
        <c:axId val="78434751"/>
      </c:lineChart>
      <c:catAx>
        <c:axId val="7843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434751"/>
        <c:crosses val="autoZero"/>
        <c:auto val="1"/>
        <c:lblAlgn val="ctr"/>
        <c:lblOffset val="100"/>
        <c:noMultiLvlLbl val="0"/>
      </c:catAx>
      <c:valAx>
        <c:axId val="7843475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843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3738562</xdr:colOff>
      <xdr:row>9</xdr:row>
      <xdr:rowOff>6804</xdr:rowOff>
    </xdr:from>
    <xdr:to>
      <xdr:col>48</xdr:col>
      <xdr:colOff>299356</xdr:colOff>
      <xdr:row>51</xdr:row>
      <xdr:rowOff>47625</xdr:rowOff>
    </xdr:to>
    <xdr:graphicFrame macro="">
      <xdr:nvGraphicFramePr>
        <xdr:cNvPr id="4" name="Gráfico 3">
          <a:extLst>
            <a:ext uri="{FF2B5EF4-FFF2-40B4-BE49-F238E27FC236}">
              <a16:creationId xmlns:a16="http://schemas.microsoft.com/office/drawing/2014/main" id="{3F05CCE2-7A96-62B3-3BAA-1DB81533A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138875</xdr:colOff>
      <xdr:row>52</xdr:row>
      <xdr:rowOff>129386</xdr:rowOff>
    </xdr:from>
    <xdr:to>
      <xdr:col>10</xdr:col>
      <xdr:colOff>2377248</xdr:colOff>
      <xdr:row>84</xdr:row>
      <xdr:rowOff>153879</xdr:rowOff>
    </xdr:to>
    <xdr:graphicFrame macro="">
      <xdr:nvGraphicFramePr>
        <xdr:cNvPr id="5" name="Gráfico 4">
          <a:extLst>
            <a:ext uri="{FF2B5EF4-FFF2-40B4-BE49-F238E27FC236}">
              <a16:creationId xmlns:a16="http://schemas.microsoft.com/office/drawing/2014/main" id="{0C68FCA6-BAEE-6035-D8A6-A7970FE1D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lberto Ramirez Nuñez" id="{DBE562E7-CF34-40BB-8419-78CEBF0C7509}" userId="S::alberto.ramirez@growdata.com.co::37732fc7-4407-4008-9311-337a1ab4846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o Ramirez Nuñez" refreshedDate="46078.73866412037" createdVersion="8" refreshedVersion="8" minRefreshableVersion="3" recordCount="914" xr:uid="{CAEE5914-B503-4D0F-B284-C28439E15546}">
  <cacheSource type="worksheet">
    <worksheetSource name="TablaIndicador"/>
  </cacheSource>
  <cacheFields count="34">
    <cacheField name="Año" numFmtId="0">
      <sharedItems containsSemiMixedTypes="0" containsString="0" containsNumber="1" containsInteger="1" minValue="2024" maxValue="2030" count="7">
        <n v="2024"/>
        <n v="2025"/>
        <n v="2026"/>
        <n v="2027"/>
        <n v="2028"/>
        <n v="2029"/>
        <n v="2030"/>
      </sharedItems>
    </cacheField>
    <cacheField name="Mes" numFmtId="14">
      <sharedItems count="12">
        <s v="Enero"/>
        <s v="Febrero"/>
        <s v="Marzo"/>
        <s v="Abril"/>
        <s v="Mayo"/>
        <s v="Junio"/>
        <s v="Julio"/>
        <s v="Agosto"/>
        <s v="Septiembre"/>
        <s v="Octubre"/>
        <s v="Noviembre"/>
        <s v="Diciembre"/>
      </sharedItems>
    </cacheField>
    <cacheField name="ProjectId" numFmtId="0">
      <sharedItems containsBlank="1"/>
    </cacheField>
    <cacheField name="ProjectCreatedDate" numFmtId="0">
      <sharedItems containsNonDate="0" containsDate="1" containsString="0" containsBlank="1" minDate="2024-02-26T17:39:52" maxDate="2026-01-29T02:28:01"/>
    </cacheField>
    <cacheField name="ProjectName" numFmtId="0">
      <sharedItems count="81">
        <s v="ERT-URT-HIPERCORVENGENCIA"/>
        <s v="TELEFONICA - SENA MDA"/>
        <s v="CORP COLOMBIA DIGITAL-FNA-AE"/>
        <s v="INFOTIC-DPC-SOC"/>
        <s v="CCD - DPC - IMPLEMENTACIÓN ERP"/>
        <s v="TELEFONICA – DPC  SALA DE ANALITICA"/>
        <s v="ERT- MT– DISPOSITIVOS IOT Y ANALÍTICA"/>
        <s v="RUNT – DISEÑO,IMPLEMENTACION MDM"/>
        <s v="ALDESARROLLO - ICFES - SOSTENIBILIDAD"/>
        <s v="UT SERT PASTO - VENTA DE EQUIPOS"/>
        <s v="EMTEL - ICFES - FABRICA"/>
        <s v="ALDESARROLLO - INM - DATOS Y PROCESOS"/>
        <s v="INFOTIC - ICFES - PRUEBAS CSJ"/>
        <s v="UT - ENTERRITORIO 2027"/>
        <s v="RUNT - MEGA"/>
        <s v="472 - ARQUITECTURA EMPRESARIAL"/>
        <s v="FONDO ACCION - MEJORAS APLICATIVO ASEC"/>
        <s v="RUNT – ANALITICA BI-BA"/>
        <s v="SNR- MIGRACION FOLIO A SIR"/>
        <s v="EXPERTIX - DEFENSORIA – RENOVACIÓN MEGA"/>
        <s v="ANT-RESO"/>
        <s v="TELEFONICA - CORMAGDALENA- SALA ANALITICA"/>
        <s v="DNP- LICENCIAMIENTO MEGAHOPEX"/>
        <s v="RUNT-MIGRACIÓN MEGA"/>
        <s v="ELECTROHUILA- FORTINET"/>
        <s v="BISA - RUNT - CSE"/>
        <s v="UT CIBERSEGURIDAD MT"/>
        <s v="ADRES-MEGA HOPEX"/>
        <s v="UT GROW OMEGA - CORTOLIMA"/>
        <s v="CCD- ANT- ARQUITECTURA Y DESARROLLOS"/>
        <s v="FNA - LICENCIAMIENTO MEGA HOPEX"/>
        <s v="SNR-MIGRACION FOLIO A SIR-BID"/>
        <s v="UT TRANSITO PASTO - FIREWALL SEMAFOROS"/>
        <s v="IDU-LICENCIAMIENTO MEGAHOPEX"/>
        <s v="UT CENTRO DE SERVICIOS DNP 2025"/>
        <s v="PHARMBILLS - SEGURIDAD Y UPS"/>
        <s v="COMREDES - URT - SOLUCIÓN HCI FASE II"/>
        <s v="RUNT- PLANILLA DE DESPACHO"/>
        <s v="CCD- PGN - PGN MDA INTEGRAL"/>
        <s v="EMTEL - ANT - INFRAESTRUCTURA 2025"/>
        <s v="UNIÓN TEMPORAL BIG DATA"/>
        <s v="ADRES-MEGA HOPEX 2025"/>
        <s v="ERT-CNE-TI FASE 5"/>
        <s v="SNR- MIGRACION FOLIO A SIR - 2025"/>
        <s v="UT GROW OMEGA - CORTOLIMA - ERA"/>
        <s v="TELEFONICA - RNEC-ELECCIONES 2026"/>
        <s v="EMTEL-ANT-ARQ-SOFT-2025"/>
        <s v="FCM- HERRAMIENTA CALIDAD"/>
        <s v="CCD-INM-AE-2025"/>
        <s v="FNA -DATAFABRIC"/>
        <s v="UT PORTAL TRANSACCIONAL ALCALDIA BOG"/>
        <s v="UT DATOS INTEGRALES CGR 2025"/>
        <s v="CCD - CANCILLERIA-INFRAESTRUCTURA"/>
        <s v="CONSYCOM - CAMARA DE FOTODECCION 2"/>
        <s v="CODALTEC – MINISTERIO DEL INTERIOR"/>
        <s v="CONSYCOM- CAMARA FOTODETECCION"/>
        <s v="UNIEMPRESARIAL-INFRAESTRUC ALIBABA"/>
        <s v="COLPENSIONES-GOBDATOS"/>
        <s v="AEROCIVIL - ARQUITECTURA 2025"/>
        <s v="UT ANH FISCALIZACIÓN"/>
        <s v="INTERNEXA-MT-ANALITICA IOT"/>
        <s v="UT SOLUCIONES SOFTWARE 2025"/>
        <s v="CLARO -FGN - GOBIERNO DE DATOS"/>
        <s v="DIAN-BORRADO SEGURO BLANCCO"/>
        <s v="UNAD- IMPLEMENTACION TI Y LABORATORIOS"/>
        <s v="CCD-CANCILLERIA-VENTA DE EQUIPOS LAN Y SEG"/>
        <s v="RAMA JUDICIAL - RENOVACION"/>
        <s v="DATASEC-RENATA MININTERIOR-CIBERSEG"/>
        <s v="EMTEL-CNE-INFRAEST Y APLICACIONES 2025"/>
        <s v="RUNT-DESARROLLO CALES"/>
        <s v="UT AMESC - ARN - ALQUILER EQUIPOS 2026"/>
        <s v="SUPERSUBSIDIO-MEGA"/>
        <s v="UT ARQUITECTURA HACIENDA 2025"/>
        <s v="DNP-MEGAHOPEX"/>
        <s v="CCD-DEPTO ADMON FUNCION PUBLICA-WAF"/>
        <s v="UT OUTSOURCING TECNOLOGICO 2025 MINVIVIENDA"/>
        <s v="FGN - INTRAESTRUCTURA DE RED"/>
        <s v="SPSM-DESARROLLO Y MIGRACION SPSM"/>
        <s v="LA PREVISORA SEGUROS"/>
        <s v="INTERNEXA-SUPERINT SERV PUBLICOS-SOPORTE"/>
        <s v="CCD - CONSEJO NACIONAL CNE - LICENCIAMIENTO"/>
      </sharedItems>
    </cacheField>
    <cacheField name="ProjectOwnerName" numFmtId="0">
      <sharedItems containsBlank="1"/>
    </cacheField>
    <cacheField name="ProjectWorkspaceInternalUrl" numFmtId="0">
      <sharedItems containsBlank="1"/>
    </cacheField>
    <cacheField name="Objetocontractual" numFmtId="0">
      <sharedItems containsBlank="1" longText="1"/>
    </cacheField>
    <cacheField name="Portafolio" numFmtId="0">
      <sharedItems containsBlank="1"/>
    </cacheField>
    <cacheField name="CentrodeCostosProyecto" numFmtId="0">
      <sharedItems containsBlank="1"/>
    </cacheField>
    <cacheField name="Estado" numFmtId="0">
      <sharedItems containsBlank="1"/>
    </cacheField>
    <cacheField name="Presupuesto" numFmtId="166">
      <sharedItems containsSemiMixedTypes="0" containsString="0" containsNumber="1" containsInteger="1" minValue="0" maxValue="28089671329"/>
    </cacheField>
    <cacheField name="Inicio" numFmtId="14">
      <sharedItems containsSemiMixedTypes="0" containsNonDate="0" containsDate="1" containsString="0" minDate="2024-01-01T00:00:00" maxDate="2026-02-02T00:00:00"/>
    </cacheField>
    <cacheField name="Fin" numFmtId="14">
      <sharedItems containsSemiMixedTypes="0" containsNonDate="0" containsDate="1" containsString="0" minDate="2024-01-30T00:00:00" maxDate="2030-11-01T00:00:00"/>
    </cacheField>
    <cacheField name="Meses" numFmtId="1">
      <sharedItems containsSemiMixedTypes="0" containsString="0" containsNumber="1" minValue="0.5" maxValue="60"/>
    </cacheField>
    <cacheField name="Tiempo Diferencia" numFmtId="1">
      <sharedItems containsSemiMixedTypes="0" containsString="0" containsNumber="1" minValue="-59" maxValue="19.3"/>
    </cacheField>
    <cacheField name="Tiempo Ejecución" numFmtId="0">
      <sharedItems containsSemiMixedTypes="0" containsString="0" containsNumber="1" containsInteger="1" minValue="0" maxValue="60"/>
    </cacheField>
    <cacheField name="Tiempo Proyectado" numFmtId="0">
      <sharedItems containsString="0" containsBlank="1" containsNumber="1" containsInteger="1" minValue="1" maxValue="60"/>
    </cacheField>
    <cacheField name="% Planeado" numFmtId="0">
      <sharedItems containsString="0" containsBlank="1" containsNumber="1" minValue="0" maxValue="1"/>
    </cacheField>
    <cacheField name="Completado Real" numFmtId="0">
      <sharedItems containsString="0" containsBlank="1" containsNumber="1" minValue="0" maxValue="1"/>
    </cacheField>
    <cacheField name="AC (Actual Cost)" numFmtId="164">
      <sharedItems containsBlank="1" containsMixedTypes="1" containsNumber="1" containsInteger="1" minValue="-579756076" maxValue="4039374977"/>
    </cacheField>
    <cacheField name="EV (Earned Value)" numFmtId="164">
      <sharedItems containsSemiMixedTypes="0" containsString="0" containsNumber="1" minValue="0" maxValue="13344287960"/>
    </cacheField>
    <cacheField name="PV (Planned Value)" numFmtId="0">
      <sharedItems containsSemiMixedTypes="0" containsString="0" containsNumber="1" minValue="0" maxValue="28089671329"/>
    </cacheField>
    <cacheField name="CV (Cost Variance)" numFmtId="164">
      <sharedItems containsSemiMixedTypes="0" containsString="0" containsNumber="1" minValue="-2470369854" maxValue="11020477335"/>
    </cacheField>
    <cacheField name="SV (Schedule Variance)" numFmtId="164">
      <sharedItems containsSemiMixedTypes="0" containsString="0" containsNumber="1" minValue="-28089671329" maxValue="2449575284.4000001"/>
    </cacheField>
    <cacheField name="CPI (Cost Performance Index)" numFmtId="2">
      <sharedItems containsMixedTypes="1" containsNumber="1" minValue="-86.034794133103077" maxValue="15332.649455374773"/>
    </cacheField>
    <cacheField name="Detalle de CPI" numFmtId="2">
      <sharedItems count="4">
        <s v="Costo según lo presupuestado"/>
        <s v="Costo eficiente: se está gastando menos de lo presupuestado"/>
        <s v="Costo ineficiente: se está gastando más de lo presupuestado"/>
        <s v="No calculado"/>
      </sharedItems>
    </cacheField>
    <cacheField name="SPI (Schedule Performance Index)" numFmtId="2">
      <sharedItems containsSemiMixedTypes="0" containsString="0" containsNumber="1" minValue="0" maxValue="2.5000000000000004"/>
    </cacheField>
    <cacheField name="Detalle SPI" numFmtId="2">
      <sharedItems count="6">
        <s v="Proyecto a tiempo según lo planificado"/>
        <s v="Proyecto atrasado con respecto al cronograma"/>
        <s v="Proyecto adelantado respecto al cronograma"/>
        <s v="Sin Línea Base"/>
        <e v="#DIV/0!" u="1"/>
        <e v="#VALUE!" u="1"/>
      </sharedItems>
    </cacheField>
    <cacheField name="EAC (Estimación al finalizar)" numFmtId="166">
      <sharedItems containsSemiMixedTypes="0" containsString="0" containsNumber="1" minValue="-2898780380" maxValue="24986354312.5"/>
    </cacheField>
    <cacheField name="VAC (Exceso de presupuesto proyectado)" numFmtId="166">
      <sharedItems containsSemiMixedTypes="0" containsString="0" containsNumber="1" minValue="-28089671329" maxValue="23563945155.5"/>
    </cacheField>
    <cacheField name="Ruta" numFmtId="0">
      <sharedItems containsMixedTypes="1" containsNumber="1" containsInteger="1" minValue="0" maxValue="0" longText="1"/>
    </cacheField>
    <cacheField name="Meta SPI" numFmtId="0">
      <sharedItems containsSemiMixedTypes="0" containsString="0" containsNumber="1" containsInteger="1" minValue="1" maxValue="1"/>
    </cacheField>
    <cacheField name="Meta CPI"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4">
  <r>
    <x v="0"/>
    <x v="0"/>
    <s v="72cbf93a-8da6-ef11-bd95-00155d10dc02"/>
    <d v="2024-11-19T15:45:04"/>
    <x v="0"/>
    <s v="Carlos Alberto Osorio Ortiz"/>
    <s v="https://growdatasas.sharepoint.com/sites/pwa/ERT-URT-HIPERCORVENGENCIA"/>
    <s v=" ​Suministro de una solución de Hiperconvergencia para la unidad de restitución de tierras "/>
    <s v="TI"/>
    <s v="0349"/>
    <s v="Activo.En Cierre"/>
    <n v="314881564"/>
    <d v="2024-01-01T00:00:00"/>
    <d v="2024-01-30T00:00:00"/>
    <n v="0.97"/>
    <n v="-3.0000000000000027E-2"/>
    <n v="1"/>
    <n v="1"/>
    <n v="1"/>
    <n v="1"/>
    <n v="314881564"/>
    <n v="314881564"/>
    <n v="314881564"/>
    <n v="0"/>
    <n v="0"/>
    <n v="1"/>
    <x v="0"/>
    <n v="1"/>
    <x v="0"/>
    <n v="314881564"/>
    <n v="0"/>
    <s v="https://growdatasas.sharepoint.com/:x:/r/sites/Gestiondocumental/Administrativa/GD/Financiera/_layouts/15/Doc.aspx?sourcedoc=%7BEA2AC996-D46C-4123-8126-7F0BE9537AF4%7D&amp;file=20241108%20MODELO%20FINANCIERO%20REFERENCIA%20V7.2%20APROBADO.xlsm&amp;action=default&amp;mobileredirect=true"/>
    <n v="1"/>
    <n v="1"/>
  </r>
  <r>
    <x v="0"/>
    <x v="0"/>
    <s v="a514ea09-ced4-ee11-bd00-00155d682338"/>
    <d v="2024-02-26T17:39:52"/>
    <x v="1"/>
    <s v="Carlos Fernando Gomez Rodriguez"/>
    <s v="https://growdatasas.sharepoint.com/sites/pwa/TELEFONICA - SENA MDA"/>
    <s v=" ​Mesa de servicio para el SENA "/>
    <s v="TI"/>
    <s v="0319"/>
    <s v="Cerrado"/>
    <n v="13344287960"/>
    <d v="2024-01-01T00:00:00"/>
    <d v="2024-03-30T00:00:00"/>
    <n v="2.97"/>
    <n v="-1.9700000000000002"/>
    <n v="1"/>
    <n v="3"/>
    <n v="0.3"/>
    <n v="0.25"/>
    <n v="1589891803"/>
    <n v="3336071990"/>
    <n v="4003286388"/>
    <n v="1746180187"/>
    <n v="-667214398"/>
    <n v="2.098301270378963"/>
    <x v="1"/>
    <n v="0.83333333333333337"/>
    <x v="1"/>
    <n v="6359567212"/>
    <n v="-6984720748"/>
    <s v="https://growdatasas.sharepoint.com/:x:/r/sites/Gestiondocumental/Administrativa/GD/Financiera/_layouts/15/Doc.aspx?sourcedoc=%7B06FB1484-E2DE-40DA-83E0-D97F6AF0AE9B%7D&amp;file=MODELO%20FINANCIERO%20REFERENCIA%20V7%20MS%2020240130.xlsx&amp;action=default&amp;mobileredirect=true"/>
    <n v="1"/>
    <n v="1"/>
  </r>
  <r>
    <x v="0"/>
    <x v="1"/>
    <s v="a514ea09-ced4-ee11-bd00-00155d682338"/>
    <d v="2024-02-26T17:39:52"/>
    <x v="1"/>
    <s v="Carlos Fernando Gomez Rodriguez"/>
    <s v="https://growdatasas.sharepoint.com/sites/pwa/TELEFONICA - SENA MDA"/>
    <s v=" ​Mesa de servicio para el SENA "/>
    <s v="TI"/>
    <s v="0319"/>
    <s v="Cerrado"/>
    <n v="13344287960"/>
    <d v="2024-01-01T00:00:00"/>
    <d v="2024-03-30T00:00:00"/>
    <n v="2.97"/>
    <n v="-0.9700000000000002"/>
    <n v="2"/>
    <n v="3"/>
    <n v="0.7"/>
    <n v="0.65"/>
    <n v="2323810625"/>
    <n v="8673787174"/>
    <n v="9341001572"/>
    <n v="6349976549"/>
    <n v="-667214398"/>
    <n v="3.7325705807029781"/>
    <x v="1"/>
    <n v="0.9285714285714286"/>
    <x v="1"/>
    <n v="3575093269.2307692"/>
    <n v="-9769194690.7692299"/>
    <s v="https://growdatasas.sharepoint.com/:x:/r/sites/Gestiondocumental/Administrativa/GD/Financiera/_layouts/15/Doc.aspx?sourcedoc=%7B06FB1484-E2DE-40DA-83E0-D97F6AF0AE9B%7D&amp;file=MODELO%20FINANCIERO%20REFERENCIA%20V7%20MS%2020240130.xlsx&amp;action=default&amp;mobileredirect=true"/>
    <n v="1"/>
    <n v="1"/>
  </r>
  <r>
    <x v="0"/>
    <x v="2"/>
    <s v="a514ea09-ced4-ee11-bd00-00155d682338"/>
    <d v="2024-02-26T17:39:52"/>
    <x v="1"/>
    <s v="Carlos Fernando Gomez Rodriguez"/>
    <s v="https://growdatasas.sharepoint.com/sites/pwa/TELEFONICA - SENA MDA"/>
    <s v=" ​Mesa de servicio para el SENA "/>
    <s v="TI"/>
    <s v="0319"/>
    <s v="Cerrado"/>
    <n v="13344287960"/>
    <d v="2024-01-01T00:00:00"/>
    <d v="2024-03-30T00:00:00"/>
    <n v="2.97"/>
    <n v="2.9999999999999805E-2"/>
    <n v="3"/>
    <n v="3"/>
    <n v="1"/>
    <n v="1"/>
    <n v="2323810625"/>
    <n v="13344287960"/>
    <n v="13344287960"/>
    <n v="11020477335"/>
    <n v="0"/>
    <n v="5.7424162780045815"/>
    <x v="1"/>
    <n v="1"/>
    <x v="0"/>
    <n v="2323810625"/>
    <n v="-11020477335"/>
    <s v="https://growdatasas.sharepoint.com/:x:/r/sites/Gestiondocumental/Administrativa/GD/Financiera/_layouts/15/Doc.aspx?sourcedoc=%7B06FB1484-E2DE-40DA-83E0-D97F6AF0AE9B%7D&amp;file=MODELO%20FINANCIERO%20REFERENCIA%20V7%20MS%2020240130.xlsx&amp;action=default&amp;mobileredirect=true"/>
    <n v="1"/>
    <n v="1"/>
  </r>
  <r>
    <x v="0"/>
    <x v="0"/>
    <m/>
    <m/>
    <x v="2"/>
    <m/>
    <m/>
    <m/>
    <m/>
    <m/>
    <m/>
    <n v="1422409157"/>
    <d v="2024-01-01T00:00:00"/>
    <d v="2024-08-30T00:00:00"/>
    <n v="7.97"/>
    <n v="-6.97"/>
    <n v="1"/>
    <n v="8"/>
    <n v="0.1"/>
    <n v="0.08"/>
    <n v="1998908345"/>
    <n v="113792732.56"/>
    <n v="142240915.70000002"/>
    <n v="-1885115612.4400001"/>
    <n v="-28448183.140000015"/>
    <n v="5.692743884162433E-2"/>
    <x v="2"/>
    <n v="0.79999999999999993"/>
    <x v="1"/>
    <n v="24986354312.5"/>
    <n v="23563945155.5"/>
    <s v="https://growdatasas.sharepoint.com/:x:/r/sites/Gestiondocumental/Administrativa/GD/Financiera/_layouts/15/Doc.aspx?sourcedoc=%7B453B6AA8-B631-4722-B916-8323F8C43E87%7D&amp;file=315%20CORP%20COLOMBIA%20DIGITAL%20FNA%20AE.xlsm&amp;action=default&amp;mobileredirect=true"/>
    <n v="1"/>
    <n v="1"/>
  </r>
  <r>
    <x v="0"/>
    <x v="1"/>
    <m/>
    <m/>
    <x v="2"/>
    <m/>
    <m/>
    <m/>
    <m/>
    <m/>
    <m/>
    <n v="1422409157"/>
    <d v="2024-01-01T00:00:00"/>
    <d v="2024-08-30T00:00:00"/>
    <n v="7.97"/>
    <n v="-5.97"/>
    <n v="2"/>
    <n v="8"/>
    <n v="0.2"/>
    <n v="0.18"/>
    <n v="2097650525"/>
    <n v="256033648.25999999"/>
    <n v="284481831.40000004"/>
    <n v="-1841616876.74"/>
    <n v="-28448183.140000045"/>
    <n v="0.12205734234972243"/>
    <x v="2"/>
    <n v="0.8999999999999998"/>
    <x v="1"/>
    <n v="11653614027.777779"/>
    <n v="10231204870.777779"/>
    <s v="https://growdatasas.sharepoint.com/:x:/r/sites/Gestiondocumental/Administrativa/GD/Financiera/_layouts/15/Doc.aspx?sourcedoc=%7B453B6AA8-B631-4722-B916-8323F8C43E87%7D&amp;file=315%20CORP%20COLOMBIA%20DIGITAL%20FNA%20AE.xlsm&amp;action=default&amp;mobileredirect=true"/>
    <n v="1"/>
    <n v="1"/>
  </r>
  <r>
    <x v="0"/>
    <x v="2"/>
    <m/>
    <m/>
    <x v="2"/>
    <m/>
    <m/>
    <m/>
    <m/>
    <m/>
    <m/>
    <n v="1422409157"/>
    <d v="2024-01-01T00:00:00"/>
    <d v="2024-08-30T00:00:00"/>
    <n v="7.97"/>
    <n v="-4.97"/>
    <n v="3"/>
    <n v="8"/>
    <n v="0.3"/>
    <n v="0.32"/>
    <n v="1998908345"/>
    <n v="455170930.24000001"/>
    <n v="426722747.09999996"/>
    <n v="-1543737414.76"/>
    <n v="28448183.140000045"/>
    <n v="0.22770975536649732"/>
    <x v="2"/>
    <n v="1.0666666666666669"/>
    <x v="2"/>
    <n v="6246588578.125"/>
    <n v="4824179421.125"/>
    <s v="https://growdatasas.sharepoint.com/:x:/r/sites/Gestiondocumental/Administrativa/GD/Financiera/_layouts/15/Doc.aspx?sourcedoc=%7B453B6AA8-B631-4722-B916-8323F8C43E87%7D&amp;file=315%20CORP%20COLOMBIA%20DIGITAL%20FNA%20AE.xlsm&amp;action=default&amp;mobileredirect=true"/>
    <n v="1"/>
    <n v="1"/>
  </r>
  <r>
    <x v="0"/>
    <x v="3"/>
    <m/>
    <m/>
    <x v="2"/>
    <m/>
    <m/>
    <m/>
    <m/>
    <m/>
    <m/>
    <n v="1422409157"/>
    <d v="2024-01-01T00:00:00"/>
    <d v="2024-08-30T00:00:00"/>
    <n v="7.97"/>
    <n v="-3.9699999999999998"/>
    <n v="4"/>
    <n v="8"/>
    <n v="0.5"/>
    <n v="0.51"/>
    <n v="153115600"/>
    <n v="725428670.07000005"/>
    <n v="711204578.5"/>
    <n v="572313070.07000005"/>
    <n v="14224091.570000052"/>
    <n v="4.7377841974952259"/>
    <x v="1"/>
    <n v="1.02"/>
    <x v="2"/>
    <n v="300226666.66666669"/>
    <n v="-1122182490.3333333"/>
    <s v="https://growdatasas.sharepoint.com/:x:/r/sites/Gestiondocumental/Administrativa/GD/Financiera/_layouts/15/Doc.aspx?sourcedoc=%7B453B6AA8-B631-4722-B916-8323F8C43E87%7D&amp;file=315%20CORP%20COLOMBIA%20DIGITAL%20FNA%20AE.xlsm&amp;action=default&amp;mobileredirect=true"/>
    <n v="1"/>
    <n v="1"/>
  </r>
  <r>
    <x v="0"/>
    <x v="4"/>
    <m/>
    <m/>
    <x v="2"/>
    <m/>
    <m/>
    <m/>
    <m/>
    <m/>
    <m/>
    <n v="1422409157"/>
    <d v="2024-01-01T00:00:00"/>
    <d v="2024-08-30T00:00:00"/>
    <n v="7.97"/>
    <n v="-2.9699999999999998"/>
    <n v="5"/>
    <n v="8"/>
    <n v="0.6"/>
    <n v="0.6"/>
    <n v="153115600"/>
    <n v="853445494.19999993"/>
    <n v="853445494.19999993"/>
    <n v="700329894.19999993"/>
    <n v="0"/>
    <n v="5.5738637617590889"/>
    <x v="1"/>
    <n v="1"/>
    <x v="0"/>
    <n v="255192666.66666669"/>
    <n v="-1167216490.3333333"/>
    <s v="https://growdatasas.sharepoint.com/:x:/r/sites/Gestiondocumental/Administrativa/GD/Financiera/_layouts/15/Doc.aspx?sourcedoc=%7B453B6AA8-B631-4722-B916-8323F8C43E87%7D&amp;file=315%20CORP%20COLOMBIA%20DIGITAL%20FNA%20AE.xlsm&amp;action=default&amp;mobileredirect=true"/>
    <n v="1"/>
    <n v="1"/>
  </r>
  <r>
    <x v="0"/>
    <x v="5"/>
    <m/>
    <m/>
    <x v="2"/>
    <m/>
    <m/>
    <m/>
    <m/>
    <m/>
    <m/>
    <n v="1422409157"/>
    <d v="2024-01-01T00:00:00"/>
    <d v="2024-08-30T00:00:00"/>
    <n v="7.97"/>
    <n v="-1.9699999999999998"/>
    <n v="6"/>
    <n v="8"/>
    <n v="0.75"/>
    <n v="0.73"/>
    <n v="251857780"/>
    <n v="1038358684.61"/>
    <n v="1066806867.75"/>
    <n v="786500904.61000001"/>
    <n v="-28448183.139999986"/>
    <n v="4.1227977337448145"/>
    <x v="1"/>
    <n v="0.97333333333333338"/>
    <x v="1"/>
    <n v="345010657.53424656"/>
    <n v="-1077398499.4657536"/>
    <s v="https://growdatasas.sharepoint.com/:x:/r/sites/Gestiondocumental/Administrativa/GD/Financiera/_layouts/15/Doc.aspx?sourcedoc=%7B453B6AA8-B631-4722-B916-8323F8C43E87%7D&amp;file=315%20CORP%20COLOMBIA%20DIGITAL%20FNA%20AE.xlsm&amp;action=default&amp;mobileredirect=true"/>
    <n v="1"/>
    <n v="1"/>
  </r>
  <r>
    <x v="0"/>
    <x v="6"/>
    <m/>
    <m/>
    <x v="2"/>
    <m/>
    <m/>
    <m/>
    <m/>
    <m/>
    <m/>
    <n v="1422409157"/>
    <d v="2024-01-01T00:00:00"/>
    <d v="2024-08-30T00:00:00"/>
    <n v="7.97"/>
    <n v="-0.96999999999999975"/>
    <n v="7"/>
    <n v="8"/>
    <n v="0.8"/>
    <n v="0.82"/>
    <n v="153115600"/>
    <n v="1166375508.74"/>
    <n v="1137927325.6000001"/>
    <n v="1013259908.74"/>
    <n v="28448183.139999866"/>
    <n v="7.6176138077374222"/>
    <x v="1"/>
    <n v="1.0249999999999999"/>
    <x v="2"/>
    <n v="186726341.46341464"/>
    <n v="-1235682815.5365853"/>
    <s v="https://growdatasas.sharepoint.com/:x:/r/sites/Gestiondocumental/Administrativa/GD/Financiera/_layouts/15/Doc.aspx?sourcedoc=%7B453B6AA8-B631-4722-B916-8323F8C43E87%7D&amp;file=315%20CORP%20COLOMBIA%20DIGITAL%20FNA%20AE.xlsm&amp;action=default&amp;mobileredirect=true"/>
    <n v="1"/>
    <n v="1"/>
  </r>
  <r>
    <x v="0"/>
    <x v="7"/>
    <m/>
    <m/>
    <x v="2"/>
    <m/>
    <m/>
    <m/>
    <m/>
    <m/>
    <m/>
    <n v="1422409157"/>
    <d v="2024-01-01T00:00:00"/>
    <d v="2024-08-30T00:00:00"/>
    <n v="7.97"/>
    <n v="3.0000000000000249E-2"/>
    <n v="8"/>
    <n v="8"/>
    <n v="1"/>
    <n v="1"/>
    <n v="153115600"/>
    <n v="1422409157"/>
    <n v="1422409157"/>
    <n v="1269293557"/>
    <n v="0"/>
    <n v="9.2897729362651482"/>
    <x v="1"/>
    <n v="1"/>
    <x v="0"/>
    <n v="153115600"/>
    <n v="-1269293557"/>
    <s v="https://growdatasas.sharepoint.com/:x:/r/sites/Gestiondocumental/Administrativa/GD/Financiera/_layouts/15/Doc.aspx?sourcedoc=%7B453B6AA8-B631-4722-B916-8323F8C43E87%7D&amp;file=315%20CORP%20COLOMBIA%20DIGITAL%20FNA%20AE.xlsm&amp;action=default&amp;mobileredirect=true"/>
    <n v="1"/>
    <n v="1"/>
  </r>
  <r>
    <x v="0"/>
    <x v="0"/>
    <m/>
    <m/>
    <x v="3"/>
    <m/>
    <m/>
    <m/>
    <m/>
    <m/>
    <m/>
    <n v="5280083724"/>
    <d v="2024-01-09T00:00:00"/>
    <d v="2024-06-30T00:00:00"/>
    <n v="5.7"/>
    <n v="-4.7"/>
    <n v="1"/>
    <n v="6"/>
    <n v="0.2"/>
    <n v="0.25"/>
    <n v="35266820"/>
    <n v="1320020931"/>
    <n v="1056016744.8000001"/>
    <n v="1284754111"/>
    <n v="264004186.19999993"/>
    <n v="37.429542300666746"/>
    <x v="1"/>
    <n v="1.25"/>
    <x v="2"/>
    <n v="141067280"/>
    <n v="-5139016444"/>
    <s v="https://growdatasas.sharepoint.com/:x:/r/sites/Gestiondocumental/Administrativa/GD/Financiera/_layouts/15/Doc.aspx?sourcedoc=%7BB4DE39AF-1EC1-466C-A807-3FE95776A982%7D&amp;file=17012024%20INFOTIC%20DPC%20SOC%20V2.xlsm&amp;action=default&amp;mobileredirect=true"/>
    <n v="1"/>
    <n v="1"/>
  </r>
  <r>
    <x v="0"/>
    <x v="1"/>
    <m/>
    <m/>
    <x v="3"/>
    <m/>
    <m/>
    <m/>
    <m/>
    <m/>
    <m/>
    <n v="5280083724"/>
    <d v="2024-01-09T00:00:00"/>
    <d v="2024-06-30T00:00:00"/>
    <n v="5.7"/>
    <n v="-3.7"/>
    <n v="2"/>
    <n v="6"/>
    <n v="0.45"/>
    <n v="0.35"/>
    <n v="4039374977"/>
    <n v="1848029303.3999999"/>
    <n v="2376037675.8000002"/>
    <n v="-2191345673.6000004"/>
    <n v="-528008372.40000033"/>
    <n v="0.45750377568871092"/>
    <x v="2"/>
    <n v="0.77777777777777768"/>
    <x v="1"/>
    <n v="11541071362.857143"/>
    <n v="6260987638.8571434"/>
    <s v="https://growdatasas.sharepoint.com/:x:/r/sites/Gestiondocumental/Administrativa/GD/Financiera/_layouts/15/Doc.aspx?sourcedoc=%7BB4DE39AF-1EC1-466C-A807-3FE95776A982%7D&amp;file=17012024%20INFOTIC%20DPC%20SOC%20V2.xlsm&amp;action=default&amp;mobileredirect=true"/>
    <n v="1"/>
    <n v="1"/>
  </r>
  <r>
    <x v="0"/>
    <x v="2"/>
    <m/>
    <m/>
    <x v="3"/>
    <m/>
    <m/>
    <m/>
    <m/>
    <m/>
    <m/>
    <n v="5280083724"/>
    <d v="2024-01-09T00:00:00"/>
    <d v="2024-06-30T00:00:00"/>
    <n v="5.7"/>
    <n v="-2.7"/>
    <n v="3"/>
    <n v="6"/>
    <n v="0.6"/>
    <n v="0.38"/>
    <n v="1072838872"/>
    <n v="2006431815.1200001"/>
    <n v="3168050234.4000001"/>
    <n v="933592943.12000012"/>
    <n v="-1161618419.28"/>
    <n v="1.8702079757602221"/>
    <x v="1"/>
    <n v="0.6333333333333333"/>
    <x v="1"/>
    <n v="2823260189.4736843"/>
    <n v="-2456823534.5263157"/>
    <s v="https://growdatasas.sharepoint.com/:x:/r/sites/Gestiondocumental/Administrativa/GD/Financiera/_layouts/15/Doc.aspx?sourcedoc=%7BB4DE39AF-1EC1-466C-A807-3FE95776A982%7D&amp;file=17012024%20INFOTIC%20DPC%20SOC%20V2.xlsm&amp;action=default&amp;mobileredirect=true"/>
    <n v="1"/>
    <n v="1"/>
  </r>
  <r>
    <x v="0"/>
    <x v="3"/>
    <m/>
    <m/>
    <x v="3"/>
    <m/>
    <m/>
    <m/>
    <m/>
    <m/>
    <m/>
    <n v="5280083724"/>
    <d v="2024-01-09T00:00:00"/>
    <d v="2024-06-30T00:00:00"/>
    <n v="5.7"/>
    <n v="-1.7000000000000002"/>
    <n v="4"/>
    <n v="6"/>
    <n v="0.75"/>
    <n v="0.49"/>
    <n v="35266820"/>
    <n v="2587241024.7599998"/>
    <n v="3960062793"/>
    <n v="2551974204.7599998"/>
    <n v="-1372821768.2400002"/>
    <n v="73.361902909306821"/>
    <x v="1"/>
    <n v="0.65333333333333332"/>
    <x v="1"/>
    <n v="71973102.040816322"/>
    <n v="-5208110621.9591837"/>
    <s v="https://growdatasas.sharepoint.com/:x:/r/sites/Gestiondocumental/Administrativa/GD/Financiera/_layouts/15/Doc.aspx?sourcedoc=%7BB4DE39AF-1EC1-466C-A807-3FE95776A982%7D&amp;file=17012024%20INFOTIC%20DPC%20SOC%20V2.xlsm&amp;action=default&amp;mobileredirect=true"/>
    <n v="1"/>
    <n v="1"/>
  </r>
  <r>
    <x v="0"/>
    <x v="4"/>
    <m/>
    <m/>
    <x v="3"/>
    <m/>
    <m/>
    <m/>
    <m/>
    <m/>
    <m/>
    <n v="5280083724"/>
    <d v="2024-01-09T00:00:00"/>
    <d v="2024-06-30T00:00:00"/>
    <n v="5.7"/>
    <n v="-0.70000000000000018"/>
    <n v="5"/>
    <n v="6"/>
    <n v="0.8"/>
    <n v="0.6"/>
    <n v="35266820"/>
    <n v="3168050234.4000001"/>
    <n v="4224066979.2000003"/>
    <n v="3132783414.4000001"/>
    <n v="-1056016744.8000002"/>
    <n v="89.830901521600197"/>
    <x v="1"/>
    <n v="0.75"/>
    <x v="1"/>
    <n v="58778033.333333328"/>
    <n v="-5221305690.666667"/>
    <s v="https://growdatasas.sharepoint.com/:x:/r/sites/Gestiondocumental/Administrativa/GD/Financiera/_layouts/15/Doc.aspx?sourcedoc=%7BB4DE39AF-1EC1-466C-A807-3FE95776A982%7D&amp;file=17012024%20INFOTIC%20DPC%20SOC%20V2.xlsm&amp;action=default&amp;mobileredirect=true"/>
    <n v="1"/>
    <n v="1"/>
  </r>
  <r>
    <x v="0"/>
    <x v="5"/>
    <m/>
    <m/>
    <x v="3"/>
    <m/>
    <m/>
    <m/>
    <m/>
    <m/>
    <m/>
    <n v="5280083724"/>
    <d v="2024-01-09T00:00:00"/>
    <d v="2024-06-30T00:00:00"/>
    <n v="5.7"/>
    <n v="0.29999999999999982"/>
    <n v="6"/>
    <n v="6"/>
    <n v="1"/>
    <n v="0.78"/>
    <n v="35266820"/>
    <n v="4118465304.7200003"/>
    <n v="5280083724"/>
    <n v="4083198484.7200003"/>
    <n v="-1161618419.2799997"/>
    <n v="116.78017197808025"/>
    <x v="1"/>
    <n v="0.78"/>
    <x v="1"/>
    <n v="45213871.794871792"/>
    <n v="-5234869852.2051287"/>
    <s v="https://growdatasas.sharepoint.com/:x:/r/sites/Gestiondocumental/Administrativa/GD/Financiera/_layouts/15/Doc.aspx?sourcedoc=%7BB4DE39AF-1EC1-466C-A807-3FE95776A982%7D&amp;file=17012024%20INFOTIC%20DPC%20SOC%20V2.xlsm&amp;action=default&amp;mobileredirect=true"/>
    <n v="1"/>
    <n v="1"/>
  </r>
  <r>
    <x v="0"/>
    <x v="6"/>
    <m/>
    <m/>
    <x v="3"/>
    <m/>
    <m/>
    <m/>
    <m/>
    <m/>
    <m/>
    <n v="5280083724"/>
    <d v="2024-01-09T00:00:00"/>
    <d v="2024-06-30T00:00:00"/>
    <n v="5.7"/>
    <n v="1.2999999999999998"/>
    <n v="7"/>
    <n v="6"/>
    <n v="1"/>
    <n v="0.9"/>
    <n v="13401297"/>
    <n v="4752075351.6000004"/>
    <n v="5280083724"/>
    <n v="4738674054.6000004"/>
    <n v="-528008372.39999962"/>
    <n v="354.59816699831367"/>
    <x v="1"/>
    <n v="0.9"/>
    <x v="1"/>
    <n v="14890330"/>
    <n v="-5265193394"/>
    <s v="https://growdatasas.sharepoint.com/:x:/r/sites/Gestiondocumental/Administrativa/GD/Financiera/_layouts/15/Doc.aspx?sourcedoc=%7BB4DE39AF-1EC1-466C-A807-3FE95776A982%7D&amp;file=17012024%20INFOTIC%20DPC%20SOC%20V2.xlsm&amp;action=default&amp;mobileredirect=true"/>
    <n v="1"/>
    <n v="1"/>
  </r>
  <r>
    <x v="0"/>
    <x v="7"/>
    <m/>
    <m/>
    <x v="3"/>
    <m/>
    <m/>
    <m/>
    <m/>
    <m/>
    <m/>
    <n v="5280083724"/>
    <d v="2024-01-09T00:00:00"/>
    <d v="2024-06-30T00:00:00"/>
    <n v="5.7"/>
    <n v="2.2999999999999998"/>
    <n v="8"/>
    <n v="6"/>
    <n v="1"/>
    <n v="1"/>
    <n v="13401297"/>
    <n v="5280083724"/>
    <n v="5280083724"/>
    <n v="5266682427"/>
    <n v="0"/>
    <n v="393.99796333145963"/>
    <x v="1"/>
    <n v="1"/>
    <x v="0"/>
    <n v="13401297"/>
    <n v="-5266682427"/>
    <s v="https://growdatasas.sharepoint.com/:x:/r/sites/Gestiondocumental/Administrativa/GD/Financiera/_layouts/15/Doc.aspx?sourcedoc=%7BB4DE39AF-1EC1-466C-A807-3FE95776A982%7D&amp;file=17012024%20INFOTIC%20DPC%20SOC%20V2.xlsm&amp;action=default&amp;mobileredirect=true"/>
    <n v="1"/>
    <n v="1"/>
  </r>
  <r>
    <x v="0"/>
    <x v="0"/>
    <m/>
    <m/>
    <x v="4"/>
    <m/>
    <m/>
    <m/>
    <m/>
    <m/>
    <m/>
    <n v="3323223361"/>
    <d v="2024-01-09T00:00:00"/>
    <d v="2024-06-30T00:00:00"/>
    <n v="5.7"/>
    <n v="-4.7"/>
    <n v="1"/>
    <n v="6"/>
    <n v="0.2"/>
    <n v="0.2"/>
    <m/>
    <n v="664644672.20000005"/>
    <n v="664644672.20000005"/>
    <n v="664644672.20000005"/>
    <n v="0"/>
    <s v="No se realizó gasto en este corte"/>
    <x v="1"/>
    <n v="1"/>
    <x v="0"/>
    <n v="0"/>
    <n v="-3323223361"/>
    <s v="https://growdatasas.sharepoint.com/:x:/r/sites/Gestiondocumental/Administrativa/GD/Financiera/_layouts/15/Doc.aspx?sourcedoc=%7BC3EFE0E2-C211-45B0-905D-ECEF11221767%7D&amp;file=299.%20DEFENSORIA_ERP.xlsm&amp;action=default&amp;mobileredirect=true"/>
    <n v="1"/>
    <n v="1"/>
  </r>
  <r>
    <x v="0"/>
    <x v="1"/>
    <m/>
    <m/>
    <x v="4"/>
    <m/>
    <m/>
    <m/>
    <m/>
    <m/>
    <m/>
    <n v="3323223361"/>
    <d v="2024-01-09T00:00:00"/>
    <d v="2024-06-30T00:00:00"/>
    <n v="5.7"/>
    <n v="-3.7"/>
    <n v="2"/>
    <n v="6"/>
    <n v="0.3"/>
    <n v="0.3"/>
    <m/>
    <n v="996967008.29999995"/>
    <n v="996967008.29999995"/>
    <n v="996967008.29999995"/>
    <n v="0"/>
    <s v="No se realizó gasto en este corte"/>
    <x v="1"/>
    <n v="1"/>
    <x v="0"/>
    <n v="0"/>
    <n v="-3323223361"/>
    <s v="https://growdatasas.sharepoint.com/:x:/r/sites/Gestiondocumental/Administrativa/GD/Financiera/_layouts/15/Doc.aspx?sourcedoc=%7BC3EFE0E2-C211-45B0-905D-ECEF11221767%7D&amp;file=299.%20DEFENSORIA_ERP.xlsm&amp;action=default&amp;mobileredirect=true"/>
    <n v="1"/>
    <n v="1"/>
  </r>
  <r>
    <x v="0"/>
    <x v="2"/>
    <m/>
    <m/>
    <x v="4"/>
    <m/>
    <m/>
    <m/>
    <m/>
    <m/>
    <m/>
    <n v="3323223361"/>
    <d v="2024-01-09T00:00:00"/>
    <d v="2024-06-30T00:00:00"/>
    <n v="5.7"/>
    <n v="19.3"/>
    <n v="25"/>
    <n v="6"/>
    <n v="0.5"/>
    <n v="0.4"/>
    <m/>
    <n v="1329289344.4000001"/>
    <n v="1661611680.5"/>
    <n v="1329289344.4000001"/>
    <n v="-332322336.0999999"/>
    <s v="No se realizó gasto en este corte"/>
    <x v="1"/>
    <n v="0.8"/>
    <x v="1"/>
    <n v="0"/>
    <n v="-3323223361"/>
    <s v="https://growdatasas.sharepoint.com/:x:/r/sites/Gestiondocumental/Administrativa/GD/Financiera/_layouts/15/Doc.aspx?sourcedoc=%7BC3EFE0E2-C211-45B0-905D-ECEF11221767%7D&amp;file=299.%20DEFENSORIA_ERP.xlsm&amp;action=default&amp;mobileredirect=true"/>
    <n v="1"/>
    <n v="1"/>
  </r>
  <r>
    <x v="0"/>
    <x v="3"/>
    <m/>
    <m/>
    <x v="4"/>
    <m/>
    <m/>
    <m/>
    <m/>
    <m/>
    <m/>
    <n v="3323223361"/>
    <d v="2024-01-09T00:00:00"/>
    <d v="2024-06-30T00:00:00"/>
    <n v="5.7"/>
    <n v="19.3"/>
    <n v="25"/>
    <n v="6"/>
    <n v="0.75"/>
    <n v="0.42000000000000004"/>
    <m/>
    <n v="1395753811.6200001"/>
    <n v="2492417520.75"/>
    <n v="1395753811.6200001"/>
    <n v="-1096663709.1299999"/>
    <s v="No se realizó gasto en este corte"/>
    <x v="1"/>
    <n v="0.56000000000000005"/>
    <x v="1"/>
    <n v="0"/>
    <n v="-3323223361"/>
    <s v="https://growdatasas.sharepoint.com/:x:/r/sites/Gestiondocumental/Administrativa/GD/Financiera/_layouts/15/Doc.aspx?sourcedoc=%7BC3EFE0E2-C211-45B0-905D-ECEF11221767%7D&amp;file=299.%20DEFENSORIA_ERP.xlsm&amp;action=default&amp;mobileredirect=true"/>
    <n v="1"/>
    <n v="1"/>
  </r>
  <r>
    <x v="0"/>
    <x v="4"/>
    <m/>
    <m/>
    <x v="4"/>
    <m/>
    <m/>
    <m/>
    <m/>
    <m/>
    <m/>
    <n v="3323223361"/>
    <d v="2024-01-09T00:00:00"/>
    <d v="2024-06-30T00:00:00"/>
    <n v="5.7"/>
    <n v="19.3"/>
    <n v="25"/>
    <n v="6"/>
    <n v="0.8"/>
    <n v="0.44000000000000006"/>
    <m/>
    <n v="1462218278.8400002"/>
    <n v="2658578688.8000002"/>
    <n v="1462218278.8400002"/>
    <n v="-1196360409.96"/>
    <s v="No se realizó gasto en este corte"/>
    <x v="1"/>
    <n v="0.55000000000000004"/>
    <x v="1"/>
    <n v="0"/>
    <n v="-3323223361"/>
    <s v="https://growdatasas.sharepoint.com/:x:/r/sites/Gestiondocumental/Administrativa/GD/Financiera/_layouts/15/Doc.aspx?sourcedoc=%7BC3EFE0E2-C211-45B0-905D-ECEF11221767%7D&amp;file=299.%20DEFENSORIA_ERP.xlsm&amp;action=default&amp;mobileredirect=true"/>
    <n v="1"/>
    <n v="1"/>
  </r>
  <r>
    <x v="0"/>
    <x v="5"/>
    <m/>
    <m/>
    <x v="4"/>
    <m/>
    <m/>
    <m/>
    <m/>
    <m/>
    <m/>
    <n v="3323223361"/>
    <d v="2024-01-09T00:00:00"/>
    <d v="2024-06-30T00:00:00"/>
    <n v="5.7"/>
    <n v="19.3"/>
    <n v="25"/>
    <n v="6"/>
    <n v="1"/>
    <n v="0.46000000000000008"/>
    <m/>
    <n v="1528682746.0600002"/>
    <n v="3323223361"/>
    <n v="1528682746.0600002"/>
    <n v="-1794540614.9399998"/>
    <s v="No se realizó gasto en este corte"/>
    <x v="1"/>
    <n v="0.46000000000000008"/>
    <x v="1"/>
    <n v="0"/>
    <n v="-3323223361"/>
    <s v="https://growdatasas.sharepoint.com/:x:/r/sites/Gestiondocumental/Administrativa/GD/Financiera/_layouts/15/Doc.aspx?sourcedoc=%7BC3EFE0E2-C211-45B0-905D-ECEF11221767%7D&amp;file=299.%20DEFENSORIA_ERP.xlsm&amp;action=default&amp;mobileredirect=true"/>
    <n v="1"/>
    <n v="1"/>
  </r>
  <r>
    <x v="0"/>
    <x v="6"/>
    <m/>
    <m/>
    <x v="4"/>
    <m/>
    <m/>
    <m/>
    <m/>
    <m/>
    <m/>
    <n v="3323223361"/>
    <d v="2024-01-09T00:00:00"/>
    <d v="2024-06-30T00:00:00"/>
    <n v="5.7"/>
    <n v="19.3"/>
    <n v="25"/>
    <n v="6"/>
    <n v="1"/>
    <n v="0.48000000000000009"/>
    <m/>
    <n v="1595147213.2800002"/>
    <n v="3323223361"/>
    <n v="1595147213.2800002"/>
    <n v="-1728076147.7199998"/>
    <s v="No se realizó gasto en este corte"/>
    <x v="1"/>
    <n v="0.48000000000000004"/>
    <x v="1"/>
    <n v="0"/>
    <n v="-3323223361"/>
    <s v="https://growdatasas.sharepoint.com/:x:/r/sites/Gestiondocumental/Administrativa/GD/Financiera/_layouts/15/Doc.aspx?sourcedoc=%7BC3EFE0E2-C211-45B0-905D-ECEF11221767%7D&amp;file=299.%20DEFENSORIA_ERP.xlsm&amp;action=default&amp;mobileredirect=true"/>
    <n v="1"/>
    <n v="1"/>
  </r>
  <r>
    <x v="0"/>
    <x v="7"/>
    <m/>
    <m/>
    <x v="4"/>
    <m/>
    <m/>
    <m/>
    <m/>
    <m/>
    <m/>
    <n v="3323223361"/>
    <d v="2024-01-09T00:00:00"/>
    <d v="2024-06-30T00:00:00"/>
    <n v="5.7"/>
    <n v="19.3"/>
    <n v="25"/>
    <n v="6"/>
    <n v="1"/>
    <n v="0.50000000000000011"/>
    <m/>
    <n v="1661611680.5000005"/>
    <n v="3323223361"/>
    <n v="1661611680.5000005"/>
    <n v="-1661611680.4999995"/>
    <s v="No se realizó gasto en este corte"/>
    <x v="1"/>
    <n v="0.50000000000000011"/>
    <x v="1"/>
    <n v="0"/>
    <n v="-3323223361"/>
    <s v="https://growdatasas.sharepoint.com/:x:/r/sites/Gestiondocumental/Administrativa/GD/Financiera/_layouts/15/Doc.aspx?sourcedoc=%7BC3EFE0E2-C211-45B0-905D-ECEF11221767%7D&amp;file=299.%20DEFENSORIA_ERP.xlsm&amp;action=default&amp;mobileredirect=true"/>
    <n v="1"/>
    <n v="1"/>
  </r>
  <r>
    <x v="0"/>
    <x v="8"/>
    <m/>
    <m/>
    <x v="4"/>
    <m/>
    <m/>
    <m/>
    <m/>
    <m/>
    <m/>
    <n v="3323223361"/>
    <d v="2024-01-09T00:00:00"/>
    <d v="2024-06-30T00:00:00"/>
    <n v="5.7"/>
    <n v="19.3"/>
    <n v="25"/>
    <n v="6"/>
    <n v="1"/>
    <n v="0.52000000000000013"/>
    <m/>
    <n v="1728076147.7200005"/>
    <n v="3323223361"/>
    <n v="1728076147.7200005"/>
    <n v="-1595147213.2799995"/>
    <s v="No se realizó gasto en este corte"/>
    <x v="1"/>
    <n v="0.52000000000000013"/>
    <x v="1"/>
    <n v="0"/>
    <n v="-3323223361"/>
    <s v="https://growdatasas.sharepoint.com/:x:/r/sites/Gestiondocumental/Administrativa/GD/Financiera/_layouts/15/Doc.aspx?sourcedoc=%7BC3EFE0E2-C211-45B0-905D-ECEF11221767%7D&amp;file=299.%20DEFENSORIA_ERP.xlsm&amp;action=default&amp;mobileredirect=true"/>
    <n v="1"/>
    <n v="1"/>
  </r>
  <r>
    <x v="0"/>
    <x v="9"/>
    <m/>
    <m/>
    <x v="4"/>
    <m/>
    <m/>
    <m/>
    <m/>
    <m/>
    <m/>
    <n v="3323223361"/>
    <d v="2024-01-09T00:00:00"/>
    <d v="2024-06-30T00:00:00"/>
    <n v="5.7"/>
    <n v="19.3"/>
    <n v="25"/>
    <n v="6"/>
    <n v="1"/>
    <n v="0.54000000000000015"/>
    <m/>
    <n v="1794540614.9400005"/>
    <n v="3323223361"/>
    <n v="1794540614.9400005"/>
    <n v="-1528682746.0599995"/>
    <s v="No se realizó gasto en este corte"/>
    <x v="1"/>
    <n v="0.54000000000000015"/>
    <x v="1"/>
    <n v="0"/>
    <n v="-3323223361"/>
    <s v="https://growdatasas.sharepoint.com/:x:/r/sites/Gestiondocumental/Administrativa/GD/Financiera/_layouts/15/Doc.aspx?sourcedoc=%7BC3EFE0E2-C211-45B0-905D-ECEF11221767%7D&amp;file=299.%20DEFENSORIA_ERP.xlsm&amp;action=default&amp;mobileredirect=true"/>
    <n v="1"/>
    <n v="1"/>
  </r>
  <r>
    <x v="0"/>
    <x v="10"/>
    <m/>
    <m/>
    <x v="4"/>
    <m/>
    <m/>
    <m/>
    <m/>
    <m/>
    <m/>
    <n v="3323223361"/>
    <d v="2024-01-09T00:00:00"/>
    <d v="2024-06-30T00:00:00"/>
    <n v="5.7"/>
    <n v="19.3"/>
    <n v="25"/>
    <n v="6"/>
    <n v="1"/>
    <n v="0.56000000000000016"/>
    <m/>
    <n v="1861005082.1600006"/>
    <n v="3323223361"/>
    <n v="1861005082.1600006"/>
    <n v="-1462218278.8399994"/>
    <s v="No se realizó gasto en este corte"/>
    <x v="1"/>
    <n v="0.56000000000000016"/>
    <x v="1"/>
    <n v="0"/>
    <n v="-3323223361"/>
    <s v="https://growdatasas.sharepoint.com/:x:/r/sites/Gestiondocumental/Administrativa/GD/Financiera/_layouts/15/Doc.aspx?sourcedoc=%7BC3EFE0E2-C211-45B0-905D-ECEF11221767%7D&amp;file=299.%20DEFENSORIA_ERP.xlsm&amp;action=default&amp;mobileredirect=true"/>
    <n v="1"/>
    <n v="1"/>
  </r>
  <r>
    <x v="0"/>
    <x v="11"/>
    <m/>
    <m/>
    <x v="4"/>
    <m/>
    <m/>
    <m/>
    <m/>
    <m/>
    <m/>
    <n v="3323223361"/>
    <d v="2024-01-09T00:00:00"/>
    <d v="2024-06-30T00:00:00"/>
    <n v="5.7"/>
    <n v="19.3"/>
    <n v="25"/>
    <n v="6"/>
    <n v="1"/>
    <n v="0.58000000000000018"/>
    <m/>
    <n v="1927469549.3800006"/>
    <n v="3323223361"/>
    <n v="1927469549.3800006"/>
    <n v="-1395753811.6199994"/>
    <s v="No se realizó gasto en este corte"/>
    <x v="1"/>
    <n v="0.58000000000000018"/>
    <x v="1"/>
    <n v="0"/>
    <n v="-3323223361"/>
    <s v="https://growdatasas.sharepoint.com/:x:/r/sites/Gestiondocumental/Administrativa/GD/Financiera/_layouts/15/Doc.aspx?sourcedoc=%7BC3EFE0E2-C211-45B0-905D-ECEF11221767%7D&amp;file=299.%20DEFENSORIA_ERP.xlsm&amp;action=default&amp;mobileredirect=true"/>
    <n v="1"/>
    <n v="1"/>
  </r>
  <r>
    <x v="1"/>
    <x v="0"/>
    <m/>
    <m/>
    <x v="4"/>
    <m/>
    <m/>
    <m/>
    <m/>
    <m/>
    <m/>
    <n v="3323223361"/>
    <d v="2024-01-09T00:00:00"/>
    <d v="2024-06-30T00:00:00"/>
    <n v="5.7"/>
    <n v="19.3"/>
    <n v="25"/>
    <n v="6"/>
    <n v="1"/>
    <n v="0.6000000000000002"/>
    <m/>
    <n v="1993934016.6000006"/>
    <n v="3323223361"/>
    <n v="1993934016.6000006"/>
    <n v="-1329289344.3999994"/>
    <s v="No se realizó gasto en este corte"/>
    <x v="1"/>
    <n v="0.6000000000000002"/>
    <x v="1"/>
    <n v="0"/>
    <n v="-3323223361"/>
    <s v="https://growdatasas.sharepoint.com/:x:/r/sites/Gestiondocumental/Administrativa/GD/Financiera/_layouts/15/Doc.aspx?sourcedoc=%7BC3EFE0E2-C211-45B0-905D-ECEF11221767%7D&amp;file=299.%20DEFENSORIA_ERP.xlsm&amp;action=default&amp;mobileredirect=true"/>
    <n v="1"/>
    <n v="1"/>
  </r>
  <r>
    <x v="1"/>
    <x v="1"/>
    <m/>
    <m/>
    <x v="4"/>
    <m/>
    <m/>
    <m/>
    <m/>
    <m/>
    <m/>
    <n v="3323223361"/>
    <d v="2024-01-09T00:00:00"/>
    <d v="2024-06-30T00:00:00"/>
    <n v="5.7"/>
    <n v="19.3"/>
    <n v="25"/>
    <n v="6"/>
    <n v="1"/>
    <n v="0.62000000000000022"/>
    <m/>
    <n v="2060398483.8200006"/>
    <n v="3323223361"/>
    <n v="2060398483.8200006"/>
    <n v="-1262824877.1799994"/>
    <s v="No se realizó gasto en este corte"/>
    <x v="1"/>
    <n v="0.62000000000000022"/>
    <x v="1"/>
    <n v="0"/>
    <n v="-3323223361"/>
    <s v="https://growdatasas.sharepoint.com/:x:/r/sites/Gestiondocumental/Administrativa/GD/Financiera/_layouts/15/Doc.aspx?sourcedoc=%7BC3EFE0E2-C211-45B0-905D-ECEF11221767%7D&amp;file=299.%20DEFENSORIA_ERP.xlsm&amp;action=default&amp;mobileredirect=true"/>
    <n v="1"/>
    <n v="1"/>
  </r>
  <r>
    <x v="1"/>
    <x v="2"/>
    <m/>
    <m/>
    <x v="4"/>
    <m/>
    <m/>
    <m/>
    <m/>
    <m/>
    <m/>
    <n v="3323223361"/>
    <d v="2024-01-09T00:00:00"/>
    <d v="2024-06-30T00:00:00"/>
    <n v="5.7"/>
    <n v="19.3"/>
    <n v="25"/>
    <n v="6"/>
    <n v="1"/>
    <n v="0.64000000000000024"/>
    <m/>
    <n v="2126862951.0400007"/>
    <n v="3323223361"/>
    <n v="2126862951.0400007"/>
    <n v="-1196360409.9599993"/>
    <s v="No se realizó gasto en este corte"/>
    <x v="1"/>
    <n v="0.64000000000000024"/>
    <x v="1"/>
    <n v="0"/>
    <n v="-3323223361"/>
    <s v="https://growdatasas.sharepoint.com/:x:/r/sites/Gestiondocumental/Administrativa/GD/Financiera/_layouts/15/Doc.aspx?sourcedoc=%7BC3EFE0E2-C211-45B0-905D-ECEF11221767%7D&amp;file=299.%20DEFENSORIA_ERP.xlsm&amp;action=default&amp;mobileredirect=true"/>
    <n v="1"/>
    <n v="1"/>
  </r>
  <r>
    <x v="1"/>
    <x v="3"/>
    <m/>
    <m/>
    <x v="4"/>
    <m/>
    <m/>
    <m/>
    <m/>
    <m/>
    <m/>
    <n v="3323223361"/>
    <d v="2024-01-09T00:00:00"/>
    <d v="2024-06-30T00:00:00"/>
    <n v="5.7"/>
    <n v="19.3"/>
    <n v="25"/>
    <n v="6"/>
    <n v="1"/>
    <n v="0.66000000000000025"/>
    <m/>
    <n v="2193327418.2600007"/>
    <n v="3323223361"/>
    <n v="2193327418.2600007"/>
    <n v="-1129895942.7399993"/>
    <s v="No se realizó gasto en este corte"/>
    <x v="1"/>
    <n v="0.66000000000000025"/>
    <x v="1"/>
    <n v="0"/>
    <n v="-3323223361"/>
    <s v="https://growdatasas.sharepoint.com/:x:/r/sites/Gestiondocumental/Administrativa/GD/Financiera/_layouts/15/Doc.aspx?sourcedoc=%7BC3EFE0E2-C211-45B0-905D-ECEF11221767%7D&amp;file=299.%20DEFENSORIA_ERP.xlsm&amp;action=default&amp;mobileredirect=true"/>
    <n v="1"/>
    <n v="1"/>
  </r>
  <r>
    <x v="1"/>
    <x v="4"/>
    <m/>
    <m/>
    <x v="4"/>
    <m/>
    <m/>
    <m/>
    <m/>
    <m/>
    <m/>
    <n v="3323223361"/>
    <d v="2024-01-09T00:00:00"/>
    <d v="2024-06-30T00:00:00"/>
    <n v="5.7"/>
    <n v="19.3"/>
    <n v="25"/>
    <n v="6"/>
    <n v="1"/>
    <n v="0.68000000000000027"/>
    <m/>
    <n v="2259791885.480001"/>
    <n v="3323223361"/>
    <n v="2259791885.480001"/>
    <n v="-1063431475.519999"/>
    <s v="No se realizó gasto en este corte"/>
    <x v="1"/>
    <n v="0.68000000000000027"/>
    <x v="1"/>
    <n v="0"/>
    <n v="-3323223361"/>
    <s v="https://growdatasas.sharepoint.com/:x:/r/sites/Gestiondocumental/Administrativa/GD/Financiera/_layouts/15/Doc.aspx?sourcedoc=%7BC3EFE0E2-C211-45B0-905D-ECEF11221767%7D&amp;file=299.%20DEFENSORIA_ERP.xlsm&amp;action=default&amp;mobileredirect=true"/>
    <n v="1"/>
    <n v="1"/>
  </r>
  <r>
    <x v="1"/>
    <x v="5"/>
    <m/>
    <m/>
    <x v="4"/>
    <m/>
    <m/>
    <m/>
    <m/>
    <m/>
    <m/>
    <n v="3323223361"/>
    <d v="2024-01-09T00:00:00"/>
    <d v="2024-06-30T00:00:00"/>
    <n v="5.7"/>
    <n v="19.3"/>
    <n v="25"/>
    <n v="6"/>
    <n v="1"/>
    <n v="0.70000000000000029"/>
    <m/>
    <n v="2326256352.7000008"/>
    <n v="3323223361"/>
    <n v="2326256352.7000008"/>
    <n v="-996967008.29999924"/>
    <s v="No se realizó gasto en este corte"/>
    <x v="1"/>
    <n v="0.70000000000000018"/>
    <x v="1"/>
    <n v="0"/>
    <n v="-3323223361"/>
    <s v="https://growdatasas.sharepoint.com/:x:/r/sites/Gestiondocumental/Administrativa/GD/Financiera/_layouts/15/Doc.aspx?sourcedoc=%7BC3EFE0E2-C211-45B0-905D-ECEF11221767%7D&amp;file=299.%20DEFENSORIA_ERP.xlsm&amp;action=default&amp;mobileredirect=true"/>
    <n v="1"/>
    <n v="1"/>
  </r>
  <r>
    <x v="1"/>
    <x v="6"/>
    <m/>
    <m/>
    <x v="4"/>
    <m/>
    <m/>
    <m/>
    <m/>
    <m/>
    <m/>
    <n v="3323223361"/>
    <d v="2024-01-09T00:00:00"/>
    <d v="2024-06-30T00:00:00"/>
    <n v="5.7"/>
    <n v="19.3"/>
    <n v="25"/>
    <n v="6"/>
    <n v="1"/>
    <n v="0.72000000000000031"/>
    <m/>
    <n v="2392720819.920001"/>
    <n v="3323223361"/>
    <n v="2392720819.920001"/>
    <n v="-930502541.07999897"/>
    <s v="No se realizó gasto en este corte"/>
    <x v="1"/>
    <n v="0.72000000000000031"/>
    <x v="1"/>
    <n v="0"/>
    <n v="-3323223361"/>
    <s v="https://growdatasas.sharepoint.com/:x:/r/sites/Gestiondocumental/Administrativa/GD/Financiera/_layouts/15/Doc.aspx?sourcedoc=%7BC3EFE0E2-C211-45B0-905D-ECEF11221767%7D&amp;file=299.%20DEFENSORIA_ERP.xlsm&amp;action=default&amp;mobileredirect=true"/>
    <n v="1"/>
    <n v="1"/>
  </r>
  <r>
    <x v="1"/>
    <x v="7"/>
    <m/>
    <m/>
    <x v="4"/>
    <m/>
    <m/>
    <m/>
    <m/>
    <m/>
    <m/>
    <n v="3323223361"/>
    <d v="2024-01-09T00:00:00"/>
    <d v="2024-06-30T00:00:00"/>
    <n v="5.7"/>
    <n v="19.3"/>
    <n v="25"/>
    <n v="6"/>
    <n v="1"/>
    <n v="0.74000000000000032"/>
    <m/>
    <n v="2459185287.1400013"/>
    <n v="3323223361"/>
    <n v="2459185287.1400013"/>
    <n v="-864038073.8599987"/>
    <s v="No se realizó gasto en este corte"/>
    <x v="1"/>
    <n v="0.74000000000000044"/>
    <x v="1"/>
    <n v="0"/>
    <n v="-3323223361"/>
    <s v="https://growdatasas.sharepoint.com/:x:/r/sites/Gestiondocumental/Administrativa/GD/Financiera/_layouts/15/Doc.aspx?sourcedoc=%7BC3EFE0E2-C211-45B0-905D-ECEF11221767%7D&amp;file=299.%20DEFENSORIA_ERP.xlsm&amp;action=default&amp;mobileredirect=true"/>
    <n v="1"/>
    <n v="1"/>
  </r>
  <r>
    <x v="1"/>
    <x v="8"/>
    <m/>
    <m/>
    <x v="4"/>
    <m/>
    <m/>
    <m/>
    <m/>
    <m/>
    <m/>
    <n v="3323223361"/>
    <d v="2024-01-09T00:00:00"/>
    <d v="2024-06-30T00:00:00"/>
    <n v="5.7"/>
    <n v="19.3"/>
    <n v="25"/>
    <n v="6"/>
    <n v="1"/>
    <n v="0.76000000000000034"/>
    <m/>
    <n v="2525649754.3600011"/>
    <n v="3323223361"/>
    <n v="2525649754.3600011"/>
    <n v="-797573606.63999891"/>
    <s v="No se realizó gasto en este corte"/>
    <x v="1"/>
    <n v="0.76000000000000034"/>
    <x v="1"/>
    <n v="0"/>
    <n v="-3323223361"/>
    <s v="https://growdatasas.sharepoint.com/:x:/r/sites/Gestiondocumental/Administrativa/GD/Financiera/_layouts/15/Doc.aspx?sourcedoc=%7BC3EFE0E2-C211-45B0-905D-ECEF11221767%7D&amp;file=299.%20DEFENSORIA_ERP.xlsm&amp;action=default&amp;mobileredirect=true"/>
    <n v="1"/>
    <n v="1"/>
  </r>
  <r>
    <x v="1"/>
    <x v="9"/>
    <m/>
    <m/>
    <x v="4"/>
    <m/>
    <m/>
    <m/>
    <m/>
    <m/>
    <m/>
    <n v="3323223361"/>
    <d v="2024-01-09T00:00:00"/>
    <d v="2024-06-30T00:00:00"/>
    <n v="5.7"/>
    <n v="19.3"/>
    <n v="25"/>
    <n v="6"/>
    <n v="1"/>
    <n v="0.78000000000000036"/>
    <m/>
    <n v="2592114221.5800014"/>
    <n v="3323223361"/>
    <n v="2592114221.5800014"/>
    <n v="-731109139.41999865"/>
    <s v="No se realizó gasto en este corte"/>
    <x v="1"/>
    <n v="0.78000000000000036"/>
    <x v="1"/>
    <n v="0"/>
    <n v="-3323223361"/>
    <s v="https://growdatasas.sharepoint.com/:x:/r/sites/Gestiondocumental/Administrativa/GD/Financiera/_layouts/15/Doc.aspx?sourcedoc=%7BC3EFE0E2-C211-45B0-905D-ECEF11221767%7D&amp;file=299.%20DEFENSORIA_ERP.xlsm&amp;action=default&amp;mobileredirect=true"/>
    <n v="1"/>
    <n v="1"/>
  </r>
  <r>
    <x v="1"/>
    <x v="10"/>
    <m/>
    <m/>
    <x v="4"/>
    <m/>
    <m/>
    <m/>
    <m/>
    <m/>
    <m/>
    <n v="3323223361"/>
    <d v="2024-01-09T00:00:00"/>
    <d v="2024-06-30T00:00:00"/>
    <n v="5.7"/>
    <n v="19.3"/>
    <n v="25"/>
    <n v="6"/>
    <n v="1"/>
    <n v="0.80000000000000038"/>
    <m/>
    <n v="2658578688.8000011"/>
    <n v="3323223361"/>
    <n v="2658578688.8000011"/>
    <n v="-664644672.19999886"/>
    <s v="No se realizó gasto en este corte"/>
    <x v="1"/>
    <n v="0.80000000000000038"/>
    <x v="1"/>
    <n v="0"/>
    <n v="-3323223361"/>
    <s v="https://growdatasas.sharepoint.com/:x:/r/sites/Gestiondocumental/Administrativa/GD/Financiera/_layouts/15/Doc.aspx?sourcedoc=%7BC3EFE0E2-C211-45B0-905D-ECEF11221767%7D&amp;file=299.%20DEFENSORIA_ERP.xlsm&amp;action=default&amp;mobileredirect=true"/>
    <n v="1"/>
    <n v="1"/>
  </r>
  <r>
    <x v="1"/>
    <x v="11"/>
    <m/>
    <m/>
    <x v="4"/>
    <m/>
    <m/>
    <m/>
    <m/>
    <m/>
    <m/>
    <n v="3323223361"/>
    <d v="2024-01-09T00:00:00"/>
    <d v="2024-06-30T00:00:00"/>
    <n v="5.7"/>
    <n v="19.3"/>
    <n v="25"/>
    <n v="6"/>
    <n v="1"/>
    <n v="0.8200000000000004"/>
    <m/>
    <n v="2725043156.0200014"/>
    <n v="3323223361"/>
    <n v="2725043156.0200014"/>
    <n v="-598180204.97999859"/>
    <s v="No se realizó gasto en este corte"/>
    <x v="1"/>
    <n v="0.8200000000000004"/>
    <x v="1"/>
    <n v="0"/>
    <n v="-3323223361"/>
    <s v="https://growdatasas.sharepoint.com/:x:/r/sites/Gestiondocumental/Administrativa/GD/Financiera/_layouts/15/Doc.aspx?sourcedoc=%7BC3EFE0E2-C211-45B0-905D-ECEF11221767%7D&amp;file=299.%20DEFENSORIA_ERP.xlsm&amp;action=default&amp;mobileredirect=true"/>
    <n v="1"/>
    <n v="1"/>
  </r>
  <r>
    <x v="2"/>
    <x v="0"/>
    <m/>
    <m/>
    <x v="4"/>
    <m/>
    <m/>
    <m/>
    <m/>
    <m/>
    <m/>
    <n v="3323223361"/>
    <d v="2024-01-09T00:00:00"/>
    <d v="2024-06-30T00:00:00"/>
    <n v="5.7"/>
    <n v="19.3"/>
    <n v="25"/>
    <n v="6"/>
    <n v="1"/>
    <n v="0.84000000000000041"/>
    <m/>
    <n v="2791507623.2400012"/>
    <n v="3323223361"/>
    <n v="2791507623.2400012"/>
    <n v="-531715737.7599988"/>
    <s v="No se realizó gasto en este corte"/>
    <x v="1"/>
    <n v="0.84000000000000041"/>
    <x v="1"/>
    <n v="0"/>
    <n v="-3323223361"/>
    <s v="https://growdatasas.sharepoint.com/:x:/r/sites/Gestiondocumental/Administrativa/GD/Financiera/_layouts/15/Doc.aspx?sourcedoc=%7BC3EFE0E2-C211-45B0-905D-ECEF11221767%7D&amp;file=299.%20DEFENSORIA_ERP.xlsm&amp;action=default&amp;mobileredirect=true"/>
    <n v="1"/>
    <n v="1"/>
  </r>
  <r>
    <x v="2"/>
    <x v="1"/>
    <m/>
    <m/>
    <x v="4"/>
    <m/>
    <m/>
    <m/>
    <m/>
    <m/>
    <m/>
    <n v="3323223361"/>
    <d v="2024-01-09T00:00:00"/>
    <d v="2024-06-30T00:00:00"/>
    <n v="5.7"/>
    <n v="19.3"/>
    <n v="25"/>
    <n v="6"/>
    <n v="1"/>
    <n v="0.86000000000000043"/>
    <m/>
    <n v="2857972090.4600015"/>
    <n v="3323223361"/>
    <n v="2857972090.4600015"/>
    <n v="-465251270.53999853"/>
    <s v="No se realizó gasto en este corte"/>
    <x v="1"/>
    <n v="0.86000000000000043"/>
    <x v="1"/>
    <n v="0"/>
    <n v="-3323223361"/>
    <s v="https://growdatasas.sharepoint.com/:x:/r/sites/Gestiondocumental/Administrativa/GD/Financiera/_layouts/15/Doc.aspx?sourcedoc=%7BC3EFE0E2-C211-45B0-905D-ECEF11221767%7D&amp;file=299.%20DEFENSORIA_ERP.xlsm&amp;action=default&amp;mobileredirect=true"/>
    <n v="1"/>
    <n v="1"/>
  </r>
  <r>
    <x v="0"/>
    <x v="0"/>
    <m/>
    <m/>
    <x v="5"/>
    <m/>
    <m/>
    <m/>
    <m/>
    <m/>
    <m/>
    <n v="970233948"/>
    <d v="2024-01-15T00:00:00"/>
    <d v="2024-04-30T00:00:00"/>
    <n v="3.5"/>
    <n v="-2.5"/>
    <n v="1"/>
    <n v="4"/>
    <n v="0.2"/>
    <n v="0.2"/>
    <n v="13092805"/>
    <n v="194046789.60000002"/>
    <n v="194046789.60000002"/>
    <n v="180953984.60000002"/>
    <n v="0"/>
    <n v="14.820872196599584"/>
    <x v="1"/>
    <n v="1"/>
    <x v="0"/>
    <n v="65464024.999999993"/>
    <n v="-904769923"/>
    <s v="https://growdatasas.sharepoint.com/:x:/r/sites/Gestiondocumental/Administrativa/GD/Financiera/_layouts/15/Doc.aspx?sourcedoc=%7B4F9BD6BF-F6F0-4033-84A5-4B5D6077FC32%7D&amp;file=314.%20TELEFONICA%20%E2%80%93%20DPC%20%20SALA%20DE%20ANALITICA.xlsx&amp;action=default&amp;mobileredirect=true"/>
    <n v="1"/>
    <n v="1"/>
  </r>
  <r>
    <x v="0"/>
    <x v="1"/>
    <m/>
    <m/>
    <x v="5"/>
    <m/>
    <m/>
    <m/>
    <m/>
    <m/>
    <m/>
    <n v="970233948"/>
    <d v="2024-01-15T00:00:00"/>
    <d v="2024-04-30T00:00:00"/>
    <n v="3.5"/>
    <n v="-1.5"/>
    <n v="2"/>
    <n v="4"/>
    <n v="0.6"/>
    <n v="0.4"/>
    <n v="28162559"/>
    <n v="388093579.20000005"/>
    <n v="582140368.79999995"/>
    <n v="359931020.20000005"/>
    <n v="-194046789.5999999"/>
    <n v="13.780479934369602"/>
    <x v="1"/>
    <n v="0.66666666666666685"/>
    <x v="1"/>
    <n v="70406397.5"/>
    <n v="-899827550.5"/>
    <s v="https://growdatasas.sharepoint.com/:x:/r/sites/Gestiondocumental/Administrativa/GD/Financiera/_layouts/15/Doc.aspx?sourcedoc=%7B4F9BD6BF-F6F0-4033-84A5-4B5D6077FC32%7D&amp;file=314.%20TELEFONICA%20%E2%80%93%20DPC%20%20SALA%20DE%20ANALITICA.xlsx&amp;action=default&amp;mobileredirect=true"/>
    <n v="1"/>
    <n v="1"/>
  </r>
  <r>
    <x v="0"/>
    <x v="2"/>
    <m/>
    <m/>
    <x v="5"/>
    <m/>
    <m/>
    <m/>
    <m/>
    <m/>
    <m/>
    <n v="970233948"/>
    <d v="2024-01-15T00:00:00"/>
    <d v="2024-04-30T00:00:00"/>
    <n v="3.5"/>
    <n v="-0.5"/>
    <n v="3"/>
    <n v="4"/>
    <n v="0.8"/>
    <n v="0.5"/>
    <n v="28162559"/>
    <n v="485116974"/>
    <n v="776187158.4000001"/>
    <n v="456954415"/>
    <n v="-291070184.4000001"/>
    <n v="17.225599917962001"/>
    <x v="1"/>
    <n v="0.62499999999999989"/>
    <x v="1"/>
    <n v="56325118"/>
    <n v="-913908830"/>
    <s v="https://growdatasas.sharepoint.com/:x:/r/sites/Gestiondocumental/Administrativa/GD/Financiera/_layouts/15/Doc.aspx?sourcedoc=%7B4F9BD6BF-F6F0-4033-84A5-4B5D6077FC32%7D&amp;file=314.%20TELEFONICA%20%E2%80%93%20DPC%20%20SALA%20DE%20ANALITICA.xlsx&amp;action=default&amp;mobileredirect=true"/>
    <n v="1"/>
    <n v="1"/>
  </r>
  <r>
    <x v="0"/>
    <x v="3"/>
    <m/>
    <m/>
    <x v="5"/>
    <m/>
    <m/>
    <m/>
    <m/>
    <m/>
    <m/>
    <n v="970233948"/>
    <d v="2024-01-15T00:00:00"/>
    <d v="2024-04-30T00:00:00"/>
    <n v="3.5"/>
    <n v="0.5"/>
    <n v="4"/>
    <n v="4"/>
    <n v="1"/>
    <n v="0.6"/>
    <n v="574605868"/>
    <n v="582140368.79999995"/>
    <n v="970233948"/>
    <n v="7534500.7999999523"/>
    <n v="-388093579.20000005"/>
    <n v="1.0131124675531507"/>
    <x v="1"/>
    <n v="0.6"/>
    <x v="1"/>
    <n v="957676446.66666675"/>
    <n v="-12557501.333333254"/>
    <s v="https://growdatasas.sharepoint.com/:x:/r/sites/Gestiondocumental/Administrativa/GD/Financiera/_layouts/15/Doc.aspx?sourcedoc=%7B4F9BD6BF-F6F0-4033-84A5-4B5D6077FC32%7D&amp;file=314.%20TELEFONICA%20%E2%80%93%20DPC%20%20SALA%20DE%20ANALITICA.xlsx&amp;action=default&amp;mobileredirect=true"/>
    <n v="1"/>
    <n v="1"/>
  </r>
  <r>
    <x v="0"/>
    <x v="4"/>
    <m/>
    <m/>
    <x v="5"/>
    <m/>
    <m/>
    <m/>
    <m/>
    <m/>
    <m/>
    <n v="970233948"/>
    <d v="2024-01-15T00:00:00"/>
    <d v="2024-04-30T00:00:00"/>
    <n v="3.5"/>
    <n v="1.5"/>
    <n v="5"/>
    <n v="4"/>
    <n v="1"/>
    <n v="0.8"/>
    <n v="258032419"/>
    <n v="776187158.4000001"/>
    <n v="970233948"/>
    <n v="518154739.4000001"/>
    <n v="-194046789.5999999"/>
    <n v="3.0080993752959393"/>
    <x v="1"/>
    <n v="0.8"/>
    <x v="1"/>
    <n v="322540523.75"/>
    <n v="-647693424.25"/>
    <s v="https://growdatasas.sharepoint.com/:x:/r/sites/Gestiondocumental/Administrativa/GD/Financiera/_layouts/15/Doc.aspx?sourcedoc=%7B4F9BD6BF-F6F0-4033-84A5-4B5D6077FC32%7D&amp;file=314.%20TELEFONICA%20%E2%80%93%20DPC%20%20SALA%20DE%20ANALITICA.xlsx&amp;action=default&amp;mobileredirect=true"/>
    <n v="1"/>
    <n v="1"/>
  </r>
  <r>
    <x v="0"/>
    <x v="5"/>
    <m/>
    <m/>
    <x v="5"/>
    <m/>
    <m/>
    <m/>
    <m/>
    <m/>
    <m/>
    <n v="970233948"/>
    <d v="2024-01-15T00:00:00"/>
    <d v="2024-04-30T00:00:00"/>
    <n v="3.5"/>
    <n v="2.5"/>
    <n v="6"/>
    <n v="4"/>
    <n v="1"/>
    <n v="1"/>
    <n v="62526580"/>
    <n v="970233948"/>
    <n v="970233948"/>
    <n v="907707368"/>
    <n v="0"/>
    <n v="15.517144036983952"/>
    <x v="1"/>
    <n v="1"/>
    <x v="0"/>
    <n v="62526580"/>
    <n v="-907707368"/>
    <s v="https://growdatasas.sharepoint.com/:x:/r/sites/Gestiondocumental/Administrativa/GD/Financiera/_layouts/15/Doc.aspx?sourcedoc=%7B4F9BD6BF-F6F0-4033-84A5-4B5D6077FC32%7D&amp;file=314.%20TELEFONICA%20%E2%80%93%20DPC%20%20SALA%20DE%20ANALITICA.xlsx&amp;action=default&amp;mobileredirect=true"/>
    <n v="1"/>
    <n v="1"/>
  </r>
  <r>
    <x v="0"/>
    <x v="1"/>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6.97"/>
    <n v="1"/>
    <n v="8"/>
    <n v="0.1"/>
    <n v="0.09"/>
    <n v="1261863958"/>
    <n v="360400211.00999999"/>
    <n v="400444678.90000004"/>
    <n v="-901463746.99000001"/>
    <n v="-40044467.890000045"/>
    <n v="0.28560940244399941"/>
    <x v="2"/>
    <n v="0.89999999999999991"/>
    <x v="1"/>
    <n v="14020710644.444447"/>
    <n v="10016263855.444447"/>
    <s v="https://growdatasas.sharepoint.com/:x:/r/sites/Gestiondocumental/Administrativa/GD/Financiera/_layouts/15/Doc.aspx?sourcedoc=%7B29DCF375-0847-4DAD-9B9A-9F9E84ABD4DE%7D&amp;file=322.%20MINTRANSPORTE.xlsx&amp;action=default&amp;mobileredirect=true"/>
    <n v="1"/>
    <n v="1"/>
  </r>
  <r>
    <x v="0"/>
    <x v="2"/>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5.97"/>
    <n v="2"/>
    <n v="8"/>
    <n v="0.2"/>
    <n v="0.25"/>
    <n v="790679659"/>
    <n v="1001111697.25"/>
    <n v="800889357.80000007"/>
    <n v="210432038.25"/>
    <n v="200222339.44999993"/>
    <n v="1.266140700414806"/>
    <x v="1"/>
    <n v="1.2499999999999998"/>
    <x v="2"/>
    <n v="3162718636"/>
    <n v="-841728153"/>
    <s v="https://growdatasas.sharepoint.com/:x:/r/sites/Gestiondocumental/Administrativa/GD/Financiera/_layouts/15/Doc.aspx?sourcedoc=%7B29DCF375-0847-4DAD-9B9A-9F9E84ABD4DE%7D&amp;file=322.%20MINTRANSPORTE.xlsx&amp;action=default&amp;mobileredirect=true"/>
    <n v="1"/>
    <n v="1"/>
  </r>
  <r>
    <x v="0"/>
    <x v="3"/>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4.97"/>
    <n v="3"/>
    <n v="8"/>
    <n v="0.3"/>
    <n v="0.3"/>
    <n v="674339043"/>
    <n v="1201334036.7"/>
    <n v="1201334036.7"/>
    <n v="526994993.70000005"/>
    <n v="0"/>
    <n v="1.7814985639204641"/>
    <x v="1"/>
    <n v="1"/>
    <x v="0"/>
    <n v="2247796810"/>
    <n v="-1756649979"/>
    <s v="https://growdatasas.sharepoint.com/:x:/r/sites/Gestiondocumental/Administrativa/GD/Financiera/_layouts/15/Doc.aspx?sourcedoc=%7B29DCF375-0847-4DAD-9B9A-9F9E84ABD4DE%7D&amp;file=322.%20MINTRANSPORTE.xlsx&amp;action=default&amp;mobileredirect=true"/>
    <n v="1"/>
    <n v="1"/>
  </r>
  <r>
    <x v="0"/>
    <x v="4"/>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3.9699999999999998"/>
    <n v="4"/>
    <n v="8"/>
    <n v="0.45"/>
    <n v="0.42"/>
    <n v="441657811"/>
    <n v="1681867651.3799999"/>
    <n v="1802001055.05"/>
    <n v="1240209840.3799999"/>
    <n v="-120133403.67000008"/>
    <n v="3.8080785836707411"/>
    <x v="1"/>
    <n v="0.93333333333333324"/>
    <x v="1"/>
    <n v="1051566216.6666667"/>
    <n v="-2952880572.333333"/>
    <s v="https://growdatasas.sharepoint.com/:x:/r/sites/Gestiondocumental/Administrativa/GD/Financiera/_layouts/15/Doc.aspx?sourcedoc=%7B29DCF375-0847-4DAD-9B9A-9F9E84ABD4DE%7D&amp;file=322.%20MINTRANSPORTE.xlsx&amp;action=default&amp;mobileredirect=true"/>
    <n v="1"/>
    <n v="1"/>
  </r>
  <r>
    <x v="0"/>
    <x v="5"/>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2.9699999999999998"/>
    <n v="5"/>
    <n v="8"/>
    <n v="0.55000000000000004"/>
    <n v="0.55000000000000004"/>
    <n v="208976579"/>
    <n v="2202445733.9500003"/>
    <n v="2202445733.9500003"/>
    <n v="1993469154.9500003"/>
    <n v="0"/>
    <n v="10.539198911615834"/>
    <x v="1"/>
    <n v="1"/>
    <x v="0"/>
    <n v="379957416.36363631"/>
    <n v="-3624489372.6363635"/>
    <s v="https://growdatasas.sharepoint.com/:x:/r/sites/Gestiondocumental/Administrativa/GD/Financiera/_layouts/15/Doc.aspx?sourcedoc=%7B29DCF375-0847-4DAD-9B9A-9F9E84ABD4DE%7D&amp;file=322.%20MINTRANSPORTE.xlsx&amp;action=default&amp;mobileredirect=true"/>
    <n v="1"/>
    <n v="1"/>
  </r>
  <r>
    <x v="0"/>
    <x v="6"/>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1.9699999999999998"/>
    <n v="6"/>
    <n v="8"/>
    <n v="0.65"/>
    <n v="0.67"/>
    <n v="208976579"/>
    <n v="2682979348.6300001"/>
    <n v="2602890412.8499999"/>
    <n v="2474002769.6300001"/>
    <n v="80088935.78000021"/>
    <n v="12.838660492332014"/>
    <x v="1"/>
    <n v="1.0307692307692309"/>
    <x v="2"/>
    <n v="311905341.79104477"/>
    <n v="-3692541447.2089553"/>
    <s v="https://growdatasas.sharepoint.com/:x:/r/sites/Gestiondocumental/Administrativa/GD/Financiera/_layouts/15/Doc.aspx?sourcedoc=%7B29DCF375-0847-4DAD-9B9A-9F9E84ABD4DE%7D&amp;file=322.%20MINTRANSPORTE.xlsx&amp;action=default&amp;mobileredirect=true"/>
    <n v="1"/>
    <n v="1"/>
  </r>
  <r>
    <x v="0"/>
    <x v="7"/>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0.96999999999999975"/>
    <n v="7"/>
    <n v="8"/>
    <n v="0.8"/>
    <n v="0.85"/>
    <n v="208976579"/>
    <n v="3403779770.6500001"/>
    <n v="3203557431.2000003"/>
    <n v="3194803191.6500001"/>
    <n v="200222339.44999981"/>
    <n v="16.287852863406286"/>
    <x v="1"/>
    <n v="1.0625"/>
    <x v="2"/>
    <n v="245854798.82352942"/>
    <n v="-3758591990.1764708"/>
    <s v="https://growdatasas.sharepoint.com/:x:/r/sites/Gestiondocumental/Administrativa/GD/Financiera/_layouts/15/Doc.aspx?sourcedoc=%7B29DCF375-0847-4DAD-9B9A-9F9E84ABD4DE%7D&amp;file=322.%20MINTRANSPORTE.xlsx&amp;action=default&amp;mobileredirect=true"/>
    <n v="1"/>
    <n v="1"/>
  </r>
  <r>
    <x v="0"/>
    <x v="8"/>
    <s v="3f6c4573-29db-ee11-8860-00155d681010"/>
    <d v="2024-03-05T19:49:20"/>
    <x v="6"/>
    <s v="Mario Andres Pirachican Gil"/>
    <s v="https://growdatasas.sharepoint.com/sites/pwa/ERT- MT– DISPOSITIVOS IOT Y ANALÍTICA"/>
    <s v=" ​Se propone prestar el servicio de asistencia técnica mediante la recolección, procesamiento y correlación de datos con capacidad de análisis, a través de una plataforma de soluciones basadas en IoT (internet de las cosas), que permita la visualización de indicadores específicos con el objetivo de mejorar la seguridad vial y trazabilidad de recorrido a través de la integración de dispositivos de georreferenciación en vehículos de transporte de carga. "/>
    <s v="DATOS Y SISTEMAS DE INFORMACIÓN"/>
    <s v="0322"/>
    <s v="Postventa"/>
    <n v="4004446789"/>
    <d v="2024-02-23T00:00:00"/>
    <d v="2024-10-22T00:00:00"/>
    <n v="7.97"/>
    <n v="3.0000000000000249E-2"/>
    <n v="8"/>
    <n v="8"/>
    <n v="0.9"/>
    <n v="1"/>
    <n v="208976579"/>
    <n v="4004446789"/>
    <n v="3604002110.0999999"/>
    <n v="3795470210"/>
    <n v="400444678.9000001"/>
    <n v="19.162179839301512"/>
    <x v="1"/>
    <n v="1.1111111111111112"/>
    <x v="2"/>
    <n v="208976579.00000003"/>
    <n v="-3795470210"/>
    <s v="https://growdatasas.sharepoint.com/:x:/r/sites/Gestiondocumental/Administrativa/GD/Financiera/_layouts/15/Doc.aspx?sourcedoc=%7B29DCF375-0847-4DAD-9B9A-9F9E84ABD4DE%7D&amp;file=322.%20MINTRANSPORTE.xlsx&amp;action=default&amp;mobileredirect=true"/>
    <n v="1"/>
    <n v="1"/>
  </r>
  <r>
    <x v="0"/>
    <x v="2"/>
    <s v="b325f473-91e8-ee11-b9dc-00155d68784b"/>
    <d v="2024-03-22T21:16:34"/>
    <x v="7"/>
    <s v="Leidy Susana Ramirez Herrera"/>
    <s v="https://growdatasas.sharepoint.com/sites/pwa/RUNT – DISEÑO,IMPLEMENTACION MDM"/>
    <s v="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
    <s v="DATOS Y SISTEMAS DE INFORMACIÓN"/>
    <s v="0324"/>
    <s v="Activo.En Ejecución"/>
    <n v="372376516"/>
    <d v="2024-03-01T00:00:00"/>
    <d v="2024-08-30T00:00:00"/>
    <n v="5.97"/>
    <n v="-4.97"/>
    <n v="1"/>
    <n v="6"/>
    <n v="0.2"/>
    <n v="0.15"/>
    <n v="110202191"/>
    <n v="55856477.399999999"/>
    <n v="74475303.200000003"/>
    <n v="-54345713.600000001"/>
    <n v="-18618825.800000004"/>
    <n v="0.50685450890899253"/>
    <x v="2"/>
    <n v="0.75"/>
    <x v="1"/>
    <n v="734681273.33333337"/>
    <n v="362304757.33333337"/>
    <s v="https://growdatasas.sharepoint.com/:x:/r/sites/Gestiondocumental/Administrativa/GD/Financiera/_layouts/15/Doc.aspx?sourcedoc=%7B465AB503-754C-43E2-86C3-8E24183E3BBF%7D&amp;file=090424%20324.%20RUNT%202.0%20-%20RUNT%20MDM.xlsx&amp;action=default&amp;mobileredirect=true"/>
    <n v="1"/>
    <n v="1"/>
  </r>
  <r>
    <x v="0"/>
    <x v="3"/>
    <s v="b325f473-91e8-ee11-b9dc-00155d68784b"/>
    <d v="2024-03-22T21:16:34"/>
    <x v="7"/>
    <s v="Leidy Susana Ramirez Herrera"/>
    <s v="https://growdatasas.sharepoint.com/sites/pwa/RUNT – DISEÑO,IMPLEMENTACION MDM"/>
    <s v="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
    <s v="DATOS Y SISTEMAS DE INFORMACIÓN"/>
    <s v="0324"/>
    <s v="Activo.En Ejecución"/>
    <n v="372376516"/>
    <d v="2024-03-01T00:00:00"/>
    <d v="2024-08-30T00:00:00"/>
    <n v="5.97"/>
    <n v="-3.9699999999999998"/>
    <n v="2"/>
    <n v="6"/>
    <n v="0.3"/>
    <n v="0.2"/>
    <n v="13923314"/>
    <n v="74475303.200000003"/>
    <n v="111712954.8"/>
    <n v="60551989.200000003"/>
    <n v="-37237651.599999994"/>
    <n v="5.3489638458200401"/>
    <x v="1"/>
    <n v="0.66666666666666674"/>
    <x v="1"/>
    <n v="69616570"/>
    <n v="-302759946"/>
    <s v="https://growdatasas.sharepoint.com/:x:/r/sites/Gestiondocumental/Administrativa/GD/Financiera/_layouts/15/Doc.aspx?sourcedoc=%7B465AB503-754C-43E2-86C3-8E24183E3BBF%7D&amp;file=090424%20324.%20RUNT%202.0%20-%20RUNT%20MDM.xlsx&amp;action=default&amp;mobileredirect=true"/>
    <n v="1"/>
    <n v="1"/>
  </r>
  <r>
    <x v="0"/>
    <x v="4"/>
    <s v="b325f473-91e8-ee11-b9dc-00155d68784b"/>
    <d v="2024-03-22T21:16:34"/>
    <x v="7"/>
    <s v="Leidy Susana Ramirez Herrera"/>
    <s v="https://growdatasas.sharepoint.com/sites/pwa/RUNT – DISEÑO,IMPLEMENTACION MDM"/>
    <s v="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
    <s v="DATOS Y SISTEMAS DE INFORMACIÓN"/>
    <s v="0324"/>
    <s v="Activo.En Ejecución"/>
    <n v="372376516"/>
    <d v="2024-03-01T00:00:00"/>
    <d v="2024-08-30T00:00:00"/>
    <n v="5.97"/>
    <n v="-2.9699999999999998"/>
    <n v="3"/>
    <n v="6"/>
    <n v="0.5"/>
    <n v="0.4"/>
    <n v="110202191"/>
    <n v="148950606.40000001"/>
    <n v="186188258"/>
    <n v="38748415.400000006"/>
    <n v="-37237651.599999994"/>
    <n v="1.3516120237573135"/>
    <x v="1"/>
    <n v="0.8"/>
    <x v="1"/>
    <n v="275505477.5"/>
    <n v="-96871038.5"/>
    <s v="https://growdatasas.sharepoint.com/:x:/r/sites/Gestiondocumental/Administrativa/GD/Financiera/_layouts/15/Doc.aspx?sourcedoc=%7B465AB503-754C-43E2-86C3-8E24183E3BBF%7D&amp;file=090424%20324.%20RUNT%202.0%20-%20RUNT%20MDM.xlsx&amp;action=default&amp;mobileredirect=true"/>
    <n v="1"/>
    <n v="1"/>
  </r>
  <r>
    <x v="0"/>
    <x v="5"/>
    <s v="b325f473-91e8-ee11-b9dc-00155d68784b"/>
    <d v="2024-03-22T21:16:34"/>
    <x v="7"/>
    <s v="Leidy Susana Ramirez Herrera"/>
    <s v="https://growdatasas.sharepoint.com/sites/pwa/RUNT – DISEÑO,IMPLEMENTACION MDM"/>
    <s v="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
    <s v="DATOS Y SISTEMAS DE INFORMACIÓN"/>
    <s v="0324"/>
    <s v="Activo.En Ejecución"/>
    <n v="372376516"/>
    <d v="2024-03-01T00:00:00"/>
    <d v="2024-08-30T00:00:00"/>
    <n v="5.97"/>
    <n v="-1.9699999999999998"/>
    <n v="4"/>
    <n v="6"/>
    <n v="0.75"/>
    <n v="0.7"/>
    <n v="13923314"/>
    <n v="260663561.19999999"/>
    <n v="279282387"/>
    <n v="246740247.19999999"/>
    <n v="-18618825.800000012"/>
    <n v="18.721373460370138"/>
    <x v="1"/>
    <n v="0.93333333333333324"/>
    <x v="1"/>
    <n v="19890448.571428571"/>
    <n v="-352486067.4285714"/>
    <s v="https://growdatasas.sharepoint.com/:x:/r/sites/Gestiondocumental/Administrativa/GD/Financiera/_layouts/15/Doc.aspx?sourcedoc=%7B465AB503-754C-43E2-86C3-8E24183E3BBF%7D&amp;file=090424%20324.%20RUNT%202.0%20-%20RUNT%20MDM.xlsx&amp;action=default&amp;mobileredirect=true"/>
    <n v="1"/>
    <n v="1"/>
  </r>
  <r>
    <x v="0"/>
    <x v="6"/>
    <s v="b325f473-91e8-ee11-b9dc-00155d68784b"/>
    <d v="2024-03-22T21:16:34"/>
    <x v="7"/>
    <s v="Leidy Susana Ramirez Herrera"/>
    <s v="https://growdatasas.sharepoint.com/sites/pwa/RUNT – DISEÑO,IMPLEMENTACION MDM"/>
    <s v="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
    <s v="DATOS Y SISTEMAS DE INFORMACIÓN"/>
    <s v="0324"/>
    <s v="Activo.En Ejecución"/>
    <n v="372376516"/>
    <d v="2024-03-01T00:00:00"/>
    <d v="2024-08-30T00:00:00"/>
    <n v="5.97"/>
    <n v="-0.96999999999999975"/>
    <n v="5"/>
    <n v="6"/>
    <n v="0.8"/>
    <n v="0.79"/>
    <n v="110202191"/>
    <n v="294177447.63999999"/>
    <n v="297901212.80000001"/>
    <n v="183975256.63999999"/>
    <n v="-3723765.1600000262"/>
    <n v="2.6694337469206939"/>
    <x v="1"/>
    <n v="0.98749999999999993"/>
    <x v="1"/>
    <n v="139496444.30379748"/>
    <n v="-232880071.69620252"/>
    <s v="https://growdatasas.sharepoint.com/:x:/r/sites/Gestiondocumental/Administrativa/GD/Financiera/_layouts/15/Doc.aspx?sourcedoc=%7B465AB503-754C-43E2-86C3-8E24183E3BBF%7D&amp;file=090424%20324.%20RUNT%202.0%20-%20RUNT%20MDM.xlsx&amp;action=default&amp;mobileredirect=true"/>
    <n v="1"/>
    <n v="1"/>
  </r>
  <r>
    <x v="0"/>
    <x v="7"/>
    <s v="b325f473-91e8-ee11-b9dc-00155d68784b"/>
    <d v="2024-03-22T21:16:34"/>
    <x v="7"/>
    <s v="Leidy Susana Ramirez Herrera"/>
    <s v="https://growdatasas.sharepoint.com/sites/pwa/RUNT – DISEÑO,IMPLEMENTACION MDM"/>
    <s v=" ​Implementar el modelo de gestión de datos maestros y de referencia a partir del diseño y definición de la estrategia de las capacidades para que permita a la entidad estandarizar y tener una única visión de los datos transversales que se manejan en los diferentes procesos del RUNT. Con el objetivo de asegurar una correcta implementación de la solución de IBM Cloud Pak for Data proponemos la incorporación de una capa de servicios profesionales especializados en la plataforma. Con un alcance de tres registros maestros a saber: Registro Nacional Automotor RNA y el Registro de Personas Jurídicas RNPJ, Registro Nacional de Conductores. "/>
    <s v="DATOS Y SISTEMAS DE INFORMACIÓN"/>
    <s v="0324"/>
    <s v="Activo.En Ejecución"/>
    <n v="372376516"/>
    <d v="2024-03-01T00:00:00"/>
    <d v="2024-08-30T00:00:00"/>
    <n v="5.97"/>
    <n v="3.0000000000000249E-2"/>
    <n v="6"/>
    <n v="6"/>
    <n v="1"/>
    <n v="1"/>
    <n v="13923314"/>
    <n v="372376516"/>
    <n v="372376516"/>
    <n v="358453202"/>
    <n v="0"/>
    <n v="26.744819229100198"/>
    <x v="1"/>
    <n v="1"/>
    <x v="0"/>
    <n v="13923314"/>
    <n v="-358453202"/>
    <s v="https://growdatasas.sharepoint.com/:x:/r/sites/Gestiondocumental/Administrativa/GD/Financiera/_layouts/15/Doc.aspx?sourcedoc=%7B465AB503-754C-43E2-86C3-8E24183E3BBF%7D&amp;file=090424%20324.%20RUNT%202.0%20-%20RUNT%20MDM.xlsx&amp;action=default&amp;mobileredirect=true"/>
    <n v="1"/>
    <n v="1"/>
  </r>
  <r>
    <x v="0"/>
    <x v="2"/>
    <s v="7bad0cc0-6d01-ef11-b0c0-00155d68bf05"/>
    <d v="2024-04-23T12:33:59"/>
    <x v="8"/>
    <s v="Laura Johanna Jaramillo Soto"/>
    <s v="https://growdatasas.sharepoint.com/sites/pwa/ALDESARROLLO - ICFES - SOSTENIBILIDAD"/>
    <s v="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
    <s v="CONSULTORÍA"/>
    <s v="0327"/>
    <s v="Activo.En Ejecución"/>
    <n v="1087776079"/>
    <d v="2024-03-18T00:00:00"/>
    <d v="2024-09-17T00:00:00"/>
    <n v="5.97"/>
    <n v="-4.97"/>
    <n v="1"/>
    <n v="6"/>
    <n v="0.3"/>
    <n v="0.25"/>
    <n v="156296013"/>
    <n v="271944019.75"/>
    <n v="326332823.69999999"/>
    <n v="115648006.75"/>
    <n v="-54388803.949999988"/>
    <n v="1.739929346438287"/>
    <x v="1"/>
    <n v="0.83333333333333337"/>
    <x v="1"/>
    <n v="625184052"/>
    <n v="-462592027"/>
    <s v="https://growdatasas.sharepoint.com/:x:/r/sites/Gestiondocumental/Administrativa/GD/Financiera/_layouts/15/Doc.aspx?sourcedoc=%7B293F42A2-5CA4-4376-950C-5CBFEA13F436%7D&amp;file=327.%20ALDESARROLLO%20-%20ICFES%20-%20SOSTENIBILIDAD.xlsx&amp;action=default&amp;mobileredirect=true"/>
    <n v="1"/>
    <n v="1"/>
  </r>
  <r>
    <x v="0"/>
    <x v="3"/>
    <s v="7bad0cc0-6d01-ef11-b0c0-00155d68bf05"/>
    <d v="2024-04-23T12:33:59"/>
    <x v="8"/>
    <s v="Laura Johanna Jaramillo Soto"/>
    <s v="https://growdatasas.sharepoint.com/sites/pwa/ALDESARROLLO - ICFES - SOSTENIBILIDAD"/>
    <s v="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
    <s v="CONSULTORÍA"/>
    <s v="0327"/>
    <s v="Activo.En Ejecución"/>
    <n v="1087776079"/>
    <d v="2024-03-18T00:00:00"/>
    <d v="2024-09-17T00:00:00"/>
    <n v="5.97"/>
    <n v="-3.9699999999999998"/>
    <n v="2"/>
    <n v="6"/>
    <n v="0.45"/>
    <n v="0.45"/>
    <n v="231296013"/>
    <n v="489499235.55000001"/>
    <n v="489499235.55000001"/>
    <n v="258203222.55000001"/>
    <n v="0"/>
    <n v="2.1163323535109964"/>
    <x v="1"/>
    <n v="1"/>
    <x v="0"/>
    <n v="513991140"/>
    <n v="-573784939"/>
    <s v="https://growdatasas.sharepoint.com/:x:/r/sites/Gestiondocumental/Administrativa/GD/Financiera/_layouts/15/Doc.aspx?sourcedoc=%7B293F42A2-5CA4-4376-950C-5CBFEA13F436%7D&amp;file=327.%20ALDESARROLLO%20-%20ICFES%20-%20SOSTENIBILIDAD.xlsx&amp;action=default&amp;mobileredirect=true"/>
    <n v="1"/>
    <n v="1"/>
  </r>
  <r>
    <x v="0"/>
    <x v="4"/>
    <s v="7bad0cc0-6d01-ef11-b0c0-00155d68bf05"/>
    <d v="2024-04-23T12:33:59"/>
    <x v="8"/>
    <s v="Laura Johanna Jaramillo Soto"/>
    <s v="https://growdatasas.sharepoint.com/sites/pwa/ALDESARROLLO - ICFES - SOSTENIBILIDAD"/>
    <s v="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
    <s v="CONSULTORÍA"/>
    <s v="0327"/>
    <s v="Activo.En Ejecución"/>
    <n v="1087776079"/>
    <d v="2024-03-18T00:00:00"/>
    <d v="2024-09-17T00:00:00"/>
    <n v="5.97"/>
    <n v="-2.9699999999999998"/>
    <n v="3"/>
    <n v="6"/>
    <n v="0.5"/>
    <n v="0.55000000000000004"/>
    <n v="156296013"/>
    <n v="598276843.45000005"/>
    <n v="543888039.5"/>
    <n v="441980830.45000005"/>
    <n v="54388803.950000048"/>
    <n v="3.8278445621642314"/>
    <x v="1"/>
    <n v="1.1000000000000001"/>
    <x v="2"/>
    <n v="284174569.09090906"/>
    <n v="-803601509.909091"/>
    <s v="https://growdatasas.sharepoint.com/:x:/r/sites/Gestiondocumental/Administrativa/GD/Financiera/_layouts/15/Doc.aspx?sourcedoc=%7B293F42A2-5CA4-4376-950C-5CBFEA13F436%7D&amp;file=327.%20ALDESARROLLO%20-%20ICFES%20-%20SOSTENIBILIDAD.xlsx&amp;action=default&amp;mobileredirect=true"/>
    <n v="1"/>
    <n v="1"/>
  </r>
  <r>
    <x v="0"/>
    <x v="5"/>
    <s v="7bad0cc0-6d01-ef11-b0c0-00155d68bf05"/>
    <d v="2024-04-23T12:33:59"/>
    <x v="8"/>
    <s v="Laura Johanna Jaramillo Soto"/>
    <s v="https://growdatasas.sharepoint.com/sites/pwa/ALDESARROLLO - ICFES - SOSTENIBILIDAD"/>
    <s v="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
    <s v="CONSULTORÍA"/>
    <s v="0327"/>
    <s v="Activo.En Ejecución"/>
    <n v="1087776079"/>
    <d v="2024-03-18T00:00:00"/>
    <d v="2024-09-17T00:00:00"/>
    <n v="5.97"/>
    <n v="-1.9699999999999998"/>
    <n v="4"/>
    <n v="6"/>
    <n v="0.75"/>
    <n v="0.77"/>
    <n v="156296013"/>
    <n v="837587580.83000004"/>
    <n v="815832059.25"/>
    <n v="681291567.83000004"/>
    <n v="21755521.580000043"/>
    <n v="5.3589823870299238"/>
    <x v="1"/>
    <n v="1.0266666666666666"/>
    <x v="2"/>
    <n v="202981835.06493506"/>
    <n v="-884794243.93506491"/>
    <s v="https://growdatasas.sharepoint.com/:x:/r/sites/Gestiondocumental/Administrativa/GD/Financiera/_layouts/15/Doc.aspx?sourcedoc=%7B293F42A2-5CA4-4376-950C-5CBFEA13F436%7D&amp;file=327.%20ALDESARROLLO%20-%20ICFES%20-%20SOSTENIBILIDAD.xlsx&amp;action=default&amp;mobileredirect=true"/>
    <n v="1"/>
    <n v="1"/>
  </r>
  <r>
    <x v="0"/>
    <x v="6"/>
    <s v="7bad0cc0-6d01-ef11-b0c0-00155d68bf05"/>
    <d v="2024-04-23T12:33:59"/>
    <x v="8"/>
    <s v="Laura Johanna Jaramillo Soto"/>
    <s v="https://growdatasas.sharepoint.com/sites/pwa/ALDESARROLLO - ICFES - SOSTENIBILIDAD"/>
    <s v="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
    <s v="CONSULTORÍA"/>
    <s v="0327"/>
    <s v="Activo.En Ejecución"/>
    <n v="1087776079"/>
    <d v="2024-03-18T00:00:00"/>
    <d v="2024-09-17T00:00:00"/>
    <n v="5.97"/>
    <n v="-0.96999999999999975"/>
    <n v="5"/>
    <n v="6"/>
    <n v="0.8"/>
    <n v="0.81"/>
    <n v="231296013"/>
    <n v="881098623.99000001"/>
    <n v="870220863.20000005"/>
    <n v="649802610.99000001"/>
    <n v="10877760.789999962"/>
    <n v="3.8093982363197934"/>
    <x v="1"/>
    <n v="1.0125"/>
    <x v="2"/>
    <n v="285550633.33333331"/>
    <n v="-802225445.66666675"/>
    <s v="https://growdatasas.sharepoint.com/:x:/r/sites/Gestiondocumental/Administrativa/GD/Financiera/_layouts/15/Doc.aspx?sourcedoc=%7B293F42A2-5CA4-4376-950C-5CBFEA13F436%7D&amp;file=327.%20ALDESARROLLO%20-%20ICFES%20-%20SOSTENIBILIDAD.xlsx&amp;action=default&amp;mobileredirect=true"/>
    <n v="1"/>
    <n v="1"/>
  </r>
  <r>
    <x v="0"/>
    <x v="7"/>
    <s v="7bad0cc0-6d01-ef11-b0c0-00155d68bf05"/>
    <d v="2024-04-23T12:33:59"/>
    <x v="8"/>
    <s v="Laura Johanna Jaramillo Soto"/>
    <s v="https://growdatasas.sharepoint.com/sites/pwa/ALDESARROLLO - ICFES - SOSTENIBILIDAD"/>
    <s v="CONTRATAR LA REALIZACIÓN DEL DISEÑO DE ESTRATEGIA Y POLÍTICADE SOSTENIBILIDAD-RESPONSABILIDAD SOCIAL E INFORME DE SOSTENIBILIDAD 2023 CON EL ESTÁNDAR GRI, CON MIRAS AL FORTALECIMIENTO INSTITUCIONAL, SU PROYECCIÓN A GRUPOS DE INTERÉS Y LA DISPOSICIÓN A LOS RETOS DE INTERNACIONALIZACIÓN, COMPROMISO SOCIAL Y AMBIENTAL DE LA ENTIDAD. SE REALIZA UN OTRO SI ACLARATORIO DONDE SE AJUSTE LA NOMENCLATURA ASIGNADA AL CONTRATO DE CP-PR-2024-161 A CP-PR-2024-161A "/>
    <s v="CONSULTORÍA"/>
    <s v="0327"/>
    <s v="Activo.En Ejecución"/>
    <n v="1087776079"/>
    <d v="2024-03-18T00:00:00"/>
    <d v="2024-09-17T00:00:00"/>
    <n v="5.97"/>
    <n v="3.0000000000000249E-2"/>
    <n v="6"/>
    <n v="6"/>
    <n v="1"/>
    <n v="1"/>
    <n v="156296013"/>
    <n v="1087776079"/>
    <n v="1087776079"/>
    <n v="931480066"/>
    <n v="0"/>
    <n v="6.959717385753148"/>
    <x v="1"/>
    <n v="1"/>
    <x v="0"/>
    <n v="156296013"/>
    <n v="-931480066"/>
    <s v="https://growdatasas.sharepoint.com/:x:/r/sites/Gestiondocumental/Administrativa/GD/Financiera/_layouts/15/Doc.aspx?sourcedoc=%7B293F42A2-5CA4-4376-950C-5CBFEA13F436%7D&amp;file=327.%20ALDESARROLLO%20-%20ICFES%20-%20SOSTENIBILIDAD.xlsx&amp;action=default&amp;mobileredirect=true"/>
    <n v="1"/>
    <n v="1"/>
  </r>
  <r>
    <x v="0"/>
    <x v="3"/>
    <s v="ed6f263f-f345-ef11-adcb-00155d68d723"/>
    <d v="2024-07-19T17:20:54"/>
    <x v="9"/>
    <s v="Carlos Alberto Osorio Ortiz"/>
    <s v="https://growdatasas.sharepoint.com/sites/pwa/UT SERT PASTO - VENTA DE EQUIPOS"/>
    <s v=" ​Realizar la entrega, suministro e instalación de  dos servidores Hewlett Packard host DL360 GEN10 PLUS , un HPE StoreEasy 1660 MS WS IoT19 40 TB SAS y Servicios Profesionales "/>
    <s v="TI"/>
    <s v="0334"/>
    <s v="Activo.En Liquidación"/>
    <n v="237007609"/>
    <d v="2024-04-01T00:00:00"/>
    <d v="2024-04-30T00:00:00"/>
    <n v="0.97"/>
    <n v="3.0000000000000027E-2"/>
    <n v="1"/>
    <n v="1"/>
    <n v="1"/>
    <n v="1"/>
    <n v="237007609"/>
    <n v="237007609"/>
    <n v="237007609"/>
    <n v="0"/>
    <n v="0"/>
    <n v="1"/>
    <x v="0"/>
    <n v="1"/>
    <x v="0"/>
    <n v="237007609"/>
    <n v="0"/>
    <s v="https://growdatasas.sharepoint.com/:x:/r/sites/Gestiondocumental/Administrativa/GD/Financiera/_layouts/15/Doc.aspx?sourcedoc=%7BE4604918-6887-44A1-B732-65186E485C0C%7D&amp;file=V7_UTPASTO_20240321%20-%20VERSION%202.xlsm&amp;action=default&amp;mobileredirect=true"/>
    <n v="1"/>
    <n v="1"/>
  </r>
  <r>
    <x v="0"/>
    <x v="3"/>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7.33"/>
    <n v="1"/>
    <n v="8"/>
    <n v="0.1"/>
    <n v="0.12"/>
    <n v="195820270"/>
    <n v="187987459.56"/>
    <n v="156656216.30000001"/>
    <n v="-7832810.4399999976"/>
    <n v="31331243.25999999"/>
    <n v="0.96000000183842049"/>
    <x v="2"/>
    <n v="1.2"/>
    <x v="2"/>
    <n v="1631835583.3333333"/>
    <n v="65273420.333333254"/>
    <s v="https://growdatasas.sharepoint.com/:x:/r/sites/Gestiondocumental/Administrativa/GD/Financiera/_layouts/15/Doc.aspx?sourcedoc=%7BB89BD188-BEAD-4E84-BC3B-FF43B34DCCB0%7D&amp;file=326.%20ICFES%20-%20FABRICA%20DE%20SOFTWARE%20PRUEBAS.xlsx&amp;action=default&amp;mobileredirect=true"/>
    <n v="1"/>
    <n v="1"/>
  </r>
  <r>
    <x v="0"/>
    <x v="4"/>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6.33"/>
    <n v="2"/>
    <n v="8"/>
    <n v="0.2"/>
    <n v="0.25"/>
    <n v="195820270"/>
    <n v="391640540.75"/>
    <n v="313312432.60000002"/>
    <n v="195820270.75"/>
    <n v="78328108.149999976"/>
    <n v="2.0000000038300425"/>
    <x v="1"/>
    <n v="1.25"/>
    <x v="2"/>
    <n v="783281080.00000012"/>
    <n v="-783281082.99999988"/>
    <s v="https://growdatasas.sharepoint.com/:x:/r/sites/Gestiondocumental/Administrativa/GD/Financiera/_layouts/15/Doc.aspx?sourcedoc=%7BB89BD188-BEAD-4E84-BC3B-FF43B34DCCB0%7D&amp;file=326.%20ICFES%20-%20FABRICA%20DE%20SOFTWARE%20PRUEBAS.xlsx&amp;action=default&amp;mobileredirect=true"/>
    <n v="1"/>
    <n v="1"/>
  </r>
  <r>
    <x v="0"/>
    <x v="5"/>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5.33"/>
    <n v="3"/>
    <n v="8"/>
    <n v="0.3"/>
    <n v="0.32"/>
    <n v="195820270"/>
    <n v="501299892.16000003"/>
    <n v="469968648.89999998"/>
    <n v="305479622.16000003"/>
    <n v="31331243.26000005"/>
    <n v="2.5600000049024549"/>
    <x v="1"/>
    <n v="1.0666666666666669"/>
    <x v="2"/>
    <n v="611938343.74999988"/>
    <n v="-954623819.25000012"/>
    <s v="https://growdatasas.sharepoint.com/:x:/r/sites/Gestiondocumental/Administrativa/GD/Financiera/_layouts/15/Doc.aspx?sourcedoc=%7BB89BD188-BEAD-4E84-BC3B-FF43B34DCCB0%7D&amp;file=326.%20ICFES%20-%20FABRICA%20DE%20SOFTWARE%20PRUEBAS.xlsx&amp;action=default&amp;mobileredirect=true"/>
    <n v="1"/>
    <n v="1"/>
  </r>
  <r>
    <x v="0"/>
    <x v="6"/>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4.33"/>
    <n v="4"/>
    <n v="8"/>
    <n v="0.45"/>
    <n v="0.42"/>
    <n v="195820270"/>
    <n v="657956108.45999992"/>
    <n v="704952973.35000002"/>
    <n v="462135838.45999992"/>
    <n v="-46996864.890000105"/>
    <n v="3.3600000064344715"/>
    <x v="1"/>
    <n v="0.93333333333333324"/>
    <x v="1"/>
    <n v="466238738.09523815"/>
    <n v="-1100323424.9047618"/>
    <s v="https://growdatasas.sharepoint.com/:x:/r/sites/Gestiondocumental/Administrativa/GD/Financiera/_layouts/15/Doc.aspx?sourcedoc=%7BB89BD188-BEAD-4E84-BC3B-FF43B34DCCB0%7D&amp;file=326.%20ICFES%20-%20FABRICA%20DE%20SOFTWARE%20PRUEBAS.xlsx&amp;action=default&amp;mobileredirect=true"/>
    <n v="1"/>
    <n v="1"/>
  </r>
  <r>
    <x v="0"/>
    <x v="7"/>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3.33"/>
    <n v="5"/>
    <n v="8"/>
    <n v="0.55000000000000004"/>
    <n v="0.56000000000000005"/>
    <n v="195820270"/>
    <n v="877274811.28000009"/>
    <n v="861609189.6500001"/>
    <n v="681454541.28000009"/>
    <n v="15665621.629999995"/>
    <n v="4.4800000085792959"/>
    <x v="1"/>
    <n v="1.0181818181818181"/>
    <x v="2"/>
    <n v="349679053.57142854"/>
    <n v="-1216883109.4285715"/>
    <s v="https://growdatasas.sharepoint.com/:x:/r/sites/Gestiondocumental/Administrativa/GD/Financiera/_layouts/15/Doc.aspx?sourcedoc=%7BB89BD188-BEAD-4E84-BC3B-FF43B34DCCB0%7D&amp;file=326.%20ICFES%20-%20FABRICA%20DE%20SOFTWARE%20PRUEBAS.xlsx&amp;action=default&amp;mobileredirect=true"/>
    <n v="1"/>
    <n v="1"/>
  </r>
  <r>
    <x v="0"/>
    <x v="8"/>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2.33"/>
    <n v="6"/>
    <n v="8"/>
    <n v="0.65"/>
    <n v="0.67"/>
    <n v="195820270"/>
    <n v="1049596649.21"/>
    <n v="1018265405.95"/>
    <n v="853776379.21000004"/>
    <n v="31331243.25999999"/>
    <n v="5.3600000102645149"/>
    <x v="1"/>
    <n v="1.0307692307692307"/>
    <x v="2"/>
    <n v="292269059.70149249"/>
    <n v="-1274293103.2985075"/>
    <s v="https://growdatasas.sharepoint.com/:x:/r/sites/Gestiondocumental/Administrativa/GD/Financiera/_layouts/15/Doc.aspx?sourcedoc=%7BB89BD188-BEAD-4E84-BC3B-FF43B34DCCB0%7D&amp;file=326.%20ICFES%20-%20FABRICA%20DE%20SOFTWARE%20PRUEBAS.xlsx&amp;action=default&amp;mobileredirect=true"/>
    <n v="1"/>
    <n v="1"/>
  </r>
  <r>
    <x v="0"/>
    <x v="9"/>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1.33"/>
    <n v="7"/>
    <n v="8"/>
    <n v="0.85"/>
    <n v="0.85"/>
    <n v="195820270"/>
    <n v="1331577838.55"/>
    <n v="1331577838.55"/>
    <n v="1135757568.55"/>
    <n v="0"/>
    <n v="6.800000013022145"/>
    <x v="1"/>
    <n v="1"/>
    <x v="0"/>
    <n v="230376788.23529413"/>
    <n v="-1336185374.7647059"/>
    <s v="https://growdatasas.sharepoint.com/:x:/r/sites/Gestiondocumental/Administrativa/GD/Financiera/_layouts/15/Doc.aspx?sourcedoc=%7BB89BD188-BEAD-4E84-BC3B-FF43B34DCCB0%7D&amp;file=326.%20ICFES%20-%20FABRICA%20DE%20SOFTWARE%20PRUEBAS.xlsx&amp;action=default&amp;mobileredirect=true"/>
    <n v="1"/>
    <n v="1"/>
  </r>
  <r>
    <x v="0"/>
    <x v="10"/>
    <s v="378e9b3a-aa01-ef11-88ac-00155d682343"/>
    <d v="2024-04-23T19:46:54"/>
    <x v="10"/>
    <s v="Leidy Susana Ramirez Herrera"/>
    <s v="https://growdatasas.sharepoint.com/sites/pwa/EMTEL - ICFES - FABRICA"/>
    <s v="Prestación de servicios de Fábrica de Software para los proyectos de transformación digital del ICFES.Prestación de servicios de pruebas funcionales, no funcionales por demanda y aseguramiento de calidad asociado a las soluciones tecnológicas definidas para el Instituto Colombiano para la Evaluación de la Educación – ICFES. "/>
    <s v="DATOS Y SISTEMAS DE INFORMACIÓN"/>
    <s v="0326"/>
    <s v="Activo.En Cierre"/>
    <n v="1566562163"/>
    <d v="2024-04-20T00:00:00"/>
    <d v="2024-12-30T00:00:00"/>
    <n v="8.33"/>
    <n v="-0.33000000000000007"/>
    <n v="8"/>
    <n v="8"/>
    <n v="1"/>
    <n v="1"/>
    <n v="195820270"/>
    <n v="1566562163"/>
    <n v="1566562163"/>
    <n v="1370741893"/>
    <n v="0"/>
    <n v="8.00000001532017"/>
    <x v="1"/>
    <n v="1"/>
    <x v="0"/>
    <n v="195820270.00000003"/>
    <n v="-1370741893"/>
    <s v="https://growdatasas.sharepoint.com/:x:/r/sites/Gestiondocumental/Administrativa/GD/Financiera/_layouts/15/Doc.aspx?sourcedoc=%7BB89BD188-BEAD-4E84-BC3B-FF43B34DCCB0%7D&amp;file=326.%20ICFES%20-%20FABRICA%20DE%20SOFTWARE%20PRUEBAS.xlsx&amp;action=default&amp;mobileredirect=true"/>
    <n v="1"/>
    <n v="1"/>
  </r>
  <r>
    <x v="0"/>
    <x v="4"/>
    <s v="fb6b6bf8-513d-ef11-964f-00155d687105"/>
    <d v="2024-07-08T17:46:17"/>
    <x v="11"/>
    <s v="Leidy Susana Ramirez Herrera"/>
    <s v="https://growdatasas.sharepoint.com/sites/pwa/INM-ALDESARROLLO-DATOS Y PROCESOS"/>
    <s v=" ​CONTRATAR LOS SERVICIOS PARA CONTINUAR IMPLEMENTANDO LA POLÍTICA DE GOBIERNO DIGITAL A TRAVÉS DEL DESARROLLO DE EJERCICIOS DE ARQUITECTURA EMPRESARIAL EN LOS DOMINIOS INSTITUCIONAL, DE INFORMACIÓN Y DE TECNOLOGÍA.  "/>
    <s v="CONSULTORÍA"/>
    <s v="0331"/>
    <s v="Activo.En Ejecución"/>
    <n v="218649688"/>
    <d v="2024-05-01T00:00:00"/>
    <d v="2024-08-30T00:00:00"/>
    <n v="3.97"/>
    <n v="17.03"/>
    <n v="21"/>
    <n v="4"/>
    <n v="0.2"/>
    <n v="0.15"/>
    <n v="43729938"/>
    <n v="32797453.199999999"/>
    <n v="43729937.600000001"/>
    <n v="-10932484.800000001"/>
    <n v="-10932484.400000002"/>
    <n v="0.74999999313971122"/>
    <x v="2"/>
    <n v="0.75"/>
    <x v="1"/>
    <n v="291532920"/>
    <n v="72883232"/>
    <s v="https://growdatasas.sharepoint.com/:x:/r/sites/Gestiondocumental/Administrativa/GD/Financiera/_layouts/15/Doc.aspx?sourcedoc=%7B90300F8C-6F13-418B-97E4-626034BE9C0E%7D&amp;file=MODELO%20FINANCIERO%20REFERENCIA%20V7-INM_V1.0%20-%20500M.xlsm&amp;action=default&amp;mobileredirect=true"/>
    <n v="1"/>
    <n v="1"/>
  </r>
  <r>
    <x v="0"/>
    <x v="5"/>
    <s v="fb6b6bf8-513d-ef11-964f-00155d687105"/>
    <d v="2024-07-08T17:46:17"/>
    <x v="11"/>
    <s v="Leidy Susana Ramirez Herrera"/>
    <s v="https://growdatasas.sharepoint.com/sites/pwa/INM-ALDESARROLLO-DATOS Y PROCESOS"/>
    <s v=" ​CONTRATAR LOS SERVICIOS PARA CONTINUAR IMPLEMENTANDO LA POLÍTICA DE GOBIERNO DIGITAL A TRAVÉS DEL DESARROLLO DE EJERCICIOS DE ARQUITECTURA EMPRESARIAL EN LOS DOMINIOS INSTITUCIONAL, DE INFORMACIÓN Y DE TECNOLOGÍA.  "/>
    <s v="CONSULTORÍA"/>
    <s v="0331"/>
    <s v="Activo.En Ejecución"/>
    <n v="218649688"/>
    <d v="2024-05-01T00:00:00"/>
    <d v="2024-08-30T00:00:00"/>
    <n v="3.97"/>
    <n v="17.03"/>
    <n v="21"/>
    <n v="4"/>
    <n v="0.5"/>
    <n v="0.56000000000000005"/>
    <n v="43729938"/>
    <n v="122443825.28000002"/>
    <n v="109324844"/>
    <n v="78713887.280000016"/>
    <n v="13118981.280000016"/>
    <n v="2.799999974388256"/>
    <x v="1"/>
    <n v="1.1200000000000001"/>
    <x v="2"/>
    <n v="78089174.999999985"/>
    <n v="-140560513"/>
    <s v="https://growdatasas.sharepoint.com/:x:/r/sites/Gestiondocumental/Administrativa/GD/Financiera/_layouts/15/Doc.aspx?sourcedoc=%7B90300F8C-6F13-418B-97E4-626034BE9C0E%7D&amp;file=MODELO%20FINANCIERO%20REFERENCIA%20V7-INM_V1.0%20-%20500M.xlsm&amp;action=default&amp;mobileredirect=true"/>
    <n v="1"/>
    <n v="1"/>
  </r>
  <r>
    <x v="0"/>
    <x v="6"/>
    <s v="fb6b6bf8-513d-ef11-964f-00155d687105"/>
    <d v="2024-07-08T17:46:17"/>
    <x v="11"/>
    <s v="Leidy Susana Ramirez Herrera"/>
    <s v="https://growdatasas.sharepoint.com/sites/pwa/INM-ALDESARROLLO-DATOS Y PROCESOS"/>
    <s v=" ​CONTRATAR LOS SERVICIOS PARA CONTINUAR IMPLEMENTANDO LA POLÍTICA DE GOBIERNO DIGITAL A TRAVÉS DEL DESARROLLO DE EJERCICIOS DE ARQUITECTURA EMPRESARIAL EN LOS DOMINIOS INSTITUCIONAL, DE INFORMACIÓN Y DE TECNOLOGÍA.  "/>
    <s v="CONSULTORÍA"/>
    <s v="0331"/>
    <s v="Activo.En Ejecución"/>
    <n v="218649688"/>
    <d v="2024-05-01T00:00:00"/>
    <d v="2024-08-30T00:00:00"/>
    <n v="3.97"/>
    <n v="17.03"/>
    <n v="21"/>
    <n v="4"/>
    <n v="0.85"/>
    <n v="0.67"/>
    <n v="43729938"/>
    <n v="146495290.96000001"/>
    <n v="185852234.79999998"/>
    <n v="102765352.96000001"/>
    <n v="-39356943.839999974"/>
    <n v="3.3499999693573774"/>
    <x v="1"/>
    <n v="0.78823529411764715"/>
    <x v="1"/>
    <n v="65268564.17910447"/>
    <n v="-153381123.82089552"/>
    <s v="https://growdatasas.sharepoint.com/:x:/r/sites/Gestiondocumental/Administrativa/GD/Financiera/_layouts/15/Doc.aspx?sourcedoc=%7B90300F8C-6F13-418B-97E4-626034BE9C0E%7D&amp;file=MODELO%20FINANCIERO%20REFERENCIA%20V7-INM_V1.0%20-%20500M.xlsm&amp;action=default&amp;mobileredirect=true"/>
    <n v="1"/>
    <n v="1"/>
  </r>
  <r>
    <x v="0"/>
    <x v="7"/>
    <s v="fb6b6bf8-513d-ef11-964f-00155d687105"/>
    <d v="2024-07-08T17:46:17"/>
    <x v="11"/>
    <s v="Leidy Susana Ramirez Herrera"/>
    <s v="https://growdatasas.sharepoint.com/sites/pwa/INM-ALDESARROLLO-DATOS Y PROCESOS"/>
    <s v=" ​CONTRATAR LOS SERVICIOS PARA CONTINUAR IMPLEMENTANDO LA POLÍTICA DE GOBIERNO DIGITAL A TRAVÉS DEL DESARROLLO DE EJERCICIOS DE ARQUITECTURA EMPRESARIAL EN LOS DOMINIOS INSTITUCIONAL, DE INFORMACIÓN Y DE TECNOLOGÍA.  "/>
    <s v="CONSULTORÍA"/>
    <s v="0331"/>
    <s v="Activo.En Ejecución"/>
    <n v="218649688"/>
    <d v="2024-05-01T00:00:00"/>
    <d v="2024-08-30T00:00:00"/>
    <n v="3.97"/>
    <n v="17.03"/>
    <n v="21"/>
    <n v="4"/>
    <n v="1"/>
    <n v="0.85"/>
    <n v="43729938"/>
    <n v="185852234.79999998"/>
    <n v="218649688"/>
    <n v="142122296.79999998"/>
    <n v="-32797453.200000018"/>
    <n v="4.2499999611250301"/>
    <x v="1"/>
    <n v="0.84999999999999987"/>
    <x v="1"/>
    <n v="51446985.882352948"/>
    <n v="-167202702.11764705"/>
    <s v="https://growdatasas.sharepoint.com/:x:/r/sites/Gestiondocumental/Administrativa/GD/Financiera/_layouts/15/Doc.aspx?sourcedoc=%7B90300F8C-6F13-418B-97E4-626034BE9C0E%7D&amp;file=MODELO%20FINANCIERO%20REFERENCIA%20V7-INM_V1.0%20-%20500M.xlsm&amp;action=default&amp;mobileredirect=true"/>
    <n v="1"/>
    <n v="1"/>
  </r>
  <r>
    <x v="0"/>
    <x v="7"/>
    <s v="fb6b6bf8-513d-ef11-964f-00155d687105"/>
    <d v="2024-07-08T17:46:17"/>
    <x v="11"/>
    <s v="Leidy Susana Ramirez Herrera"/>
    <s v="https://growdatasas.sharepoint.com/sites/pwa/INM-ALDESARROLLO-DATOS Y PROCESOS"/>
    <s v=" ​CONTRATAR LOS SERVICIOS PARA CONTINUAR IMPLEMENTANDO LA POLÍTICA DE GOBIERNO DIGITAL A TRAVÉS DEL DESARROLLO DE EJERCICIOS DE ARQUITECTURA EMPRESARIAL EN LOS DOMINIOS INSTITUCIONAL, DE INFORMACIÓN Y DE TECNOLOGÍA.  "/>
    <s v="CONSULTORÍA"/>
    <s v="0331"/>
    <s v="Activo.En Ejecución"/>
    <n v="218649688"/>
    <d v="2024-05-01T00:00:00"/>
    <d v="2024-08-30T00:00:00"/>
    <n v="3.97"/>
    <n v="17.03"/>
    <n v="21"/>
    <n v="4"/>
    <n v="1"/>
    <n v="1"/>
    <n v="43729938"/>
    <n v="218649688"/>
    <n v="218649688"/>
    <n v="174919750"/>
    <n v="0"/>
    <n v="4.9999999542647418"/>
    <x v="1"/>
    <n v="1"/>
    <x v="0"/>
    <n v="43729938"/>
    <n v="-174919750"/>
    <s v="https://growdatasas.sharepoint.com/:x:/r/sites/Gestiondocumental/Administrativa/GD/Financiera/_layouts/15/Doc.aspx?sourcedoc=%7B90300F8C-6F13-418B-97E4-626034BE9C0E%7D&amp;file=MODELO%20FINANCIERO%20REFERENCIA%20V7-INM_V1.0%20-%20500M.xlsm&amp;action=default&amp;mobileredirect=true"/>
    <n v="1"/>
    <n v="1"/>
  </r>
  <r>
    <x v="0"/>
    <x v="4"/>
    <s v="2f048f31-0b0f-ef11-9ac8-00155d68220c"/>
    <d v="2024-05-10T20:23:45"/>
    <x v="12"/>
    <s v="Janeth Annelise Araujo Ramos"/>
    <s v="https://growdatasas.sharepoint.com/sites/pwa/INFOTIC - ICFES - PRUEBAS CSJ"/>
    <s v=" APLICACIÓN ELECTRÓNICA DEL EXAMEN PARA EJERCER LA PROFESIÓN DE ABOGADO A REALIZARSE EN LA VIGENCIA 2024SUMINISTRO DE MESA DE SERVICIO CON COBERTURA NACIONAL   "/>
    <s v="TI"/>
    <s v="0328"/>
    <s v="Activo.En Cierre"/>
    <n v="830180856"/>
    <d v="2024-05-02T00:00:00"/>
    <d v="2024-10-31T00:00:00"/>
    <n v="5.97"/>
    <n v="15.030000000000001"/>
    <n v="21"/>
    <n v="6"/>
    <n v="0.2"/>
    <n v="0.15"/>
    <n v="311082365"/>
    <n v="124527128.39999999"/>
    <n v="166036171.20000002"/>
    <n v="-186555236.60000002"/>
    <n v="-41509042.800000027"/>
    <n v="0.40030275711707408"/>
    <x v="2"/>
    <n v="0.74999999999999989"/>
    <x v="1"/>
    <n v="2073882433.3333335"/>
    <n v="1243701577.3333335"/>
    <s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n v="1"/>
    <n v="1"/>
  </r>
  <r>
    <x v="0"/>
    <x v="5"/>
    <s v="2f048f31-0b0f-ef11-9ac8-00155d68220c"/>
    <d v="2024-05-10T20:23:45"/>
    <x v="12"/>
    <s v="Janeth Annelise Araujo Ramos"/>
    <s v="https://growdatasas.sharepoint.com/sites/pwa/INFOTIC - ICFES - PRUEBAS CSJ"/>
    <s v=" APLICACIÓN ELECTRÓNICA DEL EXAMEN PARA EJERCER LA PROFESIÓN DE ABOGADO A REALIZARSE EN LA VIGENCIA 2024SUMINISTRO DE MESA DE SERVICIO CON COBERTURA NACIONAL   "/>
    <s v="TI"/>
    <s v="0328"/>
    <s v="Activo.En Cierre"/>
    <n v="830180856"/>
    <d v="2024-05-02T00:00:00"/>
    <d v="2024-10-31T00:00:00"/>
    <n v="5.97"/>
    <n v="15.030000000000001"/>
    <n v="21"/>
    <n v="6"/>
    <n v="0.4"/>
    <n v="0.35"/>
    <n v="0"/>
    <n v="290563299.59999996"/>
    <n v="332072342.40000004"/>
    <n v="290563299.59999996"/>
    <n v="-41509042.800000072"/>
    <s v="No se realizó gasto en este corte"/>
    <x v="1"/>
    <n v="0.87499999999999978"/>
    <x v="1"/>
    <n v="0"/>
    <n v="-830180856"/>
    <s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n v="1"/>
    <n v="1"/>
  </r>
  <r>
    <x v="0"/>
    <x v="6"/>
    <s v="2f048f31-0b0f-ef11-9ac8-00155d68220c"/>
    <d v="2024-05-10T20:23:45"/>
    <x v="12"/>
    <s v="Janeth Annelise Araujo Ramos"/>
    <s v="https://growdatasas.sharepoint.com/sites/pwa/INFOTIC - ICFES - PRUEBAS CSJ"/>
    <s v=" APLICACIÓN ELECTRÓNICA DEL EXAMEN PARA EJERCER LA PROFESIÓN DE ABOGADO A REALIZARSE EN LA VIGENCIA 2024SUMINISTRO DE MESA DE SERVICIO CON COBERTURA NACIONAL   "/>
    <s v="TI"/>
    <s v="0328"/>
    <s v="Activo.En Cierre"/>
    <n v="830180856"/>
    <d v="2024-05-02T00:00:00"/>
    <d v="2024-10-31T00:00:00"/>
    <n v="5.97"/>
    <n v="15.030000000000001"/>
    <n v="21"/>
    <n v="6"/>
    <n v="0.6"/>
    <n v="0.56000000000000005"/>
    <n v="0"/>
    <n v="464901279.36000007"/>
    <n v="498108513.59999996"/>
    <n v="464901279.36000007"/>
    <n v="-33207234.23999989"/>
    <s v="No se realizó gasto en este corte"/>
    <x v="1"/>
    <n v="0.93333333333333357"/>
    <x v="1"/>
    <n v="0"/>
    <n v="-830180856"/>
    <s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n v="1"/>
    <n v="1"/>
  </r>
  <r>
    <x v="0"/>
    <x v="7"/>
    <s v="2f048f31-0b0f-ef11-9ac8-00155d68220c"/>
    <d v="2024-05-10T20:23:45"/>
    <x v="12"/>
    <s v="Janeth Annelise Araujo Ramos"/>
    <s v="https://growdatasas.sharepoint.com/sites/pwa/INFOTIC - ICFES - PRUEBAS CSJ"/>
    <s v=" APLICACIÓN ELECTRÓNICA DEL EXAMEN PARA EJERCER LA PROFESIÓN DE ABOGADO A REALIZARSE EN LA VIGENCIA 2024SUMINISTRO DE MESA DE SERVICIO CON COBERTURA NACIONAL   "/>
    <s v="TI"/>
    <s v="0328"/>
    <s v="Activo.En Cierre"/>
    <n v="830180856"/>
    <d v="2024-05-02T00:00:00"/>
    <d v="2024-10-31T00:00:00"/>
    <n v="5.97"/>
    <n v="15.030000000000001"/>
    <n v="21"/>
    <n v="6"/>
    <n v="0.8"/>
    <n v="0.67"/>
    <n v="0"/>
    <n v="556221173.51999998"/>
    <n v="664144684.80000007"/>
    <n v="556221173.51999998"/>
    <n v="-107923511.28000009"/>
    <s v="No se realizó gasto en este corte"/>
    <x v="1"/>
    <n v="0.83749999999999991"/>
    <x v="1"/>
    <n v="0"/>
    <n v="-830180856"/>
    <s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n v="1"/>
    <n v="1"/>
  </r>
  <r>
    <x v="0"/>
    <x v="8"/>
    <s v="2f048f31-0b0f-ef11-9ac8-00155d68220c"/>
    <d v="2024-05-10T20:23:45"/>
    <x v="12"/>
    <s v="Janeth Annelise Araujo Ramos"/>
    <s v="https://growdatasas.sharepoint.com/sites/pwa/INFOTIC - ICFES - PRUEBAS CSJ"/>
    <s v=" APLICACIÓN ELECTRÓNICA DEL EXAMEN PARA EJERCER LA PROFESIÓN DE ABOGADO A REALIZARSE EN LA VIGENCIA 2024SUMINISTRO DE MESA DE SERVICIO CON COBERTURA NACIONAL   "/>
    <s v="TI"/>
    <s v="0328"/>
    <s v="Activo.En Cierre"/>
    <n v="830180856"/>
    <d v="2024-05-02T00:00:00"/>
    <d v="2024-10-31T00:00:00"/>
    <n v="5.97"/>
    <n v="15.030000000000001"/>
    <n v="21"/>
    <n v="6"/>
    <n v="0.9"/>
    <n v="0.85"/>
    <n v="0"/>
    <n v="705653727.60000002"/>
    <n v="747162770.39999998"/>
    <n v="705653727.60000002"/>
    <n v="-41509042.799999952"/>
    <s v="No se realizó gasto en este corte"/>
    <x v="1"/>
    <n v="0.94444444444444453"/>
    <x v="1"/>
    <n v="0"/>
    <n v="-830180856"/>
    <s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n v="1"/>
    <n v="1"/>
  </r>
  <r>
    <x v="0"/>
    <x v="9"/>
    <s v="2f048f31-0b0f-ef11-9ac8-00155d68220c"/>
    <d v="2024-05-10T20:23:45"/>
    <x v="12"/>
    <s v="Janeth Annelise Araujo Ramos"/>
    <s v="https://growdatasas.sharepoint.com/sites/pwa/INFOTIC - ICFES - PRUEBAS CSJ"/>
    <s v=" APLICACIÓN ELECTRÓNICA DEL EXAMEN PARA EJERCER LA PROFESIÓN DE ABOGADO A REALIZARSE EN LA VIGENCIA 2024SUMINISTRO DE MESA DE SERVICIO CON COBERTURA NACIONAL   "/>
    <s v="TI"/>
    <s v="0328"/>
    <s v="Activo.En Cierre"/>
    <n v="830180856"/>
    <d v="2024-05-02T00:00:00"/>
    <d v="2024-10-31T00:00:00"/>
    <n v="5.97"/>
    <n v="15.030000000000001"/>
    <n v="21"/>
    <n v="6"/>
    <n v="1"/>
    <n v="1"/>
    <n v="519098491"/>
    <n v="830180856"/>
    <n v="830180856"/>
    <n v="311082365"/>
    <n v="0"/>
    <n v="1.5992742618086324"/>
    <x v="1"/>
    <n v="1"/>
    <x v="0"/>
    <n v="519098491"/>
    <n v="-311082365"/>
    <s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n v="1"/>
    <n v="1"/>
  </r>
  <r>
    <x v="0"/>
    <x v="4"/>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4.97"/>
    <n v="1"/>
    <n v="36"/>
    <n v="0.02"/>
    <n v="0.05"/>
    <n v="14689"/>
    <n v="225221287.85000002"/>
    <n v="90088515.140000001"/>
    <n v="225206598.85000002"/>
    <n v="135132772.71000004"/>
    <n v="15332.649455374773"/>
    <x v="1"/>
    <n v="2.5000000000000004"/>
    <x v="2"/>
    <n v="293779.99999999994"/>
    <n v="-4504131977"/>
    <s v="https://growdatasas.sharepoint.com/:x:/r/sites/Gestiondocumental/Administrativa/GD/Financiera/_layouts/15/Doc.aspx?sourcedoc=%7B0974E3E6-B78B-4C29-8F8A-9CF11A235CF4%7D&amp;file=20240530%20UT%20ENTERRITORIO%202027%20(SERVICIO).xlsm&amp;action=default&amp;mobileredirect=true"/>
    <n v="1"/>
    <n v="1"/>
  </r>
  <r>
    <x v="0"/>
    <x v="5"/>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3.97"/>
    <n v="2"/>
    <n v="36"/>
    <n v="0.05"/>
    <n v="7.0000000000000007E-2"/>
    <n v="276012204"/>
    <n v="315309802.99000001"/>
    <n v="225221287.85000002"/>
    <n v="39297598.99000001"/>
    <n v="90088515.139999986"/>
    <n v="1.142376309527241"/>
    <x v="1"/>
    <n v="1.4"/>
    <x v="2"/>
    <n v="3943031485.7142859"/>
    <n v="-561394271.28571415"/>
    <s v="https://growdatasas.sharepoint.com/:x:/r/sites/Gestiondocumental/Administrativa/GD/Financiera/_layouts/15/Doc.aspx?sourcedoc=%7B0974E3E6-B78B-4C29-8F8A-9CF11A235CF4%7D&amp;file=20240530%20UT%20ENTERRITORIO%202027%20(SERVICIO).xlsm&amp;action=default&amp;mobileredirect=true"/>
    <n v="1"/>
    <n v="1"/>
  </r>
  <r>
    <x v="0"/>
    <x v="6"/>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2.97"/>
    <n v="3"/>
    <n v="36"/>
    <n v="0.08"/>
    <n v="0.08"/>
    <n v="120457490"/>
    <n v="360354060.56"/>
    <n v="360354060.56"/>
    <n v="239896570.56"/>
    <n v="0"/>
    <n v="2.991545486793723"/>
    <x v="1"/>
    <n v="1"/>
    <x v="0"/>
    <n v="1505718625"/>
    <n v="-2998707132"/>
    <s v="https://growdatasas.sharepoint.com/:x:/r/sites/Gestiondocumental/Administrativa/GD/Financiera/_layouts/15/Doc.aspx?sourcedoc=%7B0974E3E6-B78B-4C29-8F8A-9CF11A235CF4%7D&amp;file=20240530%20UT%20ENTERRITORIO%202027%20(SERVICIO).xlsm&amp;action=default&amp;mobileredirect=true"/>
    <n v="1"/>
    <n v="1"/>
  </r>
  <r>
    <x v="0"/>
    <x v="7"/>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1.97"/>
    <n v="4"/>
    <n v="36"/>
    <n v="0.11"/>
    <n v="0.11"/>
    <n v="110451020"/>
    <n v="495486833.26999998"/>
    <n v="495486833.26999998"/>
    <n v="385035813.26999998"/>
    <n v="0"/>
    <n v="4.4860322092996512"/>
    <x v="1"/>
    <n v="1"/>
    <x v="0"/>
    <n v="1004100181.8181819"/>
    <n v="-3500325575.181818"/>
    <s v="https://growdatasas.sharepoint.com/:x:/r/sites/Gestiondocumental/Administrativa/GD/Financiera/_layouts/15/Doc.aspx?sourcedoc=%7B0974E3E6-B78B-4C29-8F8A-9CF11A235CF4%7D&amp;file=20240530%20UT%20ENTERRITORIO%202027%20(SERVICIO).xlsm&amp;action=default&amp;mobileredirect=true"/>
    <n v="1"/>
    <n v="1"/>
  </r>
  <r>
    <x v="0"/>
    <x v="8"/>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0.97"/>
    <n v="5"/>
    <n v="36"/>
    <n v="0.14000000000000001"/>
    <n v="0.13"/>
    <n v="121118864"/>
    <n v="585575348.40999997"/>
    <n v="630619605.98000002"/>
    <n v="464456484.40999997"/>
    <n v="-45044257.570000052"/>
    <n v="4.8347163197468559"/>
    <x v="1"/>
    <n v="0.92857142857142849"/>
    <x v="1"/>
    <n v="931683569.23076928"/>
    <n v="-3572742187.7692308"/>
    <s v="https://growdatasas.sharepoint.com/:x:/r/sites/Gestiondocumental/Administrativa/GD/Financiera/_layouts/15/Doc.aspx?sourcedoc=%7B0974E3E6-B78B-4C29-8F8A-9CF11A235CF4%7D&amp;file=20240530%20UT%20ENTERRITORIO%202027%20(SERVICIO).xlsm&amp;action=default&amp;mobileredirect=true"/>
    <n v="1"/>
    <n v="1"/>
  </r>
  <r>
    <x v="0"/>
    <x v="9"/>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9.97"/>
    <n v="6"/>
    <n v="36"/>
    <n v="0.17"/>
    <n v="0.18"/>
    <n v="121118864"/>
    <n v="810796636.25999999"/>
    <n v="765752378.69000006"/>
    <n v="689677772.25999999"/>
    <n v="45044257.569999933"/>
    <n v="6.6942225965725699"/>
    <x v="1"/>
    <n v="1.0588235294117647"/>
    <x v="2"/>
    <n v="672882577.77777779"/>
    <n v="-3831543179.2222223"/>
    <s v="https://growdatasas.sharepoint.com/:x:/r/sites/Gestiondocumental/Administrativa/GD/Financiera/_layouts/15/Doc.aspx?sourcedoc=%7B0974E3E6-B78B-4C29-8F8A-9CF11A235CF4%7D&amp;file=20240530%20UT%20ENTERRITORIO%202027%20(SERVICIO).xlsm&amp;action=default&amp;mobileredirect=true"/>
    <n v="1"/>
    <n v="1"/>
  </r>
  <r>
    <x v="0"/>
    <x v="10"/>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8.97"/>
    <n v="7"/>
    <n v="36"/>
    <n v="0.2"/>
    <n v="0.21"/>
    <n v="121118864"/>
    <n v="945929408.96999991"/>
    <n v="900885151.4000001"/>
    <n v="824810544.96999991"/>
    <n v="45044257.569999814"/>
    <n v="7.8099263626679978"/>
    <x v="1"/>
    <n v="1.0499999999999998"/>
    <x v="2"/>
    <n v="576756495.23809528"/>
    <n v="-3927669261.7619047"/>
    <s v="https://growdatasas.sharepoint.com/:x:/r/sites/Gestiondocumental/Administrativa/GD/Financiera/_layouts/15/Doc.aspx?sourcedoc=%7B0974E3E6-B78B-4C29-8F8A-9CF11A235CF4%7D&amp;file=20240530%20UT%20ENTERRITORIO%202027%20(SERVICIO).xlsm&amp;action=default&amp;mobileredirect=true"/>
    <n v="1"/>
    <n v="1"/>
  </r>
  <r>
    <x v="0"/>
    <x v="11"/>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7.97"/>
    <n v="8"/>
    <n v="36"/>
    <n v="0.23"/>
    <n v="0.23"/>
    <n v="121118864"/>
    <n v="1036017924.11"/>
    <n v="1036017924.11"/>
    <n v="914899060.11000001"/>
    <n v="0"/>
    <n v="8.5537288733982848"/>
    <x v="1"/>
    <n v="1"/>
    <x v="0"/>
    <n v="526603756.52173907"/>
    <n v="-3977822000.478261"/>
    <s v="https://growdatasas.sharepoint.com/:x:/r/sites/Gestiondocumental/Administrativa/GD/Financiera/_layouts/15/Doc.aspx?sourcedoc=%7B0974E3E6-B78B-4C29-8F8A-9CF11A235CF4%7D&amp;file=20240530%20UT%20ENTERRITORIO%202027%20(SERVICIO).xlsm&amp;action=default&amp;mobileredirect=true"/>
    <n v="1"/>
    <n v="1"/>
  </r>
  <r>
    <x v="1"/>
    <x v="0"/>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6.97"/>
    <n v="9"/>
    <n v="36"/>
    <n v="0.26"/>
    <n v="0.26"/>
    <n v="121209264"/>
    <n v="1171150696.8199999"/>
    <n v="1171150696.8199999"/>
    <n v="1049941432.8199999"/>
    <n v="0"/>
    <n v="9.6622210066385676"/>
    <x v="1"/>
    <n v="1"/>
    <x v="0"/>
    <n v="466189476.92307699"/>
    <n v="-4038236280.0769229"/>
    <s v="https://growdatasas.sharepoint.com/:x:/r/sites/Gestiondocumental/Administrativa/GD/Financiera/_layouts/15/Doc.aspx?sourcedoc=%7B0974E3E6-B78B-4C29-8F8A-9CF11A235CF4%7D&amp;file=20240530%20UT%20ENTERRITORIO%202027%20(SERVICIO).xlsm&amp;action=default&amp;mobileredirect=true"/>
    <n v="1"/>
    <n v="1"/>
  </r>
  <r>
    <x v="1"/>
    <x v="1"/>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5.97"/>
    <n v="10"/>
    <n v="36"/>
    <n v="0.29000000000000004"/>
    <n v="0.28999999999999998"/>
    <n v="121209264"/>
    <n v="1306283469.53"/>
    <n v="1306283469.5300002"/>
    <n v="1185074205.53"/>
    <n v="0"/>
    <n v="10.777092661250711"/>
    <x v="1"/>
    <n v="0.99999999999999978"/>
    <x v="0"/>
    <n v="417962979.31034482"/>
    <n v="-4086462777.6896553"/>
    <s v="https://growdatasas.sharepoint.com/:x:/r/sites/Gestiondocumental/Administrativa/GD/Financiera/_layouts/15/Doc.aspx?sourcedoc=%7B0974E3E6-B78B-4C29-8F8A-9CF11A235CF4%7D&amp;file=20240530%20UT%20ENTERRITORIO%202027%20(SERVICIO).xlsm&amp;action=default&amp;mobileredirect=true"/>
    <n v="1"/>
    <n v="1"/>
  </r>
  <r>
    <x v="1"/>
    <x v="2"/>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4.97"/>
    <n v="11"/>
    <n v="36"/>
    <n v="0.32000000000000006"/>
    <n v="0.32"/>
    <n v="121209264"/>
    <n v="1441416242.24"/>
    <n v="1441416242.2400002"/>
    <n v="1320206978.24"/>
    <n v="0"/>
    <n v="11.891964315862854"/>
    <x v="1"/>
    <n v="0.99999999999999989"/>
    <x v="0"/>
    <n v="378778950"/>
    <n v="-4125646807"/>
    <s v="https://growdatasas.sharepoint.com/:x:/r/sites/Gestiondocumental/Administrativa/GD/Financiera/_layouts/15/Doc.aspx?sourcedoc=%7B0974E3E6-B78B-4C29-8F8A-9CF11A235CF4%7D&amp;file=20240530%20UT%20ENTERRITORIO%202027%20(SERVICIO).xlsm&amp;action=default&amp;mobileredirect=true"/>
    <n v="1"/>
    <n v="1"/>
  </r>
  <r>
    <x v="1"/>
    <x v="3"/>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3.97"/>
    <n v="12"/>
    <n v="36"/>
    <n v="0.35000000000000009"/>
    <n v="0.35"/>
    <n v="121209264"/>
    <n v="1576549014.9499998"/>
    <n v="1576549014.9500003"/>
    <n v="1455339750.9499998"/>
    <n v="0"/>
    <n v="13.006835970474995"/>
    <x v="1"/>
    <n v="0.99999999999999967"/>
    <x v="0"/>
    <n v="346312182.85714287"/>
    <n v="-4158113574.1428571"/>
    <s v="https://growdatasas.sharepoint.com/:x:/r/sites/Gestiondocumental/Administrativa/GD/Financiera/_layouts/15/Doc.aspx?sourcedoc=%7B0974E3E6-B78B-4C29-8F8A-9CF11A235CF4%7D&amp;file=20240530%20UT%20ENTERRITORIO%202027%20(SERVICIO).xlsm&amp;action=default&amp;mobileredirect=true"/>
    <n v="1"/>
    <n v="1"/>
  </r>
  <r>
    <x v="1"/>
    <x v="4"/>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2.97"/>
    <n v="13"/>
    <n v="36"/>
    <n v="0.38000000000000012"/>
    <n v="0.38"/>
    <n v="121209264"/>
    <n v="1711681787.6600001"/>
    <n v="1711681787.6600006"/>
    <n v="1590472523.6600001"/>
    <n v="0"/>
    <n v="14.12170762508714"/>
    <x v="1"/>
    <n v="0.99999999999999967"/>
    <x v="0"/>
    <n v="318971747.36842102"/>
    <n v="-4185454009.6315789"/>
    <s v="https://growdatasas.sharepoint.com/:x:/r/sites/Gestiondocumental/Administrativa/GD/Financiera/_layouts/15/Doc.aspx?sourcedoc=%7B0974E3E6-B78B-4C29-8F8A-9CF11A235CF4%7D&amp;file=20240530%20UT%20ENTERRITORIO%202027%20(SERVICIO).xlsm&amp;action=default&amp;mobileredirect=true"/>
    <n v="1"/>
    <n v="1"/>
  </r>
  <r>
    <x v="1"/>
    <x v="5"/>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1.97"/>
    <n v="14"/>
    <n v="36"/>
    <n v="0.41000000000000014"/>
    <n v="0.42"/>
    <n v="121209264"/>
    <n v="1891858817.9399998"/>
    <n v="1846814560.3700006"/>
    <n v="1770649553.9399998"/>
    <n v="45044257.569999218"/>
    <n v="15.608203164569995"/>
    <x v="1"/>
    <n v="1.0243902439024386"/>
    <x v="2"/>
    <n v="288593485.71428573"/>
    <n v="-4215832271.2857141"/>
    <s v="https://growdatasas.sharepoint.com/:x:/r/sites/Gestiondocumental/Administrativa/GD/Financiera/_layouts/15/Doc.aspx?sourcedoc=%7B0974E3E6-B78B-4C29-8F8A-9CF11A235CF4%7D&amp;file=20240530%20UT%20ENTERRITORIO%202027%20(SERVICIO).xlsm&amp;action=default&amp;mobileredirect=true"/>
    <n v="1"/>
    <n v="1"/>
  </r>
  <r>
    <x v="1"/>
    <x v="6"/>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0.97"/>
    <n v="15"/>
    <n v="36"/>
    <n v="0.44000000000000017"/>
    <n v="0.45"/>
    <n v="121209264"/>
    <n v="2026991590.6500001"/>
    <n v="1981947333.0800009"/>
    <n v="1905782326.6500001"/>
    <n v="45044257.569999218"/>
    <n v="16.723074819182138"/>
    <x v="1"/>
    <n v="1.0227272727272723"/>
    <x v="2"/>
    <n v="269353920"/>
    <n v="-4235071837"/>
    <s v="https://growdatasas.sharepoint.com/:x:/r/sites/Gestiondocumental/Administrativa/GD/Financiera/_layouts/15/Doc.aspx?sourcedoc=%7B0974E3E6-B78B-4C29-8F8A-9CF11A235CF4%7D&amp;file=20240530%20UT%20ENTERRITORIO%202027%20(SERVICIO).xlsm&amp;action=default&amp;mobileredirect=true"/>
    <n v="1"/>
    <n v="1"/>
  </r>
  <r>
    <x v="1"/>
    <x v="7"/>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9.97"/>
    <n v="16"/>
    <n v="36"/>
    <n v="0.4700000000000002"/>
    <n v="0.48"/>
    <n v="121209264"/>
    <n v="2162124363.3600001"/>
    <n v="2117080105.7900009"/>
    <n v="2040915099.3600001"/>
    <n v="45044257.569999218"/>
    <n v="17.837946473794283"/>
    <x v="1"/>
    <n v="1.0212765957446805"/>
    <x v="2"/>
    <n v="252519299.99999997"/>
    <n v="-4251906457"/>
    <s v="https://growdatasas.sharepoint.com/:x:/r/sites/Gestiondocumental/Administrativa/GD/Financiera/_layouts/15/Doc.aspx?sourcedoc=%7B0974E3E6-B78B-4C29-8F8A-9CF11A235CF4%7D&amp;file=20240530%20UT%20ENTERRITORIO%202027%20(SERVICIO).xlsm&amp;action=default&amp;mobileredirect=true"/>
    <n v="1"/>
    <n v="1"/>
  </r>
  <r>
    <x v="1"/>
    <x v="8"/>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8.97"/>
    <n v="17"/>
    <n v="36"/>
    <n v="0.50000000000000022"/>
    <n v="0.5"/>
    <n v="121209264"/>
    <n v="2252212878.5"/>
    <n v="2252212878.500001"/>
    <n v="2131003614.5"/>
    <n v="0"/>
    <n v="18.581194243535709"/>
    <x v="1"/>
    <n v="0.99999999999999956"/>
    <x v="0"/>
    <n v="242418528"/>
    <n v="-4262007229"/>
    <s v="https://growdatasas.sharepoint.com/:x:/r/sites/Gestiondocumental/Administrativa/GD/Financiera/_layouts/15/Doc.aspx?sourcedoc=%7B0974E3E6-B78B-4C29-8F8A-9CF11A235CF4%7D&amp;file=20240530%20UT%20ENTERRITORIO%202027%20(SERVICIO).xlsm&amp;action=default&amp;mobileredirect=true"/>
    <n v="1"/>
    <n v="1"/>
  </r>
  <r>
    <x v="1"/>
    <x v="9"/>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7.97"/>
    <n v="18"/>
    <n v="36"/>
    <n v="0.53000000000000025"/>
    <n v="0.53"/>
    <n v="121209264"/>
    <n v="2387345651.21"/>
    <n v="2387345651.210001"/>
    <n v="2266136387.21"/>
    <n v="0"/>
    <n v="19.69606589814785"/>
    <x v="1"/>
    <n v="0.99999999999999956"/>
    <x v="0"/>
    <n v="228696724.52830189"/>
    <n v="-4275729032.4716983"/>
    <s v="https://growdatasas.sharepoint.com/:x:/r/sites/Gestiondocumental/Administrativa/GD/Financiera/_layouts/15/Doc.aspx?sourcedoc=%7B0974E3E6-B78B-4C29-8F8A-9CF11A235CF4%7D&amp;file=20240530%20UT%20ENTERRITORIO%202027%20(SERVICIO).xlsm&amp;action=default&amp;mobileredirect=true"/>
    <n v="1"/>
    <n v="1"/>
  </r>
  <r>
    <x v="1"/>
    <x v="10"/>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6.97"/>
    <n v="19"/>
    <n v="36"/>
    <n v="0.56000000000000028"/>
    <n v="0.56000000000000005"/>
    <n v="121209264"/>
    <n v="2522478423.9200001"/>
    <n v="2522478423.920001"/>
    <n v="2401269159.9200001"/>
    <n v="0"/>
    <n v="20.810937552759995"/>
    <x v="1"/>
    <n v="0.99999999999999967"/>
    <x v="0"/>
    <n v="216445114.28571427"/>
    <n v="-4287980642.7142859"/>
    <s v="https://growdatasas.sharepoint.com/:x:/r/sites/Gestiondocumental/Administrativa/GD/Financiera/_layouts/15/Doc.aspx?sourcedoc=%7B0974E3E6-B78B-4C29-8F8A-9CF11A235CF4%7D&amp;file=20240530%20UT%20ENTERRITORIO%202027%20(SERVICIO).xlsm&amp;action=default&amp;mobileredirect=true"/>
    <n v="1"/>
    <n v="1"/>
  </r>
  <r>
    <x v="1"/>
    <x v="11"/>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5.969999999999999"/>
    <n v="20"/>
    <n v="36"/>
    <n v="0.5900000000000003"/>
    <n v="0.59"/>
    <n v="121209264"/>
    <n v="2657611196.6299996"/>
    <n v="2657611196.6300015"/>
    <n v="2536401932.6299996"/>
    <n v="0"/>
    <n v="21.925809207372133"/>
    <x v="1"/>
    <n v="0.99999999999999933"/>
    <x v="1"/>
    <n v="205439430.50847462"/>
    <n v="-4298986326.4915257"/>
    <s v="https://growdatasas.sharepoint.com/:x:/r/sites/Gestiondocumental/Administrativa/GD/Financiera/_layouts/15/Doc.aspx?sourcedoc=%7B0974E3E6-B78B-4C29-8F8A-9CF11A235CF4%7D&amp;file=20240530%20UT%20ENTERRITORIO%202027%20(SERVICIO).xlsm&amp;action=default&amp;mobileredirect=true"/>
    <n v="1"/>
    <n v="1"/>
  </r>
  <r>
    <x v="2"/>
    <x v="0"/>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4.969999999999999"/>
    <n v="21"/>
    <n v="36"/>
    <n v="0.62000000000000033"/>
    <n v="0.61"/>
    <n v="121209264"/>
    <n v="2747699711.77"/>
    <n v="2792743969.3400016"/>
    <n v="2626490447.77"/>
    <n v="-45044257.570001602"/>
    <n v="22.669056977113563"/>
    <x v="1"/>
    <n v="0.98387096774193494"/>
    <x v="1"/>
    <n v="198703711.47540987"/>
    <n v="-4305722045.5245905"/>
    <s v="https://growdatasas.sharepoint.com/:x:/r/sites/Gestiondocumental/Administrativa/GD/Financiera/_layouts/15/Doc.aspx?sourcedoc=%7B0974E3E6-B78B-4C29-8F8A-9CF11A235CF4%7D&amp;file=20240530%20UT%20ENTERRITORIO%202027%20(SERVICIO).xlsm&amp;action=default&amp;mobileredirect=true"/>
    <n v="1"/>
    <n v="1"/>
  </r>
  <r>
    <x v="2"/>
    <x v="1"/>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3.969999999999999"/>
    <n v="22"/>
    <n v="36"/>
    <n v="0.65000000000000036"/>
    <n v="0.67"/>
    <n v="121209264"/>
    <n v="3017965257.1900001"/>
    <n v="2927876742.0500016"/>
    <n v="2896755993.1900001"/>
    <n v="90088515.139998436"/>
    <n v="24.898800286337849"/>
    <x v="1"/>
    <n v="1.0307692307692302"/>
    <x v="2"/>
    <n v="180909349.25373134"/>
    <n v="-4323516407.7462683"/>
    <s v="https://growdatasas.sharepoint.com/:x:/r/sites/Gestiondocumental/Administrativa/GD/Financiera/_layouts/15/Doc.aspx?sourcedoc=%7B0974E3E6-B78B-4C29-8F8A-9CF11A235CF4%7D&amp;file=20240530%20UT%20ENTERRITORIO%202027%20(SERVICIO).xlsm&amp;action=default&amp;mobileredirect=true"/>
    <n v="1"/>
    <n v="1"/>
  </r>
  <r>
    <x v="2"/>
    <x v="2"/>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2.969999999999999"/>
    <n v="23"/>
    <n v="36"/>
    <n v="0.68000000000000038"/>
    <m/>
    <m/>
    <n v="0"/>
    <n v="3063009514.7600017"/>
    <n v="0"/>
    <n v="-3063009514.7600017"/>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3"/>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1.969999999999999"/>
    <n v="24"/>
    <n v="36"/>
    <n v="0.71000000000000041"/>
    <m/>
    <m/>
    <n v="0"/>
    <n v="3198142287.4700017"/>
    <n v="0"/>
    <n v="-3198142287.4700017"/>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4"/>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0.969999999999999"/>
    <n v="25"/>
    <n v="36"/>
    <n v="0.74000000000000044"/>
    <m/>
    <m/>
    <n v="0"/>
    <n v="3333275060.1800017"/>
    <n v="0"/>
    <n v="-3333275060.1800017"/>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5"/>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9.9699999999999989"/>
    <n v="26"/>
    <n v="36"/>
    <n v="0.77000000000000046"/>
    <m/>
    <m/>
    <n v="0"/>
    <n v="3468407832.8900023"/>
    <n v="0"/>
    <n v="-3468407832.8900023"/>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6"/>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8.9699999999999989"/>
    <n v="27"/>
    <n v="36"/>
    <n v="0.80000000000000049"/>
    <m/>
    <m/>
    <n v="0"/>
    <n v="3603540605.6000023"/>
    <n v="0"/>
    <n v="-3603540605.6000023"/>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7"/>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7.9699999999999989"/>
    <n v="28"/>
    <n v="36"/>
    <n v="0.82000000000000051"/>
    <m/>
    <m/>
    <n v="0"/>
    <n v="3693629120.7400022"/>
    <n v="0"/>
    <n v="-3693629120.7400022"/>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8"/>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6.9699999999999989"/>
    <n v="29"/>
    <n v="36"/>
    <n v="0.85000000000000053"/>
    <m/>
    <m/>
    <n v="0"/>
    <n v="3828761893.4500022"/>
    <n v="0"/>
    <n v="-3828761893.4500022"/>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9"/>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5.9699999999999989"/>
    <n v="30"/>
    <n v="36"/>
    <n v="0.86000000000000054"/>
    <m/>
    <m/>
    <n v="0"/>
    <n v="3873806151.0200024"/>
    <n v="0"/>
    <n v="-3873806151.0200024"/>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10"/>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4.9699999999999989"/>
    <n v="31"/>
    <n v="36"/>
    <n v="0.87000000000000055"/>
    <m/>
    <m/>
    <n v="0"/>
    <n v="3918850408.5900025"/>
    <n v="0"/>
    <n v="-3918850408.5900025"/>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2"/>
    <x v="11"/>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9699999999999989"/>
    <n v="32"/>
    <n v="36"/>
    <n v="0.88000000000000056"/>
    <m/>
    <m/>
    <n v="0"/>
    <n v="3963894666.1600027"/>
    <n v="0"/>
    <n v="-3963894666.1600027"/>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3"/>
    <x v="0"/>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2.9699999999999989"/>
    <n v="33"/>
    <n v="36"/>
    <n v="0.89000000000000057"/>
    <m/>
    <m/>
    <n v="0"/>
    <n v="4008938923.7300024"/>
    <n v="0"/>
    <n v="-4008938923.7300024"/>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3"/>
    <x v="1"/>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9699999999999989"/>
    <n v="34"/>
    <n v="36"/>
    <n v="0.90000000000000058"/>
    <m/>
    <m/>
    <n v="0"/>
    <n v="4053983181.3000026"/>
    <n v="0"/>
    <n v="-4053983181.3000026"/>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3"/>
    <x v="2"/>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0.96999999999999886"/>
    <n v="35"/>
    <n v="36"/>
    <n v="0.95"/>
    <m/>
    <m/>
    <n v="0"/>
    <n v="4279204469.1499996"/>
    <n v="0"/>
    <n v="-4279204469.1499996"/>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3"/>
    <x v="3"/>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3.0000000000001137E-2"/>
    <n v="36"/>
    <n v="36"/>
    <n v="0.98"/>
    <m/>
    <m/>
    <n v="0"/>
    <n v="4414337241.8599997"/>
    <n v="0"/>
    <n v="-4414337241.8599997"/>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3"/>
    <x v="4"/>
    <s v="4387201d-861f-ef11-963a-00155d690311"/>
    <d v="2024-05-31T19:44:01"/>
    <x v="13"/>
    <s v="Carlos Fernando Gomez Rodriguez"/>
    <s v="https://growdatasas.sharepoint.com/sites/pwa/UT - ENTERRITORIO 2027"/>
    <s v=" ​PRESTACIÓN DE SERVICIOS INTEGRALES EN TECNOLOGÍAS DE INFORMACIÓN Y COMUNICACIONES -TIC, PARA LLEVAR A CABO LA ADMINISTRACIÓN, OPERACIÓN, MANTENIMIENTO Y LA GESTIÓN DE LA PLATAFORMA TECNOLÓGICA DE ENTERRITORIO. "/>
    <s v="TI"/>
    <s v="10025"/>
    <s v="Activo.En Ejecución"/>
    <n v="4504425757"/>
    <d v="2024-05-27T00:00:00"/>
    <d v="2027-05-26T00:00:00"/>
    <n v="35.97"/>
    <n v="1.0300000000000011"/>
    <n v="37"/>
    <n v="36"/>
    <n v="1"/>
    <m/>
    <m/>
    <n v="0"/>
    <n v="4504425757"/>
    <n v="0"/>
    <n v="-4504425757"/>
    <s v="No se realizó gasto en este corte"/>
    <x v="1"/>
    <n v="0"/>
    <x v="3"/>
    <n v="0"/>
    <n v="-4504425757"/>
    <s v="https://growdatasas.sharepoint.com/:x:/r/sites/Gestiondocumental/Administrativa/GD/Financiera/_layouts/15/Doc.aspx?sourcedoc=%7B0974E3E6-B78B-4C29-8F8A-9CF11A235CF4%7D&amp;file=20240530%20UT%20ENTERRITORIO%202027%20(SERVICIO).xlsm&amp;action=default&amp;mobileredirect=true"/>
    <n v="1"/>
    <n v="1"/>
  </r>
  <r>
    <x v="0"/>
    <x v="5"/>
    <s v="883d5780-4a3d-ef11-adcc-00155d685926"/>
    <d v="2024-07-08T16:52:50"/>
    <x v="14"/>
    <s v="Rodrigo Alexander Ramirez Ospina"/>
    <s v="https://growdatasas.sharepoint.com/sites/pwa/RUNT - MEGA"/>
    <s v="GESTIÓN DE REQUERIMIENTOS Y SOPORTE SOBRE HOPEXOBJETO:_x0009_PRESTACION DEL SERVICIO PARA LA GESTION DE REQUERIMIENTOS Y SOPORTE SOBRE LA HERRAMIENTA DE ARQUITECTURA EMPRESARIAL HOPEX UTILIZADA POR LA CONCESION RUNT  2.0 S.A.S "/>
    <s v="CONSULTORÍA"/>
    <s v="0333"/>
    <s v="Activo.En Cierre"/>
    <n v="81162217"/>
    <d v="2024-06-01T00:00:00"/>
    <d v="2024-10-30T00:00:00"/>
    <n v="4.97"/>
    <n v="-3.9699999999999998"/>
    <n v="1"/>
    <n v="5"/>
    <n v="0.1"/>
    <n v="0.1"/>
    <n v="16232443"/>
    <n v="8116221.7000000002"/>
    <n v="8116221.7000000002"/>
    <n v="-8116221.2999999998"/>
    <n v="0"/>
    <n v="0.50000001232100433"/>
    <x v="2"/>
    <n v="1"/>
    <x v="0"/>
    <n v="162324430"/>
    <n v="81162213"/>
    <s v="https://growdatasas.sharepoint.com/:x:/r/sites/Gestiondocumental/Administrativa/GD/Financiera/_layouts/15/Doc.aspx?sourcedoc=%7B3ECBF673-32CF-4911-B729-AC56604B4A34%7D&amp;file=25062024%20MODELO%20FINANCIERO%20REFERENCIA%20V7_RUNT.xlsm&amp;action=default&amp;mobileredirect=true"/>
    <n v="1"/>
    <n v="1"/>
  </r>
  <r>
    <x v="0"/>
    <x v="6"/>
    <s v="883d5780-4a3d-ef11-adcc-00155d685926"/>
    <d v="2024-07-08T16:52:50"/>
    <x v="14"/>
    <s v="Rodrigo Alexander Ramirez Ospina"/>
    <s v="https://growdatasas.sharepoint.com/sites/pwa/RUNT - MEGA"/>
    <s v="GESTIÓN DE REQUERIMIENTOS Y SOPORTE SOBRE HOPEXOBJETO:_x0009_PRESTACION DEL SERVICIO PARA LA GESTION DE REQUERIMIENTOS Y SOPORTE SOBRE LA HERRAMIENTA DE ARQUITECTURA EMPRESARIAL HOPEX UTILIZADA POR LA CONCESION RUNT  2.0 S.A.S "/>
    <s v="CONSULTORÍA"/>
    <s v="0333"/>
    <s v="Activo.En Cierre"/>
    <n v="81162217"/>
    <d v="2024-06-01T00:00:00"/>
    <d v="2024-10-30T00:00:00"/>
    <n v="4.97"/>
    <n v="-2.9699999999999998"/>
    <n v="2"/>
    <n v="5"/>
    <n v="0.25"/>
    <n v="0.2"/>
    <n v="13712443"/>
    <n v="16232443.4"/>
    <n v="20290554.25"/>
    <n v="2520000.4000000004"/>
    <n v="-4058110.8499999996"/>
    <n v="1.1837747219806127"/>
    <x v="1"/>
    <n v="0.8"/>
    <x v="1"/>
    <n v="68562215"/>
    <n v="-12600002"/>
    <s v="https://growdatasas.sharepoint.com/:x:/r/sites/Gestiondocumental/Administrativa/GD/Financiera/_layouts/15/Doc.aspx?sourcedoc=%7B3ECBF673-32CF-4911-B729-AC56604B4A34%7D&amp;file=25062024%20MODELO%20FINANCIERO%20REFERENCIA%20V7_RUNT.xlsm&amp;action=default&amp;mobileredirect=true"/>
    <n v="1"/>
    <n v="1"/>
  </r>
  <r>
    <x v="0"/>
    <x v="7"/>
    <s v="883d5780-4a3d-ef11-adcc-00155d685926"/>
    <d v="2024-07-08T16:52:50"/>
    <x v="14"/>
    <s v="Rodrigo Alexander Ramirez Ospina"/>
    <s v="https://growdatasas.sharepoint.com/sites/pwa/RUNT - MEGA"/>
    <s v="GESTIÓN DE REQUERIMIENTOS Y SOPORTE SOBRE HOPEXOBJETO:_x0009_PRESTACION DEL SERVICIO PARA LA GESTION DE REQUERIMIENTOS Y SOPORTE SOBRE LA HERRAMIENTA DE ARQUITECTURA EMPRESARIAL HOPEX UTILIZADA POR LA CONCESION RUNT  2.0 S.A.S "/>
    <s v="CONSULTORÍA"/>
    <s v="0333"/>
    <s v="Activo.En Cierre"/>
    <n v="81162217"/>
    <d v="2024-06-01T00:00:00"/>
    <d v="2024-10-30T00:00:00"/>
    <n v="4.97"/>
    <n v="-1.9699999999999998"/>
    <n v="3"/>
    <n v="5"/>
    <n v="0.5"/>
    <n v="0.4"/>
    <n v="13712443"/>
    <n v="32464886.800000001"/>
    <n v="40581108.5"/>
    <n v="18752443.800000001"/>
    <n v="-8116221.6999999993"/>
    <n v="2.3675494439612255"/>
    <x v="1"/>
    <n v="0.8"/>
    <x v="1"/>
    <n v="34281107.5"/>
    <n v="-46881109.5"/>
    <s v="https://growdatasas.sharepoint.com/:x:/r/sites/Gestiondocumental/Administrativa/GD/Financiera/_layouts/15/Doc.aspx?sourcedoc=%7B3ECBF673-32CF-4911-B729-AC56604B4A34%7D&amp;file=25062024%20MODELO%20FINANCIERO%20REFERENCIA%20V7_RUNT.xlsm&amp;action=default&amp;mobileredirect=true"/>
    <n v="1"/>
    <n v="1"/>
  </r>
  <r>
    <x v="0"/>
    <x v="8"/>
    <s v="883d5780-4a3d-ef11-adcc-00155d685926"/>
    <d v="2024-07-08T16:52:50"/>
    <x v="14"/>
    <s v="Rodrigo Alexander Ramirez Ospina"/>
    <s v="https://growdatasas.sharepoint.com/sites/pwa/RUNT - MEGA"/>
    <s v="GESTIÓN DE REQUERIMIENTOS Y SOPORTE SOBRE HOPEXOBJETO:_x0009_PRESTACION DEL SERVICIO PARA LA GESTION DE REQUERIMIENTOS Y SOPORTE SOBRE LA HERRAMIENTA DE ARQUITECTURA EMPRESARIAL HOPEX UTILIZADA POR LA CONCESION RUNT  2.0 S.A.S "/>
    <s v="CONSULTORÍA"/>
    <s v="0333"/>
    <s v="Activo.En Cierre"/>
    <n v="81162217"/>
    <d v="2024-06-01T00:00:00"/>
    <d v="2024-10-30T00:00:00"/>
    <n v="4.97"/>
    <n v="-0.96999999999999975"/>
    <n v="4"/>
    <n v="5"/>
    <n v="0.75"/>
    <n v="0.65"/>
    <n v="13712443"/>
    <n v="52755441.050000004"/>
    <n v="60871662.75"/>
    <n v="39042998.050000004"/>
    <n v="-8116221.6999999955"/>
    <n v="3.847267846436992"/>
    <x v="1"/>
    <n v="0.8666666666666667"/>
    <x v="1"/>
    <n v="21096066.153846152"/>
    <n v="-60066150.846153848"/>
    <s v="https://growdatasas.sharepoint.com/:x:/r/sites/Gestiondocumental/Administrativa/GD/Financiera/_layouts/15/Doc.aspx?sourcedoc=%7B3ECBF673-32CF-4911-B729-AC56604B4A34%7D&amp;file=25062024%20MODELO%20FINANCIERO%20REFERENCIA%20V7_RUNT.xlsm&amp;action=default&amp;mobileredirect=true"/>
    <n v="1"/>
    <n v="1"/>
  </r>
  <r>
    <x v="0"/>
    <x v="9"/>
    <s v="883d5780-4a3d-ef11-adcc-00155d685926"/>
    <d v="2024-07-08T16:52:50"/>
    <x v="14"/>
    <s v="Rodrigo Alexander Ramirez Ospina"/>
    <s v="https://growdatasas.sharepoint.com/sites/pwa/RUNT - MEGA"/>
    <s v="GESTIÓN DE REQUERIMIENTOS Y SOPORTE SOBRE HOPEXOBJETO:_x0009_PRESTACION DEL SERVICIO PARA LA GESTION DE REQUERIMIENTOS Y SOPORTE SOBRE LA HERRAMIENTA DE ARQUITECTURA EMPRESARIAL HOPEX UTILIZADA POR LA CONCESION RUNT  2.0 S.A.S "/>
    <s v="CONSULTORÍA"/>
    <s v="0333"/>
    <s v="Activo.En Cierre"/>
    <n v="81162217"/>
    <d v="2024-06-01T00:00:00"/>
    <d v="2024-10-30T00:00:00"/>
    <n v="4.97"/>
    <n v="3.0000000000000249E-2"/>
    <n v="5"/>
    <n v="5"/>
    <n v="1"/>
    <n v="0.85"/>
    <n v="13712443"/>
    <n v="68987884.450000003"/>
    <n v="81162217"/>
    <n v="55275441.450000003"/>
    <n v="-12174332.549999997"/>
    <n v="5.0310425684176048"/>
    <x v="1"/>
    <n v="0.85000000000000009"/>
    <x v="1"/>
    <n v="16132285.882352941"/>
    <n v="-65029931.117647059"/>
    <s v="https://growdatasas.sharepoint.com/:x:/r/sites/Gestiondocumental/Administrativa/GD/Financiera/_layouts/15/Doc.aspx?sourcedoc=%7B3ECBF673-32CF-4911-B729-AC56604B4A34%7D&amp;file=25062024%20MODELO%20FINANCIERO%20REFERENCIA%20V7_RUNT.xlsm&amp;action=default&amp;mobileredirect=true"/>
    <n v="1"/>
    <n v="1"/>
  </r>
  <r>
    <x v="0"/>
    <x v="9"/>
    <s v="883d5780-4a3d-ef11-adcc-00155d685926"/>
    <d v="2024-07-08T16:52:50"/>
    <x v="14"/>
    <s v="Rodrigo Alexander Ramirez Ospina"/>
    <s v="https://growdatasas.sharepoint.com/sites/pwa/RUNT - MEGA"/>
    <s v="GESTIÓN DE REQUERIMIENTOS Y SOPORTE SOBRE HOPEXOBJETO:_x0009_PRESTACION DEL SERVICIO PARA LA GESTION DE REQUERIMIENTOS Y SOPORTE SOBRE LA HERRAMIENTA DE ARQUITECTURA EMPRESARIAL HOPEX UTILIZADA POR LA CONCESION RUNT  2.0 S.A.S "/>
    <s v="CONSULTORÍA"/>
    <s v="0333"/>
    <s v="Activo.En Cierre"/>
    <n v="81162217"/>
    <d v="2024-06-01T00:00:00"/>
    <d v="2024-10-30T00:00:00"/>
    <n v="4.97"/>
    <n v="1.0300000000000002"/>
    <n v="6"/>
    <n v="5"/>
    <n v="1"/>
    <n v="1"/>
    <n v="10080000"/>
    <n v="81162217"/>
    <n v="81162217"/>
    <n v="71082217"/>
    <n v="0"/>
    <n v="8.0518072420634912"/>
    <x v="1"/>
    <n v="1"/>
    <x v="0"/>
    <n v="10080000.000000002"/>
    <n v="-71082217"/>
    <s v="https://growdatasas.sharepoint.com/:x:/r/sites/Gestiondocumental/Administrativa/GD/Financiera/_layouts/15/Doc.aspx?sourcedoc=%7B3ECBF673-32CF-4911-B729-AC56604B4A34%7D&amp;file=25062024%20MODELO%20FINANCIERO%20REFERENCIA%20V7_RUNT.xlsm&amp;action=default&amp;mobileredirect=true"/>
    <n v="1"/>
    <n v="1"/>
  </r>
  <r>
    <x v="0"/>
    <x v="5"/>
    <s v="9814f6b7-7622-ef11-9641-00155d68271a"/>
    <d v="2024-06-04T13:31:20"/>
    <x v="15"/>
    <s v="Natalia Maritza Guaje Berdugo"/>
    <s v="https://growdatasas.sharepoint.com/sites/pwa/472 - Iteración de Arquitectura Empresarial"/>
    <s v=" ​GENERACIÓN DE HOJA DE RUTA, BASADO EN UNA ITERACIÓN DE ARQUITECTURA EMPRESARIAL QUE INCLUYA LA EVALUACIÓN DE LAS CAPACIDADES DE GOBIERNO Y GESTIÓN DE LA ARQUITECTURA EMPRESARIAL PARA SOPORTAR LA DIVERSIFICACIÓN DEL PORTAFOLIO DE SERVICIOS INCLUYENDO COMPONENTES TECNOLÓGICOS Y DIGITALES.  FINANCIADO POR GROW "/>
    <s v="CONSULTORÍA"/>
    <s v="0330"/>
    <s v="Activo.En Liquidación"/>
    <n v="50362370"/>
    <d v="2024-06-01T00:00:00"/>
    <d v="2024-07-30T00:00:00"/>
    <n v="1.97"/>
    <n v="-0.97"/>
    <n v="1"/>
    <n v="2"/>
    <n v="0.5"/>
    <n v="0.5"/>
    <n v="25181185"/>
    <n v="25181185"/>
    <n v="25181185"/>
    <n v="0"/>
    <n v="0"/>
    <n v="1"/>
    <x v="0"/>
    <n v="1"/>
    <x v="0"/>
    <n v="50362370"/>
    <n v="0"/>
    <s v="https://growdatasas.sharepoint.com/:x:/r/sites/Gestiondocumental/Administrativa/GD/Financiera/_layouts/15/Doc.aspx?sourcedoc=%7B7CA5727E-8CD9-4225-BEF4-3B8118646894%7D&amp;file=20240530%20MODELO%20FINANCIERO%20REFERENCIA%20V7_472.xlsm&amp;action=default&amp;mobileredirect=true"/>
    <n v="1"/>
    <n v="1"/>
  </r>
  <r>
    <x v="0"/>
    <x v="6"/>
    <s v="9814f6b7-7622-ef11-9641-00155d68271a"/>
    <d v="2024-06-04T13:31:20"/>
    <x v="15"/>
    <s v="Natalia Maritza Guaje Berdugo"/>
    <s v="https://growdatasas.sharepoint.com/sites/pwa/472 - Iteración de Arquitectura Empresarial"/>
    <s v=" ​GENERACIÓN DE HOJA DE RUTA, BASADO EN UNA ITERACIÓN DE ARQUITECTURA EMPRESARIAL QUE INCLUYA LA EVALUACIÓN DE LAS CAPACIDADES DE GOBIERNO Y GESTIÓN DE LA ARQUITECTURA EMPRESARIAL PARA SOPORTAR LA DIVERSIFICACIÓN DEL PORTAFOLIO DE SERVICIOS INCLUYENDO COMPONENTES TECNOLÓGICOS Y DIGITALES.  FINANCIADO POR GROW "/>
    <s v="CONSULTORÍA"/>
    <s v="0330"/>
    <s v="Activo.En Liquidación"/>
    <n v="50362370"/>
    <d v="2024-06-01T00:00:00"/>
    <d v="2024-07-30T00:00:00"/>
    <n v="1.97"/>
    <n v="3.0000000000000027E-2"/>
    <n v="2"/>
    <n v="2"/>
    <n v="1"/>
    <n v="1"/>
    <n v="25181185"/>
    <n v="50362370"/>
    <n v="50362370"/>
    <n v="25181185"/>
    <n v="0"/>
    <n v="2"/>
    <x v="1"/>
    <n v="1"/>
    <x v="0"/>
    <n v="25181185"/>
    <n v="-25181185"/>
    <s v="https://growdatasas.sharepoint.com/:x:/r/sites/Gestiondocumental/Administrativa/GD/Financiera/_layouts/15/Doc.aspx?sourcedoc=%7B7CA5727E-8CD9-4225-BEF4-3B8118646894%7D&amp;file=20240530%20MODELO%20FINANCIERO%20REFERENCIA%20V7_472.xlsm&amp;action=default&amp;mobileredirect=true"/>
    <n v="1"/>
    <n v="1"/>
  </r>
  <r>
    <x v="0"/>
    <x v="5"/>
    <s v="94d43fe7-932e-ef11-9646-00155d688417"/>
    <d v="2024-06-19T23:30:27"/>
    <x v="16"/>
    <s v="Guiovanni Andres Serrano Serna"/>
    <s v="https://growdatasas.sharepoint.com/sites/pwa/FONDO ACCION - MEJORAS APLICATIVO ASEC"/>
    <s v=" ​Se propone prestar los servicios de ajustes y mejoras al aplicativo ASEC, para la depuración de secuenciales, en el marco del Componente 5 del proyecto por medio del cual se financia parcialmente el Programa para la Adopción e Implementación de un Catastro Multipropósito Rural – Urbano. "/>
    <s v="DATOS Y SISTEMAS DE INFORMACIÓN"/>
    <s v="0329"/>
    <s v="Activo.En Cierre"/>
    <n v="63538000"/>
    <d v="2024-06-07T00:00:00"/>
    <d v="2024-08-06T00:00:00"/>
    <n v="1.97"/>
    <n v="-0.97"/>
    <n v="1"/>
    <n v="3"/>
    <n v="0.25"/>
    <n v="0.3"/>
    <n v="-31769000"/>
    <n v="19061400"/>
    <n v="15884500"/>
    <n v="50830400"/>
    <n v="3176900"/>
    <n v="-0.6"/>
    <x v="2"/>
    <n v="1.2"/>
    <x v="2"/>
    <n v="-105896666.66666667"/>
    <n v="-169434666.66666669"/>
    <s v="https://growdatasas.sharepoint.com/:x:/r/sites/Gestiondocumental/Administrativa/GD/Financiera/_layouts/15/Doc.aspx?sourcedoc=%7B753ECAFE-B168-40EE-B86E-63C339FE122B%7D&amp;file=20240607%20FONDO%20ACCION%20MEJORAS%20APLICATIVO%20ASEC%20V5.xlsm&amp;action=default&amp;mobileredirect=true"/>
    <n v="1"/>
    <n v="1"/>
  </r>
  <r>
    <x v="0"/>
    <x v="6"/>
    <s v="94d43fe7-932e-ef11-9646-00155d688417"/>
    <d v="2024-06-19T23:30:27"/>
    <x v="16"/>
    <s v="Guiovanni Andres Serrano Serna"/>
    <s v="https://growdatasas.sharepoint.com/sites/pwa/FONDO ACCION - MEJORAS APLICATIVO ASEC"/>
    <s v=" ​Se propone prestar los servicios de ajustes y mejoras al aplicativo ASEC, para la depuración de secuenciales, en el marco del Componente 5 del proyecto por medio del cual se financia parcialmente el Programa para la Adopción e Implementación de un Catastro Multipropósito Rural – Urbano. "/>
    <s v="DATOS Y SISTEMAS DE INFORMACIÓN"/>
    <s v="0329"/>
    <s v="Activo.En Cierre"/>
    <n v="63538000"/>
    <d v="2024-06-07T00:00:00"/>
    <d v="2024-08-06T00:00:00"/>
    <n v="1.97"/>
    <n v="3.0000000000000027E-2"/>
    <n v="2"/>
    <n v="3"/>
    <n v="0.5"/>
    <n v="0.6"/>
    <n v="-31769000"/>
    <n v="38122800"/>
    <n v="31769000"/>
    <n v="69891800"/>
    <n v="6353800"/>
    <n v="-1.2"/>
    <x v="2"/>
    <n v="1.2"/>
    <x v="2"/>
    <n v="-52948333.333333336"/>
    <n v="-116486333.33333334"/>
    <s v="https://growdatasas.sharepoint.com/:x:/r/sites/Gestiondocumental/Administrativa/GD/Financiera/_layouts/15/Doc.aspx?sourcedoc=%7B753ECAFE-B168-40EE-B86E-63C339FE122B%7D&amp;file=20240607%20FONDO%20ACCION%20MEJORAS%20APLICATIVO%20ASEC%20V5.xlsm&amp;action=default&amp;mobileredirect=true"/>
    <n v="1"/>
    <n v="1"/>
  </r>
  <r>
    <x v="0"/>
    <x v="7"/>
    <s v="94d43fe7-932e-ef11-9646-00155d688417"/>
    <d v="2024-06-19T23:30:27"/>
    <x v="16"/>
    <s v="Guiovanni Andres Serrano Serna"/>
    <s v="https://growdatasas.sharepoint.com/sites/pwa/FONDO ACCION - MEJORAS APLICATIVO ASEC"/>
    <s v=" ​Se propone prestar los servicios de ajustes y mejoras al aplicativo ASEC, para la depuración de secuenciales, en el marco del Componente 5 del proyecto por medio del cual se financia parcialmente el Programa para la Adopción e Implementación de un Catastro Multipropósito Rural – Urbano. "/>
    <s v="DATOS Y SISTEMAS DE INFORMACIÓN"/>
    <s v="0329"/>
    <s v="Activo.En Cierre"/>
    <n v="63538000"/>
    <d v="2024-06-07T00:00:00"/>
    <d v="2024-08-06T00:00:00"/>
    <n v="1.97"/>
    <n v="1.03"/>
    <n v="3"/>
    <n v="3"/>
    <n v="1"/>
    <n v="1"/>
    <n v="102600000"/>
    <n v="63538000"/>
    <n v="63538000"/>
    <n v="-39062000"/>
    <n v="0"/>
    <n v="0.61927875243664721"/>
    <x v="2"/>
    <n v="1"/>
    <x v="0"/>
    <n v="102600000"/>
    <n v="39062000"/>
    <s v="https://growdatasas.sharepoint.com/:x:/r/sites/Gestiondocumental/Administrativa/GD/Financiera/_layouts/15/Doc.aspx?sourcedoc=%7B753ECAFE-B168-40EE-B86E-63C339FE122B%7D&amp;file=20240607%20FONDO%20ACCION%20MEJORAS%20APLICATIVO%20ASEC%20V5.xlsm&amp;action=default&amp;mobileredirect=true"/>
    <n v="1"/>
    <n v="1"/>
  </r>
  <r>
    <x v="0"/>
    <x v="5"/>
    <s v="2c770481-3c3d-ef11-9649-00155d688a06"/>
    <d v="2024-07-08T15:12:41"/>
    <x v="17"/>
    <s v="Liliana Isabel Paba Alvear"/>
    <s v="https://growdatasas.sharepoint.com/sites/pwa/RUNT – ANALITICA BI-BA"/>
    <s v=" ​Se propone prestar los servicios de configuración y parametrización de los componentes en Microsoft Fabric para despliegue de 5 reportes BI, y 1 caso de uso en BA, utilizando e implementando el modelo de capas Medallion.  "/>
    <s v="DATOS Y SISTEMAS DE INFORMACIÓN"/>
    <s v="0332"/>
    <s v="Activo.En Cierre"/>
    <n v="234252949"/>
    <d v="2024-06-13T00:00:00"/>
    <d v="2024-07-30T00:00:00"/>
    <n v="1.57"/>
    <n v="-0.57000000000000006"/>
    <n v="1"/>
    <n v="2"/>
    <n v="0.5"/>
    <n v="0.25"/>
    <n v="96976475"/>
    <n v="58563237.25"/>
    <n v="117126474.5"/>
    <n v="-38413237.75"/>
    <n v="-58563237.25"/>
    <n v="0.60389117309120588"/>
    <x v="2"/>
    <n v="0.5"/>
    <x v="1"/>
    <n v="387905900"/>
    <n v="153652951"/>
    <s v="https://growdatasas.sharepoint.com/:x:/r/sites/Gestiondocumental/Administrativa/GD/Financiera/_layouts/15/Doc.aspx?sourcedoc=%7B9AED4F39-5D53-43D6-BACC-397FDB920633%7D&amp;file=20240613%20RUNT_DATAWAREHOUSE_23024V5%20P.xlsm&amp;action=default&amp;mobileredirect=true"/>
    <n v="1"/>
    <n v="1"/>
  </r>
  <r>
    <x v="0"/>
    <x v="6"/>
    <s v="2c770481-3c3d-ef11-9649-00155d688a06"/>
    <d v="2024-07-08T15:12:41"/>
    <x v="17"/>
    <s v="Liliana Isabel Paba Alvear"/>
    <s v="https://growdatasas.sharepoint.com/sites/pwa/RUNT – ANALITICA BI-BA"/>
    <s v=" ​Se propone prestar los servicios de configuración y parametrización de los componentes en Microsoft Fabric para despliegue de 5 reportes BI, y 1 caso de uso en BA, utilizando e implementando el modelo de capas Medallion.  "/>
    <s v="DATOS Y SISTEMAS DE INFORMACIÓN"/>
    <s v="0332"/>
    <s v="Activo.En Cierre"/>
    <n v="234252949"/>
    <d v="2024-06-13T00:00:00"/>
    <d v="2024-07-30T00:00:00"/>
    <n v="1.57"/>
    <n v="0.42999999999999994"/>
    <n v="2"/>
    <n v="2"/>
    <n v="1"/>
    <n v="0.5"/>
    <n v="96976475"/>
    <n v="117126474.5"/>
    <n v="234252949"/>
    <n v="20149999.5"/>
    <n v="-117126474.5"/>
    <n v="1.2077823461824118"/>
    <x v="1"/>
    <n v="0.5"/>
    <x v="1"/>
    <n v="193952950"/>
    <n v="-40299999"/>
    <s v="https://growdatasas.sharepoint.com/:x:/r/sites/Gestiondocumental/Administrativa/GD/Financiera/_layouts/15/Doc.aspx?sourcedoc=%7B9AED4F39-5D53-43D6-BACC-397FDB920633%7D&amp;file=20240613%20RUNT_DATAWAREHOUSE_23024V5%20P.xlsm&amp;action=default&amp;mobileredirect=true"/>
    <n v="1"/>
    <n v="1"/>
  </r>
  <r>
    <x v="0"/>
    <x v="6"/>
    <s v="2c770481-3c3d-ef11-9649-00155d688a06"/>
    <d v="2024-07-08T15:12:41"/>
    <x v="17"/>
    <s v="Liliana Isabel Paba Alvear"/>
    <s v="https://growdatasas.sharepoint.com/sites/pwa/RUNT – ANALITICA BI-BA"/>
    <s v=" ​Se propone prestar los servicios de configuración y parametrización de los componentes en Microsoft Fabric para despliegue de 5 reportes BI, y 1 caso de uso en BA, utilizando e implementando el modelo de capas Medallion.  "/>
    <s v="DATOS Y SISTEMAS DE INFORMACIÓN"/>
    <s v="0332"/>
    <s v="Activo.En Cierre"/>
    <n v="234252949"/>
    <d v="2024-06-13T00:00:00"/>
    <d v="2024-07-30T00:00:00"/>
    <n v="1.57"/>
    <n v="1.43"/>
    <n v="3"/>
    <n v="2"/>
    <n v="1"/>
    <n v="0.75"/>
    <n v="0"/>
    <n v="175689711.75"/>
    <n v="234252949"/>
    <n v="175689711.75"/>
    <n v="-58563237.25"/>
    <s v="No se realizó gasto en este corte"/>
    <x v="1"/>
    <n v="0.75"/>
    <x v="1"/>
    <n v="0"/>
    <n v="-234252949"/>
    <s v="https://growdatasas.sharepoint.com/:x:/r/sites/Gestiondocumental/Administrativa/GD/Financiera/_layouts/15/Doc.aspx?sourcedoc=%7B9AED4F39-5D53-43D6-BACC-397FDB920633%7D&amp;file=20240613%20RUNT_DATAWAREHOUSE_23024V5%20P.xlsm&amp;action=default&amp;mobileredirect=true"/>
    <n v="1"/>
    <n v="1"/>
  </r>
  <r>
    <x v="0"/>
    <x v="6"/>
    <s v="2c770481-3c3d-ef11-9649-00155d688a06"/>
    <d v="2024-07-08T15:12:41"/>
    <x v="17"/>
    <s v="Liliana Isabel Paba Alvear"/>
    <s v="https://growdatasas.sharepoint.com/sites/pwa/RUNT – ANALITICA BI-BA"/>
    <s v=" ​Se propone prestar los servicios de configuración y parametrización de los componentes en Microsoft Fabric para despliegue de 5 reportes BI, y 1 caso de uso en BA, utilizando e implementando el modelo de capas Medallion.  "/>
    <s v="DATOS Y SISTEMAS DE INFORMACIÓN"/>
    <s v="0332"/>
    <s v="Activo.En Cierre"/>
    <n v="234252949"/>
    <d v="2024-06-13T00:00:00"/>
    <d v="2024-07-30T00:00:00"/>
    <n v="1.57"/>
    <n v="2.4299999999999997"/>
    <n v="4"/>
    <n v="2"/>
    <n v="1"/>
    <n v="1"/>
    <n v="40300000"/>
    <n v="234252949"/>
    <n v="234252949"/>
    <n v="193952949"/>
    <n v="0"/>
    <n v="5.812728263027295"/>
    <x v="1"/>
    <n v="1"/>
    <x v="0"/>
    <n v="40300000"/>
    <n v="-193952949"/>
    <s v="https://growdatasas.sharepoint.com/:x:/r/sites/Gestiondocumental/Administrativa/GD/Financiera/_layouts/15/Doc.aspx?sourcedoc=%7B9AED4F39-5D53-43D6-BACC-397FDB920633%7D&amp;file=20240613%20RUNT_DATAWAREHOUSE_23024V5%20P.xlsm&amp;action=default&amp;mobileredirect=true"/>
    <n v="1"/>
    <n v="1"/>
  </r>
  <r>
    <x v="0"/>
    <x v="5"/>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4.97"/>
    <n v="1"/>
    <n v="7"/>
    <n v="0.15"/>
    <n v="0.15"/>
    <n v="303505014"/>
    <n v="273154512.59999996"/>
    <n v="273154512.59999996"/>
    <n v="-30350501.400000036"/>
    <n v="0"/>
    <n v="0.89999999999999991"/>
    <x v="2"/>
    <n v="1"/>
    <x v="0"/>
    <n v="2023366760.0000002"/>
    <n v="202336676.00000024"/>
    <s v="https://growdatasas.sharepoint.com/:x:/r/sites/Gestiondocumental/Administrativa/GD/Financiera/_layouts/15/Doc.aspx?sourcedoc=%7BE27BC622-4961-4BA4-8FF2-7949D6CE364A%7D&amp;file=20062024%20SNR%20MIGRACION.xlsm&amp;action=default&amp;mobileredirect=true"/>
    <n v="1"/>
    <n v="1"/>
  </r>
  <r>
    <x v="0"/>
    <x v="6"/>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3.9699999999999998"/>
    <n v="2"/>
    <n v="7"/>
    <n v="0.2"/>
    <n v="0.2"/>
    <n v="303505014"/>
    <n v="364206016.80000001"/>
    <n v="364206016.80000001"/>
    <n v="60701002.800000012"/>
    <n v="0"/>
    <n v="1.2"/>
    <x v="1"/>
    <n v="1"/>
    <x v="0"/>
    <n v="1517525070"/>
    <n v="-303505014"/>
    <s v="https://growdatasas.sharepoint.com/:x:/r/sites/Gestiondocumental/Administrativa/GD/Financiera/_layouts/15/Doc.aspx?sourcedoc=%7BE27BC622-4961-4BA4-8FF2-7949D6CE364A%7D&amp;file=20062024%20SNR%20MIGRACION.xlsm&amp;action=default&amp;mobileredirect=true"/>
    <n v="1"/>
    <n v="1"/>
  </r>
  <r>
    <x v="0"/>
    <x v="7"/>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2.9699999999999998"/>
    <n v="3"/>
    <n v="7"/>
    <n v="0.4"/>
    <n v="0.45"/>
    <n v="303505014"/>
    <n v="819463537.80000007"/>
    <n v="728412033.60000002"/>
    <n v="515958523.80000007"/>
    <n v="91051504.200000048"/>
    <n v="2.7"/>
    <x v="1"/>
    <n v="1.125"/>
    <x v="2"/>
    <n v="674455586.66666663"/>
    <n v="-1146574497.3333335"/>
    <s v="https://growdatasas.sharepoint.com/:x:/r/sites/Gestiondocumental/Administrativa/GD/Financiera/_layouts/15/Doc.aspx?sourcedoc=%7BE27BC622-4961-4BA4-8FF2-7949D6CE364A%7D&amp;file=20062024%20SNR%20MIGRACION.xlsm&amp;action=default&amp;mobileredirect=true"/>
    <n v="1"/>
    <n v="1"/>
  </r>
  <r>
    <x v="0"/>
    <x v="8"/>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1.9699999999999998"/>
    <n v="4"/>
    <n v="7"/>
    <n v="0.5"/>
    <n v="0.5"/>
    <n v="303505014"/>
    <n v="910515042"/>
    <n v="910515042"/>
    <n v="607010028"/>
    <n v="0"/>
    <n v="3"/>
    <x v="1"/>
    <n v="1"/>
    <x v="0"/>
    <n v="607010028"/>
    <n v="-1214020056"/>
    <s v="https://growdatasas.sharepoint.com/:x:/r/sites/Gestiondocumental/Administrativa/GD/Financiera/_layouts/15/Doc.aspx?sourcedoc=%7BE27BC622-4961-4BA4-8FF2-7949D6CE364A%7D&amp;file=20062024%20SNR%20MIGRACION.xlsm&amp;action=default&amp;mobileredirect=true"/>
    <n v="1"/>
    <n v="1"/>
  </r>
  <r>
    <x v="0"/>
    <x v="9"/>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0.96999999999999975"/>
    <n v="5"/>
    <n v="7"/>
    <n v="0.75"/>
    <n v="0.8"/>
    <n v="303505014"/>
    <n v="1456824067.2"/>
    <n v="1365772563"/>
    <n v="1153319053.2"/>
    <n v="91051504.200000048"/>
    <n v="4.8"/>
    <x v="1"/>
    <n v="1.0666666666666667"/>
    <x v="2"/>
    <n v="379381267.5"/>
    <n v="-1441648816.5"/>
    <s v="https://growdatasas.sharepoint.com/:x:/r/sites/Gestiondocumental/Administrativa/GD/Financiera/_layouts/15/Doc.aspx?sourcedoc=%7BE27BC622-4961-4BA4-8FF2-7949D6CE364A%7D&amp;file=20062024%20SNR%20MIGRACION.xlsm&amp;action=default&amp;mobileredirect=true"/>
    <n v="1"/>
    <n v="1"/>
  </r>
  <r>
    <x v="0"/>
    <x v="10"/>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3.0000000000000249E-2"/>
    <n v="6"/>
    <n v="7"/>
    <n v="0.85"/>
    <n v="0.9"/>
    <n v="303505014"/>
    <n v="1638927075.6000001"/>
    <n v="1547875571.3999999"/>
    <n v="1335422061.6000001"/>
    <n v="91051504.200000286"/>
    <n v="5.4"/>
    <x v="1"/>
    <n v="1.0588235294117649"/>
    <x v="2"/>
    <n v="337227793.33333331"/>
    <n v="-1483802290.6666667"/>
    <s v="https://growdatasas.sharepoint.com/:x:/r/sites/Gestiondocumental/Administrativa/GD/Financiera/_layouts/15/Doc.aspx?sourcedoc=%7BE27BC622-4961-4BA4-8FF2-7949D6CE364A%7D&amp;file=20062024%20SNR%20MIGRACION.xlsm&amp;action=default&amp;mobileredirect=true"/>
    <n v="1"/>
    <n v="1"/>
  </r>
  <r>
    <x v="0"/>
    <x v="11"/>
    <s v="dca5645a-745a-ef11-90d5-00155d681f04"/>
    <d v="2024-08-14T19:35:37"/>
    <x v="18"/>
    <s v="Mario Andres Pirachican Gil"/>
    <s v="https://growdatasas.sharepoint.com/sites/pwa/SNR- MIGRACION FOLIO A SIR"/>
    <s v=" ​Se propone prestar el servicios de migración de la información contenida en el sistema misional FOLIO a SIR de la SNR de conformidad con las características y condiciones establecidas para este proceso.  Contrato Adición 3 oficinas (Guateque, Tuquerres, Ipiales) $375.620.940 "/>
    <s v="DATOS Y SISTEMAS DE INFORMACIÓN"/>
    <s v="0335"/>
    <s v="Activo.En Cierre"/>
    <n v="1821030084"/>
    <d v="2024-06-30T00:00:00"/>
    <d v="2024-12-29T00:00:00"/>
    <n v="5.97"/>
    <n v="1.0300000000000002"/>
    <n v="7"/>
    <n v="7"/>
    <n v="1"/>
    <n v="1"/>
    <n v="0"/>
    <n v="1821030084"/>
    <n v="1821030084"/>
    <n v="1821030084"/>
    <n v="0"/>
    <s v="No se realizó gasto en este corte"/>
    <x v="1"/>
    <n v="1"/>
    <x v="0"/>
    <n v="0"/>
    <n v="-1821030084"/>
    <s v="https://growdatasas.sharepoint.com/:x:/r/sites/Gestiondocumental/Administrativa/GD/Financiera/_layouts/15/Doc.aspx?sourcedoc=%7BE27BC622-4961-4BA4-8FF2-7949D6CE364A%7D&amp;file=20062024%20SNR%20MIGRACION.xlsm&amp;action=default&amp;mobileredirect=true"/>
    <n v="1"/>
    <n v="1"/>
  </r>
  <r>
    <x v="0"/>
    <x v="7"/>
    <s v="7834372e-5782-ef11-ba47-00155d684d05"/>
    <d v="2024-10-04T13:47:35"/>
    <x v="19"/>
    <s v="Leidy Susana Ramirez Herrera"/>
    <s v="https://growdatasas.sharepoint.com/sites/pwa/EXPERTIX - DEFENSORIA – RENOVACIÓN MEGA"/>
    <s v=" ​RENOVACION LICENCIAMIENTO MEGA EN LA DEFENSORIA DEL PUEBLO. "/>
    <s v="CONSULTORÍA"/>
    <s v="0339"/>
    <s v="Activo.En Cierre"/>
    <n v="45928592"/>
    <d v="2024-08-01T00:00:00"/>
    <d v="2024-09-01T00:00:00"/>
    <n v="1"/>
    <n v="0"/>
    <n v="1"/>
    <n v="2"/>
    <n v="0.5"/>
    <n v="0.5"/>
    <n v="27147059"/>
    <n v="22964296"/>
    <n v="22964296"/>
    <n v="-4182763"/>
    <n v="0"/>
    <n v="0.84592205733961823"/>
    <x v="2"/>
    <n v="1"/>
    <x v="0"/>
    <n v="54294118"/>
    <n v="8365526"/>
    <s v="https://growdatasas.sharepoint.com/:x:/r/sites/Gestiondocumental/Administrativa/GD/Financiera/_layouts/15/Doc.aspx?sourcedoc=%7B8B953C7E-D0F5-422E-BC36-C51DAEC457DB%7D&amp;file=28082024%20MODELO%20FINANCIERO%20V7.1_DEFENSORIA_RENOVACION.xlsm&amp;action=default&amp;mobileredirect=true"/>
    <n v="1"/>
    <n v="1"/>
  </r>
  <r>
    <x v="0"/>
    <x v="8"/>
    <s v="7834372e-5782-ef11-ba47-00155d684d05"/>
    <d v="2024-10-04T13:47:35"/>
    <x v="19"/>
    <s v="Leidy Susana Ramirez Herrera"/>
    <s v="https://growdatasas.sharepoint.com/sites/pwa/EXPERTIX - DEFENSORIA – RENOVACIÓN MEGA"/>
    <s v=" ​RENOVACION LICENCIAMIENTO MEGA EN LA DEFENSORIA DEL PUEBLO. "/>
    <s v="CONSULTORÍA"/>
    <s v="0339"/>
    <s v="Activo.En Cierre"/>
    <n v="45928592"/>
    <d v="2024-08-01T00:00:00"/>
    <d v="2024-09-01T00:00:00"/>
    <n v="1"/>
    <n v="1"/>
    <n v="2"/>
    <n v="2"/>
    <n v="1"/>
    <n v="1"/>
    <n v="-18781533"/>
    <n v="45928592"/>
    <n v="45928592"/>
    <n v="64710125"/>
    <n v="0"/>
    <n v="-2.4454123100601"/>
    <x v="2"/>
    <n v="1"/>
    <x v="0"/>
    <n v="-18781533"/>
    <n v="-64710125"/>
    <s v="https://growdatasas.sharepoint.com/:x:/r/sites/Gestiondocumental/Administrativa/GD/Financiera/_layouts/15/Doc.aspx?sourcedoc=%7B8B953C7E-D0F5-422E-BC36-C51DAEC457DB%7D&amp;file=28082024%20MODELO%20FINANCIERO%20V7.1_DEFENSORIA_RENOVACION.xlsm&amp;action=default&amp;mobileredirect=true"/>
    <n v="1"/>
    <n v="1"/>
  </r>
  <r>
    <x v="0"/>
    <x v="7"/>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8.9700000000000006"/>
    <n v="1"/>
    <n v="10"/>
    <n v="0.1"/>
    <n v="0.1"/>
    <n v="646096114"/>
    <n v="739723057.4000001"/>
    <n v="739723057.4000001"/>
    <n v="93626943.400000095"/>
    <n v="0"/>
    <n v="1.1449117884649591"/>
    <x v="1"/>
    <n v="1"/>
    <x v="0"/>
    <n v="6460961139.999999"/>
    <n v="-936269434.00000095"/>
    <s v="https://growdatasas.sharepoint.com/:x:/r/sites/Gestiondocumental/Administrativa/GD/Financiera/_layouts/15/Doc.aspx?sourcedoc=%7BF2E3591A-55F1-4A8D-BD90-47A8970F2219%7D&amp;file=2082024%20%20ANT%20CALL%20CENTER%20UNIDADES%20MOVILES%20Y%20DESARROLLO%20V1.xlsm&amp;action=default&amp;mobileredirect=true"/>
    <n v="1"/>
    <n v="1"/>
  </r>
  <r>
    <x v="0"/>
    <x v="8"/>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7.9700000000000006"/>
    <n v="2"/>
    <n v="10"/>
    <n v="0.2"/>
    <n v="0.2"/>
    <n v="728741519"/>
    <n v="1479446114.8000002"/>
    <n v="1479446114.8000002"/>
    <n v="750704595.80000019"/>
    <n v="0"/>
    <n v="2.0301383635038919"/>
    <x v="1"/>
    <n v="1"/>
    <x v="0"/>
    <n v="3643707594.999999"/>
    <n v="-3753522979.000001"/>
    <s v="https://growdatasas.sharepoint.com/:x:/r/sites/Gestiondocumental/Administrativa/GD/Financiera/_layouts/15/Doc.aspx?sourcedoc=%7BF2E3591A-55F1-4A8D-BD90-47A8970F2219%7D&amp;file=2082024%20%20ANT%20CALL%20CENTER%20UNIDADES%20MOVILES%20Y%20DESARROLLO%20V1.xlsm&amp;action=default&amp;mobileredirect=true"/>
    <n v="1"/>
    <n v="1"/>
  </r>
  <r>
    <x v="0"/>
    <x v="9"/>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6.9700000000000006"/>
    <n v="3"/>
    <n v="10"/>
    <n v="0.3"/>
    <n v="0.25"/>
    <n v="728741519"/>
    <n v="1849307643.5"/>
    <n v="2219169172.1999998"/>
    <n v="1120566124.5"/>
    <n v="-369861528.69999981"/>
    <n v="2.5376729543798642"/>
    <x v="1"/>
    <n v="0.83333333333333337"/>
    <x v="1"/>
    <n v="2914966076"/>
    <n v="-4482264498"/>
    <s v="https://growdatasas.sharepoint.com/:x:/r/sites/Gestiondocumental/Administrativa/GD/Financiera/_layouts/15/Doc.aspx?sourcedoc=%7BF2E3591A-55F1-4A8D-BD90-47A8970F2219%7D&amp;file=2082024%20%20ANT%20CALL%20CENTER%20UNIDADES%20MOVILES%20Y%20DESARROLLO%20V1.xlsm&amp;action=default&amp;mobileredirect=true"/>
    <n v="1"/>
    <n v="1"/>
  </r>
  <r>
    <x v="0"/>
    <x v="10"/>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5.9700000000000006"/>
    <n v="4"/>
    <n v="10"/>
    <n v="0.4"/>
    <n v="0.35"/>
    <n v="728741519"/>
    <n v="2589030700.8999996"/>
    <n v="2958892229.6000004"/>
    <n v="1860289181.8999996"/>
    <n v="-369861528.70000076"/>
    <n v="3.5527421361318097"/>
    <x v="1"/>
    <n v="0.87499999999999978"/>
    <x v="1"/>
    <n v="2082118625.7142859"/>
    <n v="-5315111948.2857141"/>
    <s v="https://growdatasas.sharepoint.com/:x:/r/sites/Gestiondocumental/Administrativa/GD/Financiera/_layouts/15/Doc.aspx?sourcedoc=%7BF2E3591A-55F1-4A8D-BD90-47A8970F2219%7D&amp;file=2082024%20%20ANT%20CALL%20CENTER%20UNIDADES%20MOVILES%20Y%20DESARROLLO%20V1.xlsm&amp;action=default&amp;mobileredirect=true"/>
    <n v="1"/>
    <n v="1"/>
  </r>
  <r>
    <x v="0"/>
    <x v="11"/>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4.9700000000000006"/>
    <n v="5"/>
    <n v="10"/>
    <n v="0.5"/>
    <n v="0.45"/>
    <n v="728741519"/>
    <n v="3328753758.3000002"/>
    <n v="3698615287"/>
    <n v="2600012239.3000002"/>
    <n v="-369861528.69999981"/>
    <n v="4.5678113178837556"/>
    <x v="1"/>
    <n v="0.9"/>
    <x v="1"/>
    <n v="1619425597.7777779"/>
    <n v="-5777804976.2222223"/>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0"/>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3.9700000000000006"/>
    <n v="6"/>
    <n v="10"/>
    <n v="0.6"/>
    <n v="0.5"/>
    <n v="728741519"/>
    <n v="3698615287"/>
    <n v="4438338344.3999996"/>
    <n v="2969873768"/>
    <n v="-739723057.39999962"/>
    <n v="5.0753459087597284"/>
    <x v="1"/>
    <n v="0.83333333333333337"/>
    <x v="1"/>
    <n v="1457483038"/>
    <n v="-5939747536"/>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1"/>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2.9700000000000006"/>
    <n v="7"/>
    <n v="10"/>
    <n v="0.7"/>
    <n v="0.6"/>
    <n v="728741519"/>
    <n v="4438338344.3999996"/>
    <n v="5178061401.7999992"/>
    <n v="3709596825.3999996"/>
    <n v="-739723057.39999962"/>
    <n v="6.0904150905116738"/>
    <x v="1"/>
    <n v="0.85714285714285721"/>
    <x v="1"/>
    <n v="1214569198.3333335"/>
    <n v="-6182661375.666666"/>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2"/>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1.9700000000000006"/>
    <n v="8"/>
    <n v="10"/>
    <n v="0.8"/>
    <n v="0.75"/>
    <n v="728741519"/>
    <n v="5547922930.5"/>
    <n v="5917784459.2000008"/>
    <n v="4819181411.5"/>
    <n v="-369861528.70000076"/>
    <n v="7.613018863139593"/>
    <x v="1"/>
    <n v="0.93749999999999989"/>
    <x v="1"/>
    <n v="971655358.66666663"/>
    <n v="-6425575215.333333"/>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3"/>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0.97000000000000064"/>
    <n v="9"/>
    <n v="10"/>
    <n v="0.9"/>
    <n v="0.85"/>
    <n v="728741519"/>
    <n v="6287645987.8999996"/>
    <n v="6657507516.6000004"/>
    <n v="5558904468.8999996"/>
    <n v="-369861528.70000076"/>
    <n v="8.6280880448915376"/>
    <x v="1"/>
    <n v="0.94444444444444431"/>
    <x v="1"/>
    <n v="857342963.52941191"/>
    <n v="-6539887610.4705877"/>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4"/>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2.9999999999999361E-2"/>
    <n v="10"/>
    <n v="10"/>
    <n v="0.95"/>
    <n v="0.9"/>
    <n v="728741519"/>
    <n v="6657507516.6000004"/>
    <n v="7027369045.2999992"/>
    <n v="5928765997.6000004"/>
    <n v="-369861528.69999886"/>
    <n v="9.1356226357675112"/>
    <x v="1"/>
    <n v="0.94736842105263175"/>
    <x v="1"/>
    <n v="809712798.88888896"/>
    <n v="-6587517775.1111107"/>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5"/>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1.0299999999999994"/>
    <n v="11"/>
    <n v="10"/>
    <n v="1"/>
    <n v="0.95"/>
    <n v="189383868"/>
    <n v="7027369045.2999992"/>
    <n v="7397230574"/>
    <n v="6837985177.2999992"/>
    <n v="-369861528.70000076"/>
    <n v="37.106481769080773"/>
    <x v="1"/>
    <n v="0.94999999999999984"/>
    <x v="1"/>
    <n v="199351440"/>
    <n v="-7197879134"/>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6"/>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2.0299999999999994"/>
    <n v="12"/>
    <n v="10"/>
    <n v="1"/>
    <n v="0.97"/>
    <n v="1538462"/>
    <n v="7175313656.7799997"/>
    <n v="7397230574"/>
    <n v="7173775194.7799997"/>
    <n v="-221916917.22000027"/>
    <n v="4663.9524777212564"/>
    <x v="1"/>
    <n v="0.97"/>
    <x v="1"/>
    <n v="1586043.2989690723"/>
    <n v="-7395644530.7010307"/>
    <s v="https://growdatasas.sharepoint.com/:x:/r/sites/Gestiondocumental/Administrativa/GD/Financiera/_layouts/15/Doc.aspx?sourcedoc=%7BF2E3591A-55F1-4A8D-BD90-47A8970F2219%7D&amp;file=2082024%20%20ANT%20CALL%20CENTER%20UNIDADES%20MOVILES%20Y%20DESARROLLO%20V1.xlsm&amp;action=default&amp;mobileredirect=true"/>
    <n v="1"/>
    <n v="1"/>
  </r>
  <r>
    <x v="1"/>
    <x v="7"/>
    <s v="68e40705-cb64-ef11-90d3-00155d68a702"/>
    <d v="2024-08-27T23:21:04"/>
    <x v="20"/>
    <s v="Mario Andres Pirachican Gil"/>
    <s v="https://growdatasas.sharepoint.com/sites/pwa/ANT-RESO"/>
    <s v=" ​Un centro de contacto en Villavicencio y un servicio de unidades móviles para agilizar la caracterización de las solicitudes recibidas en el marco del proceso de Registro de Sujetos de Ordenamiento (RESO) de la Agencia Nacional de Tierras, así como el desarrollo de una herramienta para el registro "/>
    <s v="TI"/>
    <s v="0337"/>
    <s v="Activo.En Ejecución"/>
    <n v="7397230574"/>
    <d v="2024-08-01T00:00:00"/>
    <d v="2025-05-30T00:00:00"/>
    <n v="9.9700000000000006"/>
    <n v="3.0299999999999994"/>
    <n v="13"/>
    <n v="10"/>
    <n v="1"/>
    <n v="1"/>
    <n v="1538462"/>
    <n v="7397230574"/>
    <n v="7397230574"/>
    <n v="7395692112"/>
    <n v="0"/>
    <n v="4808.1984306404711"/>
    <x v="1"/>
    <n v="1"/>
    <x v="0"/>
    <n v="1538462"/>
    <n v="-7395692112"/>
    <s v="https://growdatasas.sharepoint.com/:x:/r/sites/Gestiondocumental/Administrativa/GD/Financiera/_layouts/15/Doc.aspx?sourcedoc=%7BF2E3591A-55F1-4A8D-BD90-47A8970F2219%7D&amp;file=2082024%20%20ANT%20CALL%20CENTER%20UNIDADES%20MOVILES%20Y%20DESARROLLO%20V1.xlsm&amp;action=default&amp;mobileredirect=true"/>
    <n v="1"/>
    <n v="1"/>
  </r>
  <r>
    <x v="0"/>
    <x v="7"/>
    <s v="5aa69b5c-cc5f-ef11-90cb-00155d68d002"/>
    <d v="2024-08-21T14:48:06"/>
    <x v="21"/>
    <s v="Luis Gabriel Rojas Angarita"/>
    <s v="https://growdatasas.sharepoint.com/sites/pwa/TELEFONICA - CORMAGDALENA- SALA ANALITICA"/>
    <s v="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
    <s v="TI"/>
    <s v="0338"/>
    <s v="Postventa"/>
    <n v="523479413"/>
    <d v="2024-08-12T00:00:00"/>
    <d v="2024-10-30T00:00:00"/>
    <n v="2.6"/>
    <n v="-1.6"/>
    <n v="1"/>
    <n v="3"/>
    <n v="0.35"/>
    <n v="0.25"/>
    <n v="-97597238"/>
    <n v="130869853.25"/>
    <n v="183217794.54999998"/>
    <n v="228467091.25"/>
    <n v="-52347941.299999982"/>
    <n v="-1.3409175908236255"/>
    <x v="2"/>
    <n v="0.7142857142857143"/>
    <x v="1"/>
    <n v="-390388952"/>
    <n v="-913868365"/>
    <s v="https://growdatasas.sharepoint.com/:x:/r/sites/Gestiondocumental/Administrativa/GD/Financiera/_layouts/15/Doc.aspx?sourcedoc=%7B0288FE6C-6AAB-43FF-AEC6-9D8F73023920%7D&amp;file=29082024%20TELEFONICA_CORMAGDALENA%20V2.xlsm&amp;action=default&amp;mobileredirect=true"/>
    <n v="1"/>
    <n v="1"/>
  </r>
  <r>
    <x v="0"/>
    <x v="8"/>
    <s v="5aa69b5c-cc5f-ef11-90cb-00155d68d002"/>
    <d v="2024-08-21T14:48:06"/>
    <x v="21"/>
    <s v="Luis Gabriel Rojas Angarita"/>
    <s v="https://growdatasas.sharepoint.com/sites/pwa/TELEFONICA - CORMAGDALENA- SALA ANALITICA"/>
    <s v="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
    <s v="TI"/>
    <s v="0338"/>
    <s v="Postventa"/>
    <n v="523479413"/>
    <d v="2024-08-12T00:00:00"/>
    <d v="2024-10-30T00:00:00"/>
    <n v="2.6"/>
    <n v="-0.60000000000000009"/>
    <n v="2"/>
    <n v="3"/>
    <n v="0.75"/>
    <n v="0.35"/>
    <n v="-113549688"/>
    <n v="183217794.54999998"/>
    <n v="392609559.75"/>
    <n v="296767482.54999995"/>
    <n v="-209391765.20000002"/>
    <n v="-1.6135473181573161"/>
    <x v="2"/>
    <n v="0.46666666666666662"/>
    <x v="1"/>
    <n v="-324427680.00000006"/>
    <n v="-847907093"/>
    <s v="https://growdatasas.sharepoint.com/:x:/r/sites/Gestiondocumental/Administrativa/GD/Financiera/_layouts/15/Doc.aspx?sourcedoc=%7B0288FE6C-6AAB-43FF-AEC6-9D8F73023920%7D&amp;file=29082024%20TELEFONICA_CORMAGDALENA%20V2.xlsm&amp;action=default&amp;mobileredirect=true"/>
    <n v="1"/>
    <n v="1"/>
  </r>
  <r>
    <x v="0"/>
    <x v="9"/>
    <s v="5aa69b5c-cc5f-ef11-90cb-00155d68d002"/>
    <d v="2024-08-21T14:48:06"/>
    <x v="21"/>
    <s v="Luis Gabriel Rojas Angarita"/>
    <s v="https://growdatasas.sharepoint.com/sites/pwa/TELEFONICA - CORMAGDALENA- SALA ANALITICA"/>
    <s v="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
    <s v="TI"/>
    <s v="0338"/>
    <s v="Postventa"/>
    <n v="523479413"/>
    <d v="2024-08-12T00:00:00"/>
    <d v="2024-10-30T00:00:00"/>
    <n v="2.6"/>
    <n v="0.39999999999999991"/>
    <n v="3"/>
    <n v="3"/>
    <n v="1"/>
    <n v="0.55000000000000004"/>
    <n v="-198061604"/>
    <n v="287913677.15000004"/>
    <n v="523479413"/>
    <n v="485975281.15000004"/>
    <n v="-235565735.84999996"/>
    <n v="-1.4536572022813672"/>
    <x v="2"/>
    <n v="0.55000000000000004"/>
    <x v="1"/>
    <n v="-360112007.27272719"/>
    <n v="-883591420.27272725"/>
    <s v="https://growdatasas.sharepoint.com/:x:/r/sites/Gestiondocumental/Administrativa/GD/Financiera/_layouts/15/Doc.aspx?sourcedoc=%7B0288FE6C-6AAB-43FF-AEC6-9D8F73023920%7D&amp;file=29082024%20TELEFONICA_CORMAGDALENA%20V2.xlsm&amp;action=default&amp;mobileredirect=true"/>
    <n v="1"/>
    <n v="1"/>
  </r>
  <r>
    <x v="0"/>
    <x v="10"/>
    <s v="5aa69b5c-cc5f-ef11-90cb-00155d68d002"/>
    <d v="2024-08-21T14:48:06"/>
    <x v="21"/>
    <s v="Luis Gabriel Rojas Angarita"/>
    <s v="https://growdatasas.sharepoint.com/sites/pwa/TELEFONICA - CORMAGDALENA- SALA ANALITICA"/>
    <s v="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
    <s v="TI"/>
    <s v="0338"/>
    <s v="Postventa"/>
    <n v="523479413"/>
    <d v="2024-08-12T00:00:00"/>
    <d v="2024-10-30T00:00:00"/>
    <n v="2.6"/>
    <n v="1.4"/>
    <n v="4"/>
    <n v="3"/>
    <n v="1"/>
    <n v="0.75"/>
    <n v="-114270883"/>
    <n v="392609559.75"/>
    <n v="523479413"/>
    <n v="506880442.75"/>
    <n v="-130869853.25"/>
    <n v="-3.4357795218052178"/>
    <x v="2"/>
    <n v="0.75"/>
    <x v="1"/>
    <n v="-152361177.33333334"/>
    <n v="-675840590.33333337"/>
    <s v="https://growdatasas.sharepoint.com/:x:/r/sites/Gestiondocumental/Administrativa/GD/Financiera/_layouts/15/Doc.aspx?sourcedoc=%7B0288FE6C-6AAB-43FF-AEC6-9D8F73023920%7D&amp;file=29082024%20TELEFONICA_CORMAGDALENA%20V2.xlsm&amp;action=default&amp;mobileredirect=true"/>
    <n v="1"/>
    <n v="1"/>
  </r>
  <r>
    <x v="0"/>
    <x v="11"/>
    <s v="5aa69b5c-cc5f-ef11-90cb-00155d68d002"/>
    <d v="2024-08-21T14:48:06"/>
    <x v="21"/>
    <s v="Luis Gabriel Rojas Angarita"/>
    <s v="https://growdatasas.sharepoint.com/sites/pwa/TELEFONICA - CORMAGDALENA- SALA ANALITICA"/>
    <s v=" ​Prestar el suministro, instalación y adecuación de puestos de trabajo, videowall, estación de monitoreo de nivel de agua IoT con cámara, conectividad de red eléctrica regulada, normal, datos, video en las sedes de Barranquilla y Barrancabermeja con implementación y puesta en funcionamiento de dos tableros de control BI que serán visualizados en el video wall y desde el portal de la entidad "/>
    <s v="TI"/>
    <s v="0338"/>
    <s v="Postventa"/>
    <n v="523479413"/>
    <d v="2024-08-12T00:00:00"/>
    <d v="2024-10-30T00:00:00"/>
    <n v="2.6"/>
    <n v="2.4"/>
    <n v="5"/>
    <n v="3"/>
    <n v="1"/>
    <n v="1"/>
    <n v="790490113"/>
    <n v="523479413"/>
    <n v="523479413"/>
    <n v="-267010700"/>
    <n v="0"/>
    <n v="0.66222132875683415"/>
    <x v="2"/>
    <n v="1"/>
    <x v="0"/>
    <n v="790490113"/>
    <n v="267010700"/>
    <s v="https://growdatasas.sharepoint.com/:x:/r/sites/Gestiondocumental/Administrativa/GD/Financiera/_layouts/15/Doc.aspx?sourcedoc=%7B0288FE6C-6AAB-43FF-AEC6-9D8F73023920%7D&amp;file=29082024%20TELEFONICA_CORMAGDALENA%20V2.xlsm&amp;action=default&amp;mobileredirect=true"/>
    <n v="1"/>
    <n v="1"/>
  </r>
  <r>
    <x v="0"/>
    <x v="8"/>
    <s v="521f5ded-34b7-ef11-bbda-00155d105606"/>
    <d v="2024-12-10T20:25:45"/>
    <x v="22"/>
    <s v="Rodrigo Alexander Ramirez Ospina"/>
    <s v="https://growdatasas.sharepoint.com/sites/pwa/DNP- LICENCIAMIENTO MEGAHOPEX"/>
    <s v=" ​ADQUIRIR, INSTALAR, CONFIGURAR Y PONER EN FUNCIONAMIENTO UN SISTEMA DE GESTIÓN DE LA ARQUITECTURA EMPRESARIAL, DE CONFORMIDAD CON LAS CONDICIONES TÉCNICAS EXIGIDAS POR EL DEPARTAMENTO NACIONAL DE PLANEACIÓN (DNP). "/>
    <s v="CONSULTORÍA"/>
    <s v="0353"/>
    <s v="Activo.En Ejecución"/>
    <n v="410789543"/>
    <d v="2024-09-01T00:00:00"/>
    <d v="2024-11-01T00:00:00"/>
    <n v="2"/>
    <n v="-1"/>
    <n v="1"/>
    <n v="3"/>
    <n v="0.35"/>
    <n v="0.35"/>
    <n v="-18501204"/>
    <n v="143776340.04999998"/>
    <n v="143776340.04999998"/>
    <n v="162277544.04999998"/>
    <n v="0"/>
    <n v="-7.7711882994209445"/>
    <x v="2"/>
    <n v="1"/>
    <x v="0"/>
    <n v="-52860582.857142866"/>
    <n v="-463650125.85714287"/>
    <s v="https://growdatasas.sharepoint.com/:x:/r/sites/Gestiondocumental/Administrativa/GD/Financiera/_layouts/15/Doc.aspx?sourcedoc=%7B825EA9F7-C4AC-4367-8925-5CE1786AE91A%7D&amp;file=20241118%20MODELO%20FINANCIERO%20REFERENCIA%20V7.1_%20PERPETUIDAD_TOTAL.xlsm&amp;action=default&amp;mobileredirect=true"/>
    <n v="1"/>
    <n v="1"/>
  </r>
  <r>
    <x v="0"/>
    <x v="9"/>
    <s v="521f5ded-34b7-ef11-bbda-00155d105606"/>
    <d v="2024-12-10T20:25:45"/>
    <x v="22"/>
    <s v="Rodrigo Alexander Ramirez Ospina"/>
    <s v="https://growdatasas.sharepoint.com/sites/pwa/DNP- LICENCIAMIENTO MEGAHOPEX"/>
    <s v=" ​ADQUIRIR, INSTALAR, CONFIGURAR Y PONER EN FUNCIONAMIENTO UN SISTEMA DE GESTIÓN DE LA ARQUITECTURA EMPRESARIAL, DE CONFORMIDAD CON LAS CONDICIONES TÉCNICAS EXIGIDAS POR EL DEPARTAMENTO NACIONAL DE PLANEACIÓN (DNP). "/>
    <s v="CONSULTORÍA"/>
    <s v="0353"/>
    <s v="Activo.En Ejecución"/>
    <n v="410789543"/>
    <d v="2024-09-01T00:00:00"/>
    <d v="2024-11-01T00:00:00"/>
    <n v="2"/>
    <n v="0"/>
    <n v="2"/>
    <n v="3"/>
    <n v="0.75"/>
    <n v="0.75"/>
    <n v="416243665"/>
    <n v="308092157.25"/>
    <n v="308092157.25"/>
    <n v="-108151507.75"/>
    <n v="0"/>
    <n v="0.74017260358785275"/>
    <x v="2"/>
    <n v="1"/>
    <x v="0"/>
    <n v="554991553.33333337"/>
    <n v="144202010.33333337"/>
    <s v="https://growdatasas.sharepoint.com/:x:/r/sites/Gestiondocumental/Administrativa/GD/Financiera/_layouts/15/Doc.aspx?sourcedoc=%7B825EA9F7-C4AC-4367-8925-5CE1786AE91A%7D&amp;file=20241118%20MODELO%20FINANCIERO%20REFERENCIA%20V7.1_%20PERPETUIDAD_TOTAL.xlsm&amp;action=default&amp;mobileredirect=true"/>
    <n v="1"/>
    <n v="1"/>
  </r>
  <r>
    <x v="0"/>
    <x v="10"/>
    <s v="521f5ded-34b7-ef11-bbda-00155d105606"/>
    <d v="2024-12-10T20:25:45"/>
    <x v="22"/>
    <s v="Rodrigo Alexander Ramirez Ospina"/>
    <s v="https://growdatasas.sharepoint.com/sites/pwa/DNP- LICENCIAMIENTO MEGAHOPEX"/>
    <s v=" ​ADQUIRIR, INSTALAR, CONFIGURAR Y PONER EN FUNCIONAMIENTO UN SISTEMA DE GESTIÓN DE LA ARQUITECTURA EMPRESARIAL, DE CONFORMIDAD CON LAS CONDICIONES TÉCNICAS EXIGIDAS POR EL DEPARTAMENTO NACIONAL DE PLANEACIÓN (DNP). "/>
    <s v="CONSULTORÍA"/>
    <s v="0353"/>
    <s v="Activo.En Ejecución"/>
    <n v="410789543"/>
    <d v="2024-09-01T00:00:00"/>
    <d v="2024-11-01T00:00:00"/>
    <n v="2"/>
    <n v="1"/>
    <n v="3"/>
    <n v="3"/>
    <n v="1"/>
    <n v="1"/>
    <n v="-56497450"/>
    <n v="410789543"/>
    <n v="410789543"/>
    <n v="467286993"/>
    <n v="0"/>
    <n v="-7.2709395379791477"/>
    <x v="2"/>
    <n v="1"/>
    <x v="0"/>
    <n v="-56497450"/>
    <n v="-467286993"/>
    <s v="https://growdatasas.sharepoint.com/:x:/r/sites/Gestiondocumental/Administrativa/GD/Financiera/_layouts/15/Doc.aspx?sourcedoc=%7B825EA9F7-C4AC-4367-8925-5CE1786AE91A%7D&amp;file=20241118%20MODELO%20FINANCIERO%20REFERENCIA%20V7.1_%20PERPETUIDAD_TOTAL.xlsm&amp;action=default&amp;mobileredirect=true"/>
    <n v="1"/>
    <n v="1"/>
  </r>
  <r>
    <x v="0"/>
    <x v="8"/>
    <s v="f25ed764-c9b0-ef11-bd94-00155d10b206"/>
    <d v="2024-12-02T16:20:55"/>
    <x v="23"/>
    <s v="Rodrigo Alexander Ramirez Ospina"/>
    <s v="https://growdatasas.sharepoint.com/sites/pwa/RUNT-MIGRACIÓN MEGA"/>
    <s v=" ​ACTUALIZACION DE LA VERSION DE LA PLATAFORMA MEGA HOPEX EN LA EJECUCION DEL PROCESO DE MIGRACION RUNT. "/>
    <s v="CONSULTORÍA"/>
    <s v="0348"/>
    <s v="Activo.En Cierre"/>
    <n v="7049000"/>
    <d v="2024-09-01T00:00:00"/>
    <d v="2024-09-30T00:00:00"/>
    <n v="0.97"/>
    <n v="3.0000000000000027E-2"/>
    <n v="1"/>
    <n v="1"/>
    <n v="1"/>
    <n v="0.25"/>
    <n v="0"/>
    <n v="1762250"/>
    <n v="7049000"/>
    <n v="1762250"/>
    <n v="-5286750"/>
    <s v="No se realizó gasto en este corte"/>
    <x v="1"/>
    <n v="0.25"/>
    <x v="1"/>
    <n v="0"/>
    <n v="-7049000"/>
    <s v="https://growdatasas.sharepoint.com/:x:/r/sites/Gestiondocumental/Administrativa/GD/Financiera/_layouts/15/Doc.aspx?sourcedoc=%7BFBEECA15-7AD7-44CB-BB15-659366F92F74%7D&amp;file=20241115%20MODELO%20FINANCIERO%20REFERENCIA%20V7.1_RUNT_MIGRACION.xlsm&amp;action=default&amp;mobileredirect=true"/>
    <n v="1"/>
    <n v="1"/>
  </r>
  <r>
    <x v="0"/>
    <x v="9"/>
    <s v="f25ed764-c9b0-ef11-bd94-00155d10b206"/>
    <d v="2024-12-02T16:20:55"/>
    <x v="23"/>
    <s v="Rodrigo Alexander Ramirez Ospina"/>
    <s v="https://growdatasas.sharepoint.com/sites/pwa/RUNT-MIGRACIÓN MEGA"/>
    <s v=" ​ACTUALIZACION DE LA VERSION DE LA PLATAFORMA MEGA HOPEX EN LA EJECUCION DEL PROCESO DE MIGRACION RUNT. "/>
    <s v="CONSULTORÍA"/>
    <s v="0348"/>
    <s v="Activo.En Cierre"/>
    <n v="7049000"/>
    <d v="2024-09-01T00:00:00"/>
    <d v="2024-09-30T00:00:00"/>
    <n v="0.97"/>
    <n v="1.03"/>
    <n v="2"/>
    <n v="1"/>
    <n v="1"/>
    <n v="0.75"/>
    <n v="99000"/>
    <n v="5286750"/>
    <n v="7049000"/>
    <n v="5187750"/>
    <n v="-1762250"/>
    <n v="53.401515151515149"/>
    <x v="1"/>
    <n v="0.75"/>
    <x v="1"/>
    <n v="132000"/>
    <n v="-6917000"/>
    <s v="https://growdatasas.sharepoint.com/:x:/r/sites/Gestiondocumental/Administrativa/GD/Financiera/_layouts/15/Doc.aspx?sourcedoc=%7BFBEECA15-7AD7-44CB-BB15-659366F92F74%7D&amp;file=20241115%20MODELO%20FINANCIERO%20REFERENCIA%20V7.1_RUNT_MIGRACION.xlsm&amp;action=default&amp;mobileredirect=true"/>
    <n v="1"/>
    <n v="1"/>
  </r>
  <r>
    <x v="0"/>
    <x v="10"/>
    <s v="f25ed764-c9b0-ef11-bd94-00155d10b206"/>
    <d v="2024-12-02T16:20:55"/>
    <x v="23"/>
    <s v="Rodrigo Alexander Ramirez Ospina"/>
    <s v="https://growdatasas.sharepoint.com/sites/pwa/RUNT-MIGRACIÓN MEGA"/>
    <s v=" ​ACTUALIZACION DE LA VERSION DE LA PLATAFORMA MEGA HOPEX EN LA EJECUCION DEL PROCESO DE MIGRACION RUNT. "/>
    <s v="CONSULTORÍA"/>
    <s v="0348"/>
    <s v="Activo.En Cierre"/>
    <n v="7049000"/>
    <d v="2024-09-01T00:00:00"/>
    <d v="2024-09-30T00:00:00"/>
    <n v="0.97"/>
    <n v="2.0300000000000002"/>
    <n v="3"/>
    <n v="1"/>
    <n v="1"/>
    <n v="1"/>
    <n v="6950000"/>
    <n v="7049000"/>
    <n v="7049000"/>
    <n v="99000"/>
    <n v="0"/>
    <n v="1.0142446043165467"/>
    <x v="1"/>
    <n v="1"/>
    <x v="0"/>
    <n v="6950000"/>
    <n v="-99000"/>
    <s v="https://growdatasas.sharepoint.com/:x:/r/sites/Gestiondocumental/Administrativa/GD/Financiera/_layouts/15/Doc.aspx?sourcedoc=%7BFBEECA15-7AD7-44CB-BB15-659366F92F74%7D&amp;file=20241115%20MODELO%20FINANCIERO%20REFERENCIA%20V7.1_RUNT_MIGRACION.xlsm&amp;action=default&amp;mobileredirect=true"/>
    <n v="1"/>
    <n v="1"/>
  </r>
  <r>
    <x v="0"/>
    <x v="8"/>
    <s v="7cec2a49-4869-ef11-9771-00155d684b0c"/>
    <d v="2024-09-02T16:27:49"/>
    <x v="24"/>
    <s v="Carlos Alberto Osorio Ortiz"/>
    <s v="https://growdatasas.sharepoint.com/sites/pwa/ELECTROHUILA- FORTINET"/>
    <s v=" ​Compra, Instalación, configuración y puesta en marcha de un sistema de seguridad perimetral con equipos y licenciamiento FORTINET "/>
    <s v="TI"/>
    <s v="0340"/>
    <s v="Activo.En Cierre"/>
    <n v="370376769"/>
    <d v="2024-09-01T00:00:00"/>
    <d v="2024-10-31T00:00:00"/>
    <n v="2"/>
    <n v="-1"/>
    <n v="1"/>
    <n v="2"/>
    <n v="0.5"/>
    <n v="0.25"/>
    <s v="$ -   "/>
    <n v="92594192.25"/>
    <n v="185188384.5"/>
    <n v="0"/>
    <n v="-92594192.25"/>
    <s v="No se realizó gasto en este corte"/>
    <x v="1"/>
    <n v="0.5"/>
    <x v="1"/>
    <n v="0"/>
    <n v="-370376769"/>
    <s v="https://growdatasas.sharepoint.com/:x:/r/sites/Gestiondocumental/Administrativa/GD/Financiera/_layouts/15/Doc.aspx?sourcedoc=%7B8532EC43-3D9D-499E-986C-E4DDBEFDC382%7D&amp;file=20250122%20ELECTROHUILA_Modelo%20de%20negocio%20-%20(versi%C3%B3n%20real)_v20250122.xlsm&amp;action=default&amp;mobileredirect=true"/>
    <n v="1"/>
    <n v="1"/>
  </r>
  <r>
    <x v="0"/>
    <x v="9"/>
    <s v="7cec2a49-4869-ef11-9771-00155d684b0c"/>
    <d v="2024-09-02T16:27:49"/>
    <x v="24"/>
    <s v="Carlos Alberto Osorio Ortiz"/>
    <s v="https://growdatasas.sharepoint.com/sites/pwa/ELECTROHUILA- FORTINET"/>
    <s v=" ​Compra, Instalación, configuración y puesta en marcha de un sistema de seguridad perimetral con equipos y licenciamiento FORTINET "/>
    <s v="TI"/>
    <s v="0340"/>
    <s v="Activo.En Cierre"/>
    <n v="370376769"/>
    <d v="2024-09-01T00:00:00"/>
    <d v="2024-10-31T00:00:00"/>
    <n v="2"/>
    <n v="0"/>
    <n v="2"/>
    <n v="2"/>
    <n v="1"/>
    <n v="0.5"/>
    <n v="-348062440"/>
    <n v="185188384.5"/>
    <n v="370376769"/>
    <n v="533250824.5"/>
    <n v="-185188384.5"/>
    <n v="-0.53205506603930031"/>
    <x v="2"/>
    <n v="0.5"/>
    <x v="1"/>
    <n v="-696124880"/>
    <n v="-1066501649"/>
    <s v="https://growdatasas.sharepoint.com/:x:/r/sites/Gestiondocumental/Administrativa/GD/Financiera/_layouts/15/Doc.aspx?sourcedoc=%7B8532EC43-3D9D-499E-986C-E4DDBEFDC382%7D&amp;file=20250122%20ELECTROHUILA_Modelo%20de%20negocio%20-%20(versi%C3%B3n%20real)_v20250122.xlsm&amp;action=default&amp;mobileredirect=true"/>
    <n v="1"/>
    <n v="1"/>
  </r>
  <r>
    <x v="0"/>
    <x v="10"/>
    <s v="7cec2a49-4869-ef11-9771-00155d684b0c"/>
    <d v="2024-09-02T16:27:49"/>
    <x v="24"/>
    <s v="Carlos Alberto Osorio Ortiz"/>
    <s v="https://growdatasas.sharepoint.com/sites/pwa/ELECTROHUILA- FORTINET"/>
    <s v=" ​Compra, Instalación, configuración y puesta en marcha de un sistema de seguridad perimetral con equipos y licenciamiento FORTINET "/>
    <s v="TI"/>
    <s v="0340"/>
    <s v="Activo.En Cierre"/>
    <n v="370376769"/>
    <d v="2024-09-01T00:00:00"/>
    <d v="2024-10-31T00:00:00"/>
    <n v="2"/>
    <n v="1"/>
    <n v="3"/>
    <n v="2"/>
    <n v="1"/>
    <n v="1"/>
    <n v="594457735"/>
    <n v="370376769"/>
    <n v="370376769"/>
    <n v="-224080966"/>
    <n v="0"/>
    <n v="0.62304979343905753"/>
    <x v="2"/>
    <n v="1"/>
    <x v="0"/>
    <n v="594457735"/>
    <n v="224080966"/>
    <s v="https://growdatasas.sharepoint.com/:x:/r/sites/Gestiondocumental/Administrativa/GD/Financiera/_layouts/15/Doc.aspx?sourcedoc=%7B8532EC43-3D9D-499E-986C-E4DDBEFDC382%7D&amp;file=20250122%20ELECTROHUILA_Modelo%20de%20negocio%20-%20(versi%C3%B3n%20real)_v20250122.xlsm&amp;action=default&amp;mobileredirect=true"/>
    <n v="1"/>
    <n v="1"/>
  </r>
  <r>
    <x v="0"/>
    <x v="8"/>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8.93"/>
    <n v="1"/>
    <n v="10"/>
    <n v="0.1"/>
    <n v="0.1"/>
    <n v="-113185098"/>
    <n v="79229568.299999997"/>
    <n v="79229568.299999997"/>
    <n v="192414666.30000001"/>
    <n v="0"/>
    <n v="-0.69999999734947438"/>
    <x v="2"/>
    <n v="1"/>
    <x v="0"/>
    <n v="-1131850980"/>
    <n v="-1924146663"/>
    <s v="https://growdatasas.sharepoint.com/:x:/r/sites/Gestiondocumental/Administrativa/GD/Financiera/_layouts/15/Doc.aspx?sourcedoc=%7BE250AEF5-F247-458E-91D3-6BE23701DF39%7D&amp;file=RUNT%20CONTENEDORES%20ESTRATEGICOS%20V5.xlsm&amp;action=default&amp;mobileredirect=true"/>
    <n v="1"/>
    <n v="1"/>
  </r>
  <r>
    <x v="0"/>
    <x v="9"/>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7.93"/>
    <n v="2"/>
    <n v="10"/>
    <n v="0.2"/>
    <n v="0.2"/>
    <n v="-113185098"/>
    <n v="158459136.59999999"/>
    <n v="158459136.59999999"/>
    <n v="271644234.60000002"/>
    <n v="0"/>
    <n v="-1.3999999946989488"/>
    <x v="2"/>
    <n v="1"/>
    <x v="0"/>
    <n v="-565925490"/>
    <n v="-1358221173"/>
    <s v="https://growdatasas.sharepoint.com/:x:/r/sites/Gestiondocumental/Administrativa/GD/Financiera/_layouts/15/Doc.aspx?sourcedoc=%7BE250AEF5-F247-458E-91D3-6BE23701DF39%7D&amp;file=RUNT%20CONTENEDORES%20ESTRATEGICOS%20V5.xlsm&amp;action=default&amp;mobileredirect=true"/>
    <n v="1"/>
    <n v="1"/>
  </r>
  <r>
    <x v="0"/>
    <x v="10"/>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6.93"/>
    <n v="3"/>
    <n v="10"/>
    <n v="0.3"/>
    <n v="0.3"/>
    <n v="70981569"/>
    <n v="237688704.90000001"/>
    <n v="237688704.90000001"/>
    <n v="166707135.90000001"/>
    <n v="0"/>
    <n v="3.3485975056426267"/>
    <x v="1"/>
    <n v="1"/>
    <x v="0"/>
    <n v="236605230"/>
    <n v="-555690453"/>
    <s v="https://growdatasas.sharepoint.com/:x:/r/sites/Gestiondocumental/Administrativa/GD/Financiera/_layouts/15/Doc.aspx?sourcedoc=%7BE250AEF5-F247-458E-91D3-6BE23701DF39%7D&amp;file=RUNT%20CONTENEDORES%20ESTRATEGICOS%20V5.xlsm&amp;action=default&amp;mobileredirect=true"/>
    <n v="1"/>
    <n v="1"/>
  </r>
  <r>
    <x v="0"/>
    <x v="11"/>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5.93"/>
    <n v="4"/>
    <n v="10"/>
    <n v="0.4"/>
    <n v="0.4"/>
    <n v="70981569"/>
    <n v="316918273.19999999"/>
    <n v="316918273.19999999"/>
    <n v="245936704.19999999"/>
    <n v="0"/>
    <n v="4.4647966741901692"/>
    <x v="1"/>
    <n v="1"/>
    <x v="0"/>
    <n v="177453922.5"/>
    <n v="-614841760.5"/>
    <s v="https://growdatasas.sharepoint.com/:x:/r/sites/Gestiondocumental/Administrativa/GD/Financiera/_layouts/15/Doc.aspx?sourcedoc=%7BE250AEF5-F247-458E-91D3-6BE23701DF39%7D&amp;file=RUNT%20CONTENEDORES%20ESTRATEGICOS%20V5.xlsm&amp;action=default&amp;mobileredirect=true"/>
    <n v="1"/>
    <n v="1"/>
  </r>
  <r>
    <x v="0"/>
    <x v="0"/>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4.93"/>
    <n v="5"/>
    <n v="10"/>
    <n v="0.5"/>
    <n v="0.5"/>
    <n v="70981569"/>
    <n v="396147841.5"/>
    <n v="396147841.5"/>
    <n v="325166272.5"/>
    <n v="0"/>
    <n v="5.5809958427377113"/>
    <x v="1"/>
    <n v="1"/>
    <x v="0"/>
    <n v="141963138"/>
    <n v="-650332545"/>
    <s v="https://growdatasas.sharepoint.com/:x:/r/sites/Gestiondocumental/Administrativa/GD/Financiera/_layouts/15/Doc.aspx?sourcedoc=%7BE250AEF5-F247-458E-91D3-6BE23701DF39%7D&amp;file=RUNT%20CONTENEDORES%20ESTRATEGICOS%20V5.xlsm&amp;action=default&amp;mobileredirect=true"/>
    <n v="1"/>
    <n v="1"/>
  </r>
  <r>
    <x v="0"/>
    <x v="1"/>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3.9299999999999997"/>
    <n v="6"/>
    <n v="10"/>
    <n v="0.6"/>
    <n v="0.6"/>
    <n v="70981569"/>
    <n v="475377409.80000001"/>
    <n v="475377409.80000001"/>
    <n v="404395840.80000001"/>
    <n v="0"/>
    <n v="6.6971950112852534"/>
    <x v="1"/>
    <n v="1"/>
    <x v="0"/>
    <n v="118302615"/>
    <n v="-673993068"/>
    <s v="https://growdatasas.sharepoint.com/:x:/r/sites/Gestiondocumental/Administrativa/GD/Financiera/_layouts/15/Doc.aspx?sourcedoc=%7BE250AEF5-F247-458E-91D3-6BE23701DF39%7D&amp;file=RUNT%20CONTENEDORES%20ESTRATEGICOS%20V5.xlsm&amp;action=default&amp;mobileredirect=true"/>
    <n v="1"/>
    <n v="1"/>
  </r>
  <r>
    <x v="0"/>
    <x v="2"/>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2.9299999999999997"/>
    <n v="7"/>
    <n v="10"/>
    <n v="0.7"/>
    <n v="0.7"/>
    <n v="70981569"/>
    <n v="554606978.10000002"/>
    <n v="554606978.10000002"/>
    <n v="483625409.10000002"/>
    <n v="0"/>
    <n v="7.8133941798327964"/>
    <x v="1"/>
    <n v="1"/>
    <x v="0"/>
    <n v="101402241.42857142"/>
    <n v="-690893441.57142854"/>
    <s v="https://growdatasas.sharepoint.com/:x:/r/sites/Gestiondocumental/Administrativa/GD/Financiera/_layouts/15/Doc.aspx?sourcedoc=%7BE250AEF5-F247-458E-91D3-6BE23701DF39%7D&amp;file=RUNT%20CONTENEDORES%20ESTRATEGICOS%20V5.xlsm&amp;action=default&amp;mobileredirect=true"/>
    <n v="1"/>
    <n v="1"/>
  </r>
  <r>
    <x v="0"/>
    <x v="3"/>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1.9299999999999997"/>
    <n v="8"/>
    <n v="10"/>
    <n v="0.8"/>
    <n v="0.8"/>
    <n v="184166667"/>
    <n v="633836546.39999998"/>
    <n v="633836546.39999998"/>
    <n v="449669879.39999998"/>
    <n v="0"/>
    <n v="3.441646399562631"/>
    <x v="1"/>
    <n v="1"/>
    <x v="0"/>
    <n v="230208333.75"/>
    <n v="-562087349.25"/>
    <s v="https://growdatasas.sharepoint.com/:x:/r/sites/Gestiondocumental/Administrativa/GD/Financiera/_layouts/15/Doc.aspx?sourcedoc=%7BE250AEF5-F247-458E-91D3-6BE23701DF39%7D&amp;file=RUNT%20CONTENEDORES%20ESTRATEGICOS%20V5.xlsm&amp;action=default&amp;mobileredirect=true"/>
    <n v="1"/>
    <n v="1"/>
  </r>
  <r>
    <x v="0"/>
    <x v="4"/>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0.92999999999999972"/>
    <n v="9"/>
    <n v="10"/>
    <n v="0.9"/>
    <n v="0.9"/>
    <s v=" $ -   "/>
    <n v="713066114.70000005"/>
    <n v="713066114.70000005"/>
    <n v="0"/>
    <n v="0"/>
    <s v="No se realizó gasto en este corte"/>
    <x v="1"/>
    <n v="1"/>
    <x v="0"/>
    <n v="0"/>
    <n v="-792295683"/>
    <s v="https://growdatasas.sharepoint.com/:x:/r/sites/Gestiondocumental/Administrativa/GD/Financiera/_layouts/15/Doc.aspx?sourcedoc=%7BE250AEF5-F247-458E-91D3-6BE23701DF39%7D&amp;file=RUNT%20CONTENEDORES%20ESTRATEGICOS%20V5.xlsm&amp;action=default&amp;mobileredirect=true"/>
    <n v="1"/>
    <n v="1"/>
  </r>
  <r>
    <x v="0"/>
    <x v="5"/>
    <s v="170c879a-c379-ef11-9770-00155d687501"/>
    <d v="2024-09-23T15:50:59"/>
    <x v="25"/>
    <s v="Diego Armando Giraldo Pachecho"/>
    <s v="https://growdatasas.sharepoint.com/sites/pwa/BISA - RUNT - CSE"/>
    <s v=" ​Contratar fábrica de software para el desarrollo de contenedores estratégicos RUNT, a partir de los casos de uso suministrados por el cliente, desarrollo de servicios web. "/>
    <s v="DATOS Y SISTEMAS DE INFORMACIÓN"/>
    <s v="0342"/>
    <s v="Activo.En Ejecución"/>
    <n v="792295683"/>
    <d v="2024-09-02T00:00:00"/>
    <d v="2025-06-30T00:00:00"/>
    <n v="9.93"/>
    <n v="7.0000000000000284E-2"/>
    <n v="10"/>
    <n v="10"/>
    <n v="1"/>
    <n v="1"/>
    <s v=" $ -   "/>
    <n v="792295683"/>
    <n v="792295683"/>
    <n v="0"/>
    <n v="0"/>
    <s v="No se realizó gasto en este corte"/>
    <x v="1"/>
    <n v="1"/>
    <x v="0"/>
    <n v="0"/>
    <n v="-792295683"/>
    <s v="https://growdatasas.sharepoint.com/:x:/r/sites/Gestiondocumental/Administrativa/GD/Financiera/_layouts/15/Doc.aspx?sourcedoc=%7BE250AEF5-F247-458E-91D3-6BE23701DF39%7D&amp;file=RUNT%20CONTENEDORES%20ESTRATEGICOS%20V5.xlsm&amp;action=default&amp;mobileredirect=true"/>
    <n v="1"/>
    <n v="1"/>
  </r>
  <r>
    <x v="0"/>
    <x v="8"/>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1.2000000000000002"/>
    <n v="1"/>
    <n v="14"/>
    <n v="0.1"/>
    <n v="0.1"/>
    <s v="$ -   "/>
    <n v="576759099.60000002"/>
    <n v="576759099.60000002"/>
    <n v="0"/>
    <n v="0"/>
    <s v="No se realizó gasto en este corte"/>
    <x v="1"/>
    <n v="1"/>
    <x v="0"/>
    <n v="0"/>
    <n v="-5767590996"/>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0"/>
    <x v="9"/>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0.20000000000000018"/>
    <n v="2"/>
    <n v="14"/>
    <n v="0.15"/>
    <n v="0.15"/>
    <n v="-111620831"/>
    <n v="865138649.39999998"/>
    <n v="865138649.39999998"/>
    <n v="976759480.39999998"/>
    <n v="0"/>
    <n v="-7.7506917091488052"/>
    <x v="2"/>
    <n v="1"/>
    <x v="0"/>
    <n v="-744138873.33333337"/>
    <n v="-6511729869.333333"/>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0"/>
    <x v="10"/>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0.79999999999999982"/>
    <n v="3"/>
    <n v="14"/>
    <n v="0.2"/>
    <n v="0.2"/>
    <n v="-579756076"/>
    <n v="1153518199.2"/>
    <n v="1153518199.2"/>
    <n v="1733274275.2"/>
    <n v="0"/>
    <n v="-1.98966125057049"/>
    <x v="2"/>
    <n v="1"/>
    <x v="0"/>
    <n v="-2898780380"/>
    <n v="-8666371376"/>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0"/>
    <x v="11"/>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1.7999999999999998"/>
    <n v="4"/>
    <n v="14"/>
    <n v="0.25"/>
    <n v="0.3"/>
    <n v="3637640823"/>
    <n v="1730277298.8"/>
    <n v="1441897749"/>
    <n v="-1907363524.2"/>
    <n v="288379549.79999995"/>
    <n v="0.47565919313964111"/>
    <x v="2"/>
    <n v="1.2"/>
    <x v="2"/>
    <n v="12125469410"/>
    <n v="6357878414"/>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0"/>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2.8"/>
    <n v="5"/>
    <n v="14"/>
    <n v="0.3"/>
    <n v="0.35"/>
    <n v="-111620831"/>
    <n v="2018656848.5999999"/>
    <n v="1730277298.8"/>
    <n v="2130277679.5999999"/>
    <n v="288379549.79999995"/>
    <n v="-18.084947321347212"/>
    <x v="2"/>
    <n v="1.1666666666666667"/>
    <x v="2"/>
    <n v="-318916660.00000006"/>
    <n v="-6086507656"/>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1"/>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3.8"/>
    <n v="6"/>
    <n v="14"/>
    <n v="0.35"/>
    <n v="0.4"/>
    <n v="-111620831"/>
    <n v="2307036398.4000001"/>
    <n v="2018656848.5999999"/>
    <n v="2418657229.4000001"/>
    <n v="288379549.80000019"/>
    <n v="-20.668511224396816"/>
    <x v="2"/>
    <n v="1.142857142857143"/>
    <x v="2"/>
    <n v="-279052077.5"/>
    <n v="-6046643073.5"/>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2"/>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4.8"/>
    <n v="7"/>
    <n v="14"/>
    <n v="0.4"/>
    <n v="0.45"/>
    <n v="-111620831"/>
    <n v="2595415948.2000003"/>
    <n v="2307036398.4000001"/>
    <n v="2707036779.2000003"/>
    <n v="288379549.80000019"/>
    <n v="-23.252075127446421"/>
    <x v="2"/>
    <n v="1.125"/>
    <x v="2"/>
    <n v="-248046291.11111107"/>
    <n v="-6015637287.1111107"/>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3"/>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5.8"/>
    <n v="8"/>
    <n v="14"/>
    <n v="0.45"/>
    <n v="0.5"/>
    <n v="-111620831"/>
    <n v="2883795498"/>
    <n v="2595415948.2000003"/>
    <n v="2995416329"/>
    <n v="288379549.79999971"/>
    <n v="-25.835639030496019"/>
    <x v="2"/>
    <n v="1.1111111111111109"/>
    <x v="2"/>
    <n v="-223241662"/>
    <n v="-5990832658"/>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4"/>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6.8"/>
    <n v="9"/>
    <n v="14"/>
    <n v="0.5"/>
    <n v="0.55000000000000004"/>
    <n v="-111620831"/>
    <n v="3172175047.8000002"/>
    <n v="2883795498"/>
    <n v="3283795878.8000002"/>
    <n v="288379549.80000019"/>
    <n v="-28.419202933545623"/>
    <x v="2"/>
    <n v="1.1000000000000001"/>
    <x v="2"/>
    <n v="-202946965.45454544"/>
    <n v="-5970537961.454545"/>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5"/>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7.8"/>
    <n v="10"/>
    <n v="14"/>
    <n v="0.55000000000000004"/>
    <n v="0.6"/>
    <n v="-111620831"/>
    <n v="3460554597.5999999"/>
    <n v="3172175047.8000002"/>
    <n v="3572175428.5999999"/>
    <n v="288379549.79999971"/>
    <n v="-31.002766836595221"/>
    <x v="2"/>
    <n v="1.0909090909090908"/>
    <x v="2"/>
    <n v="-186034718.33333334"/>
    <n v="-5953625714.333333"/>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6"/>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8.8000000000000007"/>
    <n v="11"/>
    <n v="14"/>
    <n v="0.6"/>
    <n v="0.7"/>
    <n v="-111620831"/>
    <n v="4037313697.1999998"/>
    <n v="3460554597.5999999"/>
    <n v="4148934528.1999998"/>
    <n v="576759099.5999999"/>
    <n v="-36.169894642694423"/>
    <x v="2"/>
    <n v="1.1666666666666667"/>
    <x v="2"/>
    <n v="-159458330.00000003"/>
    <n v="-5927049326"/>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7"/>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9.8000000000000007"/>
    <n v="12"/>
    <n v="14"/>
    <n v="0.7"/>
    <n v="0.8"/>
    <n v="-111620831"/>
    <n v="4614072796.8000002"/>
    <n v="4037313697.1999998"/>
    <n v="4725693627.8000002"/>
    <n v="576759099.60000038"/>
    <n v="-41.337022448793633"/>
    <x v="2"/>
    <n v="1.142857142857143"/>
    <x v="2"/>
    <n v="-139526038.75"/>
    <n v="-5907117034.75"/>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8"/>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10.8"/>
    <n v="13"/>
    <n v="14"/>
    <n v="0.8"/>
    <n v="0.9"/>
    <n v="-111620831"/>
    <n v="5190831896.4000006"/>
    <n v="4614072796.8000002"/>
    <n v="5302452727.4000006"/>
    <n v="576759099.60000038"/>
    <n v="-46.504150254892842"/>
    <x v="2"/>
    <n v="1.125"/>
    <x v="2"/>
    <n v="-124023145.55555554"/>
    <n v="-5891614141.5555553"/>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9"/>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11.8"/>
    <n v="14"/>
    <n v="14"/>
    <n v="0.9"/>
    <n v="0.95"/>
    <n v="-105372062"/>
    <n v="5479211446.1999998"/>
    <n v="5190831896.4000006"/>
    <n v="5584583508.1999998"/>
    <n v="288379549.79999924"/>
    <n v="-51.998711444025837"/>
    <x v="2"/>
    <n v="1.0555555555555554"/>
    <x v="2"/>
    <n v="-110917960"/>
    <n v="-5878508956"/>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1"/>
    <x v="10"/>
    <s v="bf1f2588-497b-ef11-9776-00155d68b20b"/>
    <d v="2024-09-25T14:22:04"/>
    <x v="26"/>
    <s v="Alberto Ramirez Nuñez"/>
    <s v="https://growdatasas.sharepoint.com/sites/pwa/UT CIBERSEGURIDAD MT"/>
    <s v=" ​Contratar servicios e infraestructura de seguridad digital y ciberseguridad a través de una solución tecnológica en caminada al fortalecimiento del cumplimiento de los estándares nacionales e internacionales por parte del ministerio de transporte. "/>
    <s v="TI"/>
    <s v="10026"/>
    <s v="Activo.En Ejecución"/>
    <n v="5767590996"/>
    <d v="2024-09-24T00:00:00"/>
    <d v="2024-11-30T00:00:00"/>
    <n v="2.2000000000000002"/>
    <n v="12.8"/>
    <n v="15"/>
    <n v="14"/>
    <n v="1"/>
    <n v="1"/>
    <n v="-105372062"/>
    <n v="5767590996"/>
    <n v="5767590996"/>
    <n v="5872963058"/>
    <n v="0"/>
    <n v="-54.735485730553513"/>
    <x v="2"/>
    <n v="1"/>
    <x v="0"/>
    <n v="-105372062"/>
    <n v="-5872963058"/>
    <s v="https://growdatasas.sharepoint.com/:x:/r/sites/Gestiondocumental/Administrativa/GD/Financiera/_layouts/15/Doc.aspx?sourcedoc=%7B7847B3E7-120E-4453-ABEB-FCCD451C6101%7D&amp;file=MODELO%20FINANCIERO%20REFERENCIA%20V7.2_Aprobado_Mintransporte_23092024%20V1.xlsm&amp;action=default&amp;mobileredirect=true"/>
    <n v="1"/>
    <n v="1"/>
  </r>
  <r>
    <x v="0"/>
    <x v="9"/>
    <s v="750d983e-5f82-ef11-977e-00155d688508"/>
    <d v="2024-10-04T14:45:09"/>
    <x v="27"/>
    <s v="Leidy Susana Ramirez Herrera"/>
    <s v="https://growdatasas.sharepoint.com/sites/pwa/ADRES-MEGA HOPEX"/>
    <s v=" ​CONTRATAR LOS SERVICIOS DE RENOVACIÓN, SOPORTE, ACTUALIZACIÓN Y MIGRACIÓN DE LA HERRAMIENTA DE ARQUITECTURA EMPRESARIAL MEGA HOPEX DE LA ADRES. "/>
    <s v="CONSULTORÍA"/>
    <s v="0343"/>
    <s v="Postventa"/>
    <n v="319021846"/>
    <d v="2024-10-01T00:00:00"/>
    <d v="2024-12-15T00:00:00"/>
    <n v="2.4700000000000002"/>
    <n v="-1.4700000000000002"/>
    <n v="1"/>
    <n v="3"/>
    <n v="0.3"/>
    <n v="0.2"/>
    <n v="21726225"/>
    <n v="63804369.200000003"/>
    <n v="95706553.799999997"/>
    <n v="42078144.200000003"/>
    <n v="-31902184.599999994"/>
    <n v="2.9367443815020788"/>
    <x v="1"/>
    <n v="0.66666666666666674"/>
    <x v="1"/>
    <n v="108631125"/>
    <n v="-210390721"/>
    <s v="https://growdatasas.sharepoint.com/:x:/r/sites/Gestiondocumental/Administrativa/GD/Financiera/_layouts/15/Doc.aspx?sourcedoc=%7BC1202124-0C11-4B86-BB8D-77A938B88AD7%7D&amp;file=09092024%20MODELO%20FINANCIERO%20REFERENCIA%20V7.1_1ANIO_ADRES.xlsm&amp;action=default&amp;mobileredirect=true"/>
    <n v="1"/>
    <n v="1"/>
  </r>
  <r>
    <x v="0"/>
    <x v="10"/>
    <s v="750d983e-5f82-ef11-977e-00155d688508"/>
    <d v="2024-10-04T14:45:09"/>
    <x v="27"/>
    <s v="Leidy Susana Ramirez Herrera"/>
    <s v="https://growdatasas.sharepoint.com/sites/pwa/ADRES-MEGA HOPEX"/>
    <s v=" ​CONTRATAR LOS SERVICIOS DE RENOVACIÓN, SOPORTE, ACTUALIZACIÓN Y MIGRACIÓN DE LA HERRAMIENTA DE ARQUITECTURA EMPRESARIAL MEGA HOPEX DE LA ADRES. "/>
    <s v="CONSULTORÍA"/>
    <s v="0343"/>
    <s v="Postventa"/>
    <n v="319021846"/>
    <d v="2024-10-01T00:00:00"/>
    <d v="2024-12-15T00:00:00"/>
    <n v="2.4700000000000002"/>
    <n v="-0.4700000000000002"/>
    <n v="2"/>
    <n v="3"/>
    <n v="0.6"/>
    <n v="0.4"/>
    <n v="187600120"/>
    <n v="127608738.40000001"/>
    <n v="191413107.59999999"/>
    <n v="-59991381.599999994"/>
    <n v="-63804369.199999988"/>
    <n v="0.68021672054367555"/>
    <x v="2"/>
    <n v="0.66666666666666674"/>
    <x v="1"/>
    <n v="469000300"/>
    <n v="149978454"/>
    <s v="https://growdatasas.sharepoint.com/:x:/r/sites/Gestiondocumental/Administrativa/GD/Financiera/_layouts/15/Doc.aspx?sourcedoc=%7BC1202124-0C11-4B86-BB8D-77A938B88AD7%7D&amp;file=09092024%20MODELO%20FINANCIERO%20REFERENCIA%20V7.1_1ANIO_ADRES.xlsm&amp;action=default&amp;mobileredirect=true"/>
    <n v="1"/>
    <n v="1"/>
  </r>
  <r>
    <x v="0"/>
    <x v="11"/>
    <s v="750d983e-5f82-ef11-977e-00155d688508"/>
    <d v="2024-10-04T14:45:09"/>
    <x v="27"/>
    <s v="Leidy Susana Ramirez Herrera"/>
    <s v="https://growdatasas.sharepoint.com/sites/pwa/ADRES-MEGA HOPEX"/>
    <s v=" ​CONTRATAR LOS SERVICIOS DE RENOVACIÓN, SOPORTE, ACTUALIZACIÓN Y MIGRACIÓN DE LA HERRAMIENTA DE ARQUITECTURA EMPRESARIAL MEGA HOPEX DE LA ADRES. "/>
    <s v="CONSULTORÍA"/>
    <s v="0343"/>
    <s v="Postventa"/>
    <n v="319021846"/>
    <d v="2024-10-01T00:00:00"/>
    <d v="2024-12-15T00:00:00"/>
    <n v="2.4700000000000002"/>
    <n v="0.5299999999999998"/>
    <n v="3"/>
    <n v="3"/>
    <n v="1"/>
    <n v="0.6"/>
    <n v="65710863"/>
    <n v="191413107.59999999"/>
    <n v="319021846"/>
    <n v="125702244.59999999"/>
    <n v="-127608738.40000001"/>
    <n v="2.9129598800125329"/>
    <x v="1"/>
    <n v="0.6"/>
    <x v="1"/>
    <n v="109518105"/>
    <n v="-209503741"/>
    <s v="https://growdatasas.sharepoint.com/:x:/r/sites/Gestiondocumental/Administrativa/GD/Financiera/_layouts/15/Doc.aspx?sourcedoc=%7BC1202124-0C11-4B86-BB8D-77A938B88AD7%7D&amp;file=09092024%20MODELO%20FINANCIERO%20REFERENCIA%20V7.1_1ANIO_ADRES.xlsm&amp;action=default&amp;mobileredirect=true"/>
    <n v="1"/>
    <n v="1"/>
  </r>
  <r>
    <x v="1"/>
    <x v="0"/>
    <s v="750d983e-5f82-ef11-977e-00155d688508"/>
    <d v="2024-10-04T14:45:09"/>
    <x v="27"/>
    <s v="Leidy Susana Ramirez Herrera"/>
    <s v="https://growdatasas.sharepoint.com/sites/pwa/ADRES-MEGA HOPEX"/>
    <s v=" ​CONTRATAR LOS SERVICIOS DE RENOVACIÓN, SOPORTE, ACTUALIZACIÓN Y MIGRACIÓN DE LA HERRAMIENTA DE ARQUITECTURA EMPRESARIAL MEGA HOPEX DE LA ADRES. "/>
    <s v="CONSULTORÍA"/>
    <s v="0343"/>
    <s v="Postventa"/>
    <n v="319021846"/>
    <d v="2024-10-01T00:00:00"/>
    <d v="2024-12-15T00:00:00"/>
    <n v="2.4700000000000002"/>
    <n v="1.5299999999999998"/>
    <n v="4"/>
    <n v="3"/>
    <n v="1"/>
    <n v="1"/>
    <n v="43984638"/>
    <n v="319021846"/>
    <n v="319021846"/>
    <n v="275037208"/>
    <n v="0"/>
    <n v="7.2530287960992199"/>
    <x v="1"/>
    <n v="1"/>
    <x v="0"/>
    <n v="43984638"/>
    <n v="-275037208"/>
    <s v="https://growdatasas.sharepoint.com/:x:/r/sites/Gestiondocumental/Administrativa/GD/Financiera/_layouts/15/Doc.aspx?sourcedoc=%7BC1202124-0C11-4B86-BB8D-77A938B88AD7%7D&amp;file=09092024%20MODELO%20FINANCIERO%20REFERENCIA%20V7.1_1ANIO_ADRES.xlsm&amp;action=default&amp;mobileredirect=true"/>
    <n v="1"/>
    <n v="1"/>
  </r>
  <r>
    <x v="0"/>
    <x v="9"/>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24.9"/>
    <n v="1"/>
    <n v="26"/>
    <n v="0.05"/>
    <n v="0.05"/>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0"/>
    <x v="10"/>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23.9"/>
    <n v="2"/>
    <n v="26"/>
    <n v="0.08"/>
    <n v="0.08"/>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0"/>
    <x v="11"/>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22.9"/>
    <n v="3"/>
    <n v="26"/>
    <n v="0.12"/>
    <n v="0.12"/>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1"/>
    <x v="0"/>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21.9"/>
    <n v="4"/>
    <n v="26"/>
    <n v="0.15333333333333299"/>
    <n v="0.15333333333333299"/>
    <n v="211672212"/>
    <n v="0"/>
    <n v="0"/>
    <n v="-2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1"/>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20.9"/>
    <n v="5"/>
    <n v="26"/>
    <n v="0.18833333333333299"/>
    <n v="0.18833333333333299"/>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2"/>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9.899999999999999"/>
    <n v="6"/>
    <n v="26"/>
    <n v="0.223333333333333"/>
    <n v="0.223333333333333"/>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3"/>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8.899999999999999"/>
    <n v="7"/>
    <n v="26"/>
    <n v="0.25833333333333303"/>
    <n v="0.25833333333333303"/>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4"/>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7.899999999999999"/>
    <n v="8"/>
    <n v="26"/>
    <n v="0.293333333333333"/>
    <n v="0.293333333333333"/>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5"/>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6.899999999999999"/>
    <n v="9"/>
    <n v="26"/>
    <n v="0.32833333333333298"/>
    <n v="0.32833333333333298"/>
    <n v="811672212"/>
    <n v="0"/>
    <n v="0"/>
    <n v="-8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6"/>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5.899999999999999"/>
    <n v="10"/>
    <n v="26"/>
    <n v="0.36333333333333301"/>
    <n v="0.36333333333333301"/>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7"/>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4.899999999999999"/>
    <n v="11"/>
    <n v="26"/>
    <n v="0.39833333333333298"/>
    <n v="0.39833333333333298"/>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8"/>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3.899999999999999"/>
    <n v="12"/>
    <n v="26"/>
    <n v="0.43333333333333302"/>
    <n v="0.43333333333333302"/>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9"/>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2.899999999999999"/>
    <n v="13"/>
    <n v="26"/>
    <n v="0.46833333333333299"/>
    <n v="0.46833333333333299"/>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10"/>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1.899999999999999"/>
    <n v="14"/>
    <n v="26"/>
    <n v="0.50333333333333297"/>
    <n v="0.50333333333333297"/>
    <n v="611672212"/>
    <n v="0"/>
    <n v="0"/>
    <n v="-611672212"/>
    <n v="0"/>
    <n v="0"/>
    <x v="3"/>
    <n v="0"/>
    <x v="3"/>
    <n v="0"/>
    <n v="0"/>
    <s v="https://growdatasas.sharepoint.com/:x:/r/sites/Gestiondocumental/Administrativa/GD/Financiera/_layouts/15/Doc.aspx?sourcedoc=%7B74DBEC6A-69C6-4C69-8B83-8B465ADA35AB%7D&amp;file=Modelo%20Cortolima%20%20V2.xlsm&amp;action=default&amp;mobileredirect=true"/>
    <n v="1"/>
    <n v="1"/>
  </r>
  <r>
    <x v="1"/>
    <x v="11"/>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0.899999999999999"/>
    <n v="15"/>
    <n v="26"/>
    <n v="0.538333333333333"/>
    <n v="0.538333333333333"/>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2"/>
    <x v="0"/>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9.8999999999999986"/>
    <n v="16"/>
    <n v="26"/>
    <n v="0.6"/>
    <n v="0.6"/>
    <n v="11672212"/>
    <n v="0"/>
    <n v="0"/>
    <n v="-11672212"/>
    <n v="0"/>
    <n v="0"/>
    <x v="3"/>
    <n v="0"/>
    <x v="3"/>
    <n v="0"/>
    <n v="0"/>
    <s v="https://growdatasas.sharepoint.com/:x:/r/sites/Gestiondocumental/Administrativa/GD/Financiera/_layouts/15/Doc.aspx?sourcedoc=%7B74DBEC6A-69C6-4C69-8B83-8B465ADA35AB%7D&amp;file=Modelo%20Cortolima%20%20V2.xlsm&amp;action=default&amp;mobileredirect=true"/>
    <n v="1"/>
    <n v="1"/>
  </r>
  <r>
    <x v="2"/>
    <x v="1"/>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8.8999999999999986"/>
    <n v="17"/>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2"/>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7.8999999999999986"/>
    <n v="18"/>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3"/>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6.8999999999999986"/>
    <n v="19"/>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4"/>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5.8999999999999986"/>
    <n v="20"/>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5"/>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4.8999999999999986"/>
    <n v="21"/>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6"/>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3.8999999999999986"/>
    <n v="22"/>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7"/>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2.8999999999999986"/>
    <n v="23"/>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8"/>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1.8999999999999986"/>
    <n v="24"/>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9"/>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0.89999999999999858"/>
    <n v="25"/>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2"/>
    <x v="10"/>
    <s v="1d360cd6-69e2-ef11-8f0b-00155d101608"/>
    <d v="2025-02-03T20:02:56"/>
    <x v="28"/>
    <s v="Laura Johanna Jaramillo Soto"/>
    <s v="https://growdatasas.sharepoint.com/sites/pwa/CORTOLIMA - RÍO OPIA Y SABANDIJA"/>
    <s v=" ​FORMULACIÓN DE_x000a_INSTRUMENTOS PARA LA PLANIFICACIÓN Y ADMINISTRACIÓN DEL RECURSO HÍDRICO EN LA_x000a_SUBZONA HIDROGRÁFICA DEL RÍO OPIA Y SABANDIJA "/>
    <s v="CONSULTORÍA"/>
    <s v="10030"/>
    <s v="Activo.En Ejecución"/>
    <n v="0"/>
    <d v="2024-10-03T00:00:00"/>
    <d v="2026-11-30T00:00:00"/>
    <n v="25.9"/>
    <n v="0.10000000000000142"/>
    <n v="26"/>
    <n v="26"/>
    <m/>
    <n v="0"/>
    <n v="0"/>
    <n v="0"/>
    <n v="0"/>
    <n v="0"/>
    <n v="0"/>
    <s v="No se realizó gasto en este corte"/>
    <x v="1"/>
    <n v="0"/>
    <x v="3"/>
    <n v="0"/>
    <n v="0"/>
    <s v="https://growdatasas.sharepoint.com/:x:/r/sites/Gestiondocumental/Administrativa/GD/Financiera/_layouts/15/Doc.aspx?sourcedoc=%7B74DBEC6A-69C6-4C69-8B83-8B465ADA35AB%7D&amp;file=Modelo%20Cortolima%20%20V2.xlsm&amp;action=default&amp;mobileredirect=true"/>
    <n v="1"/>
    <n v="1"/>
  </r>
  <r>
    <x v="0"/>
    <x v="9"/>
    <s v="27b762b8-6282-ef11-9782-00155d688501"/>
    <d v="2024-10-04T15:10:01"/>
    <x v="29"/>
    <s v="Liliana Isabel Paba Alvear"/>
    <s v="https://growdatasas.sharepoint.com/sites/pwa/CCD- ANT- ARQUITECTURA Y DESARROLLOS"/>
    <s v=" ​Se propone prestar los servicios para la definición, diseño e implementación de arquitectura empresarial integral y de segmento para fortalecer las capacidades de análisis y estructuración de los sistemas de información de la Agencia Nacional de Tierras, de acuerdo con las especificaciones técnicas definidas por la Entidad. "/>
    <s v="CONSULTORÍA"/>
    <s v="0344"/>
    <s v="Activo.En Cierre"/>
    <n v="6272918706"/>
    <d v="2024-10-16T00:00:00"/>
    <d v="2024-11-30T00:00:00"/>
    <n v="1.47"/>
    <n v="-0.47"/>
    <n v="1"/>
    <n v="1"/>
    <n v="1"/>
    <n v="0.37"/>
    <n v="-61974704"/>
    <n v="2320979921.2199998"/>
    <n v="6272918706"/>
    <n v="2382954625.2199998"/>
    <n v="-3951938784.7800002"/>
    <n v="-37.450439799115458"/>
    <x v="2"/>
    <n v="0.36999999999999994"/>
    <x v="1"/>
    <n v="-167499200"/>
    <n v="-6440417906"/>
    <s v="https://growdatasas.sharepoint.com/:x:/r/sites/Gestiondocumental/Administrativa/GD/Financiera/_layouts/15/Doc.aspx?sourcedoc=%7BBEB26481-98E1-4A71-BC98-FA27225C2807%7D&amp;file=TELEFONICA%20ELECCIONES%20MODELO%20FINANCIERO%20V7.2%20MESA%20DE%20SERVICIO%2017102024.xlsm&amp;action=default&amp;mobileredirect=true"/>
    <n v="1"/>
    <n v="1"/>
  </r>
  <r>
    <x v="0"/>
    <x v="10"/>
    <s v="27b762b8-6282-ef11-9782-00155d688501"/>
    <d v="2024-10-04T15:10:01"/>
    <x v="29"/>
    <s v="Liliana Isabel Paba Alvear"/>
    <s v="https://growdatasas.sharepoint.com/sites/pwa/CCD- ANT- ARQUITECTURA Y DESARROLLOS"/>
    <s v=" ​Se propone prestar los servicios para la definición, diseño e implementación de arquitectura empresarial integral y de segmento para fortalecer las capacidades de análisis y estructuración de los sistemas de información de la Agencia Nacional de Tierras, de acuerdo con las especificaciones técnicas definidas por la Entidad. "/>
    <s v="CONSULTORÍA"/>
    <s v="0344"/>
    <s v="Activo.En Cierre"/>
    <n v="6272918706"/>
    <d v="2024-10-16T00:00:00"/>
    <d v="2024-11-30T00:00:00"/>
    <n v="1.47"/>
    <n v="0.53"/>
    <n v="2"/>
    <n v="1"/>
    <n v="1"/>
    <n v="0.85"/>
    <n v="-61974704"/>
    <n v="5331980900.0999994"/>
    <n v="6272918706"/>
    <n v="5393955604.0999994"/>
    <n v="-940937805.90000057"/>
    <n v="-86.034794133103077"/>
    <x v="2"/>
    <n v="0.84999999999999987"/>
    <x v="1"/>
    <n v="-72911416.470588237"/>
    <n v="-6345830122.4705887"/>
    <s v="https://growdatasas.sharepoint.com/:x:/r/sites/Gestiondocumental/Administrativa/GD/Financiera/_layouts/15/Doc.aspx?sourcedoc=%7BBEB26481-98E1-4A71-BC98-FA27225C2807%7D&amp;file=TELEFONICA%20ELECCIONES%20MODELO%20FINANCIERO%20V7.2%20MESA%20DE%20SERVICIO%2017102024.xlsm&amp;action=default&amp;mobileredirect=true"/>
    <n v="1"/>
    <n v="1"/>
  </r>
  <r>
    <x v="0"/>
    <x v="11"/>
    <s v="27b762b8-6282-ef11-9782-00155d688501"/>
    <d v="2024-10-04T15:10:01"/>
    <x v="29"/>
    <s v="Liliana Isabel Paba Alvear"/>
    <s v="https://growdatasas.sharepoint.com/sites/pwa/CCD- ANT- ARQUITECTURA Y DESARROLLOS"/>
    <s v=" ​Se propone prestar los servicios para la definición, diseño e implementación de arquitectura empresarial integral y de segmento para fortalecer las capacidades de análisis y estructuración de los sistemas de información de la Agencia Nacional de Tierras, de acuerdo con las especificaciones técnicas definidas por la Entidad. "/>
    <s v="CONSULTORÍA"/>
    <s v="0344"/>
    <s v="Activo.En Cierre"/>
    <n v="6272918706"/>
    <d v="2024-10-16T00:00:00"/>
    <d v="2024-11-30T00:00:00"/>
    <n v="1.47"/>
    <n v="1.53"/>
    <n v="3"/>
    <n v="1"/>
    <n v="1"/>
    <n v="1"/>
    <n v="246453590"/>
    <n v="6272918706"/>
    <n v="6272918706"/>
    <n v="6026465116"/>
    <n v="0"/>
    <n v="25.452738205193114"/>
    <x v="1"/>
    <n v="1"/>
    <x v="0"/>
    <n v="246453590"/>
    <n v="-6026465116"/>
    <s v="https://growdatasas.sharepoint.com/:x:/r/sites/Gestiondocumental/Administrativa/GD/Financiera/_layouts/15/Doc.aspx?sourcedoc=%7BBEB26481-98E1-4A71-BC98-FA27225C2807%7D&amp;file=TELEFONICA%20ELECCIONES%20MODELO%20FINANCIERO%20V7.2%20MESA%20DE%20SERVICIO%2017102024.xlsm&amp;action=default&amp;mobileredirect=true"/>
    <n v="1"/>
    <n v="1"/>
  </r>
  <r>
    <x v="1"/>
    <x v="10"/>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21.97"/>
    <n v="1"/>
    <n v="11"/>
    <n v="0.08"/>
    <n v="0.08"/>
    <n v="15144309"/>
    <n v="111434465.68000001"/>
    <n v="111434465.68000001"/>
    <n v="96290156.680000007"/>
    <n v="0"/>
    <n v="7.3581743267388431"/>
    <x v="1"/>
    <n v="1"/>
    <x v="0"/>
    <n v="189303862.5"/>
    <n v="-1203626958.5"/>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1"/>
    <x v="11"/>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20.97"/>
    <n v="2"/>
    <n v="11"/>
    <n v="0.19"/>
    <n v="0.2"/>
    <n v="470476885"/>
    <n v="278586164.19999999"/>
    <n v="264656855.99000001"/>
    <n v="-191890720.80000001"/>
    <n v="13929308.209999979"/>
    <n v="0.59213570970654594"/>
    <x v="2"/>
    <n v="1.0526315789473684"/>
    <x v="2"/>
    <n v="2352384425"/>
    <n v="959453604"/>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0"/>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9.97"/>
    <n v="3"/>
    <n v="11"/>
    <n v="0.3"/>
    <n v="0.3"/>
    <n v="11023673"/>
    <n v="417879246.30000001"/>
    <n v="417879246.30000001"/>
    <n v="406855573.30000001"/>
    <n v="0"/>
    <n v="37.907442129315704"/>
    <x v="1"/>
    <n v="1"/>
    <x v="0"/>
    <n v="36745576.666666664"/>
    <n v="-1356185244.3333333"/>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1"/>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8.97"/>
    <n v="4"/>
    <n v="11"/>
    <n v="0.4"/>
    <n v="0"/>
    <n v="0"/>
    <n v="0"/>
    <n v="557172328.39999998"/>
    <n v="0"/>
    <n v="-557172328.39999998"/>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2"/>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7.97"/>
    <n v="5"/>
    <n v="11"/>
    <n v="0.45"/>
    <n v="0"/>
    <n v="0"/>
    <n v="0"/>
    <n v="626818869.45000005"/>
    <n v="0"/>
    <n v="-626818869.45000005"/>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3"/>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6.97"/>
    <n v="6"/>
    <n v="11"/>
    <n v="0.5"/>
    <n v="0"/>
    <n v="0"/>
    <n v="0"/>
    <n v="696465410.5"/>
    <n v="0"/>
    <n v="-696465410.5"/>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4"/>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5.969999999999999"/>
    <n v="7"/>
    <n v="11"/>
    <n v="0.55000000000000004"/>
    <n v="0"/>
    <n v="0"/>
    <n v="0"/>
    <n v="766111951.55000007"/>
    <n v="0"/>
    <n v="-766111951.55000007"/>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5"/>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4.969999999999999"/>
    <n v="8"/>
    <n v="11"/>
    <n v="0.65"/>
    <n v="0"/>
    <n v="0"/>
    <n v="0"/>
    <n v="905405033.64999998"/>
    <n v="0"/>
    <n v="-905405033.64999998"/>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6"/>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3.969999999999999"/>
    <n v="9"/>
    <n v="11"/>
    <n v="0.7"/>
    <n v="0"/>
    <n v="0"/>
    <n v="0"/>
    <n v="975051574.69999993"/>
    <n v="0"/>
    <n v="-975051574.69999993"/>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7"/>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2.969999999999999"/>
    <n v="10"/>
    <n v="11"/>
    <n v="0.8"/>
    <n v="0"/>
    <n v="0"/>
    <n v="0"/>
    <n v="1114344656.8"/>
    <n v="0"/>
    <n v="-1114344656.8"/>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2"/>
    <x v="8"/>
    <s v="105f4a72-7aa7-ef11-bd97-00155d107901"/>
    <d v="2024-11-20T20:03:09"/>
    <x v="30"/>
    <s v="Johan Sebastian Rodriguez Niño"/>
    <s v="https://growdatasas.sharepoint.com/sites/pwa/FNA - LICENCIAMIENTO MEGA HOPEX"/>
    <s v=" ​CONTRATAR LA HERRAMIENTA DE ARQUITECTURA EMPRESARIAL MEGA HOPEX EN LA MODALIDAD SAAS – SOFTWARE COMO SERVICIO, EN SU ÚLTIMA VERSIÓN PARA EL MODELAMIENTO DE LAS ARQUITECTURAS DE NEGOCIO Y DE TI DEL FONDO NACIONAL DEL AHORRO S.A. "/>
    <s v="CONSULTORÍA"/>
    <s v="0351"/>
    <s v="Activo.En Ejecución"/>
    <n v="1392930821"/>
    <d v="2024-11-01T00:00:00"/>
    <d v="2026-09-30T00:00:00"/>
    <n v="22.97"/>
    <n v="-11.969999999999999"/>
    <n v="11"/>
    <n v="11"/>
    <n v="1"/>
    <n v="0"/>
    <n v="0"/>
    <n v="0"/>
    <n v="1392930821"/>
    <n v="0"/>
    <n v="-1392930821"/>
    <s v="No se realizó gasto en este corte"/>
    <x v="1"/>
    <n v="0"/>
    <x v="3"/>
    <n v="0"/>
    <n v="-1392930821"/>
    <s v="https://growdatasas.sharepoint.com/:x:/r/sites/Gestiondocumental/Administrativa/GD/Financiera/_layouts/15/Doc.aspx?sourcedoc=%7B2C873097-3FE4-4C6E-BF7F-92677DD9D26A%7D&amp;file=Copia%20de%2020251301%20MODELO%20FINANCIERO%20REFERENCIA%20V7.4_FNA%2020251114_NOV_18%20AD%201.xlsm&amp;action=default&amp;mobileredirect=true"/>
    <n v="1"/>
    <n v="1"/>
  </r>
  <r>
    <x v="0"/>
    <x v="10"/>
    <s v="fe16bf69-5ba7-ef11-bd93-00155d10f806"/>
    <d v="2024-11-20T16:21:03"/>
    <x v="31"/>
    <s v="Mario Andres Pirachican Gil"/>
    <s v="https://growdatasas.sharepoint.com/sites/pwa/SNR-MIGRACION FOLIO A SIR-BID"/>
    <s v=" ​EL PROVEEDOR o Prestador el Servicio se obliga con el Contratante a la prestación de servicios de no consultoría  para realizar la migración de la información de los sistemas misionales de la SNR contenida en las bases de datos del sistema Folio Magnético (local) para las Oficinas de Registro de Instrumentos Públicos de Tuquerres, Ipiales y Guateque al Sistema de Información Registral SIR (sistema centralizado). "/>
    <s v="DATOS Y SISTEMAS DE INFORMACIÓN"/>
    <s v="0350"/>
    <s v="Activo.En Cierre"/>
    <n v="219060050"/>
    <d v="2024-11-01T00:00:00"/>
    <d v="2024-12-31T00:00:00"/>
    <n v="2"/>
    <n v="-1"/>
    <n v="1"/>
    <n v="1"/>
    <n v="0.5"/>
    <n v="0.5"/>
    <n v="109530025"/>
    <n v="109530025"/>
    <n v="109530025"/>
    <n v="0"/>
    <n v="0"/>
    <n v="1"/>
    <x v="0"/>
    <n v="1"/>
    <x v="0"/>
    <n v="219060050"/>
    <n v="0"/>
    <s v="https://growdatasas.sharepoint.com/:x:/r/sites/Gestiondocumental/Administrativa/GD/Financiera/_layouts/15/Doc.aspx?sourcedoc=%7BD278ABBE-F1D6-4C56-888E-6E01CED7BFDD%7D&amp;file=SNR%20MIGRACION%203%20CIUDADES%20V6%20FINAL.xlsm&amp;action=default&amp;mobileredirect=true"/>
    <n v="1"/>
    <n v="1"/>
  </r>
  <r>
    <x v="0"/>
    <x v="11"/>
    <s v="fe16bf69-5ba7-ef11-bd93-00155d10f806"/>
    <d v="2024-11-20T16:21:03"/>
    <x v="31"/>
    <s v="Mario Andres Pirachican Gil"/>
    <s v="https://growdatasas.sharepoint.com/sites/pwa/SNR-MIGRACION FOLIO A SIR-BID"/>
    <s v=" ​EL PROVEEDOR o Prestador el Servicio se obliga con el Contratante a la prestación de servicios de no consultoría  para realizar la migración de la información de los sistemas misionales de la SNR contenida en las bases de datos del sistema Folio Magnético (local) para las Oficinas de Registro de Instrumentos Públicos de Tuquerres, Ipiales y Guateque al Sistema de Información Registral SIR (sistema centralizado). "/>
    <s v="DATOS Y SISTEMAS DE INFORMACIÓN"/>
    <s v="0350"/>
    <s v="Activo.En Cierre"/>
    <n v="219060050"/>
    <d v="2024-11-01T00:00:00"/>
    <d v="2024-12-31T00:00:00"/>
    <n v="2"/>
    <n v="0"/>
    <n v="2"/>
    <n v="2"/>
    <n v="1"/>
    <n v="1"/>
    <n v="109530025"/>
    <n v="219060050"/>
    <n v="219060050"/>
    <n v="109530025"/>
    <n v="0"/>
    <n v="2"/>
    <x v="1"/>
    <n v="1"/>
    <x v="0"/>
    <n v="109530025"/>
    <n v="-109530025"/>
    <s v="https://growdatasas.sharepoint.com/:x:/r/sites/Gestiondocumental/Administrativa/GD/Financiera/_layouts/15/Doc.aspx?sourcedoc=%7BD278ABBE-F1D6-4C56-888E-6E01CED7BFDD%7D&amp;file=SNR%20MIGRACION%203%20CIUDADES%20V6%20FINAL.xlsm&amp;action=default&amp;mobileredirect=true"/>
    <n v="1"/>
    <n v="1"/>
  </r>
  <r>
    <x v="0"/>
    <x v="11"/>
    <s v="0fba7e6f-4ac9-ef11-bbda-00155d688502"/>
    <d v="2025-01-02T20:45:13"/>
    <x v="32"/>
    <s v="Carlos Alberto Osorio Ortiz"/>
    <s v="https://growdatasas.sharepoint.com/sites/pwa/UT TRANSITO PASTO - FRIREWALL SEMAFOROS"/>
    <s v=" ​​​Renovación tecnológica Firewall 240D "/>
    <s v="TI"/>
    <s v="0356"/>
    <s v="Activo.En Ejecución"/>
    <n v="4974784"/>
    <d v="2024-12-01T00:00:00"/>
    <d v="2024-12-31T00:00:00"/>
    <n v="1"/>
    <n v="0"/>
    <n v="1"/>
    <n v="1"/>
    <n v="1"/>
    <n v="0.5"/>
    <n v="0"/>
    <n v="2487392"/>
    <n v="4974784"/>
    <n v="2487392"/>
    <n v="-2487392"/>
    <s v="No se realizó gasto en este corte"/>
    <x v="1"/>
    <n v="0.5"/>
    <x v="1"/>
    <n v="0"/>
    <n v="-4974784"/>
    <s v="https://growdatasas.sharepoint.com/:x:/r/sites/Gestiondocumental/Administrativa/GD/Financiera/_layouts/15/Doc.aspx?sourcedoc=%7B64199AB1-933D-448B-A513-EAC54C1C777D%7D&amp;file=20241101%20MODELO%20FINANCIERO%20TRANSITO_PASTO_Fortigate_120G.xlsm&amp;action=default&amp;mobileredirect=true"/>
    <n v="1"/>
    <n v="1"/>
  </r>
  <r>
    <x v="0"/>
    <x v="0"/>
    <s v="0fba7e6f-4ac9-ef11-bbda-00155d688502"/>
    <d v="2025-01-02T20:45:13"/>
    <x v="32"/>
    <s v="Carlos Alberto Osorio Ortiz"/>
    <s v="https://growdatasas.sharepoint.com/sites/pwa/UT TRANSITO PASTO - FRIREWALL SEMAFOROS"/>
    <s v=" ​​​Renovación tecnológica Firewall 240D "/>
    <s v="TI"/>
    <s v="0356"/>
    <s v="Activo.En Ejecución"/>
    <n v="4974784"/>
    <d v="2024-12-01T00:00:00"/>
    <d v="2024-12-31T00:00:00"/>
    <n v="1"/>
    <n v="1"/>
    <n v="2"/>
    <n v="1"/>
    <n v="1"/>
    <n v="1"/>
    <n v="40327077"/>
    <n v="4974784"/>
    <n v="4974784"/>
    <n v="-35352293"/>
    <n v="0"/>
    <n v="0.12336088727680412"/>
    <x v="2"/>
    <n v="1"/>
    <x v="0"/>
    <n v="40327077"/>
    <n v="35352293"/>
    <s v="https://growdatasas.sharepoint.com/:x:/r/sites/Gestiondocumental/Administrativa/GD/Financiera/_layouts/15/Doc.aspx?sourcedoc=%7B64199AB1-933D-448B-A513-EAC54C1C777D%7D&amp;file=20241101%20MODELO%20FINANCIERO%20TRANSITO_PASTO_Fortigate_120G.xlsm&amp;action=default&amp;mobileredirect=true"/>
    <n v="1"/>
    <n v="1"/>
  </r>
  <r>
    <x v="0"/>
    <x v="11"/>
    <s v="b0b294ab-85bd-ef11-bbdd-00155d109601"/>
    <d v="2024-12-18T21:18:51"/>
    <x v="33"/>
    <s v="Leidy Susana Ramirez Herrera"/>
    <s v="https://growdatasas.sharepoint.com/sites/pwa/IDU-LICENCIAMIENTO MEGAHOPEX"/>
    <s v=" ​PRESTAR LOS SERVICIOS DE SOPORTE Y ACTUALIZACIÓN DEL SOFTWARE MEGA-HOPEX DE REPOSITORIO PARA LA ARQUITECTURA EMPRESARIAL DEL IDU. "/>
    <s v="CONSULTORÍA"/>
    <s v="0354"/>
    <s v="Activo.En Cierre"/>
    <n v="55501215"/>
    <d v="2024-12-16T00:00:00"/>
    <d v="2024-12-31T00:00:00"/>
    <n v="0.5"/>
    <n v="0.5"/>
    <n v="1"/>
    <n v="1"/>
    <n v="1"/>
    <n v="0.5"/>
    <n v="9502698"/>
    <n v="27750607.5"/>
    <n v="55501215"/>
    <n v="18247909.5"/>
    <n v="-27750607.5"/>
    <n v="2.9202872173776333"/>
    <x v="1"/>
    <n v="0.5"/>
    <x v="1"/>
    <n v="19005396"/>
    <n v="-36495819"/>
    <s v="https://growdatasas.sharepoint.com/:x:/r/sites/Gestiondocumental/Administrativa/GD/Financiera/_layouts/15/Doc.aspx?sourcedoc=%7BB7BAA080-4266-4F0B-BA53-BBE294612E30%7D&amp;file=MODELO%20FINANCIERO%20REFERENCIA%20V7_IDU_2024.xlsm&amp;action=default&amp;mobileredirect=true"/>
    <n v="1"/>
    <n v="1"/>
  </r>
  <r>
    <x v="1"/>
    <x v="0"/>
    <s v="b0b294ab-85bd-ef11-bbdd-00155d109601"/>
    <d v="2024-12-18T21:18:51"/>
    <x v="33"/>
    <s v="Leidy Susana Ramirez Herrera"/>
    <s v="https://growdatasas.sharepoint.com/sites/pwa/IDU-LICENCIAMIENTO MEGAHOPEX"/>
    <s v=" ​PRESTAR LOS SERVICIOS DE SOPORTE Y ACTUALIZACIÓN DEL SOFTWARE MEGA-HOPEX DE REPOSITORIO PARA LA ARQUITECTURA EMPRESARIAL DEL IDU. "/>
    <s v="CONSULTORÍA"/>
    <s v="0354"/>
    <s v="Activo.En Cierre"/>
    <n v="55501215"/>
    <d v="2024-12-16T00:00:00"/>
    <d v="2024-12-31T00:00:00"/>
    <n v="0.5"/>
    <n v="1.5"/>
    <n v="2"/>
    <n v="1"/>
    <n v="1"/>
    <n v="1"/>
    <n v="45998517"/>
    <n v="55501215"/>
    <n v="55501215"/>
    <n v="9502698"/>
    <n v="0"/>
    <n v="1.2065870514912469"/>
    <x v="1"/>
    <n v="1"/>
    <x v="0"/>
    <n v="45998517"/>
    <n v="-9502698"/>
    <s v="https://growdatasas.sharepoint.com/:x:/r/sites/Gestiondocumental/Administrativa/GD/Financiera/_layouts/15/Doc.aspx?sourcedoc=%7BB7BAA080-4266-4F0B-BA53-BBE294612E30%7D&amp;file=MODELO%20FINANCIERO%20REFERENCIA%20V7_IDU_2024.xlsm&amp;action=default&amp;mobileredirect=true"/>
    <n v="1"/>
    <n v="1"/>
  </r>
  <r>
    <x v="0"/>
    <x v="11"/>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7.9700000000000006"/>
    <n v="1"/>
    <n v="10"/>
    <n v="0.1"/>
    <n v="0.1"/>
    <n v="50095352"/>
    <n v="339966469.20000005"/>
    <n v="339966469.20000005"/>
    <n v="289871117.20000005"/>
    <n v="0"/>
    <n v="6.7863874716360924"/>
    <x v="1"/>
    <n v="1"/>
    <x v="0"/>
    <n v="500953519.99999988"/>
    <n v="-2898711172"/>
    <s v="https://growdatasas.sharepoint.com/:x:/r/sites/Gestiondocumental/Administrativa/GD/Financiera/_layouts/15/Doc.aspx?sourcedoc=%7B0E336D45-736A-482E-8FD2-86305F4DA8CF%7D&amp;file=DNP%20MODELO%20FINANCIERO%20REFERENCIA%20V7%2024122024.xlsm&amp;action=default&amp;mobileredirect=true"/>
    <n v="1"/>
    <n v="1"/>
  </r>
  <r>
    <x v="1"/>
    <x v="0"/>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6.9700000000000006"/>
    <n v="2"/>
    <n v="10"/>
    <n v="0.2"/>
    <n v="0.2"/>
    <n v="536478499"/>
    <n v="679932938.4000001"/>
    <n v="679932938.4000001"/>
    <n v="143454439.4000001"/>
    <n v="0"/>
    <n v="1.2674001654631084"/>
    <x v="1"/>
    <n v="1"/>
    <x v="0"/>
    <n v="2682392495"/>
    <n v="-717272197"/>
    <s v="https://growdatasas.sharepoint.com/:x:/r/sites/Gestiondocumental/Administrativa/GD/Financiera/_layouts/15/Doc.aspx?sourcedoc=%7B0E336D45-736A-482E-8FD2-86305F4DA8CF%7D&amp;file=DNP%20MODELO%20FINANCIERO%20REFERENCIA%20V7%2024122024.xlsm&amp;action=default&amp;mobileredirect=true"/>
    <n v="1"/>
    <n v="1"/>
  </r>
  <r>
    <x v="1"/>
    <x v="1"/>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5.9700000000000006"/>
    <n v="3"/>
    <n v="10"/>
    <n v="0.3"/>
    <n v="0.3"/>
    <n v="357898274"/>
    <n v="1019899407.5999999"/>
    <n v="1019899407.5999999"/>
    <n v="662001133.5999999"/>
    <n v="0"/>
    <n v="2.8496907688356159"/>
    <x v="1"/>
    <n v="1"/>
    <x v="0"/>
    <n v="1192994246.6666667"/>
    <n v="-2206670445.333333"/>
    <s v="https://growdatasas.sharepoint.com/:x:/r/sites/Gestiondocumental/Administrativa/GD/Financiera/_layouts/15/Doc.aspx?sourcedoc=%7B0E336D45-736A-482E-8FD2-86305F4DA8CF%7D&amp;file=DNP%20MODELO%20FINANCIERO%20REFERENCIA%20V7%2024122024.xlsm&amp;action=default&amp;mobileredirect=true"/>
    <n v="1"/>
    <n v="1"/>
  </r>
  <r>
    <x v="1"/>
    <x v="2"/>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4.9700000000000006"/>
    <n v="4"/>
    <n v="10"/>
    <n v="0.4"/>
    <n v="0.4"/>
    <n v="357898274"/>
    <n v="1359865876.8000002"/>
    <n v="1359865876.8000002"/>
    <n v="1001967602.8000002"/>
    <n v="0"/>
    <n v="3.7995876917808222"/>
    <x v="1"/>
    <n v="1"/>
    <x v="0"/>
    <n v="894745684.99999988"/>
    <n v="-2504919007"/>
    <s v="https://growdatasas.sharepoint.com/:x:/r/sites/Gestiondocumental/Administrativa/GD/Financiera/_layouts/15/Doc.aspx?sourcedoc=%7B0E336D45-736A-482E-8FD2-86305F4DA8CF%7D&amp;file=DNP%20MODELO%20FINANCIERO%20REFERENCIA%20V7%2024122024.xlsm&amp;action=default&amp;mobileredirect=true"/>
    <n v="1"/>
    <n v="1"/>
  </r>
  <r>
    <x v="1"/>
    <x v="3"/>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3.9700000000000006"/>
    <n v="5"/>
    <n v="10"/>
    <n v="0.5"/>
    <n v="0.5"/>
    <n v="357898274"/>
    <n v="1699832346"/>
    <n v="1699832346"/>
    <n v="1341934072"/>
    <n v="0"/>
    <n v="4.7494846147260272"/>
    <x v="1"/>
    <n v="1"/>
    <x v="0"/>
    <n v="715796548"/>
    <n v="-2683868144"/>
    <s v="https://growdatasas.sharepoint.com/:x:/r/sites/Gestiondocumental/Administrativa/GD/Financiera/_layouts/15/Doc.aspx?sourcedoc=%7B0E336D45-736A-482E-8FD2-86305F4DA8CF%7D&amp;file=DNP%20MODELO%20FINANCIERO%20REFERENCIA%20V7%2024122024.xlsm&amp;action=default&amp;mobileredirect=true"/>
    <n v="1"/>
    <n v="1"/>
  </r>
  <r>
    <x v="1"/>
    <x v="4"/>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2.9700000000000006"/>
    <n v="6"/>
    <n v="10"/>
    <n v="0.6"/>
    <n v="0.6"/>
    <n v="357898274"/>
    <n v="2039798815.1999998"/>
    <n v="2039798815.1999998"/>
    <n v="1681900541.1999998"/>
    <n v="0"/>
    <n v="5.6993815376712318"/>
    <x v="1"/>
    <n v="1"/>
    <x v="0"/>
    <n v="596497123.33333337"/>
    <n v="-2803167568.6666665"/>
    <s v="https://growdatasas.sharepoint.com/:x:/r/sites/Gestiondocumental/Administrativa/GD/Financiera/_layouts/15/Doc.aspx?sourcedoc=%7B0E336D45-736A-482E-8FD2-86305F4DA8CF%7D&amp;file=DNP%20MODELO%20FINANCIERO%20REFERENCIA%20V7%2024122024.xlsm&amp;action=default&amp;mobileredirect=true"/>
    <n v="1"/>
    <n v="1"/>
  </r>
  <r>
    <x v="1"/>
    <x v="5"/>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1.9700000000000006"/>
    <n v="7"/>
    <n v="10"/>
    <n v="0.7"/>
    <n v="0.7"/>
    <n v="357898274"/>
    <n v="2379765284.3999996"/>
    <n v="2379765284.3999996"/>
    <n v="2021867010.3999996"/>
    <n v="0"/>
    <n v="6.6492784606164363"/>
    <x v="1"/>
    <n v="1"/>
    <x v="0"/>
    <n v="511283248.57142866"/>
    <n v="-2888381443.4285712"/>
    <s v="https://growdatasas.sharepoint.com/:x:/r/sites/Gestiondocumental/Administrativa/GD/Financiera/_layouts/15/Doc.aspx?sourcedoc=%7B0E336D45-736A-482E-8FD2-86305F4DA8CF%7D&amp;file=DNP%20MODELO%20FINANCIERO%20REFERENCIA%20V7%2024122024.xlsm&amp;action=default&amp;mobileredirect=true"/>
    <n v="1"/>
    <n v="1"/>
  </r>
  <r>
    <x v="1"/>
    <x v="6"/>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0.97000000000000064"/>
    <n v="8"/>
    <n v="10"/>
    <n v="0.8"/>
    <n v="0.8"/>
    <n v="357898274"/>
    <n v="2719731753.6000004"/>
    <n v="2719731753.6000004"/>
    <n v="2361833479.6000004"/>
    <n v="0"/>
    <n v="7.5991753835616445"/>
    <x v="1"/>
    <n v="1"/>
    <x v="0"/>
    <n v="447372842.49999994"/>
    <n v="-2952291849.5"/>
    <s v="https://growdatasas.sharepoint.com/:x:/r/sites/Gestiondocumental/Administrativa/GD/Financiera/_layouts/15/Doc.aspx?sourcedoc=%7B0E336D45-736A-482E-8FD2-86305F4DA8CF%7D&amp;file=DNP%20MODELO%20FINANCIERO%20REFERENCIA%20V7%2024122024.xlsm&amp;action=default&amp;mobileredirect=true"/>
    <n v="1"/>
    <n v="1"/>
  </r>
  <r>
    <x v="1"/>
    <x v="7"/>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2.9999999999999361E-2"/>
    <n v="9"/>
    <n v="10"/>
    <n v="0.9"/>
    <n v="0.9"/>
    <n v="357898274"/>
    <n v="3059698222.8000002"/>
    <n v="3059698222.8000002"/>
    <n v="2701799948.8000002"/>
    <n v="0"/>
    <n v="8.549072306506849"/>
    <x v="1"/>
    <n v="1"/>
    <x v="0"/>
    <n v="397664748.88888884"/>
    <n v="-3001999943.1111112"/>
    <s v="https://growdatasas.sharepoint.com/:x:/r/sites/Gestiondocumental/Administrativa/GD/Financiera/_layouts/15/Doc.aspx?sourcedoc=%7B0E336D45-736A-482E-8FD2-86305F4DA8CF%7D&amp;file=DNP%20MODELO%20FINANCIERO%20REFERENCIA%20V7%2024122024.xlsm&amp;action=default&amp;mobileredirect=true"/>
    <n v="1"/>
    <n v="1"/>
  </r>
  <r>
    <x v="1"/>
    <x v="8"/>
    <s v="f9db1218-bbc6-ef11-bbdd-00155d688504"/>
    <d v="2024-12-30T14:33:58"/>
    <x v="34"/>
    <s v="Jose Alfonso Espinosa Rodriguez"/>
    <s v="https://growdatasas.sharepoint.com/sites/pwa/UT CENTRO DE SERVICIOS DNP 2025"/>
    <s v=" ​Servicios de Soporte, que permita la gestión, mantenimiento, administración, soporte técnico, monitoreo y disponibilidad de la infraestructura tecnológica que provee servicios de las (TIC), asegurando la continuidad en la operación e implementando el servicio de (SOC). "/>
    <s v="TI"/>
    <s v="10029"/>
    <s v="Activo.En Ejecución"/>
    <n v="3399664692"/>
    <d v="2024-12-26T00:00:00"/>
    <d v="2025-09-25T00:00:00"/>
    <n v="8.9700000000000006"/>
    <n v="1.0299999999999994"/>
    <n v="10"/>
    <n v="10"/>
    <n v="1"/>
    <n v="1"/>
    <n v="307802922"/>
    <n v="3399664692"/>
    <n v="3399664692"/>
    <n v="3091861770"/>
    <n v="0"/>
    <n v="11.044939631859636"/>
    <x v="1"/>
    <n v="1"/>
    <x v="0"/>
    <n v="307802922"/>
    <n v="-3091861770"/>
    <s v="https://growdatasas.sharepoint.com/:x:/r/sites/Gestiondocumental/Administrativa/GD/Financiera/_layouts/15/Doc.aspx?sourcedoc=%7B0E336D45-736A-482E-8FD2-86305F4DA8CF%7D&amp;file=DNP%20MODELO%20FINANCIERO%20REFERENCIA%20V7%2024122024.xlsm&amp;action=default&amp;mobileredirect=true"/>
    <n v="1"/>
    <n v="1"/>
  </r>
  <r>
    <x v="1"/>
    <x v="1"/>
    <s v="b33075ff-84e9-ef11-8f0e-00155d10160b"/>
    <d v="2025-02-12T21:04:54"/>
    <x v="35"/>
    <s v="Carlos Alberto Osorio Ortiz"/>
    <s v="https://growdatasas.sharepoint.com/sites/pwa/PHARMBILLS - SEGURIDAD Y UPS"/>
    <s v=" Suministro de equipos Fortinet y Ups con instalación en la sede del cliente.​  "/>
    <s v="TI"/>
    <s v="0361"/>
    <s v="Activo.En Ejecución"/>
    <n v="40504918"/>
    <d v="2025-02-01T00:00:00"/>
    <d v="2025-02-28T00:00:00"/>
    <n v="0.9"/>
    <n v="9.9999999999999978E-2"/>
    <n v="1"/>
    <n v="1"/>
    <n v="1"/>
    <n v="1"/>
    <n v="40504918"/>
    <n v="40504918"/>
    <n v="40504918"/>
    <n v="0"/>
    <n v="0"/>
    <n v="1"/>
    <x v="0"/>
    <n v="1"/>
    <x v="0"/>
    <n v="40504918"/>
    <n v="0"/>
    <s v="https://growdatasas.sharepoint.com/:x:/r/sites/Gestiondocumental/Administrativa/GD/Financiera/_layouts/15/Doc.aspx?sourcedoc=%7B63ACCEFA-DDF2-4B3A-ACF3-AA1C9CA2E579%7D&amp;file=MODELO%20FINANCIERO%20PHARMBILLS%202025012281.xlsm&amp;action=default&amp;mobileredirect=true"/>
    <n v="1"/>
    <n v="1"/>
  </r>
  <r>
    <x v="1"/>
    <x v="1"/>
    <s v="f7e43a42-42e2-ef11-8f0a-00155d10c30c"/>
    <d v="2025-02-03T15:19:31"/>
    <x v="36"/>
    <s v="Carlos Alberto Osorio Ortiz"/>
    <s v="https://growdatasas.sharepoint.com/sites/pwa/COMREDES - UNIDAD RESTITUCION DE TIERRAS - HCI - Fase II"/>
    <s v=" ​Venta solución HCI. "/>
    <s v="TI"/>
    <s v="0359"/>
    <s v="Activo.En Ejecución"/>
    <n v="503460622"/>
    <d v="2025-02-01T00:00:00"/>
    <d v="2025-02-28T00:00:00"/>
    <n v="0.9"/>
    <n v="1"/>
    <n v="12"/>
    <n v="1"/>
    <n v="1"/>
    <n v="1"/>
    <n v="503460622"/>
    <n v="503460622"/>
    <n v="503460622"/>
    <n v="0"/>
    <n v="0"/>
    <n v="1"/>
    <x v="0"/>
    <n v="1"/>
    <x v="0"/>
    <n v="503460622"/>
    <n v="0"/>
    <s v="https://growdatasas.sharepoint.com/:x:/r/sites/Gestiondocumental/Administrativa/GD/Financiera/_layouts/15/Doc.aspx?sourcedoc=%7BB5DB12A1-D487-46F7-885A-EC149C252194%7D&amp;file=MODELO%20FINANCIERO%20-%20URT%20-%2020250124_v2.xlsm&amp;action=default&amp;mobileredirect=true"/>
    <n v="1"/>
    <n v="1"/>
  </r>
  <r>
    <x v="1"/>
    <x v="1"/>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13"/>
    <n v="1"/>
    <n v="15"/>
    <n v="0.05"/>
    <n v="0.05"/>
    <n v="175941826"/>
    <n v="143682055.75"/>
    <n v="143682055.75"/>
    <n v="-32259770.25"/>
    <n v="0"/>
    <n v="0.81664524585529763"/>
    <x v="2"/>
    <n v="1"/>
    <x v="0"/>
    <n v="3518836520"/>
    <n v="645195405"/>
    <s v="https://growdatasas.sharepoint.com/:x:/r/sites/Gestiondocumental/Administrativa/GD/Financiera/_layouts/15/Doc.aspx?sourcedoc=%7B1EA3B8D8-B0B8-48BF-BDD1-3151961F579B%7D&amp;file=MODELO%20FINANCIERO%20PLANILLA%20VIAJES%2018.11.25%20V7.xlsm&amp;action=default&amp;mobileredirect=true"/>
    <n v="1"/>
    <n v="1"/>
  </r>
  <r>
    <x v="1"/>
    <x v="2"/>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12"/>
    <n v="2"/>
    <n v="15"/>
    <n v="0.1"/>
    <n v="0.1"/>
    <n v="175941826"/>
    <n v="287364111.5"/>
    <n v="287364111.5"/>
    <n v="111422285.5"/>
    <n v="0"/>
    <n v="1.6332904917105953"/>
    <x v="1"/>
    <n v="1"/>
    <x v="0"/>
    <n v="1759418260"/>
    <n v="-1114222855"/>
    <s v="https://growdatasas.sharepoint.com/:x:/r/sites/Gestiondocumental/Administrativa/GD/Financiera/_layouts/15/Doc.aspx?sourcedoc=%7B1EA3B8D8-B0B8-48BF-BDD1-3151961F579B%7D&amp;file=MODELO%20FINANCIERO%20PLANILLA%20VIAJES%2018.11.25%20V7.xlsm&amp;action=default&amp;mobileredirect=true"/>
    <n v="1"/>
    <n v="1"/>
  </r>
  <r>
    <x v="1"/>
    <x v="3"/>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11"/>
    <n v="3"/>
    <n v="15"/>
    <n v="0.15"/>
    <n v="0.15"/>
    <n v="175941826"/>
    <n v="431046167.25"/>
    <n v="431046167.25"/>
    <n v="255104341.25"/>
    <n v="0"/>
    <n v="2.4499357375658928"/>
    <x v="1"/>
    <n v="1"/>
    <x v="0"/>
    <n v="1172945506.6666667"/>
    <n v="-1700695608.3333333"/>
    <s v="https://growdatasas.sharepoint.com/:x:/r/sites/Gestiondocumental/Administrativa/GD/Financiera/_layouts/15/Doc.aspx?sourcedoc=%7B1EA3B8D8-B0B8-48BF-BDD1-3151961F579B%7D&amp;file=MODELO%20FINANCIERO%20PLANILLA%20VIAJES%2018.11.25%20V7.xlsm&amp;action=default&amp;mobileredirect=true"/>
    <n v="1"/>
    <n v="1"/>
  </r>
  <r>
    <x v="1"/>
    <x v="4"/>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2"/>
    <n v="12"/>
    <n v="15"/>
    <n v="0.2"/>
    <n v="0.2"/>
    <n v="175941826"/>
    <n v="574728223"/>
    <n v="574728223"/>
    <n v="398786397"/>
    <n v="0"/>
    <n v="3.2665809834211905"/>
    <x v="1"/>
    <n v="1"/>
    <x v="0"/>
    <n v="879709130"/>
    <n v="-1993931985"/>
    <s v="https://growdatasas.sharepoint.com/:x:/r/sites/Gestiondocumental/Administrativa/GD/Financiera/_layouts/15/Doc.aspx?sourcedoc=%7B1EA3B8D8-B0B8-48BF-BDD1-3151961F579B%7D&amp;file=MODELO%20FINANCIERO%20PLANILLA%20VIAJES%2018.11.25%20V7.xlsm&amp;action=default&amp;mobileredirect=true"/>
    <n v="1"/>
    <n v="1"/>
  </r>
  <r>
    <x v="1"/>
    <x v="5"/>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10"/>
    <n v="4"/>
    <n v="15"/>
    <n v="0.3"/>
    <n v="0.3"/>
    <n v="175941826"/>
    <n v="862092334.5"/>
    <n v="862092334.5"/>
    <n v="686150508.5"/>
    <n v="0"/>
    <n v="4.8998714751317856"/>
    <x v="1"/>
    <n v="1"/>
    <x v="0"/>
    <n v="586472753.33333337"/>
    <n v="-2287168361.6666665"/>
    <s v="https://growdatasas.sharepoint.com/:x:/r/sites/Gestiondocumental/Administrativa/GD/Financiera/_layouts/15/Doc.aspx?sourcedoc=%7B1EA3B8D8-B0B8-48BF-BDD1-3151961F579B%7D&amp;file=MODELO%20FINANCIERO%20PLANILLA%20VIAJES%2018.11.25%20V7.xlsm&amp;action=default&amp;mobileredirect=true"/>
    <n v="1"/>
    <n v="1"/>
  </r>
  <r>
    <x v="1"/>
    <x v="6"/>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9"/>
    <n v="5"/>
    <n v="15"/>
    <n v="0.36666666666666697"/>
    <n v="0.36666666666666697"/>
    <n v="175941826"/>
    <n v="1053668408.8333342"/>
    <n v="1053668408.8333342"/>
    <n v="877726582.83333421"/>
    <n v="0"/>
    <n v="5.9887318029388545"/>
    <x v="1"/>
    <n v="1"/>
    <x v="0"/>
    <n v="479841343.63636321"/>
    <n v="-2393799771.363637"/>
    <s v="https://growdatasas.sharepoint.com/:x:/r/sites/Gestiondocumental/Administrativa/GD/Financiera/_layouts/15/Doc.aspx?sourcedoc=%7B1EA3B8D8-B0B8-48BF-BDD1-3151961F579B%7D&amp;file=MODELO%20FINANCIERO%20PLANILLA%20VIAJES%2018.11.25%20V7.xlsm&amp;action=default&amp;mobileredirect=true"/>
    <n v="1"/>
    <n v="1"/>
  </r>
  <r>
    <x v="1"/>
    <x v="7"/>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8"/>
    <n v="6"/>
    <n v="15"/>
    <n v="0.44166666666666698"/>
    <n v="0.44166666666666698"/>
    <n v="175941826"/>
    <n v="1269191492.4583342"/>
    <n v="1269191492.4583342"/>
    <n v="1093249666.4583342"/>
    <n v="0"/>
    <n v="7.2136996717218009"/>
    <x v="1"/>
    <n v="1"/>
    <x v="0"/>
    <n v="398358851.32075447"/>
    <n v="-2475282263.6792455"/>
    <s v="https://growdatasas.sharepoint.com/:x:/r/sites/Gestiondocumental/Administrativa/GD/Financiera/_layouts/15/Doc.aspx?sourcedoc=%7B1EA3B8D8-B0B8-48BF-BDD1-3151961F579B%7D&amp;file=MODELO%20FINANCIERO%20PLANILLA%20VIAJES%2018.11.25%20V7.xlsm&amp;action=default&amp;mobileredirect=true"/>
    <n v="1"/>
    <n v="1"/>
  </r>
  <r>
    <x v="1"/>
    <x v="8"/>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2"/>
    <n v="12"/>
    <n v="15"/>
    <n v="0.51666666666666705"/>
    <n v="0.51666666666666705"/>
    <n v="175941826"/>
    <n v="1484714576.0833344"/>
    <n v="1484714576.0833344"/>
    <n v="1308772750.0833344"/>
    <n v="0"/>
    <n v="8.4386675405047491"/>
    <x v="1"/>
    <n v="1"/>
    <x v="0"/>
    <n v="340532566.45161265"/>
    <n v="-2533108548.5483875"/>
    <s v="https://growdatasas.sharepoint.com/:x:/r/sites/Gestiondocumental/Administrativa/GD/Financiera/_layouts/15/Doc.aspx?sourcedoc=%7B1EA3B8D8-B0B8-48BF-BDD1-3151961F579B%7D&amp;file=MODELO%20FINANCIERO%20PLANILLA%20VIAJES%2018.11.25%20V7.xlsm&amp;action=default&amp;mobileredirect=true"/>
    <n v="1"/>
    <n v="1"/>
  </r>
  <r>
    <x v="1"/>
    <x v="9"/>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7"/>
    <n v="7"/>
    <n v="15"/>
    <n v="0.59166666666666701"/>
    <n v="0.59166666666666701"/>
    <n v="175941826"/>
    <n v="1700237659.7083342"/>
    <n v="1700237659.7083342"/>
    <n v="1524295833.7083342"/>
    <n v="0"/>
    <n v="9.6636354092876946"/>
    <x v="1"/>
    <n v="1"/>
    <x v="0"/>
    <n v="297366466.47887307"/>
    <n v="-2576274648.5211267"/>
    <s v="https://growdatasas.sharepoint.com/:x:/r/sites/Gestiondocumental/Administrativa/GD/Financiera/_layouts/15/Doc.aspx?sourcedoc=%7B1EA3B8D8-B0B8-48BF-BDD1-3151961F579B%7D&amp;file=MODELO%20FINANCIERO%20PLANILLA%20VIAJES%2018.11.25%20V7.xlsm&amp;action=default&amp;mobileredirect=true"/>
    <n v="1"/>
    <n v="1"/>
  </r>
  <r>
    <x v="1"/>
    <x v="10"/>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6"/>
    <n v="8"/>
    <n v="15"/>
    <n v="0.66666666666666696"/>
    <n v="0.66666666666666696"/>
    <n v="175941826"/>
    <n v="1915760743.3333342"/>
    <n v="1915760743.3333342"/>
    <n v="1739818917.3333342"/>
    <n v="0"/>
    <n v="10.88860327807064"/>
    <x v="1"/>
    <n v="1"/>
    <x v="0"/>
    <n v="263912738.99999988"/>
    <n v="-2609728376"/>
    <s v="https://growdatasas.sharepoint.com/:x:/r/sites/Gestiondocumental/Administrativa/GD/Financiera/_layouts/15/Doc.aspx?sourcedoc=%7B1EA3B8D8-B0B8-48BF-BDD1-3151961F579B%7D&amp;file=MODELO%20FINANCIERO%20PLANILLA%20VIAJES%2018.11.25%20V7.xlsm&amp;action=default&amp;mobileredirect=true"/>
    <n v="1"/>
    <n v="1"/>
  </r>
  <r>
    <x v="1"/>
    <x v="11"/>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5"/>
    <n v="9"/>
    <n v="15"/>
    <n v="0.74166666666666703"/>
    <n v="0.74166666666666703"/>
    <n v="175941826"/>
    <n v="2131283826.9583344"/>
    <n v="2131283826.9583344"/>
    <n v="1955342000.9583344"/>
    <n v="0"/>
    <n v="12.113571146853587"/>
    <x v="1"/>
    <n v="1"/>
    <x v="0"/>
    <n v="237224933.93258417"/>
    <n v="-2636416181.0674157"/>
    <s v="https://growdatasas.sharepoint.com/:x:/r/sites/Gestiondocumental/Administrativa/GD/Financiera/_layouts/15/Doc.aspx?sourcedoc=%7B1EA3B8D8-B0B8-48BF-BDD1-3151961F579B%7D&amp;file=MODELO%20FINANCIERO%20PLANILLA%20VIAJES%2018.11.25%20V7.xlsm&amp;action=default&amp;mobileredirect=true"/>
    <n v="1"/>
    <n v="1"/>
  </r>
  <r>
    <x v="2"/>
    <x v="0"/>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2"/>
    <n v="12"/>
    <n v="15"/>
    <n v="0.81666666666666698"/>
    <n v="0.81666666666666698"/>
    <n v="175941826"/>
    <n v="2346806910.5833344"/>
    <n v="2346806910.5833344"/>
    <n v="2170865084.5833344"/>
    <n v="0"/>
    <n v="13.338539015636535"/>
    <x v="1"/>
    <n v="1"/>
    <x v="0"/>
    <n v="215438970.61224478"/>
    <n v="-2658202144.3877554"/>
    <s v="https://growdatasas.sharepoint.com/:x:/r/sites/Gestiondocumental/Administrativa/GD/Financiera/_layouts/15/Doc.aspx?sourcedoc=%7B1EA3B8D8-B0B8-48BF-BDD1-3151961F579B%7D&amp;file=MODELO%20FINANCIERO%20PLANILLA%20VIAJES%2018.11.25%20V7.xlsm&amp;action=default&amp;mobileredirect=true"/>
    <n v="1"/>
    <n v="1"/>
  </r>
  <r>
    <x v="2"/>
    <x v="1"/>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4"/>
    <n v="10"/>
    <n v="15"/>
    <n v="0.89166666666666705"/>
    <n v="0.89166666666666705"/>
    <n v="176057823"/>
    <n v="2562329994.2083344"/>
    <n v="2562329994.2083344"/>
    <n v="2386272171.2083344"/>
    <n v="0"/>
    <n v="14.553911610098316"/>
    <x v="1"/>
    <n v="1"/>
    <x v="0"/>
    <n v="197448025.79439244"/>
    <n v="-2676193089.2056074"/>
    <s v="https://growdatasas.sharepoint.com/:x:/r/sites/Gestiondocumental/Administrativa/GD/Financiera/_layouts/15/Doc.aspx?sourcedoc=%7B1EA3B8D8-B0B8-48BF-BDD1-3151961F579B%7D&amp;file=MODELO%20FINANCIERO%20PLANILLA%20VIAJES%2018.11.25%20V7.xlsm&amp;action=default&amp;mobileredirect=true"/>
    <n v="1"/>
    <n v="1"/>
  </r>
  <r>
    <x v="2"/>
    <x v="2"/>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3"/>
    <n v="11"/>
    <n v="15"/>
    <n v="0.96666666666666701"/>
    <n v="0"/>
    <n v="0"/>
    <n v="0"/>
    <n v="2777853077.8333344"/>
    <n v="0"/>
    <n v="-2777853077.8333344"/>
    <s v="No se realizó gasto en este corte"/>
    <x v="1"/>
    <n v="0"/>
    <x v="3"/>
    <n v="0"/>
    <n v="-2873641115"/>
    <s v="https://growdatasas.sharepoint.com/:x:/r/sites/Gestiondocumental/Administrativa/GD/Financiera/_layouts/15/Doc.aspx?sourcedoc=%7B1EA3B8D8-B0B8-48BF-BDD1-3151961F579B%7D&amp;file=MODELO%20FINANCIERO%20PLANILLA%20VIAJES%2018.11.25%20V7.xlsm&amp;action=default&amp;mobileredirect=true"/>
    <n v="1"/>
    <n v="1"/>
  </r>
  <r>
    <x v="2"/>
    <x v="3"/>
    <s v="2c75a646-56ed-ef11-8f0c-00155d10e412"/>
    <d v="2025-02-17T17:40:30"/>
    <x v="37"/>
    <s v="Diego Armando Giraldo Pachecho"/>
    <s v="https://growdatasas.sharepoint.com/sites/pwa/RUNT- PLANILLA DE DESPACHO"/>
    <s v=" ​Desarrollo de casos uso para planilla de viajes, distribuidos en 107 casos de uso "/>
    <s v="DATOS Y SISTEMAS DE INFORMACIÓN"/>
    <s v="0360"/>
    <s v="Activo.En Ejecución"/>
    <n v="2873641115"/>
    <d v="2025-02-17T00:00:00"/>
    <d v="2026-04-17T00:00:00"/>
    <n v="14"/>
    <n v="-2"/>
    <n v="12"/>
    <n v="15"/>
    <n v="1"/>
    <n v="0"/>
    <n v="0"/>
    <n v="0"/>
    <n v="2873641115"/>
    <n v="0"/>
    <n v="-2873641115"/>
    <s v="No se realizó gasto en este corte"/>
    <x v="1"/>
    <n v="0"/>
    <x v="3"/>
    <n v="0"/>
    <n v="-2873641115"/>
    <s v="https://growdatasas.sharepoint.com/:x:/r/sites/Gestiondocumental/Administrativa/GD/Financiera/_layouts/15/Doc.aspx?sourcedoc=%7B1EA3B8D8-B0B8-48BF-BDD1-3151961F579B%7D&amp;file=MODELO%20FINANCIERO%20PLANILLA%20VIAJES%2018.11.25%20V7.xlsm&amp;action=default&amp;mobileredirect=true"/>
    <n v="1"/>
    <n v="1"/>
  </r>
  <r>
    <x v="1"/>
    <x v="2"/>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14.97"/>
    <n v="1"/>
    <n v="16"/>
    <n v="0.15"/>
    <n v="0.15"/>
    <n v="246271024"/>
    <n v="1629340130.3999999"/>
    <n v="1629340130.3999999"/>
    <n v="1383069106.3999999"/>
    <n v="0"/>
    <n v="6.6160448108584626"/>
    <x v="1"/>
    <n v="1"/>
    <x v="0"/>
    <n v="1641806826.6666667"/>
    <n v="-9220460709.333334"/>
    <s v="https://growdatasas.sharepoint.com/:x:/r/sites/Gestiondocumental/Administrativa/GD/Financiera/_layouts/15/Doc.aspx?sourcedoc=%7BCE42BF27-1737-44F1-916A-DC83C8242696%7D&amp;file=20260122%20MODELO%20FINANCIERO%20REFERENCIA%20V7.6%20(adici%C3%B3n%202).xlsm&amp;action=default&amp;mobileredirect=true"/>
    <n v="1"/>
    <n v="1"/>
  </r>
  <r>
    <x v="1"/>
    <x v="3"/>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13.97"/>
    <n v="2"/>
    <n v="16"/>
    <n v="0.2"/>
    <n v="0.2"/>
    <n v="653084711"/>
    <n v="2172453507.2000003"/>
    <n v="2172453507.2000003"/>
    <n v="1519368796.2000003"/>
    <n v="0"/>
    <n v="3.3264498013949071"/>
    <x v="1"/>
    <n v="1"/>
    <x v="0"/>
    <n v="3265423554.9999995"/>
    <n v="-7596843981"/>
    <s v="https://growdatasas.sharepoint.com/:x:/r/sites/Gestiondocumental/Administrativa/GD/Financiera/_layouts/15/Doc.aspx?sourcedoc=%7BCE42BF27-1737-44F1-916A-DC83C8242696%7D&amp;file=20260122%20MODELO%20FINANCIERO%20REFERENCIA%20V7.6%20(adici%C3%B3n%202).xlsm&amp;action=default&amp;mobileredirect=true"/>
    <n v="1"/>
    <n v="1"/>
  </r>
  <r>
    <x v="1"/>
    <x v="4"/>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12.97"/>
    <n v="3"/>
    <n v="16"/>
    <n v="0.23"/>
    <n v="0.23"/>
    <n v="1508926165"/>
    <n v="2498321533.2800002"/>
    <n v="2498321533.2800002"/>
    <n v="989395368.28000021"/>
    <n v="0"/>
    <n v="1.6556950175756282"/>
    <x v="1"/>
    <n v="1"/>
    <x v="0"/>
    <n v="6560548543.47826"/>
    <n v="-4301718992.52174"/>
    <s v="https://growdatasas.sharepoint.com/:x:/r/sites/Gestiondocumental/Administrativa/GD/Financiera/_layouts/15/Doc.aspx?sourcedoc=%7BCE42BF27-1737-44F1-916A-DC83C8242696%7D&amp;file=20260122%20MODELO%20FINANCIERO%20REFERENCIA%20V7.6%20(adici%C3%B3n%202).xlsm&amp;action=default&amp;mobileredirect=true"/>
    <n v="1"/>
    <n v="1"/>
  </r>
  <r>
    <x v="1"/>
    <x v="5"/>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11.97"/>
    <n v="4"/>
    <n v="16"/>
    <n v="0.3"/>
    <n v="0.3"/>
    <n v="653084711"/>
    <n v="3258680260.7999997"/>
    <n v="3258680260.7999997"/>
    <n v="2605595549.7999997"/>
    <n v="0"/>
    <n v="4.9896747020923593"/>
    <x v="1"/>
    <n v="1"/>
    <x v="0"/>
    <n v="2176949036.666667"/>
    <n v="-8685318499.3333321"/>
    <s v="https://growdatasas.sharepoint.com/:x:/r/sites/Gestiondocumental/Administrativa/GD/Financiera/_layouts/15/Doc.aspx?sourcedoc=%7BCE42BF27-1737-44F1-916A-DC83C8242696%7D&amp;file=20260122%20MODELO%20FINANCIERO%20REFERENCIA%20V7.6%20(adici%C3%B3n%202).xlsm&amp;action=default&amp;mobileredirect=true"/>
    <n v="1"/>
    <n v="1"/>
  </r>
  <r>
    <x v="1"/>
    <x v="6"/>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10.97"/>
    <n v="5"/>
    <n v="16"/>
    <n v="0.37"/>
    <n v="0.37"/>
    <n v="653084711"/>
    <n v="4019038988.3200002"/>
    <n v="4019038988.3200002"/>
    <n v="3365954277.3200002"/>
    <n v="0"/>
    <n v="6.1539321325805778"/>
    <x v="1"/>
    <n v="1"/>
    <x v="0"/>
    <n v="1765093813.5135133"/>
    <n v="-9097173722.4864864"/>
    <s v="https://growdatasas.sharepoint.com/:x:/r/sites/Gestiondocumental/Administrativa/GD/Financiera/_layouts/15/Doc.aspx?sourcedoc=%7BCE42BF27-1737-44F1-916A-DC83C8242696%7D&amp;file=20260122%20MODELO%20FINANCIERO%20REFERENCIA%20V7.6%20(adici%C3%B3n%202).xlsm&amp;action=default&amp;mobileredirect=true"/>
    <n v="1"/>
    <n v="1"/>
  </r>
  <r>
    <x v="1"/>
    <x v="7"/>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9.9700000000000006"/>
    <n v="6"/>
    <n v="16"/>
    <n v="0.44"/>
    <n v="0.44"/>
    <n v="653084711"/>
    <n v="4779397715.8400002"/>
    <n v="4779397715.8400002"/>
    <n v="4126313004.8400002"/>
    <n v="0"/>
    <n v="7.3181895630687945"/>
    <x v="1"/>
    <n v="1"/>
    <x v="0"/>
    <n v="1484283434.090909"/>
    <n v="-9377984101.9090919"/>
    <s v="https://growdatasas.sharepoint.com/:x:/r/sites/Gestiondocumental/Administrativa/GD/Financiera/_layouts/15/Doc.aspx?sourcedoc=%7BCE42BF27-1737-44F1-916A-DC83C8242696%7D&amp;file=20260122%20MODELO%20FINANCIERO%20REFERENCIA%20V7.6%20(adici%C3%B3n%202).xlsm&amp;action=default&amp;mobileredirect=true"/>
    <n v="1"/>
    <n v="1"/>
  </r>
  <r>
    <x v="1"/>
    <x v="8"/>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8.9700000000000006"/>
    <n v="7"/>
    <n v="16"/>
    <n v="0.51"/>
    <n v="0.51"/>
    <n v="653084711"/>
    <n v="5539756443.3599997"/>
    <n v="5539756443.3599997"/>
    <n v="4886671732.3599997"/>
    <n v="0"/>
    <n v="8.4824469935570121"/>
    <x v="1"/>
    <n v="1"/>
    <x v="0"/>
    <n v="1280558256.862745"/>
    <n v="-9581709279.1372547"/>
    <s v="https://growdatasas.sharepoint.com/:x:/r/sites/Gestiondocumental/Administrativa/GD/Financiera/_layouts/15/Doc.aspx?sourcedoc=%7BCE42BF27-1737-44F1-916A-DC83C8242696%7D&amp;file=20260122%20MODELO%20FINANCIERO%20REFERENCIA%20V7.6%20(adici%C3%B3n%202).xlsm&amp;action=default&amp;mobileredirect=true"/>
    <n v="1"/>
    <n v="1"/>
  </r>
  <r>
    <x v="1"/>
    <x v="9"/>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7.9700000000000006"/>
    <n v="8"/>
    <n v="16"/>
    <n v="0.57999999999999996"/>
    <n v="0.57999999999999996"/>
    <n v="653084711"/>
    <n v="6300115170.8799992"/>
    <n v="6300115170.8799992"/>
    <n v="5647030459.8799992"/>
    <n v="0"/>
    <n v="9.6467044240452271"/>
    <x v="1"/>
    <n v="1"/>
    <x v="0"/>
    <n v="1126008122.4137933"/>
    <n v="-9736259413.5862064"/>
    <s v="https://growdatasas.sharepoint.com/:x:/r/sites/Gestiondocumental/Administrativa/GD/Financiera/_layouts/15/Doc.aspx?sourcedoc=%7BCE42BF27-1737-44F1-916A-DC83C8242696%7D&amp;file=20260122%20MODELO%20FINANCIERO%20REFERENCIA%20V7.6%20(adici%C3%B3n%202).xlsm&amp;action=default&amp;mobileredirect=true"/>
    <n v="1"/>
    <n v="1"/>
  </r>
  <r>
    <x v="1"/>
    <x v="10"/>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6.9700000000000006"/>
    <n v="9"/>
    <n v="16"/>
    <n v="0.65"/>
    <n v="0.65"/>
    <n v="653084711"/>
    <n v="7060473898.4000006"/>
    <n v="7060473898.4000006"/>
    <n v="6407389187.4000006"/>
    <n v="0"/>
    <n v="10.810961854533447"/>
    <x v="1"/>
    <n v="1"/>
    <x v="0"/>
    <n v="1004745709.2307692"/>
    <n v="-9857521826.7692299"/>
    <s v="https://growdatasas.sharepoint.com/:x:/r/sites/Gestiondocumental/Administrativa/GD/Financiera/_layouts/15/Doc.aspx?sourcedoc=%7BCE42BF27-1737-44F1-916A-DC83C8242696%7D&amp;file=20260122%20MODELO%20FINANCIERO%20REFERENCIA%20V7.6%20(adici%C3%B3n%202).xlsm&amp;action=default&amp;mobileredirect=true"/>
    <n v="1"/>
    <n v="1"/>
  </r>
  <r>
    <x v="1"/>
    <x v="11"/>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5.9700000000000006"/>
    <n v="10"/>
    <n v="16"/>
    <n v="0.75"/>
    <n v="0.75"/>
    <n v="670884711"/>
    <n v="8146700652"/>
    <n v="8146700652"/>
    <n v="7475815941"/>
    <n v="0"/>
    <n v="12.143220017425618"/>
    <x v="1"/>
    <n v="1"/>
    <x v="0"/>
    <n v="894512948"/>
    <n v="-9967754588"/>
    <s v="https://growdatasas.sharepoint.com/:x:/r/sites/Gestiondocumental/Administrativa/GD/Financiera/_layouts/15/Doc.aspx?sourcedoc=%7BCE42BF27-1737-44F1-916A-DC83C8242696%7D&amp;file=20260122%20MODELO%20FINANCIERO%20REFERENCIA%20V7.6%20(adici%C3%B3n%202).xlsm&amp;action=default&amp;mobileredirect=true"/>
    <n v="1"/>
    <n v="1"/>
  </r>
  <r>
    <x v="2"/>
    <x v="0"/>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4.9700000000000006"/>
    <n v="11"/>
    <n v="16"/>
    <n v="0.8"/>
    <n v="0.8"/>
    <n v="970489516"/>
    <n v="8689814028.8000011"/>
    <n v="8689814028.8000011"/>
    <n v="7719324512.8000011"/>
    <n v="0"/>
    <n v="8.9540524503718615"/>
    <x v="1"/>
    <n v="1"/>
    <x v="0"/>
    <n v="1213111894.9999998"/>
    <n v="-9649155641"/>
    <s v="https://growdatasas.sharepoint.com/:x:/r/sites/Gestiondocumental/Administrativa/GD/Financiera/_layouts/15/Doc.aspx?sourcedoc=%7BCE42BF27-1737-44F1-916A-DC83C8242696%7D&amp;file=20260122%20MODELO%20FINANCIERO%20REFERENCIA%20V7.6%20(adici%C3%B3n%202).xlsm&amp;action=default&amp;mobileredirect=true"/>
    <n v="1"/>
    <n v="1"/>
  </r>
  <r>
    <x v="2"/>
    <x v="1"/>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3.9700000000000006"/>
    <n v="12"/>
    <n v="16"/>
    <n v="0.85"/>
    <n v="0.85"/>
    <m/>
    <n v="9232927405.6000004"/>
    <n v="9232927405.6000004"/>
    <n v="9232927405.6000004"/>
    <n v="0"/>
    <s v="No se realizó gasto en este corte"/>
    <x v="1"/>
    <n v="1"/>
    <x v="0"/>
    <n v="0"/>
    <n v="-10862267536"/>
    <s v="https://growdatasas.sharepoint.com/:x:/r/sites/Gestiondocumental/Administrativa/GD/Financiera/_layouts/15/Doc.aspx?sourcedoc=%7BCE42BF27-1737-44F1-916A-DC83C8242696%7D&amp;file=20260122%20MODELO%20FINANCIERO%20REFERENCIA%20V7.6%20(adici%C3%B3n%202).xlsm&amp;action=default&amp;mobileredirect=true"/>
    <n v="1"/>
    <n v="1"/>
  </r>
  <r>
    <x v="2"/>
    <x v="2"/>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2.9700000000000006"/>
    <n v="13"/>
    <n v="16"/>
    <n v="0.87"/>
    <n v="0.87"/>
    <m/>
    <n v="9450172756.3199997"/>
    <n v="9450172756.3199997"/>
    <n v="9450172756.3199997"/>
    <n v="0"/>
    <s v="No se realizó gasto en este corte"/>
    <x v="1"/>
    <n v="1"/>
    <x v="0"/>
    <n v="0"/>
    <n v="-10862267536"/>
    <s v="https://growdatasas.sharepoint.com/:x:/r/sites/Gestiondocumental/Administrativa/GD/Financiera/_layouts/15/Doc.aspx?sourcedoc=%7BCE42BF27-1737-44F1-916A-DC83C8242696%7D&amp;file=20260122%20MODELO%20FINANCIERO%20REFERENCIA%20V7.6%20(adici%C3%B3n%202).xlsm&amp;action=default&amp;mobileredirect=true"/>
    <n v="1"/>
    <n v="1"/>
  </r>
  <r>
    <x v="2"/>
    <x v="3"/>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1.9700000000000006"/>
    <n v="14"/>
    <n v="16"/>
    <n v="0.9"/>
    <n v="0.9"/>
    <m/>
    <n v="9776040782.3999996"/>
    <n v="9776040782.3999996"/>
    <n v="9776040782.3999996"/>
    <n v="0"/>
    <s v="No se realizó gasto en este corte"/>
    <x v="1"/>
    <n v="1"/>
    <x v="0"/>
    <n v="0"/>
    <n v="-10862267536"/>
    <s v="https://growdatasas.sharepoint.com/:x:/r/sites/Gestiondocumental/Administrativa/GD/Financiera/_layouts/15/Doc.aspx?sourcedoc=%7BCE42BF27-1737-44F1-916A-DC83C8242696%7D&amp;file=20260122%20MODELO%20FINANCIERO%20REFERENCIA%20V7.6%20(adici%C3%B3n%202).xlsm&amp;action=default&amp;mobileredirect=true"/>
    <n v="1"/>
    <n v="1"/>
  </r>
  <r>
    <x v="2"/>
    <x v="4"/>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0.97000000000000064"/>
    <n v="15"/>
    <n v="16"/>
    <n v="0.92"/>
    <n v="0.92"/>
    <m/>
    <n v="9993286133.1200008"/>
    <n v="9993286133.1200008"/>
    <n v="9993286133.1200008"/>
    <n v="0"/>
    <s v="No se realizó gasto en este corte"/>
    <x v="1"/>
    <n v="1"/>
    <x v="0"/>
    <n v="0"/>
    <n v="-10862267536"/>
    <s v="https://growdatasas.sharepoint.com/:x:/r/sites/Gestiondocumental/Administrativa/GD/Financiera/_layouts/15/Doc.aspx?sourcedoc=%7BCE42BF27-1737-44F1-916A-DC83C8242696%7D&amp;file=20260122%20MODELO%20FINANCIERO%20REFERENCIA%20V7.6%20(adici%C3%B3n%202).xlsm&amp;action=default&amp;mobileredirect=true"/>
    <n v="1"/>
    <n v="1"/>
  </r>
  <r>
    <x v="2"/>
    <x v="5"/>
    <s v="f3e379db-aefd-ef11-9121-00155d68400c"/>
    <d v="2025-03-10T12:54:56"/>
    <x v="38"/>
    <s v="Francy Viviana Gonzalez Barriga"/>
    <s v="https://growdatasas.sharepoint.com/sites/pwa/CCD- PGN - PGN MDA INTEGRAL"/>
    <s v=" ​Prestar un servicio de mesa integral, con soporte en sitio en Bogotá y a nivel nacional, servicio de colocación, outsorcing de impresión, Servicio de UPS, Suministro de Portátiles, bolsa para cableado estructurado._x0009__x0009_ "/>
    <s v="TI"/>
    <s v="0362"/>
    <s v="Activo.En Ejecución"/>
    <n v="10862267536"/>
    <d v="2025-03-01T00:00:00"/>
    <d v="2026-06-30T00:00:00"/>
    <n v="15.97"/>
    <n v="2.9999999999999361E-2"/>
    <n v="16"/>
    <n v="16"/>
    <n v="1"/>
    <n v="1"/>
    <m/>
    <n v="10862267536"/>
    <n v="10862267536"/>
    <n v="10862267536"/>
    <n v="0"/>
    <s v="No se realizó gasto en este corte"/>
    <x v="1"/>
    <n v="1"/>
    <x v="0"/>
    <n v="0"/>
    <n v="-10862267536"/>
    <s v="https://growdatasas.sharepoint.com/:x:/r/sites/Gestiondocumental/Administrativa/GD/Financiera/_layouts/15/Doc.aspx?sourcedoc=%7BCE42BF27-1737-44F1-916A-DC83C8242696%7D&amp;file=20260122%20MODELO%20FINANCIERO%20REFERENCIA%20V7.6%20(adici%C3%B3n%202).xlsm&amp;action=default&amp;mobileredirect=true"/>
    <n v="1"/>
    <n v="1"/>
  </r>
  <r>
    <x v="1"/>
    <x v="2"/>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15"/>
    <n v="0.15"/>
    <n v="162422393"/>
    <n v="1136753121.75"/>
    <n v="1136753121.75"/>
    <n v="974330728.75"/>
    <n v="0"/>
    <n v="6.998746298178232"/>
    <x v="1"/>
    <n v="1"/>
    <x v="0"/>
    <n v="1082815953.3333333"/>
    <n v="-6495538191.666667"/>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3"/>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2"/>
    <n v="0.2"/>
    <n v="932894347"/>
    <n v="1515670829"/>
    <n v="1515670829"/>
    <n v="582776482"/>
    <n v="0"/>
    <n v="1.6246971952119675"/>
    <x v="1"/>
    <n v="1"/>
    <x v="0"/>
    <n v="4664471735"/>
    <n v="-2913882410"/>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4"/>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23"/>
    <n v="0.23"/>
    <n v="489855784"/>
    <n v="1743021453.3500001"/>
    <n v="1743021453.3500001"/>
    <n v="1253165669.3500001"/>
    <n v="0"/>
    <n v="3.5582338930798461"/>
    <x v="1"/>
    <n v="1"/>
    <x v="0"/>
    <n v="2129807756.521739"/>
    <n v="-5448546388.478261"/>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5"/>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3"/>
    <n v="0.3"/>
    <n v="284665413"/>
    <n v="2273506243.5"/>
    <n v="2273506243.5"/>
    <n v="1988840830.5"/>
    <n v="0"/>
    <n v="7.986591063312634"/>
    <x v="1"/>
    <n v="1"/>
    <x v="0"/>
    <n v="948884710"/>
    <n v="-662946943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6"/>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37"/>
    <n v="0.37"/>
    <n v="389803413"/>
    <n v="2803991033.6500001"/>
    <n v="2803991033.6500001"/>
    <n v="2414187620.6500001"/>
    <n v="0"/>
    <n v="7.1933465437615345"/>
    <x v="1"/>
    <n v="1"/>
    <x v="0"/>
    <n v="1053522737.8378378"/>
    <n v="-6524831407.1621618"/>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7"/>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44"/>
    <n v="0.44"/>
    <n v="389803413"/>
    <n v="3334475823.8000002"/>
    <n v="3334475823.8000002"/>
    <n v="2944672410.8000002"/>
    <n v="0"/>
    <n v="8.5542499439326356"/>
    <x v="1"/>
    <n v="1"/>
    <x v="0"/>
    <n v="885916847.72727275"/>
    <n v="-6692437297.272727"/>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8"/>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51"/>
    <n v="0.51"/>
    <n v="389803413"/>
    <n v="3864960613.9500003"/>
    <n v="3864960613.9500003"/>
    <n v="3475157200.9500003"/>
    <n v="0"/>
    <n v="9.9151533441037376"/>
    <x v="1"/>
    <n v="1"/>
    <x v="0"/>
    <n v="764320417.64705873"/>
    <n v="-6814033727.352941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9"/>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57999999999999996"/>
    <n v="0.57999999999999996"/>
    <n v="389803413"/>
    <n v="4395445404.0999994"/>
    <n v="4395445404.0999994"/>
    <n v="4005641991.0999994"/>
    <n v="0"/>
    <n v="11.276056744274836"/>
    <x v="1"/>
    <n v="1"/>
    <x v="0"/>
    <n v="672074850.00000012"/>
    <n v="-690627929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10"/>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65"/>
    <n v="0.65"/>
    <n v="377303413"/>
    <n v="4925930194.25"/>
    <n v="4925930194.25"/>
    <n v="4548626781.25"/>
    <n v="0"/>
    <n v="13.055620555041202"/>
    <x v="1"/>
    <n v="1"/>
    <x v="0"/>
    <n v="580466789.23076928"/>
    <n v="-6997887355.7692308"/>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11"/>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75"/>
    <n v="0.75"/>
    <n v="762092127"/>
    <n v="5683765608.75"/>
    <n v="5683765608.75"/>
    <n v="4921673481.75"/>
    <n v="0"/>
    <n v="7.4581082881991252"/>
    <x v="1"/>
    <n v="1"/>
    <x v="0"/>
    <n v="1016122836"/>
    <n v="-6562231309"/>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2"/>
    <x v="0"/>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8"/>
    <n v="0.8"/>
    <n v="1384407400"/>
    <n v="6062683316"/>
    <n v="6062683316"/>
    <n v="4678275916"/>
    <n v="0"/>
    <n v="4.3792624309867172"/>
    <x v="1"/>
    <n v="1"/>
    <x v="0"/>
    <n v="1730509249.9999998"/>
    <n v="-584784489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2"/>
    <x v="1"/>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85"/>
    <n v="0.85"/>
    <m/>
    <n v="6441601023.25"/>
    <n v="6441601023.25"/>
    <n v="6441601023.25"/>
    <n v="0"/>
    <s v="No se realizó gasto en este corte"/>
    <x v="1"/>
    <n v="1"/>
    <x v="0"/>
    <n v="0"/>
    <n v="-757835414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2"/>
    <x v="2"/>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87"/>
    <n v="0.87"/>
    <m/>
    <n v="6593168106.1499996"/>
    <n v="6593168106.1499996"/>
    <n v="6593168106.1499996"/>
    <n v="0"/>
    <s v="No se realizó gasto en este corte"/>
    <x v="1"/>
    <n v="1"/>
    <x v="0"/>
    <n v="0"/>
    <n v="-757835414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2"/>
    <x v="3"/>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9"/>
    <n v="0.9"/>
    <m/>
    <n v="6820518730.5"/>
    <n v="6820518730.5"/>
    <n v="6820518730.5"/>
    <n v="0"/>
    <s v="No se realizó gasto en este corte"/>
    <x v="1"/>
    <n v="1"/>
    <x v="0"/>
    <n v="0"/>
    <n v="-757835414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2"/>
    <x v="4"/>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0.92"/>
    <n v="0.92"/>
    <m/>
    <n v="6972085813.4000006"/>
    <n v="6972085813.4000006"/>
    <n v="6972085813.4000006"/>
    <n v="0"/>
    <s v="No se realizó gasto en este corte"/>
    <x v="1"/>
    <n v="1"/>
    <x v="0"/>
    <n v="0"/>
    <n v="-757835414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2"/>
    <x v="5"/>
    <s v="2469b30a-cd0d-f011-9298-00155d102412"/>
    <d v="2025-03-31T01:11:18"/>
    <x v="39"/>
    <s v="Marlon Fabian Moreno Buitrago"/>
    <s v="https://growdatasas.sharepoint.com/sites/pwa/EMTEL - ANT - INFRAESTRUCTURA 2025"/>
    <s v=" Brindar una solución integral para diferentes líneas de servicios y componentes tecnológicos que permitan garantizar la continuidad y adecuada operación de los Sistemas de Información de Tierras de la ANT y servicios conexos.    "/>
    <s v="TI"/>
    <s v="0363"/>
    <s v="Activo.En Ejecución"/>
    <n v="7578354145"/>
    <d v="2025-03-18T00:00:00"/>
    <d v="2026-07-31T00:00:00"/>
    <n v="16.43"/>
    <n v="-5.43"/>
    <n v="11"/>
    <n v="16"/>
    <n v="1"/>
    <n v="1"/>
    <m/>
    <n v="7578354145"/>
    <n v="7578354145"/>
    <n v="7578354145"/>
    <n v="0"/>
    <s v="No se realizó gasto en este corte"/>
    <x v="1"/>
    <n v="1"/>
    <x v="0"/>
    <n v="0"/>
    <n v="-7578354145"/>
    <s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n v="1"/>
    <n v="1"/>
  </r>
  <r>
    <x v="1"/>
    <x v="4"/>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10.47"/>
    <n v="1"/>
    <n v="12"/>
    <n v="0.25"/>
    <n v="0.15"/>
    <n v="40764598"/>
    <n v="49817517.449999996"/>
    <n v="83029195.75"/>
    <n v="9052919.4499999955"/>
    <n v="-33211678.300000004"/>
    <n v="1.2220779768268535"/>
    <x v="1"/>
    <n v="0.6"/>
    <x v="1"/>
    <n v="271763986.66666669"/>
    <n v="-60352796.333333313"/>
    <s v="https://growdatasas.sharepoint.com/:x:/r/sites/Gestiondocumental/Administrativa/GD/Financiera/_layouts/15/Doc.aspx?sourcedoc=%7B992F7B45-9CC9-43D2-9E9D-0F8A68C8C555%7D&amp;file=22052025%20MODELO%20FINANCIERO%20REFERENCIA%20V7.4_ANSV_V1.0.xlsm&amp;action=default&amp;mobileredirect=true"/>
    <n v="1"/>
    <n v="1"/>
  </r>
  <r>
    <x v="1"/>
    <x v="5"/>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9.4700000000000006"/>
    <n v="2"/>
    <n v="12"/>
    <n v="0.35"/>
    <n v="0.25"/>
    <n v="46764598"/>
    <n v="83029195.75"/>
    <n v="116240874.05"/>
    <n v="36264597.75"/>
    <n v="-33211678.299999997"/>
    <n v="1.7754711747976535"/>
    <x v="1"/>
    <n v="0.7142857142857143"/>
    <x v="1"/>
    <n v="187058392"/>
    <n v="-145058391"/>
    <s v="https://growdatasas.sharepoint.com/:x:/r/sites/Gestiondocumental/Administrativa/GD/Financiera/_layouts/15/Doc.aspx?sourcedoc=%7B992F7B45-9CC9-43D2-9E9D-0F8A68C8C555%7D&amp;file=22052025%20MODELO%20FINANCIERO%20REFERENCIA%20V7.4_ANSV_V1.0.xlsm&amp;action=default&amp;mobileredirect=true"/>
    <n v="1"/>
    <n v="1"/>
  </r>
  <r>
    <x v="1"/>
    <x v="6"/>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8.4700000000000006"/>
    <n v="3"/>
    <n v="12"/>
    <n v="0.47"/>
    <n v="0.3"/>
    <n v="40764598"/>
    <n v="99635034.899999991"/>
    <n v="156094888.00999999"/>
    <n v="58870436.899999991"/>
    <n v="-56459853.109999999"/>
    <n v="2.444155953653707"/>
    <x v="1"/>
    <n v="0.63829787234042556"/>
    <x v="1"/>
    <n v="135881993.33333334"/>
    <n v="-196234789.66666666"/>
    <s v="https://growdatasas.sharepoint.com/:x:/r/sites/Gestiondocumental/Administrativa/GD/Financiera/_layouts/15/Doc.aspx?sourcedoc=%7B992F7B45-9CC9-43D2-9E9D-0F8A68C8C555%7D&amp;file=22052025%20MODELO%20FINANCIERO%20REFERENCIA%20V7.4_ANSV_V1.0.xlsm&amp;action=default&amp;mobileredirect=true"/>
    <n v="1"/>
    <n v="1"/>
  </r>
  <r>
    <x v="1"/>
    <x v="7"/>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7.4700000000000006"/>
    <n v="4"/>
    <n v="12"/>
    <n v="0.52"/>
    <n v="0.35"/>
    <n v="40764598"/>
    <n v="116240874.05"/>
    <n v="172700727.16"/>
    <n v="75476276.049999997"/>
    <n v="-56459853.109999999"/>
    <n v="2.8515152792626584"/>
    <x v="1"/>
    <n v="0.67307692307692313"/>
    <x v="1"/>
    <n v="116470280"/>
    <n v="-215646503"/>
    <s v="https://growdatasas.sharepoint.com/:x:/r/sites/Gestiondocumental/Administrativa/GD/Financiera/_layouts/15/Doc.aspx?sourcedoc=%7B992F7B45-9CC9-43D2-9E9D-0F8A68C8C555%7D&amp;file=22052025%20MODELO%20FINANCIERO%20REFERENCIA%20V7.4_ANSV_V1.0.xlsm&amp;action=default&amp;mobileredirect=true"/>
    <n v="1"/>
    <n v="1"/>
  </r>
  <r>
    <x v="1"/>
    <x v="8"/>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6.4700000000000006"/>
    <n v="5"/>
    <n v="12"/>
    <n v="0.65"/>
    <n v="0.45"/>
    <n v="40764598"/>
    <n v="149452552.34999999"/>
    <n v="215875908.95000002"/>
    <n v="108687954.34999999"/>
    <n v="-66423356.600000024"/>
    <n v="3.6662339304805607"/>
    <x v="1"/>
    <n v="0.69230769230769218"/>
    <x v="1"/>
    <n v="90587995.555555552"/>
    <n v="-241528787.44444445"/>
    <s v="https://growdatasas.sharepoint.com/:x:/r/sites/Gestiondocumental/Administrativa/GD/Financiera/_layouts/15/Doc.aspx?sourcedoc=%7B992F7B45-9CC9-43D2-9E9D-0F8A68C8C555%7D&amp;file=22052025%20MODELO%20FINANCIERO%20REFERENCIA%20V7.4_ANSV_V1.0.xlsm&amp;action=default&amp;mobileredirect=true"/>
    <n v="1"/>
    <n v="1"/>
  </r>
  <r>
    <x v="1"/>
    <x v="9"/>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5.4700000000000006"/>
    <n v="6"/>
    <n v="12"/>
    <n v="0.72"/>
    <n v="0.5"/>
    <n v="40764598"/>
    <n v="166058391.5"/>
    <n v="239124083.75999999"/>
    <n v="125293793.5"/>
    <n v="-73065692.25999999"/>
    <n v="4.0735932560895121"/>
    <x v="1"/>
    <n v="0.69444444444444442"/>
    <x v="1"/>
    <n v="81529196"/>
    <n v="-250587587"/>
    <s v="https://growdatasas.sharepoint.com/:x:/r/sites/Gestiondocumental/Administrativa/GD/Financiera/_layouts/15/Doc.aspx?sourcedoc=%7B992F7B45-9CC9-43D2-9E9D-0F8A68C8C555%7D&amp;file=22052025%20MODELO%20FINANCIERO%20REFERENCIA%20V7.4_ANSV_V1.0.xlsm&amp;action=default&amp;mobileredirect=true"/>
    <n v="1"/>
    <n v="1"/>
  </r>
  <r>
    <x v="1"/>
    <x v="10"/>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4.4700000000000006"/>
    <n v="7"/>
    <n v="12"/>
    <n v="0.85"/>
    <n v="0.56999999999999995"/>
    <n v="40764598"/>
    <n v="189306566.30999997"/>
    <n v="282299265.55000001"/>
    <n v="148541968.30999997"/>
    <n v="-92992699.240000039"/>
    <n v="4.6438963119420427"/>
    <x v="1"/>
    <n v="0.67058823529411749"/>
    <x v="1"/>
    <n v="71516838.596491233"/>
    <n v="-260599944.40350878"/>
    <s v="https://growdatasas.sharepoint.com/:x:/r/sites/Gestiondocumental/Administrativa/GD/Financiera/_layouts/15/Doc.aspx?sourcedoc=%7B992F7B45-9CC9-43D2-9E9D-0F8A68C8C555%7D&amp;file=22052025%20MODELO%20FINANCIERO%20REFERENCIA%20V7.4_ANSV_V1.0.xlsm&amp;action=default&amp;mobileredirect=true"/>
    <n v="1"/>
    <n v="1"/>
  </r>
  <r>
    <x v="1"/>
    <x v="11"/>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3.4700000000000006"/>
    <n v="8"/>
    <n v="12"/>
    <n v="0.95"/>
    <n v="0.65"/>
    <n v="40764598"/>
    <n v="215875908.95000002"/>
    <n v="315510943.84999996"/>
    <n v="175111310.95000002"/>
    <n v="-99635034.899999946"/>
    <n v="5.2956712329163658"/>
    <x v="1"/>
    <n v="0.6842105263157896"/>
    <x v="1"/>
    <n v="62714766.153846152"/>
    <n v="-269402016.84615386"/>
    <s v="https://growdatasas.sharepoint.com/:x:/r/sites/Gestiondocumental/Administrativa/GD/Financiera/_layouts/15/Doc.aspx?sourcedoc=%7B992F7B45-9CC9-43D2-9E9D-0F8A68C8C555%7D&amp;file=22052025%20MODELO%20FINANCIERO%20REFERENCIA%20V7.4_ANSV_V1.0.xlsm&amp;action=default&amp;mobileredirect=true"/>
    <n v="1"/>
    <n v="1"/>
  </r>
  <r>
    <x v="2"/>
    <x v="0"/>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2.4700000000000006"/>
    <n v="9"/>
    <n v="12"/>
    <n v="1"/>
    <n v="0.78"/>
    <m/>
    <n v="259051090.74000001"/>
    <n v="332116783"/>
    <n v="259051090.74000001"/>
    <n v="-73065692.25999999"/>
    <s v="No se realizó gasto en este corte"/>
    <x v="1"/>
    <n v="0.78"/>
    <x v="1"/>
    <n v="0"/>
    <n v="-332116783"/>
    <s v="https://growdatasas.sharepoint.com/:x:/r/sites/Gestiondocumental/Administrativa/GD/Financiera/_layouts/15/Doc.aspx?sourcedoc=%7B992F7B45-9CC9-43D2-9E9D-0F8A68C8C555%7D&amp;file=22052025%20MODELO%20FINANCIERO%20REFERENCIA%20V7.4_ANSV_V1.0.xlsm&amp;action=default&amp;mobileredirect=true"/>
    <n v="1"/>
    <n v="1"/>
  </r>
  <r>
    <x v="2"/>
    <x v="1"/>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2.4700000000000006"/>
    <n v="9"/>
    <n v="12"/>
    <n v="1"/>
    <n v="0.85"/>
    <m/>
    <n v="282299265.55000001"/>
    <n v="332116783"/>
    <n v="282299265.55000001"/>
    <n v="-49817517.449999988"/>
    <s v="No se realizó gasto en este corte"/>
    <x v="1"/>
    <n v="0.85000000000000009"/>
    <x v="1"/>
    <n v="0"/>
    <n v="-332116783"/>
    <s v="https://growdatasas.sharepoint.com/:x:/r/sites/Gestiondocumental/Administrativa/GD/Financiera/_layouts/15/Doc.aspx?sourcedoc=%7B992F7B45-9CC9-43D2-9E9D-0F8A68C8C555%7D&amp;file=22052025%20MODELO%20FINANCIERO%20REFERENCIA%20V7.4_ANSV_V1.0.xlsm&amp;action=default&amp;mobileredirect=true"/>
    <n v="1"/>
    <n v="1"/>
  </r>
  <r>
    <x v="2"/>
    <x v="2"/>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2.4700000000000006"/>
    <n v="9"/>
    <n v="12"/>
    <n v="1"/>
    <n v="0.95"/>
    <m/>
    <n v="315510943.84999996"/>
    <n v="332116783"/>
    <n v="315510943.84999996"/>
    <n v="-16605839.150000036"/>
    <s v="No se realizó gasto en este corte"/>
    <x v="1"/>
    <n v="0.94999999999999984"/>
    <x v="1"/>
    <n v="0"/>
    <n v="-332116783"/>
    <s v="https://growdatasas.sharepoint.com/:x:/r/sites/Gestiondocumental/Administrativa/GD/Financiera/_layouts/15/Doc.aspx?sourcedoc=%7B992F7B45-9CC9-43D2-9E9D-0F8A68C8C555%7D&amp;file=22052025%20MODELO%20FINANCIERO%20REFERENCIA%20V7.4_ANSV_V1.0.xlsm&amp;action=default&amp;mobileredirect=true"/>
    <n v="1"/>
    <n v="1"/>
  </r>
  <r>
    <x v="2"/>
    <x v="3"/>
    <s v="abb9e9f1-943c-f011-b02d-00155d101c0c"/>
    <d v="2025-05-29T13:58:17"/>
    <x v="40"/>
    <s v="Liliana Isabel Paba Alvear"/>
    <s v="https://growdatasas.sharepoint.com/sites/pwa/UNIÓN TEMPORAL BIG DATA"/>
    <s v=" ​REALIZAR LA EVALUACIÓN Y PROPUESTA DE ACTUALIZACIÓN DEL SISTEMA DE INFORMACIÓN DEL OBSERVATORIO NACIONAL DE SEGURIDAD VIAL CON BASE EN ARQUITECTURAS DE REFERENCIA PARA BIG DATA "/>
    <s v="CONSULTORÍA"/>
    <s v="0371"/>
    <s v="Activo.Iniciado"/>
    <n v="332116783"/>
    <d v="2025-05-01T00:00:00"/>
    <d v="2026-04-15T00:00:00"/>
    <n v="11.47"/>
    <n v="-2.4700000000000006"/>
    <n v="9"/>
    <n v="12"/>
    <n v="1"/>
    <n v="1"/>
    <m/>
    <n v="332116783"/>
    <n v="332116783"/>
    <n v="332116783"/>
    <n v="0"/>
    <s v="No se realizó gasto en este corte"/>
    <x v="1"/>
    <n v="1"/>
    <x v="0"/>
    <n v="0"/>
    <n v="-332116783"/>
    <s v="https://growdatasas.sharepoint.com/:x:/r/sites/Gestiondocumental/Administrativa/GD/Financiera/_layouts/15/Doc.aspx?sourcedoc=%7B992F7B45-9CC9-43D2-9E9D-0F8A68C8C555%7D&amp;file=22052025%20MODELO%20FINANCIERO%20REFERENCIA%20V7.4_ANSV_V1.0.xlsm&amp;action=default&amp;mobileredirect=true"/>
    <n v="1"/>
    <n v="1"/>
  </r>
  <r>
    <x v="1"/>
    <x v="6"/>
    <s v="6705f71d-405b-f011-aa72-00155d101412"/>
    <d v="2025-07-07T14:39:02"/>
    <x v="41"/>
    <s v="Leidy Susana Ramirez Herrera"/>
    <s v="https://growdatasas.sharepoint.com/sites/pwa/ADRES-MEGA HOPEX 2025"/>
    <s v=" ​Contratar la renovación del licenciamiento, actualizaciones y soporte técnico del software de arquitectura empresarial hopex de mega de la ADRES "/>
    <s v="CONSULTORÍA"/>
    <s v="0370"/>
    <s v="Activo.En Ejecución"/>
    <n v="589176956"/>
    <d v="2025-06-26T00:00:00"/>
    <d v="2025-12-15T00:00:00"/>
    <n v="5.63"/>
    <n v="-4.63"/>
    <n v="1"/>
    <n v="6"/>
    <n v="0.1"/>
    <n v="0.1"/>
    <n v="17471780"/>
    <n v="58917695.600000001"/>
    <n v="58917695.600000001"/>
    <n v="41445915.600000001"/>
    <n v="0"/>
    <n v="3.3721633170747345"/>
    <x v="1"/>
    <n v="1"/>
    <x v="0"/>
    <n v="174717800"/>
    <n v="-414459156"/>
    <s v="https://growdatasas.sharepoint.com/:x:/r/sites/Gestiondocumental/Administrativa/GD/Financiera/_layouts/15/Doc.aspx?sourcedoc=%7B9C76270D-595C-496E-97BB-8004054AF14A%7D&amp;file=20251301%20MODELO%20FINANCIERO%20REFERENCIA%20V7.4_ADRES_2A%C3%91OS_VF.xlsm&amp;action=default&amp;mobileredirect=true"/>
    <n v="1"/>
    <n v="1"/>
  </r>
  <r>
    <x v="1"/>
    <x v="7"/>
    <s v="6705f71d-405b-f011-aa72-00155d101412"/>
    <d v="2025-07-07T14:39:02"/>
    <x v="41"/>
    <s v="Leidy Susana Ramirez Herrera"/>
    <s v="https://growdatasas.sharepoint.com/sites/pwa/ADRES-MEGA HOPEX 2025"/>
    <s v=" ​Contratar la renovación del licenciamiento, actualizaciones y soporte técnico del software de arquitectura empresarial hopex de mega de la ADRES "/>
    <s v="CONSULTORÍA"/>
    <s v="0370"/>
    <s v="Activo.En Ejecución"/>
    <n v="589176956"/>
    <d v="2025-06-26T00:00:00"/>
    <d v="2025-12-15T00:00:00"/>
    <n v="5.63"/>
    <n v="-3.63"/>
    <n v="2"/>
    <n v="6"/>
    <n v="0.3"/>
    <n v="0.3"/>
    <n v="50762995"/>
    <n v="176753086.79999998"/>
    <n v="176753086.79999998"/>
    <n v="125990091.79999998"/>
    <n v="0"/>
    <n v="3.4819278649732937"/>
    <x v="1"/>
    <n v="1"/>
    <x v="0"/>
    <n v="169209983.33333334"/>
    <n v="-419966972.66666663"/>
    <s v="https://growdatasas.sharepoint.com/:x:/r/sites/Gestiondocumental/Administrativa/GD/Financiera/_layouts/15/Doc.aspx?sourcedoc=%7B9C76270D-595C-496E-97BB-8004054AF14A%7D&amp;file=20251301%20MODELO%20FINANCIERO%20REFERENCIA%20V7.4_ADRES_2A%C3%91OS_VF.xlsm&amp;action=default&amp;mobileredirect=true"/>
    <n v="1"/>
    <n v="1"/>
  </r>
  <r>
    <x v="1"/>
    <x v="8"/>
    <s v="6705f71d-405b-f011-aa72-00155d101412"/>
    <d v="2025-07-07T14:39:02"/>
    <x v="41"/>
    <s v="Leidy Susana Ramirez Herrera"/>
    <s v="https://growdatasas.sharepoint.com/sites/pwa/ADRES-MEGA HOPEX 2025"/>
    <s v=" ​Contratar la renovación del licenciamiento, actualizaciones y soporte técnico del software de arquitectura empresarial hopex de mega de la ADRES "/>
    <s v="CONSULTORÍA"/>
    <s v="0370"/>
    <s v="Activo.En Ejecución"/>
    <n v="589176956"/>
    <d v="2025-06-26T00:00:00"/>
    <d v="2025-12-15T00:00:00"/>
    <n v="5.63"/>
    <n v="-2.63"/>
    <n v="3"/>
    <n v="6"/>
    <n v="0.5"/>
    <n v="0.5"/>
    <n v="330740262"/>
    <n v="294588478"/>
    <n v="294588478"/>
    <n v="-36151784"/>
    <n v="0"/>
    <n v="0.89069433584714275"/>
    <x v="2"/>
    <n v="1"/>
    <x v="0"/>
    <n v="661480524"/>
    <n v="72303568"/>
    <s v="https://growdatasas.sharepoint.com/:x:/r/sites/Gestiondocumental/Administrativa/GD/Financiera/_layouts/15/Doc.aspx?sourcedoc=%7B9C76270D-595C-496E-97BB-8004054AF14A%7D&amp;file=20251301%20MODELO%20FINANCIERO%20REFERENCIA%20V7.4_ADRES_2A%C3%91OS_VF.xlsm&amp;action=default&amp;mobileredirect=true"/>
    <n v="1"/>
    <n v="1"/>
  </r>
  <r>
    <x v="1"/>
    <x v="9"/>
    <s v="6705f71d-405b-f011-aa72-00155d101412"/>
    <d v="2025-07-07T14:39:02"/>
    <x v="41"/>
    <s v="Leidy Susana Ramirez Herrera"/>
    <s v="https://growdatasas.sharepoint.com/sites/pwa/ADRES-MEGA HOPEX 2025"/>
    <s v=" ​Contratar la renovación del licenciamiento, actualizaciones y soporte técnico del software de arquitectura empresarial hopex de mega de la ADRES "/>
    <s v="CONSULTORÍA"/>
    <s v="0370"/>
    <s v="Activo.En Ejecución"/>
    <n v="589176956"/>
    <d v="2025-06-26T00:00:00"/>
    <d v="2025-12-15T00:00:00"/>
    <n v="5.63"/>
    <n v="-1.63"/>
    <n v="4"/>
    <n v="6"/>
    <n v="0.65"/>
    <n v="0.65"/>
    <n v="69719462"/>
    <n v="382965021.40000004"/>
    <n v="382965021.40000004"/>
    <n v="313245559.40000004"/>
    <n v="0"/>
    <n v="5.4929428657954942"/>
    <x v="1"/>
    <n v="1"/>
    <x v="0"/>
    <n v="107260710.76923075"/>
    <n v="-481916245.23076928"/>
    <s v="https://growdatasas.sharepoint.com/:x:/r/sites/Gestiondocumental/Administrativa/GD/Financiera/_layouts/15/Doc.aspx?sourcedoc=%7B9C76270D-595C-496E-97BB-8004054AF14A%7D&amp;file=20251301%20MODELO%20FINANCIERO%20REFERENCIA%20V7.4_ADRES_2A%C3%91OS_VF.xlsm&amp;action=default&amp;mobileredirect=true"/>
    <n v="1"/>
    <n v="1"/>
  </r>
  <r>
    <x v="1"/>
    <x v="10"/>
    <s v="6705f71d-405b-f011-aa72-00155d101412"/>
    <d v="2025-07-07T14:39:02"/>
    <x v="41"/>
    <s v="Leidy Susana Ramirez Herrera"/>
    <s v="https://growdatasas.sharepoint.com/sites/pwa/ADRES-MEGA HOPEX 2025"/>
    <s v=" ​Contratar la renovación del licenciamiento, actualizaciones y soporte técnico del software de arquitectura empresarial hopex de mega de la ADRES "/>
    <s v="CONSULTORÍA"/>
    <s v="0370"/>
    <s v="Activo.En Ejecución"/>
    <n v="589176956"/>
    <d v="2025-06-26T00:00:00"/>
    <d v="2025-12-15T00:00:00"/>
    <n v="5.63"/>
    <n v="-0.62999999999999989"/>
    <n v="5"/>
    <n v="6"/>
    <n v="0.85"/>
    <n v="0.85"/>
    <n v="107632395"/>
    <n v="500800412.59999996"/>
    <n v="500800412.59999996"/>
    <n v="393168017.59999996"/>
    <n v="0"/>
    <n v="4.652878091210364"/>
    <x v="1"/>
    <n v="1"/>
    <x v="0"/>
    <n v="126626347.05882354"/>
    <n v="-462550608.94117647"/>
    <s v="https://growdatasas.sharepoint.com/:x:/r/sites/Gestiondocumental/Administrativa/GD/Financiera/_layouts/15/Doc.aspx?sourcedoc=%7B9C76270D-595C-496E-97BB-8004054AF14A%7D&amp;file=20251301%20MODELO%20FINANCIERO%20REFERENCIA%20V7.4_ADRES_2A%C3%91OS_VF.xlsm&amp;action=default&amp;mobileredirect=true"/>
    <n v="1"/>
    <n v="1"/>
  </r>
  <r>
    <x v="1"/>
    <x v="11"/>
    <s v="6705f71d-405b-f011-aa72-00155d101412"/>
    <d v="2025-07-07T14:39:02"/>
    <x v="41"/>
    <s v="Leidy Susana Ramirez Herrera"/>
    <s v="https://growdatasas.sharepoint.com/sites/pwa/ADRES-MEGA HOPEX 2025"/>
    <s v=" ​Contratar la renovación del licenciamiento, actualizaciones y soporte técnico del software de arquitectura empresarial hopex de mega de la ADRES "/>
    <s v="CONSULTORÍA"/>
    <s v="0370"/>
    <s v="Activo.En Ejecución"/>
    <n v="589176956"/>
    <d v="2025-06-26T00:00:00"/>
    <d v="2025-12-15T00:00:00"/>
    <n v="5.63"/>
    <n v="0.37000000000000011"/>
    <n v="6"/>
    <n v="6"/>
    <n v="1"/>
    <n v="1"/>
    <n v="12850063"/>
    <n v="589176956"/>
    <n v="589176956"/>
    <n v="576326893"/>
    <n v="0"/>
    <n v="45.850121979946714"/>
    <x v="1"/>
    <n v="1"/>
    <x v="0"/>
    <n v="12850063"/>
    <n v="-576326893"/>
    <s v="https://growdatasas.sharepoint.com/:x:/r/sites/Gestiondocumental/Administrativa/GD/Financiera/_layouts/15/Doc.aspx?sourcedoc=%7B9C76270D-595C-496E-97BB-8004054AF14A%7D&amp;file=20251301%20MODELO%20FINANCIERO%20REFERENCIA%20V7.4_ADRES_2A%C3%91OS_VF.xlsm&amp;action=default&amp;mobileredirect=true"/>
    <n v="1"/>
    <n v="1"/>
  </r>
  <r>
    <x v="1"/>
    <x v="6"/>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7.1"/>
    <n v="2"/>
    <n v="11"/>
    <n v="0.19"/>
    <n v="0.19"/>
    <n v="1753299905"/>
    <n v="979537221.97000003"/>
    <n v="979537221.97000003"/>
    <n v="-773762683.02999997"/>
    <n v="0"/>
    <n v="0.55868207097746925"/>
    <x v="2"/>
    <n v="1"/>
    <x v="0"/>
    <n v="9227894236.842104"/>
    <n v="4072435173.842104"/>
    <s v="https://growdatasas.sharepoint.com/:x:/r/sites/Gestiondocumental/Administrativa/GD/Financiera/_layouts/15/Doc.aspx?sourcedoc=%7BCBD85F36-19B3-4585-A509-7CFC7A30BABA%7D&amp;file=MODELO%20FINANCIERO%20CNE%202025_8%20(Fase%205%20aprobado).xlsm&amp;action=default&amp;mobileredirect=true"/>
    <n v="1"/>
    <n v="1"/>
  </r>
  <r>
    <x v="1"/>
    <x v="7"/>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6.1"/>
    <n v="3"/>
    <n v="11"/>
    <n v="0.31"/>
    <n v="0.31"/>
    <n v="448273673"/>
    <n v="1598192309.53"/>
    <n v="1598192309.53"/>
    <n v="1149918636.53"/>
    <n v="0"/>
    <n v="3.5652156389964929"/>
    <x v="1"/>
    <n v="1"/>
    <x v="0"/>
    <n v="1446044106.4516129"/>
    <n v="-3709414956.5483871"/>
    <s v="https://growdatasas.sharepoint.com/:x:/r/sites/Gestiondocumental/Administrativa/GD/Financiera/_layouts/15/Doc.aspx?sourcedoc=%7BCBD85F36-19B3-4585-A509-7CFC7A30BABA%7D&amp;file=MODELO%20FINANCIERO%20CNE%202025_8%20(Fase%205%20aprobado).xlsm&amp;action=default&amp;mobileredirect=true"/>
    <n v="1"/>
    <n v="1"/>
  </r>
  <r>
    <x v="1"/>
    <x v="8"/>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5.0999999999999996"/>
    <n v="4"/>
    <n v="11"/>
    <n v="0.43"/>
    <n v="0.43"/>
    <n v="378745034"/>
    <n v="2216847397.0900002"/>
    <n v="2216847397.0900002"/>
    <n v="1838102363.0900002"/>
    <n v="0"/>
    <n v="5.8531391782948106"/>
    <x v="1"/>
    <n v="1"/>
    <x v="0"/>
    <n v="880802404.65116274"/>
    <n v="-4274656658.3488374"/>
    <s v="https://growdatasas.sharepoint.com/:x:/r/sites/Gestiondocumental/Administrativa/GD/Financiera/_layouts/15/Doc.aspx?sourcedoc=%7BCBD85F36-19B3-4585-A509-7CFC7A30BABA%7D&amp;file=MODELO%20FINANCIERO%20CNE%202025_8%20(Fase%205%20aprobado).xlsm&amp;action=default&amp;mobileredirect=true"/>
    <n v="1"/>
    <n v="1"/>
  </r>
  <r>
    <x v="1"/>
    <x v="9"/>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4.0999999999999996"/>
    <n v="5"/>
    <n v="11"/>
    <n v="0.5"/>
    <n v="0.5"/>
    <n v="378745034"/>
    <n v="2577729531.5"/>
    <n v="2577729531.5"/>
    <n v="2198984497.5"/>
    <n v="0"/>
    <n v="6.8059757887148962"/>
    <x v="1"/>
    <n v="1"/>
    <x v="0"/>
    <n v="757490068"/>
    <n v="-4397968995"/>
    <s v="https://growdatasas.sharepoint.com/:x:/r/sites/Gestiondocumental/Administrativa/GD/Financiera/_layouts/15/Doc.aspx?sourcedoc=%7BCBD85F36-19B3-4585-A509-7CFC7A30BABA%7D&amp;file=MODELO%20FINANCIERO%20CNE%202025_8%20(Fase%205%20aprobado).xlsm&amp;action=default&amp;mobileredirect=true"/>
    <n v="1"/>
    <n v="1"/>
  </r>
  <r>
    <x v="1"/>
    <x v="10"/>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3.0999999999999996"/>
    <n v="6"/>
    <n v="11"/>
    <n v="0.65"/>
    <n v="0.65"/>
    <n v="378745034"/>
    <n v="3351048390.9500003"/>
    <n v="3351048390.9500003"/>
    <n v="2972303356.9500003"/>
    <n v="0"/>
    <n v="8.8477685253293661"/>
    <x v="1"/>
    <n v="1"/>
    <x v="0"/>
    <n v="582684667.69230759"/>
    <n v="-4572774395.3076925"/>
    <s v="https://growdatasas.sharepoint.com/:x:/r/sites/Gestiondocumental/Administrativa/GD/Financiera/_layouts/15/Doc.aspx?sourcedoc=%7BCBD85F36-19B3-4585-A509-7CFC7A30BABA%7D&amp;file=MODELO%20FINANCIERO%20CNE%202025_8%20(Fase%205%20aprobado).xlsm&amp;action=default&amp;mobileredirect=true"/>
    <n v="1"/>
    <n v="1"/>
  </r>
  <r>
    <x v="1"/>
    <x v="11"/>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2.0999999999999996"/>
    <n v="7"/>
    <n v="11"/>
    <n v="0.7"/>
    <n v="0.7"/>
    <n v="378745034"/>
    <n v="3608821344.0999999"/>
    <n v="3608821344.0999999"/>
    <n v="3230076310.0999999"/>
    <n v="0"/>
    <n v="9.5283661042008543"/>
    <x v="1"/>
    <n v="1"/>
    <x v="0"/>
    <n v="541064334.28571427"/>
    <n v="-4614394728.7142859"/>
    <s v="https://growdatasas.sharepoint.com/:x:/r/sites/Gestiondocumental/Administrativa/GD/Financiera/_layouts/15/Doc.aspx?sourcedoc=%7BCBD85F36-19B3-4585-A509-7CFC7A30BABA%7D&amp;file=MODELO%20FINANCIERO%20CNE%202025_8%20(Fase%205%20aprobado).xlsm&amp;action=default&amp;mobileredirect=true"/>
    <n v="1"/>
    <n v="1"/>
  </r>
  <r>
    <x v="2"/>
    <x v="0"/>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1.0999999999999996"/>
    <n v="8"/>
    <n v="11"/>
    <n v="0.75"/>
    <n v="0.75"/>
    <n v="772290883"/>
    <n v="3866594297.25"/>
    <n v="3866594297.25"/>
    <n v="3094303414.25"/>
    <n v="0"/>
    <n v="5.006655370875329"/>
    <x v="1"/>
    <n v="1"/>
    <x v="0"/>
    <n v="1029721177.3333333"/>
    <n v="-4125737885.666667"/>
    <s v="https://growdatasas.sharepoint.com/:x:/r/sites/Gestiondocumental/Administrativa/GD/Financiera/_layouts/15/Doc.aspx?sourcedoc=%7BCBD85F36-19B3-4585-A509-7CFC7A30BABA%7D&amp;file=MODELO%20FINANCIERO%20CNE%202025_8%20(Fase%205%20aprobado).xlsm&amp;action=default&amp;mobileredirect=true"/>
    <n v="1"/>
    <n v="1"/>
  </r>
  <r>
    <x v="2"/>
    <x v="1"/>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9.9999999999999645E-2"/>
    <n v="9"/>
    <n v="11"/>
    <n v="0.85"/>
    <n v="0.85"/>
    <m/>
    <n v="4382140203.5500002"/>
    <n v="4382140203.5500002"/>
    <n v="4382140203.5500002"/>
    <n v="0"/>
    <s v="No se realizó gasto en este corte"/>
    <x v="1"/>
    <n v="1"/>
    <x v="0"/>
    <n v="0"/>
    <n v="-5155459063"/>
    <s v="https://growdatasas.sharepoint.com/:x:/r/sites/Gestiondocumental/Administrativa/GD/Financiera/_layouts/15/Doc.aspx?sourcedoc=%7BCBD85F36-19B3-4585-A509-7CFC7A30BABA%7D&amp;file=MODELO%20FINANCIERO%20CNE%202025_8%20(Fase%205%20aprobado).xlsm&amp;action=default&amp;mobileredirect=true"/>
    <n v="1"/>
    <n v="1"/>
  </r>
  <r>
    <x v="2"/>
    <x v="2"/>
    <s v="836922e6-3a5b-f011-aa66-00155d103d05"/>
    <d v="2025-07-07T14:01:47"/>
    <x v="42"/>
    <s v="Juan Carlos Muñoz Gomez"/>
    <s v="https://growdatasas.sharepoint.com/sites/pwa/ERT-CNE-TI FASE 5"/>
    <s v=" Contratar los servicios de una solución integral para mantener, asegurar y optimizar la plataforma tecnológica del CNE.   "/>
    <s v="TI"/>
    <s v="0369"/>
    <s v="Activo.En Ejecución"/>
    <n v="5155459063"/>
    <d v="2025-06-28T00:00:00"/>
    <d v="2026-03-31T00:00:00"/>
    <n v="9.1"/>
    <n v="0.90000000000000036"/>
    <n v="10"/>
    <n v="11"/>
    <n v="1"/>
    <n v="1"/>
    <m/>
    <n v="5155459063"/>
    <n v="5155459063"/>
    <n v="5155459063"/>
    <n v="0"/>
    <s v="No se realizó gasto en este corte"/>
    <x v="1"/>
    <n v="1"/>
    <x v="0"/>
    <n v="0"/>
    <n v="-5155459063"/>
    <s v="https://growdatasas.sharepoint.com/:x:/r/sites/Gestiondocumental/Administrativa/GD/Financiera/_layouts/15/Doc.aspx?sourcedoc=%7BCBD85F36-19B3-4585-A509-7CFC7A30BABA%7D&amp;file=MODELO%20FINANCIERO%20CNE%202025_8%20(Fase%205%20aprobado).xlsm&amp;action=default&amp;mobileredirect=true"/>
    <n v="1"/>
    <n v="1"/>
  </r>
  <r>
    <x v="1"/>
    <x v="7"/>
    <s v="a9cd0d86-7287-f011-b73a-00155d102b0e"/>
    <d v="2025-09-01T20:30:42"/>
    <x v="43"/>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4"/>
    <n v="1"/>
    <n v="5"/>
    <n v="0.1"/>
    <n v="0.1"/>
    <n v="1003777793"/>
    <n v="501888896.5"/>
    <n v="501888896.5"/>
    <n v="-501888896.5"/>
    <n v="0"/>
    <n v="0.5"/>
    <x v="2"/>
    <n v="1"/>
    <x v="0"/>
    <n v="10037777930"/>
    <n v="5018888965"/>
    <s v="https://growdatasas.sharepoint.com/:x:/r/sites/Gestiondocumental/Administrativa/GD/Financiera/_layouts/15/Doc.aspx?sourcedoc=%7B43DBCCF8-194C-47D3-A7AD-28487A0065F6%7D&amp;file=MODELO%20FINANCIERO%20SNR%20MIGRACIONES%202025%2022.08.25%20v3.xlsm&amp;action=default&amp;mobileredirect=true"/>
    <n v="1"/>
    <n v="1"/>
  </r>
  <r>
    <x v="1"/>
    <x v="8"/>
    <s v="a9cd0d86-7287-f011-b73a-00155d102b0e"/>
    <d v="2025-09-01T20:30:42"/>
    <x v="43"/>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3"/>
    <n v="2"/>
    <n v="5"/>
    <n v="0.45"/>
    <n v="0.45"/>
    <n v="1003777793"/>
    <n v="2258500034.25"/>
    <n v="2258500034.25"/>
    <n v="1254722241.25"/>
    <n v="0"/>
    <n v="2.25"/>
    <x v="1"/>
    <n v="1"/>
    <x v="0"/>
    <n v="2230617317.7777777"/>
    <n v="-2788271647.2222223"/>
    <s v="https://growdatasas.sharepoint.com/:x:/r/sites/Gestiondocumental/Administrativa/GD/Financiera/_layouts/15/Doc.aspx?sourcedoc=%7B43DBCCF8-194C-47D3-A7AD-28487A0065F6%7D&amp;file=MODELO%20FINANCIERO%20SNR%20MIGRACIONES%202025%2022.08.25%20v3.xlsm&amp;action=default&amp;mobileredirect=true"/>
    <n v="1"/>
    <n v="1"/>
  </r>
  <r>
    <x v="1"/>
    <x v="9"/>
    <s v="a9cd0d86-7287-f011-b73a-00155d102b0e"/>
    <d v="2025-09-01T20:30:42"/>
    <x v="43"/>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2"/>
    <n v="3"/>
    <n v="5"/>
    <n v="0.65"/>
    <n v="0.65"/>
    <n v="1003777793"/>
    <n v="3262277827.25"/>
    <n v="3262277827.25"/>
    <n v="2258500034.25"/>
    <n v="0"/>
    <n v="3.25"/>
    <x v="1"/>
    <n v="1"/>
    <x v="0"/>
    <n v="1544273527.6923077"/>
    <n v="-3474615437.3076925"/>
    <s v="https://growdatasas.sharepoint.com/:x:/r/sites/Gestiondocumental/Administrativa/GD/Financiera/_layouts/15/Doc.aspx?sourcedoc=%7B43DBCCF8-194C-47D3-A7AD-28487A0065F6%7D&amp;file=MODELO%20FINANCIERO%20SNR%20MIGRACIONES%202025%2022.08.25%20v3.xlsm&amp;action=default&amp;mobileredirect=true"/>
    <n v="1"/>
    <n v="1"/>
  </r>
  <r>
    <x v="1"/>
    <x v="10"/>
    <s v="a9cd0d86-7287-f011-b73a-00155d102b0e"/>
    <d v="2025-09-01T20:30:42"/>
    <x v="43"/>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1"/>
    <n v="4"/>
    <n v="5"/>
    <n v="0.85"/>
    <n v="0.85"/>
    <n v="1003777793"/>
    <n v="4266055620.25"/>
    <n v="4266055620.25"/>
    <n v="3262277827.25"/>
    <n v="0"/>
    <n v="4.25"/>
    <x v="1"/>
    <n v="1"/>
    <x v="0"/>
    <n v="1180915050.5882354"/>
    <n v="-3837973914.4117646"/>
    <s v="https://growdatasas.sharepoint.com/:x:/r/sites/Gestiondocumental/Administrativa/GD/Financiera/_layouts/15/Doc.aspx?sourcedoc=%7B43DBCCF8-194C-47D3-A7AD-28487A0065F6%7D&amp;file=MODELO%20FINANCIERO%20SNR%20MIGRACIONES%202025%2022.08.25%20v3.xlsm&amp;action=default&amp;mobileredirect=true"/>
    <n v="1"/>
    <n v="1"/>
  </r>
  <r>
    <x v="1"/>
    <x v="11"/>
    <s v="a9cd0d86-7287-f011-b73a-00155d102b0e"/>
    <d v="2025-09-01T20:30:42"/>
    <x v="43"/>
    <s v="Mario Andres Pirachican Gil"/>
    <s v="https://growdatasas.sharepoint.com/sites/pwa/SNR- MIGRACION FOLIO A SIR - 2025"/>
    <s v=" ​CONTRATAR CON ENFOQUE DE CATASTRO MULTIPROPÓSITO LOS SERVICIOS DE NO CONSULTORÍA DE MIGRACIÓN DE LA INFORMACIÓN DE SISTEMAS MISIONALES DE LA SNR DE CONFORMIDAD CON LAS CARACTERÍSTICAS Y CONDICIONES ESTABLECIDAS EN LAS ESPECIFICACIONES TÉCNICAS DE LOS SERVICIOS "/>
    <s v="DATOS Y SISTEMAS DE INFORMACIÓN"/>
    <s v="0375"/>
    <s v="Activo.En Ejecución"/>
    <n v="5018888965"/>
    <d v="2025-08-01T00:00:00"/>
    <d v="2025-12-31T00:00:00"/>
    <n v="5"/>
    <n v="0"/>
    <n v="5"/>
    <n v="5"/>
    <n v="1"/>
    <n v="1"/>
    <n v="1003777793"/>
    <n v="5018888965"/>
    <n v="5018888965"/>
    <n v="4015111172"/>
    <n v="0"/>
    <n v="5"/>
    <x v="1"/>
    <n v="1"/>
    <x v="0"/>
    <n v="1003777793"/>
    <n v="-4015111172"/>
    <s v="https://growdatasas.sharepoint.com/:x:/r/sites/Gestiondocumental/Administrativa/GD/Financiera/_layouts/15/Doc.aspx?sourcedoc=%7B43DBCCF8-194C-47D3-A7AD-28487A0065F6%7D&amp;file=MODELO%20FINANCIERO%20SNR%20MIGRACIONES%202025%2022.08.25%20v3.xlsm&amp;action=default&amp;mobileredirect=true"/>
    <n v="1"/>
    <n v="1"/>
  </r>
  <r>
    <x v="1"/>
    <x v="7"/>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24.7"/>
    <n v="1"/>
    <n v="26"/>
    <n v="0.05"/>
    <n v="0.05"/>
    <n v="152812301"/>
    <n v="72811147.600000009"/>
    <n v="72811147.600000009"/>
    <n v="-80001153.399999991"/>
    <n v="0"/>
    <n v="0.47647438801409064"/>
    <x v="2"/>
    <n v="1"/>
    <x v="0"/>
    <n v="3056246019.9999995"/>
    <n v="1600023067.9999995"/>
    <s v="https://growdatasas.sharepoint.com/:x:/r/sites/Gestiondocumental/Administrativa/GD/Financiera/_layouts/15/Doc.aspx?sourcedoc=%7B538AADB9-4832-4502-992B-5493EC06C9DB%7D&amp;file=250905%20ERA%20MODELO%20FINANCIERO%20REFERENCIA%20V7.5.xlsm&amp;action=default&amp;mobileredirect=true"/>
    <n v="1"/>
    <n v="1"/>
  </r>
  <r>
    <x v="1"/>
    <x v="8"/>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23.7"/>
    <n v="2"/>
    <n v="26"/>
    <n v="0.08"/>
    <n v="0.08"/>
    <n v="1696173"/>
    <n v="116497836.16"/>
    <n v="116497836.16"/>
    <n v="114801663.16"/>
    <n v="0"/>
    <n v="68.682755921713166"/>
    <x v="1"/>
    <n v="1"/>
    <x v="0"/>
    <n v="21202162.500000004"/>
    <n v="-1435020789.5"/>
    <s v="https://growdatasas.sharepoint.com/:x:/r/sites/Gestiondocumental/Administrativa/GD/Financiera/_layouts/15/Doc.aspx?sourcedoc=%7B538AADB9-4832-4502-992B-5493EC06C9DB%7D&amp;file=250905%20ERA%20MODELO%20FINANCIERO%20REFERENCIA%20V7.5.xlsm&amp;action=default&amp;mobileredirect=true"/>
    <n v="1"/>
    <n v="1"/>
  </r>
  <r>
    <x v="1"/>
    <x v="9"/>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22.7"/>
    <n v="3"/>
    <n v="26"/>
    <n v="0.11"/>
    <n v="0.11"/>
    <n v="56955013"/>
    <n v="160184524.72"/>
    <n v="160184524.72"/>
    <n v="103229511.72"/>
    <n v="0"/>
    <n v="2.8124745528545487"/>
    <x v="1"/>
    <n v="1"/>
    <x v="0"/>
    <n v="517772845.45454544"/>
    <n v="-938450106.5454545"/>
    <s v="https://growdatasas.sharepoint.com/:x:/r/sites/Gestiondocumental/Administrativa/GD/Financiera/_layouts/15/Doc.aspx?sourcedoc=%7B538AADB9-4832-4502-992B-5493EC06C9DB%7D&amp;file=250905%20ERA%20MODELO%20FINANCIERO%20REFERENCIA%20V7.5.xlsm&amp;action=default&amp;mobileredirect=true"/>
    <n v="1"/>
    <n v="1"/>
  </r>
  <r>
    <x v="1"/>
    <x v="10"/>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21.7"/>
    <n v="4"/>
    <n v="26"/>
    <n v="0.14000000000000001"/>
    <n v="0.14000000000000001"/>
    <n v="1696173"/>
    <n v="203871213.28000003"/>
    <n v="203871213.28000003"/>
    <n v="202175040.28000003"/>
    <n v="0"/>
    <n v="120.19482286299808"/>
    <x v="1"/>
    <n v="1"/>
    <x v="0"/>
    <n v="12115521.428571425"/>
    <n v="-1444107430.5714285"/>
    <s v="https://growdatasas.sharepoint.com/:x:/r/sites/Gestiondocumental/Administrativa/GD/Financiera/_layouts/15/Doc.aspx?sourcedoc=%7B538AADB9-4832-4502-992B-5493EC06C9DB%7D&amp;file=250905%20ERA%20MODELO%20FINANCIERO%20REFERENCIA%20V7.5.xlsm&amp;action=default&amp;mobileredirect=true"/>
    <n v="1"/>
    <n v="1"/>
  </r>
  <r>
    <x v="1"/>
    <x v="11"/>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20.7"/>
    <n v="5"/>
    <n v="26"/>
    <n v="0.17"/>
    <n v="0.17"/>
    <n v="56955013"/>
    <n v="247557901.84"/>
    <n v="247557901.84"/>
    <n v="190602888.84"/>
    <n v="0"/>
    <n v="4.3465515816843023"/>
    <x v="1"/>
    <n v="1"/>
    <x v="0"/>
    <n v="335029488.2352941"/>
    <n v="-1121193463.7647059"/>
    <s v="https://growdatasas.sharepoint.com/:x:/r/sites/Gestiondocumental/Administrativa/GD/Financiera/_layouts/15/Doc.aspx?sourcedoc=%7B538AADB9-4832-4502-992B-5493EC06C9DB%7D&amp;file=250905%20ERA%20MODELO%20FINANCIERO%20REFERENCIA%20V7.5.xlsm&amp;action=default&amp;mobileredirect=true"/>
    <n v="1"/>
    <n v="1"/>
  </r>
  <r>
    <x v="2"/>
    <x v="0"/>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9.7"/>
    <n v="6"/>
    <n v="26"/>
    <n v="0.2"/>
    <n v="0.2"/>
    <n v="1696173"/>
    <n v="291244590.40000004"/>
    <n v="291244590.40000004"/>
    <n v="289548417.40000004"/>
    <n v="0"/>
    <n v="171.70688980428295"/>
    <x v="1"/>
    <n v="1"/>
    <x v="0"/>
    <n v="8480865"/>
    <n v="-1447742087"/>
    <s v="https://growdatasas.sharepoint.com/:x:/r/sites/Gestiondocumental/Administrativa/GD/Financiera/_layouts/15/Doc.aspx?sourcedoc=%7B538AADB9-4832-4502-992B-5493EC06C9DB%7D&amp;file=250905%20ERA%20MODELO%20FINANCIERO%20REFERENCIA%20V7.5.xlsm&amp;action=default&amp;mobileredirect=true"/>
    <n v="1"/>
    <n v="1"/>
  </r>
  <r>
    <x v="2"/>
    <x v="1"/>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8.7"/>
    <n v="7"/>
    <n v="26"/>
    <n v="0.23"/>
    <m/>
    <m/>
    <n v="0"/>
    <n v="334931278.96000004"/>
    <n v="0"/>
    <n v="-334931278.96000004"/>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2"/>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7.7"/>
    <n v="8"/>
    <n v="26"/>
    <n v="0.26"/>
    <m/>
    <m/>
    <n v="0"/>
    <n v="378617967.52000004"/>
    <n v="0"/>
    <n v="-378617967.52000004"/>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3"/>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6.7"/>
    <n v="9"/>
    <n v="26"/>
    <n v="0.28999999999999998"/>
    <m/>
    <m/>
    <n v="0"/>
    <n v="422304656.07999998"/>
    <n v="0"/>
    <n v="-422304656.07999998"/>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4"/>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5.7"/>
    <n v="10"/>
    <n v="26"/>
    <n v="0.32"/>
    <m/>
    <m/>
    <n v="0"/>
    <n v="465991344.63999999"/>
    <n v="0"/>
    <n v="-465991344.63999999"/>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5"/>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4.7"/>
    <n v="11"/>
    <n v="26"/>
    <n v="0.35"/>
    <m/>
    <m/>
    <n v="0"/>
    <n v="509678033.19999999"/>
    <n v="0"/>
    <n v="-509678033.19999999"/>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6"/>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3.7"/>
    <n v="12"/>
    <n v="26"/>
    <n v="0.44"/>
    <m/>
    <m/>
    <n v="0"/>
    <n v="640738098.88"/>
    <n v="0"/>
    <n v="-640738098.88"/>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7"/>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2.7"/>
    <n v="13"/>
    <n v="26"/>
    <n v="0.5"/>
    <m/>
    <m/>
    <n v="0"/>
    <n v="728111476"/>
    <n v="0"/>
    <n v="-728111476"/>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8"/>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1.7"/>
    <n v="14"/>
    <n v="26"/>
    <n v="0.54"/>
    <m/>
    <m/>
    <n v="0"/>
    <n v="786360394.08000004"/>
    <n v="0"/>
    <n v="-786360394.08000004"/>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9"/>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0.7"/>
    <n v="15"/>
    <n v="26"/>
    <n v="0.56999999999999995"/>
    <m/>
    <m/>
    <n v="0"/>
    <n v="830047082.63999999"/>
    <n v="0"/>
    <n v="-830047082.63999999"/>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10"/>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9.6999999999999993"/>
    <n v="16"/>
    <n v="26"/>
    <n v="0.60666666666666702"/>
    <m/>
    <m/>
    <n v="0"/>
    <n v="883441924.21333385"/>
    <n v="0"/>
    <n v="-883441924.21333385"/>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2"/>
    <x v="11"/>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8.6999999999999993"/>
    <n v="17"/>
    <n v="26"/>
    <n v="0.64166666666666705"/>
    <m/>
    <m/>
    <n v="0"/>
    <n v="934409727.5333339"/>
    <n v="0"/>
    <n v="-934409727.5333339"/>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0"/>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7.6999999999999993"/>
    <n v="18"/>
    <n v="26"/>
    <n v="0.67666666666666697"/>
    <m/>
    <m/>
    <n v="0"/>
    <n v="985377530.85333383"/>
    <n v="0"/>
    <n v="-985377530.85333383"/>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1"/>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6.6999999999999993"/>
    <n v="19"/>
    <n v="26"/>
    <n v="0.711666666666667"/>
    <m/>
    <m/>
    <n v="0"/>
    <n v="1036345334.1733338"/>
    <n v="0"/>
    <n v="-1036345334.1733338"/>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2"/>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5.6999999999999993"/>
    <n v="20"/>
    <n v="26"/>
    <n v="0.74666666666666703"/>
    <m/>
    <m/>
    <n v="0"/>
    <n v="1087313137.4933338"/>
    <n v="0"/>
    <n v="-1087313137.4933338"/>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3"/>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4.6999999999999993"/>
    <n v="21"/>
    <n v="26"/>
    <n v="0.78166666666666695"/>
    <m/>
    <m/>
    <n v="0"/>
    <n v="1138280940.8133337"/>
    <n v="0"/>
    <n v="-1138280940.8133337"/>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4"/>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3.6999999999999993"/>
    <n v="22"/>
    <n v="26"/>
    <n v="0.81666666666666698"/>
    <m/>
    <m/>
    <n v="0"/>
    <n v="1189248744.1333337"/>
    <n v="0"/>
    <n v="-1189248744.1333337"/>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5"/>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2.6999999999999993"/>
    <n v="23"/>
    <n v="26"/>
    <n v="0.85166666666666702"/>
    <m/>
    <m/>
    <n v="0"/>
    <n v="1240216547.4533339"/>
    <n v="0"/>
    <n v="-1240216547.4533339"/>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6"/>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6999999999999993"/>
    <n v="24"/>
    <n v="26"/>
    <n v="0.88666666666666705"/>
    <m/>
    <m/>
    <n v="0"/>
    <n v="1291184350.7733338"/>
    <n v="0"/>
    <n v="-1291184350.7733338"/>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7"/>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0.69999999999999929"/>
    <n v="25"/>
    <n v="26"/>
    <n v="0.92166666666666697"/>
    <m/>
    <m/>
    <n v="0"/>
    <n v="1342152154.0933337"/>
    <n v="0"/>
    <n v="-1342152154.0933337"/>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8"/>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0.30000000000000071"/>
    <n v="26"/>
    <n v="26"/>
    <n v="0.956666666666667"/>
    <m/>
    <m/>
    <n v="0"/>
    <n v="1393119957.4133339"/>
    <n v="0"/>
    <n v="-1393119957.4133339"/>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3"/>
    <x v="9"/>
    <s v="da7743bf-fe9f-f011-ad65-00155d10510e"/>
    <d v="2025-10-03T02:15:02"/>
    <x v="44"/>
    <s v="Laura Johanna Jaramillo Soto"/>
    <s v="https://growdatasas.sharepoint.com/sites/pwa/UT GROW OMEGA - CORTOLIMA - ERA"/>
    <s v=" ​REALIZAR_x000a_LA EVALUACIÓN REGIONAL DEL AGUA EN EL DEPARTAMENTO DEL TOLIMA "/>
    <s v="CONSULTORÍA"/>
    <s v="10033"/>
    <s v="Activo.En Ejecución"/>
    <n v="1456222952"/>
    <d v="2025-08-11T00:00:00"/>
    <d v="2027-10-02T00:00:00"/>
    <n v="25.7"/>
    <n v="1.3000000000000007"/>
    <n v="27"/>
    <n v="26"/>
    <n v="1"/>
    <m/>
    <m/>
    <n v="0"/>
    <n v="1456222952"/>
    <n v="0"/>
    <n v="-1456222952"/>
    <s v="No se realizó gasto en este corte"/>
    <x v="1"/>
    <n v="0"/>
    <x v="3"/>
    <n v="0"/>
    <n v="-1456222952"/>
    <s v="https://growdatasas.sharepoint.com/:x:/r/sites/Gestiondocumental/Administrativa/GD/Financiera/_layouts/15/Doc.aspx?sourcedoc=%7B538AADB9-4832-4502-992B-5493EC06C9DB%7D&amp;file=250905%20ERA%20MODELO%20FINANCIERO%20REFERENCIA%20V7.5.xlsm&amp;action=default&amp;mobileredirect=true"/>
    <n v="1"/>
    <n v="1"/>
  </r>
  <r>
    <x v="1"/>
    <x v="7"/>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9.6300000000000008"/>
    <n v="1"/>
    <n v="11"/>
    <n v="0.25"/>
    <n v="0.25"/>
    <n v="986184207"/>
    <n v="1608389528.75"/>
    <n v="1608389528.75"/>
    <n v="622205321.75"/>
    <n v="0"/>
    <n v="1.6309220096342507"/>
    <x v="1"/>
    <n v="1"/>
    <x v="0"/>
    <n v="3944736828.0000005"/>
    <n v="-2488821286.9999995"/>
    <s v="https://growdatasas.sharepoint.com/:x:/r/sites/Gestiondocumental/Administrativa/GD/Financiera/_layouts/15/Doc.aspx?sourcedoc=%7B41841B21-2BE8-4447-91BA-4CA8390FA143%7D&amp;file=MODELO%20FINANCIERO%20ELECCIONES%202025%20INTEGRADO%20V3%20DEF.xlsm&amp;action=default&amp;mobileredirect=true"/>
    <n v="1"/>
    <n v="1"/>
  </r>
  <r>
    <x v="1"/>
    <x v="8"/>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8.6300000000000008"/>
    <n v="2"/>
    <n v="11"/>
    <n v="0.38"/>
    <n v="0.38"/>
    <n v="375854197"/>
    <n v="2444752083.6999998"/>
    <n v="2444752083.6999998"/>
    <n v="2068897886.6999998"/>
    <n v="0"/>
    <n v="6.5045225069017913"/>
    <x v="1"/>
    <n v="1"/>
    <x v="0"/>
    <n v="989089992.10526323"/>
    <n v="-5444468122.8947372"/>
    <s v="https://growdatasas.sharepoint.com/:x:/r/sites/Gestiondocumental/Administrativa/GD/Financiera/_layouts/15/Doc.aspx?sourcedoc=%7B41841B21-2BE8-4447-91BA-4CA8390FA143%7D&amp;file=MODELO%20FINANCIERO%20ELECCIONES%202025%20INTEGRADO%20V3%20DEF.xlsm&amp;action=default&amp;mobileredirect=true"/>
    <n v="1"/>
    <n v="1"/>
  </r>
  <r>
    <x v="1"/>
    <x v="9"/>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7.6300000000000008"/>
    <n v="3"/>
    <n v="11"/>
    <n v="0.42"/>
    <n v="0.42"/>
    <n v="460611574"/>
    <n v="2702094408.2999997"/>
    <n v="2702094408.2999997"/>
    <n v="2241482834.2999997"/>
    <n v="0"/>
    <n v="5.8663189568484437"/>
    <x v="1"/>
    <n v="1"/>
    <x v="0"/>
    <n v="1096694223.8095238"/>
    <n v="-5336863891.1904764"/>
    <s v="https://growdatasas.sharepoint.com/:x:/r/sites/Gestiondocumental/Administrativa/GD/Financiera/_layouts/15/Doc.aspx?sourcedoc=%7B41841B21-2BE8-4447-91BA-4CA8390FA143%7D&amp;file=MODELO%20FINANCIERO%20ELECCIONES%202025%20INTEGRADO%20V3%20DEF.xlsm&amp;action=default&amp;mobileredirect=true"/>
    <n v="1"/>
    <n v="1"/>
  </r>
  <r>
    <x v="1"/>
    <x v="10"/>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6.6300000000000008"/>
    <n v="4"/>
    <n v="11"/>
    <n v="0.55000000000000004"/>
    <n v="0.55000000000000004"/>
    <n v="490857921"/>
    <n v="3538456963.2500005"/>
    <n v="3538456963.2500005"/>
    <n v="3047599042.2500005"/>
    <n v="0"/>
    <n v="7.2087192889569369"/>
    <x v="1"/>
    <n v="1"/>
    <x v="0"/>
    <n v="892468947.27272725"/>
    <n v="-5541089167.727273"/>
    <s v="https://growdatasas.sharepoint.com/:x:/r/sites/Gestiondocumental/Administrativa/GD/Financiera/_layouts/15/Doc.aspx?sourcedoc=%7B41841B21-2BE8-4447-91BA-4CA8390FA143%7D&amp;file=MODELO%20FINANCIERO%20ELECCIONES%202025%20INTEGRADO%20V3%20DEF.xlsm&amp;action=default&amp;mobileredirect=true"/>
    <n v="1"/>
    <n v="1"/>
  </r>
  <r>
    <x v="1"/>
    <x v="11"/>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5.6300000000000008"/>
    <n v="5"/>
    <n v="11"/>
    <n v="0.65"/>
    <n v="0.65"/>
    <n v="354021088"/>
    <n v="4181812774.75"/>
    <n v="4181812774.75"/>
    <n v="3827791686.75"/>
    <n v="0"/>
    <n v="11.81232676950024"/>
    <x v="1"/>
    <n v="1"/>
    <x v="0"/>
    <n v="544647827.69230771"/>
    <n v="-5888910287.3076925"/>
    <s v="https://growdatasas.sharepoint.com/:x:/r/sites/Gestiondocumental/Administrativa/GD/Financiera/_layouts/15/Doc.aspx?sourcedoc=%7B41841B21-2BE8-4447-91BA-4CA8390FA143%7D&amp;file=MODELO%20FINANCIERO%20ELECCIONES%202025%20INTEGRADO%20V3%20DEF.xlsm&amp;action=default&amp;mobileredirect=true"/>
    <n v="1"/>
    <n v="1"/>
  </r>
  <r>
    <x v="2"/>
    <x v="0"/>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4.6300000000000008"/>
    <n v="6"/>
    <n v="11"/>
    <n v="0.7"/>
    <n v="0.7"/>
    <n v="1132985975"/>
    <n v="4503490680.5"/>
    <n v="4503490680.5"/>
    <n v="3370504705.5"/>
    <n v="0"/>
    <n v="3.9748865209915771"/>
    <x v="1"/>
    <n v="1"/>
    <x v="0"/>
    <n v="1618551392.8571429"/>
    <n v="-4815006722.1428566"/>
    <s v="https://growdatasas.sharepoint.com/:x:/r/sites/Gestiondocumental/Administrativa/GD/Financiera/_layouts/15/Doc.aspx?sourcedoc=%7B41841B21-2BE8-4447-91BA-4CA8390FA143%7D&amp;file=MODELO%20FINANCIERO%20ELECCIONES%202025%20INTEGRADO%20V3%20DEF.xlsm&amp;action=default&amp;mobileredirect=true"/>
    <n v="1"/>
    <n v="1"/>
  </r>
  <r>
    <x v="2"/>
    <x v="1"/>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3.6300000000000008"/>
    <n v="7"/>
    <n v="11"/>
    <n v="0.75"/>
    <n v="0.75"/>
    <m/>
    <n v="4825168586.25"/>
    <n v="4825168586.25"/>
    <n v="4825168586.25"/>
    <n v="0"/>
    <s v="No se realizó gasto en este corte"/>
    <x v="1"/>
    <n v="1"/>
    <x v="0"/>
    <n v="0"/>
    <n v="-6433558115"/>
    <s v="https://growdatasas.sharepoint.com/:x:/r/sites/Gestiondocumental/Administrativa/GD/Financiera/_layouts/15/Doc.aspx?sourcedoc=%7B41841B21-2BE8-4447-91BA-4CA8390FA143%7D&amp;file=MODELO%20FINANCIERO%20ELECCIONES%202025%20INTEGRADO%20V3%20DEF.xlsm&amp;action=default&amp;mobileredirect=true"/>
    <n v="1"/>
    <n v="1"/>
  </r>
  <r>
    <x v="2"/>
    <x v="2"/>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2.6300000000000008"/>
    <n v="8"/>
    <n v="11"/>
    <n v="0.8"/>
    <n v="0.8"/>
    <m/>
    <n v="5146846492"/>
    <n v="5146846492"/>
    <n v="5146846492"/>
    <n v="0"/>
    <s v="No se realizó gasto en este corte"/>
    <x v="1"/>
    <n v="1"/>
    <x v="0"/>
    <n v="0"/>
    <n v="-6433558115"/>
    <s v="https://growdatasas.sharepoint.com/:x:/r/sites/Gestiondocumental/Administrativa/GD/Financiera/_layouts/15/Doc.aspx?sourcedoc=%7B41841B21-2BE8-4447-91BA-4CA8390FA143%7D&amp;file=MODELO%20FINANCIERO%20ELECCIONES%202025%20INTEGRADO%20V3%20DEF.xlsm&amp;action=default&amp;mobileredirect=true"/>
    <n v="1"/>
    <n v="1"/>
  </r>
  <r>
    <x v="2"/>
    <x v="3"/>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1.6300000000000008"/>
    <n v="9"/>
    <n v="11"/>
    <n v="0.85"/>
    <n v="0.85"/>
    <m/>
    <n v="5468524397.75"/>
    <n v="5468524397.75"/>
    <n v="5468524397.75"/>
    <n v="0"/>
    <s v="No se realizó gasto en este corte"/>
    <x v="1"/>
    <n v="1"/>
    <x v="0"/>
    <n v="0"/>
    <n v="-6433558115"/>
    <s v="https://growdatasas.sharepoint.com/:x:/r/sites/Gestiondocumental/Administrativa/GD/Financiera/_layouts/15/Doc.aspx?sourcedoc=%7B41841B21-2BE8-4447-91BA-4CA8390FA143%7D&amp;file=MODELO%20FINANCIERO%20ELECCIONES%202025%20INTEGRADO%20V3%20DEF.xlsm&amp;action=default&amp;mobileredirect=true"/>
    <n v="1"/>
    <n v="1"/>
  </r>
  <r>
    <x v="2"/>
    <x v="4"/>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0.63000000000000078"/>
    <n v="10"/>
    <n v="11"/>
    <n v="0.95"/>
    <n v="0.95"/>
    <m/>
    <n v="6111880209.25"/>
    <n v="6111880209.25"/>
    <n v="6111880209.25"/>
    <n v="0"/>
    <s v="No se realizó gasto en este corte"/>
    <x v="1"/>
    <n v="1"/>
    <x v="0"/>
    <n v="0"/>
    <n v="-6433558115"/>
    <s v="https://growdatasas.sharepoint.com/:x:/r/sites/Gestiondocumental/Administrativa/GD/Financiera/_layouts/15/Doc.aspx?sourcedoc=%7B41841B21-2BE8-4447-91BA-4CA8390FA143%7D&amp;file=MODELO%20FINANCIERO%20ELECCIONES%202025%20INTEGRADO%20V3%20DEF.xlsm&amp;action=default&amp;mobileredirect=true"/>
    <n v="1"/>
    <n v="1"/>
  </r>
  <r>
    <x v="2"/>
    <x v="5"/>
    <s v="53987d4b-0a7e-f011-b522-00155d103c1f"/>
    <d v="2025-08-20T21:11:56"/>
    <x v="45"/>
    <s v="Jose Leonardo Gutierrez Cumbe"/>
    <s v="https://growdatasas.sharepoint.com/sites/pwa/TELEFONICA - RNEC-ELECCIONES 2026"/>
    <s v=" Grow Data S.A.S. presenta una solución integral que cubre los tres componentes establecidos por TELEFÓNICA en el Capítulo XIII: Plan de Comunicaciones (acompañamiento regional y monitoreo Starlink), Mesa de ayuda nivel 1 y Plataforma Tecnológica de Comunicaciones (Infocandidatos).  "/>
    <s v="TI"/>
    <s v="0373"/>
    <s v="Activo.En Ejecución"/>
    <n v="6433558115"/>
    <d v="2025-08-11T00:00:00"/>
    <d v="2026-06-30T00:00:00"/>
    <n v="10.63"/>
    <n v="0.36999999999999922"/>
    <n v="11"/>
    <n v="11"/>
    <n v="1"/>
    <n v="1"/>
    <m/>
    <n v="6433558115"/>
    <n v="6433558115"/>
    <n v="6433558115"/>
    <n v="0"/>
    <s v="No se realizó gasto en este corte"/>
    <x v="1"/>
    <n v="1"/>
    <x v="0"/>
    <n v="0"/>
    <n v="-6433558115"/>
    <s v="https://growdatasas.sharepoint.com/:x:/r/sites/Gestiondocumental/Administrativa/GD/Financiera/_layouts/15/Doc.aspx?sourcedoc=%7B41841B21-2BE8-4447-91BA-4CA8390FA143%7D&amp;file=MODELO%20FINANCIERO%20ELECCIONES%202025%20INTEGRADO%20V3%20DEF.xlsm&amp;action=default&amp;mobileredirect=true"/>
    <n v="1"/>
    <n v="1"/>
  </r>
  <r>
    <x v="1"/>
    <x v="7"/>
    <s v="b351b482-1d7a-f011-b525-00155d685e04"/>
    <d v="2025-08-15T21:19:30"/>
    <x v="46"/>
    <s v="Rodrigo Alexander Ramirez Ospina"/>
    <s v="https://growdatasas.sharepoint.com/sites/pwa/EMTEL-ANT-ARQ-SOFT-2025"/>
    <s v=" ​Fortalecimiento, integración y mejoras del sistema integral de tierras (SIT), Diseño e Implementación de la Arquitectura Empresarial (AE) y Gestión Estratégica de TI e Inteligencia Artificial para Ubicación Predial "/>
    <s v="DATOS Y SISTEMAS DE INFORMACIÓN"/>
    <s v="0372"/>
    <s v="Activo.En Ejecución"/>
    <n v="4203074639"/>
    <d v="2025-08-15T00:00:00"/>
    <d v="2026-01-15T00:00:00"/>
    <n v="5"/>
    <n v="-4"/>
    <n v="1"/>
    <n v="5"/>
    <n v="0.05"/>
    <n v="0.05"/>
    <n v="786808926"/>
    <n v="210153731.95000002"/>
    <n v="210153731.95000002"/>
    <n v="-576655194.04999995"/>
    <n v="0"/>
    <n v="0.26709627332062069"/>
    <x v="2"/>
    <n v="1"/>
    <x v="0"/>
    <n v="15736178519.999998"/>
    <n v="11533103880.999998"/>
    <s v="https://growdatasas.sharepoint.com/:x:/r/sites/Gestiondocumental/Administrativa/GD/Financiera/_layouts/15/Doc.aspx?sourcedoc=%7B7342DE4F-42D6-43D5-B227-6B91A3A42F97%7D&amp;file=MODELO%20FINANCIERO%20ANT%20DESARROLLO%2BARQ%2BIA%2022.08.25%20V4.xlsm&amp;action=default&amp;mobileredirect=true"/>
    <n v="1"/>
    <n v="1"/>
  </r>
  <r>
    <x v="1"/>
    <x v="8"/>
    <s v="b351b482-1d7a-f011-b525-00155d685e04"/>
    <d v="2025-08-15T21:19:30"/>
    <x v="46"/>
    <s v="Rodrigo Alexander Ramirez Ospina"/>
    <s v="https://growdatasas.sharepoint.com/sites/pwa/EMTEL-ANT-ARQ-SOFT-2025"/>
    <s v=" ​Fortalecimiento, integración y mejoras del sistema integral de tierras (SIT), Diseño e Implementación de la Arquitectura Empresarial (AE) y Gestión Estratégica de TI e Inteligencia Artificial para Ubicación Predial "/>
    <s v="DATOS Y SISTEMAS DE INFORMACIÓN"/>
    <s v="0372"/>
    <s v="Activo.En Ejecución"/>
    <n v="4203074639"/>
    <d v="2025-08-15T00:00:00"/>
    <d v="2026-01-15T00:00:00"/>
    <n v="5"/>
    <n v="-3"/>
    <n v="2"/>
    <n v="5"/>
    <n v="0.15"/>
    <n v="0.15"/>
    <n v="735484357"/>
    <n v="630461195.85000002"/>
    <n v="630461195.85000002"/>
    <n v="-105023161.14999998"/>
    <n v="0"/>
    <n v="0.85720544543138399"/>
    <x v="2"/>
    <n v="1"/>
    <x v="0"/>
    <n v="4903229046.666666"/>
    <n v="700154407.66666603"/>
    <s v="https://growdatasas.sharepoint.com/:x:/r/sites/Gestiondocumental/Administrativa/GD/Financiera/_layouts/15/Doc.aspx?sourcedoc=%7B7342DE4F-42D6-43D5-B227-6B91A3A42F97%7D&amp;file=MODELO%20FINANCIERO%20ANT%20DESARROLLO%2BARQ%2BIA%2022.08.25%20V4.xlsm&amp;action=default&amp;mobileredirect=true"/>
    <n v="1"/>
    <n v="1"/>
  </r>
  <r>
    <x v="1"/>
    <x v="9"/>
    <s v="b351b482-1d7a-f011-b525-00155d685e04"/>
    <d v="2025-08-15T21:19:30"/>
    <x v="46"/>
    <s v="Rodrigo Alexander Ramirez Ospina"/>
    <s v="https://growdatasas.sharepoint.com/sites/pwa/EMTEL-ANT-ARQ-SOFT-2025"/>
    <s v=" ​Fortalecimiento, integración y mejoras del sistema integral de tierras (SIT), Diseño e Implementación de la Arquitectura Empresarial (AE) y Gestión Estratégica de TI e Inteligencia Artificial para Ubicación Predial "/>
    <s v="DATOS Y SISTEMAS DE INFORMACIÓN"/>
    <s v="0372"/>
    <s v="Activo.En Ejecución"/>
    <n v="4203074639"/>
    <d v="2025-08-15T00:00:00"/>
    <d v="2026-01-15T00:00:00"/>
    <n v="5"/>
    <n v="-2"/>
    <n v="3"/>
    <n v="5"/>
    <n v="0.35"/>
    <n v="0.35"/>
    <n v="735484357"/>
    <n v="1471076123.6499999"/>
    <n v="1471076123.6499999"/>
    <n v="735591766.64999986"/>
    <n v="0"/>
    <n v="2.0001460393398958"/>
    <x v="1"/>
    <n v="1"/>
    <x v="0"/>
    <n v="2101383877.1428573"/>
    <n v="-2101690761.8571427"/>
    <s v="https://growdatasas.sharepoint.com/:x:/r/sites/Gestiondocumental/Administrativa/GD/Financiera/_layouts/15/Doc.aspx?sourcedoc=%7B7342DE4F-42D6-43D5-B227-6B91A3A42F97%7D&amp;file=MODELO%20FINANCIERO%20ANT%20DESARROLLO%2BARQ%2BIA%2022.08.25%20V4.xlsm&amp;action=default&amp;mobileredirect=true"/>
    <n v="1"/>
    <n v="1"/>
  </r>
  <r>
    <x v="1"/>
    <x v="10"/>
    <s v="b351b482-1d7a-f011-b525-00155d685e04"/>
    <d v="2025-08-15T21:19:30"/>
    <x v="46"/>
    <s v="Rodrigo Alexander Ramirez Ospina"/>
    <s v="https://growdatasas.sharepoint.com/sites/pwa/EMTEL-ANT-ARQ-SOFT-2025"/>
    <s v=" ​Fortalecimiento, integración y mejoras del sistema integral de tierras (SIT), Diseño e Implementación de la Arquitectura Empresarial (AE) y Gestión Estratégica de TI e Inteligencia Artificial para Ubicación Predial "/>
    <s v="DATOS Y SISTEMAS DE INFORMACIÓN"/>
    <s v="0372"/>
    <s v="Activo.En Ejecución"/>
    <n v="4203074639"/>
    <d v="2025-08-15T00:00:00"/>
    <d v="2026-01-15T00:00:00"/>
    <n v="5"/>
    <n v="-1"/>
    <n v="4"/>
    <n v="5"/>
    <n v="0.55000000000000004"/>
    <n v="0.55000000000000004"/>
    <n v="735484357"/>
    <n v="2311691051.4500003"/>
    <n v="2311691051.4500003"/>
    <n v="1576206694.4500003"/>
    <n v="0"/>
    <n v="3.1430866332484082"/>
    <x v="1"/>
    <n v="1"/>
    <x v="0"/>
    <n v="1337244285.4545453"/>
    <n v="-2865830353.545455"/>
    <s v="https://growdatasas.sharepoint.com/:x:/r/sites/Gestiondocumental/Administrativa/GD/Financiera/_layouts/15/Doc.aspx?sourcedoc=%7B7342DE4F-42D6-43D5-B227-6B91A3A42F97%7D&amp;file=MODELO%20FINANCIERO%20ANT%20DESARROLLO%2BARQ%2BIA%2022.08.25%20V4.xlsm&amp;action=default&amp;mobileredirect=true"/>
    <n v="1"/>
    <n v="1"/>
  </r>
  <r>
    <x v="1"/>
    <x v="11"/>
    <s v="b351b482-1d7a-f011-b525-00155d685e04"/>
    <d v="2025-08-15T21:19:30"/>
    <x v="46"/>
    <s v="Rodrigo Alexander Ramirez Ospina"/>
    <s v="https://growdatasas.sharepoint.com/sites/pwa/EMTEL-ANT-ARQ-SOFT-2025"/>
    <s v=" ​Fortalecimiento, integración y mejoras del sistema integral de tierras (SIT), Diseño e Implementación de la Arquitectura Empresarial (AE) y Gestión Estratégica de TI e Inteligencia Artificial para Ubicación Predial "/>
    <s v="DATOS Y SISTEMAS DE INFORMACIÓN"/>
    <s v="0372"/>
    <s v="Activo.En Ejecución"/>
    <n v="4203074639"/>
    <d v="2025-08-15T00:00:00"/>
    <d v="2026-01-15T00:00:00"/>
    <n v="5"/>
    <n v="-4"/>
    <n v="1"/>
    <n v="5"/>
    <n v="0.75"/>
    <n v="0.75"/>
    <n v="735484357"/>
    <n v="3152305979.25"/>
    <n v="3152305979.25"/>
    <n v="2416821622.25"/>
    <n v="0"/>
    <n v="4.2860272271569197"/>
    <x v="1"/>
    <n v="1"/>
    <x v="0"/>
    <n v="980645809.33333337"/>
    <n v="-3222428829.6666665"/>
    <s v="https://growdatasas.sharepoint.com/:x:/r/sites/Gestiondocumental/Administrativa/GD/Financiera/_layouts/15/Doc.aspx?sourcedoc=%7B7342DE4F-42D6-43D5-B227-6B91A3A42F97%7D&amp;file=MODELO%20FINANCIERO%20ANT%20DESARROLLO%2BARQ%2BIA%2022.08.25%20V4.xlsm&amp;action=default&amp;mobileredirect=true"/>
    <n v="1"/>
    <n v="1"/>
  </r>
  <r>
    <x v="1"/>
    <x v="8"/>
    <s v="005160ba-1588-f011-b73c-00155d109318"/>
    <d v="2025-09-02T15:58:58"/>
    <x v="47"/>
    <s v="Guiovanni Andres Serrano Serna"/>
    <s v="https://growdatasas.sharepoint.com/sites/pwa/FCM- HERRAMIENTA CALIDAD"/>
    <s v=" ​Concurso_x000a_  de méritos  CM-02-FCM-2025.  _x000a_    Contrato de consultoría para el desarrollo de una herramienta para la_x000a_  calidad del dato en la interoperabilidad de los sistemas de recaudo de la_x000a_  Federación Colombiana de Municipios en cumplimiento de la función pública_x000a_  asignada - Simit   "/>
    <s v="DATOS Y SISTEMAS DE INFORMACIÓN"/>
    <s v="10032"/>
    <s v="Activo.En Ejecución"/>
    <n v="683254187"/>
    <d v="2025-09-01T00:00:00"/>
    <d v="2025-12-30T00:00:00"/>
    <n v="3.97"/>
    <n v="-1.9700000000000002"/>
    <n v="2"/>
    <n v="5"/>
    <n v="0.25"/>
    <n v="0.25"/>
    <n v="180457034"/>
    <n v="170813546.75"/>
    <n v="170813546.75"/>
    <n v="-9643487.25"/>
    <n v="0"/>
    <n v="0.94656075722711919"/>
    <x v="2"/>
    <n v="1"/>
    <x v="0"/>
    <n v="721828136"/>
    <n v="38573949"/>
    <s v="https://growdatasas.sharepoint.com/:x:/r/sites/Gestiondocumental/Administrativa/GD/Financiera/_layouts/15/Doc.aspx?sourcedoc=%7BBFBC0E56-0D26-4209-BEC0-A1582426050B%7D&amp;file=MODELO%20FINANCIERO%20FCM%20UT%2029.09.25%20V1.xlsm&amp;action=default&amp;mobileredirect=true"/>
    <n v="1"/>
    <n v="1"/>
  </r>
  <r>
    <x v="1"/>
    <x v="9"/>
    <s v="005160ba-1588-f011-b73c-00155d109318"/>
    <d v="2025-09-02T15:58:58"/>
    <x v="47"/>
    <s v="Guiovanni Andres Serrano Serna"/>
    <s v="https://growdatasas.sharepoint.com/sites/pwa/FCM- HERRAMIENTA CALIDAD"/>
    <s v=" ​Concurso_x000a_  de méritos  CM-02-FCM-2025.  _x000a_    Contrato de consultoría para el desarrollo de una herramienta para la_x000a_  calidad del dato en la interoperabilidad de los sistemas de recaudo de la_x000a_  Federación Colombiana de Municipios en cumplimiento de la función pública_x000a_  asignada - Simit   "/>
    <s v="DATOS Y SISTEMAS DE INFORMACIÓN"/>
    <s v="10032"/>
    <s v="Activo.En Ejecución"/>
    <n v="683254187"/>
    <d v="2025-09-01T00:00:00"/>
    <d v="2025-12-30T00:00:00"/>
    <n v="3.97"/>
    <n v="-0.9700000000000002"/>
    <n v="3"/>
    <n v="5"/>
    <n v="0.5"/>
    <n v="0.5"/>
    <n v="167599051"/>
    <n v="341627093.5"/>
    <n v="341627093.5"/>
    <n v="174028042.5"/>
    <n v="0"/>
    <n v="2.0383593550299994"/>
    <x v="1"/>
    <n v="1"/>
    <x v="0"/>
    <n v="335198102"/>
    <n v="-348056085"/>
    <s v="https://growdatasas.sharepoint.com/:x:/r/sites/Gestiondocumental/Administrativa/GD/Financiera/_layouts/15/Doc.aspx?sourcedoc=%7BBFBC0E56-0D26-4209-BEC0-A1582426050B%7D&amp;file=MODELO%20FINANCIERO%20FCM%20UT%2029.09.25%20V1.xlsm&amp;action=default&amp;mobileredirect=true"/>
    <n v="1"/>
    <n v="1"/>
  </r>
  <r>
    <x v="1"/>
    <x v="10"/>
    <s v="005160ba-1588-f011-b73c-00155d109318"/>
    <d v="2025-09-02T15:58:58"/>
    <x v="47"/>
    <s v="Guiovanni Andres Serrano Serna"/>
    <s v="https://growdatasas.sharepoint.com/sites/pwa/FCM- HERRAMIENTA CALIDAD"/>
    <s v=" ​Concurso_x000a_  de méritos  CM-02-FCM-2025.  _x000a_    Contrato de consultoría para el desarrollo de una herramienta para la_x000a_  calidad del dato en la interoperabilidad de los sistemas de recaudo de la_x000a_  Federación Colombiana de Municipios en cumplimiento de la función pública_x000a_  asignada - Simit   "/>
    <s v="DATOS Y SISTEMAS DE INFORMACIÓN"/>
    <s v="10032"/>
    <s v="Activo.En Ejecución"/>
    <n v="683254187"/>
    <d v="2025-09-01T00:00:00"/>
    <d v="2025-12-30T00:00:00"/>
    <n v="3.97"/>
    <n v="2.9999999999999805E-2"/>
    <n v="4"/>
    <n v="5"/>
    <n v="0.75"/>
    <n v="0.75"/>
    <n v="167599051"/>
    <n v="512440640.25"/>
    <n v="512440640.25"/>
    <n v="344841589.25"/>
    <n v="0"/>
    <n v="3.0575390325449994"/>
    <x v="1"/>
    <n v="1"/>
    <x v="0"/>
    <n v="223465401.33333334"/>
    <n v="-459788785.66666663"/>
    <s v="https://growdatasas.sharepoint.com/:x:/r/sites/Gestiondocumental/Administrativa/GD/Financiera/_layouts/15/Doc.aspx?sourcedoc=%7BBFBC0E56-0D26-4209-BEC0-A1582426050B%7D&amp;file=MODELO%20FINANCIERO%20FCM%20UT%2029.09.25%20V1.xlsm&amp;action=default&amp;mobileredirect=true"/>
    <n v="1"/>
    <n v="1"/>
  </r>
  <r>
    <x v="1"/>
    <x v="11"/>
    <s v="005160ba-1588-f011-b73c-00155d109318"/>
    <d v="2025-09-02T15:58:58"/>
    <x v="47"/>
    <s v="Guiovanni Andres Serrano Serna"/>
    <s v="https://growdatasas.sharepoint.com/sites/pwa/FCM- HERRAMIENTA CALIDAD"/>
    <s v=" ​Concurso_x000a_  de méritos  CM-02-FCM-2025.  _x000a_    Contrato de consultoría para el desarrollo de una herramienta para la_x000a_  calidad del dato en la interoperabilidad de los sistemas de recaudo de la_x000a_  Federación Colombiana de Municipios en cumplimiento de la función pública_x000a_  asignada - Simit   "/>
    <s v="DATOS Y SISTEMAS DE INFORMACIÓN"/>
    <s v="10032"/>
    <s v="Activo.En Ejecución"/>
    <n v="683254187"/>
    <d v="2025-09-01T00:00:00"/>
    <d v="2025-12-30T00:00:00"/>
    <n v="3.97"/>
    <n v="-2.97"/>
    <n v="1"/>
    <n v="5"/>
    <n v="1"/>
    <n v="1"/>
    <n v="167599051"/>
    <n v="683254187"/>
    <n v="683254187"/>
    <n v="515655136"/>
    <n v="0"/>
    <n v="4.0767187100599989"/>
    <x v="1"/>
    <n v="1"/>
    <x v="0"/>
    <n v="167599051"/>
    <n v="-515655136"/>
    <s v="https://growdatasas.sharepoint.com/:x:/r/sites/Gestiondocumental/Administrativa/GD/Financiera/_layouts/15/Doc.aspx?sourcedoc=%7BBFBC0E56-0D26-4209-BEC0-A1582426050B%7D&amp;file=MODELO%20FINANCIERO%20FCM%20UT%2029.09.25%20V1.xlsm&amp;action=default&amp;mobileredirect=true"/>
    <n v="1"/>
    <n v="1"/>
  </r>
  <r>
    <x v="1"/>
    <x v="8"/>
    <s v="bafcc872-0f88-f011-b73c-00155d107618"/>
    <d v="2025-09-02T15:14:07"/>
    <x v="48"/>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2"/>
    <n v="2"/>
    <n v="5"/>
    <n v="0.25"/>
    <n v="0.25"/>
    <n v="6075431"/>
    <n v="40575431.5"/>
    <n v="40575431.5"/>
    <n v="34500000.5"/>
    <n v="0"/>
    <n v="6.6786095504993801"/>
    <x v="1"/>
    <n v="1"/>
    <x v="0"/>
    <n v="24301724"/>
    <n v="-138000002"/>
    <s v="https://growdatasas.sharepoint.com/:x:/r/sites/Gestiondocumental/Administrativa/GD/Financiera/_layouts/15/Doc.aspx?sourcedoc=%7B5693324A-E570-4B4F-9F46-B89F46926326%7D&amp;file=20251301%20MODELO%20FINANCIERO%20REFERENCIA%20V7.4_INM_2025%20-%20PMO.xlsm&amp;action=default&amp;mobileredirect=true"/>
    <n v="1"/>
    <n v="1"/>
  </r>
  <r>
    <x v="1"/>
    <x v="9"/>
    <s v="bafcc872-0f88-f011-b73c-00155d107618"/>
    <d v="2025-09-02T15:14:07"/>
    <x v="48"/>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3"/>
    <n v="5"/>
    <n v="0.5"/>
    <n v="0.5"/>
    <n v="33675431"/>
    <n v="81150863"/>
    <n v="81150863"/>
    <n v="47475432"/>
    <n v="0"/>
    <n v="2.4097943393805412"/>
    <x v="1"/>
    <n v="1"/>
    <x v="0"/>
    <n v="67350862"/>
    <n v="-94950864"/>
    <s v="https://growdatasas.sharepoint.com/:x:/r/sites/Gestiondocumental/Administrativa/GD/Financiera/_layouts/15/Doc.aspx?sourcedoc=%7B5693324A-E570-4B4F-9F46-B89F46926326%7D&amp;file=20251301%20MODELO%20FINANCIERO%20REFERENCIA%20V7.4_INM_2025%20-%20PMO.xlsm&amp;action=default&amp;mobileredirect=true"/>
    <n v="1"/>
    <n v="1"/>
  </r>
  <r>
    <x v="1"/>
    <x v="10"/>
    <s v="bafcc872-0f88-f011-b73c-00155d107618"/>
    <d v="2025-09-02T15:14:07"/>
    <x v="48"/>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0"/>
    <n v="4"/>
    <n v="5"/>
    <n v="0.75"/>
    <n v="0.75"/>
    <n v="47475431"/>
    <n v="121726294.5"/>
    <n v="121726294.5"/>
    <n v="74250863.5"/>
    <n v="0"/>
    <n v="2.5639850325950699"/>
    <x v="1"/>
    <n v="1"/>
    <x v="0"/>
    <n v="63300574.666666672"/>
    <n v="-99001151.333333328"/>
    <s v="https://growdatasas.sharepoint.com/:x:/r/sites/Gestiondocumental/Administrativa/GD/Financiera/_layouts/15/Doc.aspx?sourcedoc=%7B5693324A-E570-4B4F-9F46-B89F46926326%7D&amp;file=20251301%20MODELO%20FINANCIERO%20REFERENCIA%20V7.4_INM_2025%20-%20PMO.xlsm&amp;action=default&amp;mobileredirect=true"/>
    <n v="1"/>
    <n v="1"/>
  </r>
  <r>
    <x v="1"/>
    <x v="11"/>
    <s v="bafcc872-0f88-f011-b73c-00155d107618"/>
    <d v="2025-09-02T15:14:07"/>
    <x v="48"/>
    <s v="Johan Sebastian Rodriguez Niño"/>
    <s v="https://growdatasas.sharepoint.com/sites/pwa/CCD-INM-AE-2025"/>
    <s v=" ​CONTRATAR LOS SERVICIOS PARA IMPLEMENTAR LA HOJA DE RUTA DE ARQUITECTURA EMPRESARIAL, MODELO DE GESTIÓN POR PROCESOS Y MODELO DE GOBIERNO DE DATOS PARA EL INM "/>
    <s v="CONSULTORÍA"/>
    <s v="0376"/>
    <s v="Activo.En Ejecución"/>
    <n v="162301726"/>
    <d v="2025-09-01T00:00:00"/>
    <d v="2025-12-31T00:00:00"/>
    <n v="4"/>
    <n v="1"/>
    <n v="5"/>
    <n v="5"/>
    <n v="1"/>
    <n v="1"/>
    <n v="75075431"/>
    <n v="162301726"/>
    <n v="162301726"/>
    <n v="87226295"/>
    <n v="0"/>
    <n v="2.161848741168066"/>
    <x v="1"/>
    <n v="1"/>
    <x v="0"/>
    <n v="75075431"/>
    <n v="-87226295"/>
    <s v="https://growdatasas.sharepoint.com/:x:/r/sites/Gestiondocumental/Administrativa/GD/Financiera/_layouts/15/Doc.aspx?sourcedoc=%7B5693324A-E570-4B4F-9F46-B89F46926326%7D&amp;file=20251301%20MODELO%20FINANCIERO%20REFERENCIA%20V7.4_INM_2025%20-%20PMO.xlsm&amp;action=default&amp;mobileredirect=true"/>
    <n v="1"/>
    <n v="1"/>
  </r>
  <r>
    <x v="1"/>
    <x v="8"/>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0.97"/>
    <n v="1"/>
    <n v="12"/>
    <n v="0.15"/>
    <n v="0.15"/>
    <n v="478402976"/>
    <n v="718866436.5"/>
    <n v="718866436.5"/>
    <n v="240463460.5"/>
    <n v="0"/>
    <n v="1.5026378859733516"/>
    <x v="1"/>
    <n v="1"/>
    <x v="0"/>
    <n v="3189353173.333333"/>
    <n v="-1603089736.666667"/>
    <s v="https://growdatasas.sharepoint.com/:x:/r/sites/Gestiondocumental/Administrativa/GD/Financiera/_layouts/15/Doc.aspx?sourcedoc=%7BC3892D65-489F-443F-A599-C986A63B9A18%7D&amp;file=MODELO%20FINANCIERO%20FNA%20ECOSISTEMA%20DE%20DATOS%20V14_modDCU.xlsm&amp;action=default&amp;mobileredirect=true"/>
    <n v="1"/>
    <n v="1"/>
  </r>
  <r>
    <x v="1"/>
    <x v="9"/>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9.9700000000000006"/>
    <n v="2"/>
    <n v="12"/>
    <n v="0.25"/>
    <n v="0.25"/>
    <n v="392185449"/>
    <n v="1198110727.5"/>
    <n v="1198110727.5"/>
    <n v="805925278.5"/>
    <n v="0"/>
    <n v="3.0549596639930412"/>
    <x v="1"/>
    <n v="1"/>
    <x v="0"/>
    <n v="1568741796"/>
    <n v="-3223701114"/>
    <s v="https://growdatasas.sharepoint.com/:x:/r/sites/Gestiondocumental/Administrativa/GD/Financiera/_layouts/15/Doc.aspx?sourcedoc=%7BC3892D65-489F-443F-A599-C986A63B9A18%7D&amp;file=MODELO%20FINANCIERO%20FNA%20ECOSISTEMA%20DE%20DATOS%20V14_modDCU.xlsm&amp;action=default&amp;mobileredirect=true"/>
    <n v="1"/>
    <n v="1"/>
  </r>
  <r>
    <x v="1"/>
    <x v="10"/>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8.9700000000000006"/>
    <n v="3"/>
    <n v="12"/>
    <n v="0.3"/>
    <n v="0.3"/>
    <n v="392185449"/>
    <n v="1437732873"/>
    <n v="1437732873"/>
    <n v="1045547424"/>
    <n v="0"/>
    <n v="3.6659515967916496"/>
    <x v="1"/>
    <n v="1"/>
    <x v="0"/>
    <n v="1307284830"/>
    <n v="-3485158080"/>
    <s v="https://growdatasas.sharepoint.com/:x:/r/sites/Gestiondocumental/Administrativa/GD/Financiera/_layouts/15/Doc.aspx?sourcedoc=%7BC3892D65-489F-443F-A599-C986A63B9A18%7D&amp;file=MODELO%20FINANCIERO%20FNA%20ECOSISTEMA%20DE%20DATOS%20V14_modDCU.xlsm&amp;action=default&amp;mobileredirect=true"/>
    <n v="1"/>
    <n v="1"/>
  </r>
  <r>
    <x v="1"/>
    <x v="11"/>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7.9700000000000006"/>
    <n v="4"/>
    <n v="12"/>
    <n v="0.35"/>
    <n v="0.35"/>
    <n v="392185449"/>
    <n v="1677355018.5"/>
    <n v="1677355018.5"/>
    <n v="1285169569.5"/>
    <n v="0"/>
    <n v="4.276943529590258"/>
    <x v="1"/>
    <n v="1"/>
    <x v="0"/>
    <n v="1120529854.2857141"/>
    <n v="-3671913055.7142859"/>
    <s v="https://growdatasas.sharepoint.com/:x:/r/sites/Gestiondocumental/Administrativa/GD/Financiera/_layouts/15/Doc.aspx?sourcedoc=%7BC3892D65-489F-443F-A599-C986A63B9A18%7D&amp;file=MODELO%20FINANCIERO%20FNA%20ECOSISTEMA%20DE%20DATOS%20V14_modDCU.xlsm&amp;action=default&amp;mobileredirect=true"/>
    <n v="1"/>
    <n v="1"/>
  </r>
  <r>
    <x v="2"/>
    <x v="0"/>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6.9700000000000006"/>
    <n v="5"/>
    <n v="12"/>
    <n v="0.5"/>
    <n v="0.5"/>
    <n v="392185449"/>
    <n v="2396221455"/>
    <n v="2396221455"/>
    <n v="2004036006"/>
    <n v="0"/>
    <n v="6.1099193279860824"/>
    <x v="1"/>
    <n v="1"/>
    <x v="0"/>
    <n v="784370898"/>
    <n v="-4008072012"/>
    <s v="https://growdatasas.sharepoint.com/:x:/r/sites/Gestiondocumental/Administrativa/GD/Financiera/_layouts/15/Doc.aspx?sourcedoc=%7BC3892D65-489F-443F-A599-C986A63B9A18%7D&amp;file=MODELO%20FINANCIERO%20FNA%20ECOSISTEMA%20DE%20DATOS%20V14_modDCU.xlsm&amp;action=default&amp;mobileredirect=true"/>
    <n v="1"/>
    <n v="1"/>
  </r>
  <r>
    <x v="2"/>
    <x v="1"/>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5.9700000000000006"/>
    <n v="6"/>
    <n v="12"/>
    <n v="0.62"/>
    <n v="0.62"/>
    <m/>
    <n v="2971314604.1999998"/>
    <n v="2971314604.1999998"/>
    <n v="2971314604.1999998"/>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2"/>
    <x v="2"/>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4.9700000000000006"/>
    <n v="7"/>
    <n v="12"/>
    <n v="0.7"/>
    <n v="0.7"/>
    <m/>
    <n v="3354710037"/>
    <n v="3354710037"/>
    <n v="3354710037"/>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2"/>
    <x v="3"/>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3.9700000000000006"/>
    <n v="8"/>
    <n v="12"/>
    <n v="0.78"/>
    <n v="0.78"/>
    <m/>
    <n v="3738105469.8000002"/>
    <n v="3738105469.8000002"/>
    <n v="3738105469.8000002"/>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2"/>
    <x v="4"/>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700000000000006"/>
    <n v="9"/>
    <n v="12"/>
    <n v="0.8"/>
    <n v="0.8"/>
    <m/>
    <n v="3833954328"/>
    <n v="3833954328"/>
    <n v="3833954328"/>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2"/>
    <x v="5"/>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1.9700000000000006"/>
    <n v="10"/>
    <n v="12"/>
    <n v="0.85"/>
    <n v="0.85"/>
    <m/>
    <n v="4073576473.5"/>
    <n v="4073576473.5"/>
    <n v="4073576473.5"/>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2"/>
    <x v="6"/>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0.97000000000000064"/>
    <n v="11"/>
    <n v="12"/>
    <n v="0.95"/>
    <n v="0.95"/>
    <m/>
    <n v="4552820764.5"/>
    <n v="4552820764.5"/>
    <n v="4552820764.5"/>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2"/>
    <x v="7"/>
    <s v="949f22f0-0d7e-f011-b522-00155d109605"/>
    <d v="2025-08-20T21:38:01"/>
    <x v="49"/>
    <s v="Mario Andres Pirachican Gil"/>
    <s v="https://growdatasas.sharepoint.com/sites/pwa/FNA-FNA -DATAFABRIC"/>
    <s v=" ​Contratar los servicios e implementación de una solución integral Data Fabric y una solución integral de analítica digital con sus respectivos modelos de operación, así como la implementación y adopción del modelo de gobierno de datos transversal del Fondo Nacional del Ahorro S.A. "/>
    <s v="DATOS Y SISTEMAS DE INFORMACIÓN"/>
    <s v="0374"/>
    <s v="Activo.En Ejecución"/>
    <n v="4792442910"/>
    <d v="2025-09-01T00:00:00"/>
    <d v="2026-08-30T00:00:00"/>
    <n v="11.97"/>
    <n v="2.9999999999999361E-2"/>
    <n v="12"/>
    <n v="12"/>
    <n v="1"/>
    <n v="1"/>
    <m/>
    <n v="4792442910"/>
    <n v="4792442910"/>
    <n v="4792442910"/>
    <n v="0"/>
    <s v="No se realizó gasto en este corte"/>
    <x v="1"/>
    <n v="1"/>
    <x v="0"/>
    <n v="0"/>
    <n v="-4792442910"/>
    <s v="https://growdatasas.sharepoint.com/:x:/r/sites/Gestiondocumental/Administrativa/GD/Financiera/_layouts/15/Doc.aspx?sourcedoc=%7BC3892D65-489F-443F-A599-C986A63B9A18%7D&amp;file=MODELO%20FINANCIERO%20FNA%20ECOSISTEMA%20DE%20DATOS%20V14_modDCU.xlsm&amp;action=default&amp;mobileredirect=true"/>
    <n v="1"/>
    <n v="1"/>
  </r>
  <r>
    <x v="1"/>
    <x v="8"/>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7"/>
    <n v="1"/>
    <n v="23"/>
    <n v="0.05"/>
    <n v="0.05"/>
    <n v="167662328"/>
    <n v="184583836.30000001"/>
    <n v="184583836.30000001"/>
    <n v="16921508.300000012"/>
    <n v="0"/>
    <n v="1.1009261203864473"/>
    <x v="1"/>
    <n v="1"/>
    <x v="0"/>
    <n v="3353246559.9999995"/>
    <n v="-338430166.00000048"/>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1"/>
    <x v="9"/>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6"/>
    <n v="2"/>
    <n v="23"/>
    <n v="7.0000000000000007E-2"/>
    <n v="7.0000000000000007E-2"/>
    <n v="125999800"/>
    <n v="258417370.82000002"/>
    <n v="258417370.82000002"/>
    <n v="132417570.82000002"/>
    <n v="0"/>
    <n v="2.0509347698964602"/>
    <x v="1"/>
    <n v="1"/>
    <x v="0"/>
    <n v="1799997142.8571429"/>
    <n v="-1891679583.1428571"/>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1"/>
    <x v="10"/>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5"/>
    <n v="3"/>
    <n v="23"/>
    <n v="0.11"/>
    <n v="0.11"/>
    <n v="125999800"/>
    <n v="406084439.86000001"/>
    <n v="406084439.86000001"/>
    <n v="280084639.86000001"/>
    <n v="0"/>
    <n v="3.2228974955515803"/>
    <x v="1"/>
    <n v="1"/>
    <x v="0"/>
    <n v="1145452727.2727273"/>
    <n v="-2546223998.727273"/>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1"/>
    <x v="11"/>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4"/>
    <n v="4"/>
    <n v="23"/>
    <n v="0.13666666666666699"/>
    <n v="0.13666666666666699"/>
    <n v="125999800"/>
    <n v="504529152.55333453"/>
    <n v="504529152.55333453"/>
    <n v="378529352.55333453"/>
    <n v="0"/>
    <n v="4.0042059793216698"/>
    <x v="1"/>
    <n v="1"/>
    <x v="0"/>
    <n v="921949756.09755874"/>
    <n v="-2769726969.902441"/>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0"/>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3"/>
    <n v="5"/>
    <n v="23"/>
    <n v="0.16666666666666699"/>
    <n v="0.16666666666666699"/>
    <n v="125999800"/>
    <n v="615279454.33333457"/>
    <n v="615279454.33333457"/>
    <n v="489279654.33333457"/>
    <n v="0"/>
    <n v="4.8831780235630102"/>
    <x v="1"/>
    <n v="1"/>
    <x v="0"/>
    <n v="755998799.99999845"/>
    <n v="-2935677926.0000014"/>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1"/>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2"/>
    <n v="6"/>
    <n v="23"/>
    <n v="0.19666666666666699"/>
    <m/>
    <m/>
    <n v="0"/>
    <n v="726029756.11333454"/>
    <n v="0"/>
    <n v="-726029756.11333454"/>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2"/>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1"/>
    <n v="7"/>
    <n v="23"/>
    <n v="0.22666666666666699"/>
    <m/>
    <m/>
    <n v="0"/>
    <n v="836780057.89333451"/>
    <n v="0"/>
    <n v="-836780057.89333451"/>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3"/>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0"/>
    <n v="8"/>
    <n v="23"/>
    <n v="0.25666666666666699"/>
    <m/>
    <m/>
    <n v="0"/>
    <n v="947530359.67333448"/>
    <n v="0"/>
    <n v="-947530359.67333448"/>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4"/>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9"/>
    <n v="9"/>
    <n v="23"/>
    <n v="0.28666666666666701"/>
    <m/>
    <m/>
    <n v="0"/>
    <n v="1058280661.4533346"/>
    <n v="0"/>
    <n v="-1058280661.4533346"/>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5"/>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8"/>
    <n v="10"/>
    <n v="23"/>
    <n v="0.31666666666666698"/>
    <m/>
    <m/>
    <n v="0"/>
    <n v="1169030963.2333345"/>
    <n v="0"/>
    <n v="-1169030963.2333345"/>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6"/>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7"/>
    <n v="11"/>
    <n v="23"/>
    <n v="0.34666666666666701"/>
    <m/>
    <m/>
    <n v="0"/>
    <n v="1279781265.0133345"/>
    <n v="0"/>
    <n v="-1279781265.0133345"/>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7"/>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6"/>
    <n v="12"/>
    <n v="23"/>
    <n v="0.37666666666666698"/>
    <m/>
    <m/>
    <n v="0"/>
    <n v="1390531566.7933345"/>
    <n v="0"/>
    <n v="-1390531566.7933345"/>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8"/>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5"/>
    <n v="13"/>
    <n v="23"/>
    <n v="0.40666666666666701"/>
    <m/>
    <m/>
    <n v="0"/>
    <n v="1501281868.5733347"/>
    <n v="0"/>
    <n v="-1501281868.5733347"/>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9"/>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4"/>
    <n v="14"/>
    <n v="23"/>
    <n v="0.43666666666666698"/>
    <m/>
    <m/>
    <n v="0"/>
    <n v="1612032170.3533344"/>
    <n v="0"/>
    <n v="-1612032170.3533344"/>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10"/>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3"/>
    <n v="15"/>
    <n v="23"/>
    <n v="0.46666666666666701"/>
    <m/>
    <m/>
    <n v="0"/>
    <n v="1722782472.1333346"/>
    <n v="0"/>
    <n v="-1722782472.1333346"/>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2"/>
    <x v="11"/>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2"/>
    <n v="16"/>
    <n v="23"/>
    <n v="0.49666666666666698"/>
    <m/>
    <m/>
    <n v="0"/>
    <n v="1833532773.9133344"/>
    <n v="0"/>
    <n v="-1833532773.9133344"/>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0"/>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1"/>
    <n v="17"/>
    <n v="23"/>
    <n v="0.52666666666666695"/>
    <m/>
    <m/>
    <n v="0"/>
    <n v="1944283075.6933343"/>
    <n v="0"/>
    <n v="-1944283075.6933343"/>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1"/>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0"/>
    <n v="18"/>
    <n v="23"/>
    <n v="0.55666666666666698"/>
    <m/>
    <m/>
    <n v="0"/>
    <n v="2055033377.4733346"/>
    <n v="0"/>
    <n v="-2055033377.4733346"/>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2"/>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9"/>
    <n v="19"/>
    <n v="23"/>
    <n v="0.586666666666667"/>
    <m/>
    <m/>
    <n v="0"/>
    <n v="2165783679.2533345"/>
    <n v="0"/>
    <n v="-2165783679.2533345"/>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3"/>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8"/>
    <n v="20"/>
    <n v="23"/>
    <n v="0.61666666666666703"/>
    <m/>
    <m/>
    <n v="0"/>
    <n v="2276533981.0333347"/>
    <n v="0"/>
    <n v="-2276533981.0333347"/>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4"/>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7"/>
    <n v="21"/>
    <n v="23"/>
    <n v="0.64666666666666694"/>
    <m/>
    <m/>
    <n v="0"/>
    <n v="2387284282.8133345"/>
    <n v="0"/>
    <n v="-2387284282.8133345"/>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5"/>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6"/>
    <n v="22"/>
    <n v="23"/>
    <n v="0.67666666666666697"/>
    <m/>
    <m/>
    <n v="0"/>
    <n v="2498034584.5933347"/>
    <n v="0"/>
    <n v="-2498034584.5933347"/>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6"/>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5"/>
    <n v="23"/>
    <n v="23"/>
    <n v="0.706666666666667"/>
    <m/>
    <m/>
    <n v="0"/>
    <n v="2608784886.3733344"/>
    <n v="0"/>
    <n v="-2608784886.3733344"/>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7"/>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4"/>
    <n v="24"/>
    <n v="23"/>
    <n v="0.73666666666666702"/>
    <m/>
    <m/>
    <n v="0"/>
    <n v="2719535188.1533346"/>
    <n v="0"/>
    <n v="-2719535188.1533346"/>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8"/>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3"/>
    <n v="25"/>
    <n v="23"/>
    <n v="0.76666666666666705"/>
    <m/>
    <m/>
    <n v="0"/>
    <n v="2830285489.9333348"/>
    <n v="0"/>
    <n v="-2830285489.9333348"/>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9"/>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2"/>
    <n v="26"/>
    <n v="23"/>
    <n v="0.79666666666666697"/>
    <m/>
    <m/>
    <n v="0"/>
    <n v="2941035791.7133346"/>
    <n v="0"/>
    <n v="-2941035791.7133346"/>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10"/>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7"/>
    <n v="23"/>
    <n v="0.85"/>
    <m/>
    <m/>
    <n v="0"/>
    <n v="3137925217.0999999"/>
    <n v="0"/>
    <n v="-3137925217.0999999"/>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3"/>
    <x v="11"/>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0"/>
    <n v="28"/>
    <n v="23"/>
    <n v="0.9"/>
    <m/>
    <m/>
    <n v="0"/>
    <n v="3322509053.4000001"/>
    <n v="0"/>
    <n v="-3322509053.4000001"/>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4"/>
    <x v="0"/>
    <s v="11742009-4d92-f011-b748-00155d10e50b"/>
    <d v="2025-09-15T16:00:04"/>
    <x v="50"/>
    <s v="Gerardo Andres Segura Rincon"/>
    <s v="https://growdatasas.sharepoint.com/sites/pwa/UT PORTAL TRANSACCIONAL ALCALDIA BOG"/>
    <s v="UT PORTAL TRANSACCIONAL ALCALDIA BOG "/>
    <s v="DATOS Y SISTEMAS DE INFORMACIÓN"/>
    <s v="10031"/>
    <s v="Activo.En Ejecución"/>
    <n v="3691676726"/>
    <d v="2025-09-05T00:00:00"/>
    <d v="2028-01-05T00:00:00"/>
    <n v="28"/>
    <n v="1"/>
    <n v="29"/>
    <n v="23"/>
    <n v="1"/>
    <m/>
    <m/>
    <n v="0"/>
    <n v="3691676726"/>
    <n v="0"/>
    <n v="-3691676726"/>
    <s v="No se realizó gasto en este corte"/>
    <x v="1"/>
    <n v="0"/>
    <x v="3"/>
    <n v="0"/>
    <n v="-3691676726"/>
    <s v="https://growdatasas.sharepoint.com/:x:/r/sites/Gestiondocumental/Administrativa/GD/Financiera/_layouts/15/Doc.aspx?sourcedoc=%7BDADD2B05-21D9-4686-A901-13FB00FDC4B4%7D&amp;file=MODELO%20FINANCIERO%20ALCALDIA%20DE%20BOGOTA%20PORTAL%20TRANSACCIONAL%2002.09.25%20V9.xlsm&amp;action=default&amp;mobileredirect=true"/>
    <n v="1"/>
    <n v="1"/>
  </r>
  <r>
    <x v="1"/>
    <x v="8"/>
    <s v="1b43123c-dca2-f011-ad61-00155d10ce02"/>
    <d v="2025-10-06T17:45:27"/>
    <x v="51"/>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2"/>
    <n v="1"/>
    <n v="3"/>
    <n v="0.25"/>
    <n v="0.25"/>
    <n v="414602230"/>
    <n v="392520087.25"/>
    <n v="392520087.25"/>
    <n v="-22082142.75"/>
    <n v="0"/>
    <n v="0.94673896773300037"/>
    <x v="2"/>
    <n v="1"/>
    <x v="0"/>
    <n v="1658408920"/>
    <n v="88328571"/>
    <s v="https://growdatasas.sharepoint.com/:x:/r/sites/Gestiondocumental/Administrativa/GD/Financiera/_layouts/15/Doc.aspx?sourcedoc=%7B1DB7BB77-F516-4EEA-9E40-1031014F157D%7D&amp;file=MODELO%20FINANCIERO%20CGR%207.10.25%20v3.xlsm&amp;action=default&amp;mobileredirect=true"/>
    <n v="1"/>
    <n v="1"/>
  </r>
  <r>
    <x v="1"/>
    <x v="9"/>
    <s v="1b43123c-dca2-f011-ad61-00155d10ce02"/>
    <d v="2025-10-06T17:45:27"/>
    <x v="51"/>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2"/>
    <n v="3"/>
    <n v="0.5"/>
    <n v="0.5"/>
    <n v="385159373"/>
    <n v="785040174.5"/>
    <n v="785040174.5"/>
    <n v="399880801.5"/>
    <n v="0"/>
    <n v="2.038221654546104"/>
    <x v="1"/>
    <n v="1"/>
    <x v="0"/>
    <n v="770318746"/>
    <n v="-799761603"/>
    <s v="https://growdatasas.sharepoint.com/:x:/r/sites/Gestiondocumental/Administrativa/GD/Financiera/_layouts/15/Doc.aspx?sourcedoc=%7B1DB7BB77-F516-4EEA-9E40-1031014F157D%7D&amp;file=MODELO%20FINANCIERO%20CGR%207.10.25%20v3.xlsm&amp;action=default&amp;mobileredirect=true"/>
    <n v="1"/>
    <n v="1"/>
  </r>
  <r>
    <x v="1"/>
    <x v="10"/>
    <s v="1b43123c-dca2-f011-ad61-00155d10ce02"/>
    <d v="2025-10-06T17:45:27"/>
    <x v="51"/>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0"/>
    <n v="3"/>
    <n v="3"/>
    <n v="0.75"/>
    <n v="0.75"/>
    <n v="385159373"/>
    <n v="1177560261.75"/>
    <n v="1177560261.75"/>
    <n v="792400888.75"/>
    <n v="0"/>
    <n v="3.0573324818191558"/>
    <x v="1"/>
    <n v="1"/>
    <x v="0"/>
    <n v="513545830.66666669"/>
    <n v="-1056534518.3333333"/>
    <s v="https://growdatasas.sharepoint.com/:x:/r/sites/Gestiondocumental/Administrativa/GD/Financiera/_layouts/15/Doc.aspx?sourcedoc=%7B1DB7BB77-F516-4EEA-9E40-1031014F157D%7D&amp;file=MODELO%20FINANCIERO%20CGR%207.10.25%20v3.xlsm&amp;action=default&amp;mobileredirect=true"/>
    <n v="1"/>
    <n v="1"/>
  </r>
  <r>
    <x v="1"/>
    <x v="11"/>
    <s v="1b43123c-dca2-f011-ad61-00155d10ce02"/>
    <d v="2025-10-06T17:45:27"/>
    <x v="51"/>
    <s v="Liliana Isabel Paba Alvear"/>
    <s v="https://growdatasas.sharepoint.com/sites/pwa/CONTRALORIA GENERAL DE LA REPUBLICA"/>
    <s v="Diseñar e implementar un sistema metabuscador integral para los modelos de analítica e información generada por los procesos automatizados en la cgr, aprovechando las capacidades de data lake y haciendo uso de un modelo semántico de documentos, expediente electrónico y datos "/>
    <s v="CONSULTORÍA"/>
    <s v="10034"/>
    <s v="Activo"/>
    <n v="1570080349"/>
    <d v="2025-09-15T00:00:00"/>
    <d v="2025-12-15T00:00:00"/>
    <n v="3"/>
    <n v="1"/>
    <n v="4"/>
    <n v="3"/>
    <n v="1"/>
    <n v="1"/>
    <n v="385159373"/>
    <n v="1570080349"/>
    <n v="1570080349"/>
    <n v="1184920976"/>
    <n v="0"/>
    <n v="4.0764433090922081"/>
    <x v="1"/>
    <n v="1"/>
    <x v="0"/>
    <n v="385159373"/>
    <n v="-1184920976"/>
    <s v="https://growdatasas.sharepoint.com/:x:/r/sites/Gestiondocumental/Administrativa/GD/Financiera/_layouts/15/Doc.aspx?sourcedoc=%7B1DB7BB77-F516-4EEA-9E40-1031014F157D%7D&amp;file=MODELO%20FINANCIERO%20CGR%207.10.25%20v3.xlsm&amp;action=default&amp;mobileredirect=true"/>
    <n v="1"/>
    <n v="1"/>
  </r>
  <r>
    <x v="1"/>
    <x v="9"/>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6.97"/>
    <n v="1"/>
    <n v="8"/>
    <n v="0.1"/>
    <n v="0.1"/>
    <n v="74335965"/>
    <n v="442011577.20000005"/>
    <n v="442011577.20000005"/>
    <n v="367675612.20000005"/>
    <n v="0"/>
    <n v="5.9461335734324567"/>
    <x v="1"/>
    <n v="1"/>
    <x v="0"/>
    <n v="743359650"/>
    <n v="-3676756122"/>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1"/>
    <x v="10"/>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5.97"/>
    <n v="2"/>
    <n v="8"/>
    <n v="0.25"/>
    <n v="0.25"/>
    <n v="216533795"/>
    <n v="1105028943"/>
    <n v="1105028943"/>
    <n v="888495148"/>
    <n v="0"/>
    <n v="5.1032631788492875"/>
    <x v="1"/>
    <n v="1"/>
    <x v="0"/>
    <n v="866135180"/>
    <n v="-3553980592"/>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1"/>
    <x v="11"/>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4.97"/>
    <n v="3"/>
    <n v="8"/>
    <n v="0.37"/>
    <n v="0.37"/>
    <n v="2664565868"/>
    <n v="1635442835.6399999"/>
    <n v="1635442835.6399999"/>
    <n v="-1029123032.3600001"/>
    <n v="0"/>
    <n v="0.61377459468380458"/>
    <x v="2"/>
    <n v="1"/>
    <x v="0"/>
    <n v="7201529372.9729729"/>
    <n v="2781413600.9729729"/>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2"/>
    <x v="0"/>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3.9699999999999998"/>
    <n v="4"/>
    <n v="8"/>
    <n v="0.48"/>
    <n v="0.48"/>
    <n v="1464680145"/>
    <n v="2121655570.5599999"/>
    <n v="2121655570.5599999"/>
    <n v="656975425.55999994"/>
    <n v="0"/>
    <n v="1.4485453208352188"/>
    <x v="1"/>
    <n v="1"/>
    <x v="0"/>
    <n v="3051416968.7500005"/>
    <n v="-1368698803.2499995"/>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2"/>
    <x v="1"/>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2.9699999999999998"/>
    <n v="5"/>
    <n v="8"/>
    <n v="0.52"/>
    <m/>
    <m/>
    <n v="0"/>
    <n v="2298460201.4400001"/>
    <n v="0"/>
    <n v="-2298460201.4400001"/>
    <s v="No se realizó gasto en este corte"/>
    <x v="1"/>
    <n v="0"/>
    <x v="3"/>
    <n v="0"/>
    <n v="-4420115772"/>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2"/>
    <x v="2"/>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1.9699999999999998"/>
    <n v="6"/>
    <n v="8"/>
    <n v="0.75"/>
    <m/>
    <m/>
    <n v="0"/>
    <n v="3315086829"/>
    <n v="0"/>
    <n v="-3315086829"/>
    <s v="No se realizó gasto en este corte"/>
    <x v="1"/>
    <n v="0"/>
    <x v="3"/>
    <n v="0"/>
    <n v="-4420115772"/>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2"/>
    <x v="3"/>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0.96999999999999975"/>
    <n v="7"/>
    <n v="8"/>
    <n v="0.85"/>
    <m/>
    <m/>
    <n v="0"/>
    <n v="3757098406.1999998"/>
    <n v="0"/>
    <n v="-3757098406.1999998"/>
    <s v="No se realizó gasto en este corte"/>
    <x v="1"/>
    <n v="0"/>
    <x v="3"/>
    <n v="0"/>
    <n v="-4420115772"/>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2"/>
    <x v="4"/>
    <s v="814cb47a-69be-f011-a2d0-00155d102a0d"/>
    <d v="2025-11-10T19:14:32"/>
    <x v="52"/>
    <s v="Yhon Jairo Martinez Gaviria"/>
    <s v="https://growdatasas.sharepoint.com/sites/pwa/CCD - CANCILLERIA-INFRAESTRUCTURA"/>
    <s v=" ​CCD - CANCILLERIA-INFRAESTRUCTURA   "/>
    <s v="TI"/>
    <s v="0379"/>
    <s v="Activo.En Ejecución"/>
    <n v="4420115772"/>
    <d v="2025-10-01T00:00:00"/>
    <d v="2026-05-30T00:00:00"/>
    <n v="7.97"/>
    <n v="3.0000000000000249E-2"/>
    <n v="8"/>
    <n v="8"/>
    <n v="1"/>
    <m/>
    <m/>
    <n v="0"/>
    <n v="4420115772"/>
    <n v="0"/>
    <n v="-4420115772"/>
    <s v="No se realizó gasto en este corte"/>
    <x v="1"/>
    <n v="0"/>
    <x v="3"/>
    <n v="0"/>
    <n v="-4420115772"/>
    <s v="https://growdatasas.sharepoint.com/:x:/r/sites/Gestiondocumental/Administrativa/GD/Financiera/_layouts/15/Doc.aspx?sourcedoc=%7BBD7E6B05-C8DF-4CE6-95B4-3ED6B2F351D2%7D&amp;file=MODELO%20FINANCIERO%20SUMINISTRO%20HCI%20CANCILLER%C3%8DA%20-%20GROW%20DATA%20-%20Consolidado.xlsm&amp;action=default&amp;mobileredirect=true"/>
    <n v="1"/>
    <n v="1"/>
  </r>
  <r>
    <x v="1"/>
    <x v="9"/>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6.97"/>
    <n v="1"/>
    <n v="48"/>
    <n v="0.85"/>
    <n v="0.85"/>
    <n v="130801762"/>
    <n v="111447376"/>
    <n v="111447376"/>
    <n v="-19354386"/>
    <n v="0"/>
    <n v="0.85203268133345178"/>
    <x v="2"/>
    <n v="1"/>
    <x v="0"/>
    <n v="153884425.88235295"/>
    <n v="22769865.882352948"/>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1"/>
    <x v="1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5.97"/>
    <n v="2"/>
    <n v="48"/>
    <n v="0.99"/>
    <n v="0.99"/>
    <n v="312798"/>
    <n v="129803414.40000001"/>
    <n v="129803414.40000001"/>
    <n v="129490616.40000001"/>
    <n v="0"/>
    <n v="414.97520572382177"/>
    <x v="1"/>
    <n v="1"/>
    <x v="0"/>
    <n v="315957.57575757575"/>
    <n v="-130798602.42424242"/>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1"/>
    <x v="1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4.97"/>
    <n v="3"/>
    <n v="48"/>
    <n v="0.99009999999999998"/>
    <n v="0.99009999999999998"/>
    <m/>
    <n v="129816525.85599999"/>
    <n v="129816525.85599999"/>
    <n v="129816525.85599999"/>
    <n v="0"/>
    <s v="No se realizó gasto en este corte"/>
    <x v="1"/>
    <n v="1"/>
    <x v="0"/>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3.97"/>
    <n v="4"/>
    <n v="48"/>
    <n v="0.99019999999999997"/>
    <n v="0.99019999999999997"/>
    <m/>
    <n v="129829637.31199999"/>
    <n v="129829637.31199999"/>
    <n v="129829637.31199999"/>
    <n v="0"/>
    <s v="No se realizó gasto en este corte"/>
    <x v="1"/>
    <n v="1"/>
    <x v="0"/>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2.97"/>
    <n v="5"/>
    <n v="48"/>
    <n v="0.99029999999999996"/>
    <m/>
    <m/>
    <n v="0"/>
    <n v="129842748.76799999"/>
    <n v="0"/>
    <n v="-129842748.767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2"/>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1.97"/>
    <n v="6"/>
    <n v="48"/>
    <n v="0.99039999999999995"/>
    <m/>
    <m/>
    <n v="0"/>
    <n v="129855860.22399999"/>
    <n v="0"/>
    <n v="-129855860.223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3"/>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0.97"/>
    <n v="7"/>
    <n v="48"/>
    <n v="0.99050000000000005"/>
    <m/>
    <m/>
    <n v="0"/>
    <n v="129868971.68000001"/>
    <n v="0"/>
    <n v="-129868971.680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4"/>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97"/>
    <n v="8"/>
    <n v="48"/>
    <n v="0.99060000000000004"/>
    <m/>
    <m/>
    <n v="0"/>
    <n v="129882083.13600001"/>
    <n v="0"/>
    <n v="-129882083.136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5"/>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8.97"/>
    <n v="9"/>
    <n v="48"/>
    <n v="0.99070000000000003"/>
    <m/>
    <m/>
    <n v="0"/>
    <n v="129895194.59200001"/>
    <n v="0"/>
    <n v="-129895194.592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6"/>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7.97"/>
    <n v="10"/>
    <n v="48"/>
    <n v="0.99080000000000001"/>
    <m/>
    <m/>
    <n v="0"/>
    <n v="129908306.04800001"/>
    <n v="0"/>
    <n v="-129908306.048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7"/>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6.97"/>
    <n v="11"/>
    <n v="48"/>
    <n v="0.9909"/>
    <m/>
    <m/>
    <n v="0"/>
    <n v="129921417.50399999"/>
    <n v="0"/>
    <n v="-129921417.503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8"/>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5.97"/>
    <n v="12"/>
    <n v="48"/>
    <n v="0.99099999999999999"/>
    <m/>
    <m/>
    <n v="0"/>
    <n v="129934528.95999999"/>
    <n v="0"/>
    <n v="-129934528.959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9"/>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4.97"/>
    <n v="13"/>
    <n v="48"/>
    <n v="0.99109999999999998"/>
    <m/>
    <m/>
    <n v="0"/>
    <n v="129947640.41599999"/>
    <n v="0"/>
    <n v="-129947640.415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1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3.97"/>
    <n v="14"/>
    <n v="48"/>
    <n v="0.99119999999999997"/>
    <m/>
    <m/>
    <n v="0"/>
    <n v="129960751.87199999"/>
    <n v="0"/>
    <n v="-129960751.871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1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2.97"/>
    <n v="15"/>
    <n v="48"/>
    <n v="0.99129999999999996"/>
    <m/>
    <m/>
    <n v="0"/>
    <n v="129973863.32799999"/>
    <n v="0"/>
    <n v="-129973863.327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1.97"/>
    <n v="16"/>
    <n v="48"/>
    <n v="0.99139999999999995"/>
    <m/>
    <m/>
    <n v="0"/>
    <n v="129986974.78399999"/>
    <n v="0"/>
    <n v="-129986974.783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97"/>
    <n v="17"/>
    <n v="48"/>
    <n v="0.99150000000000005"/>
    <m/>
    <m/>
    <n v="0"/>
    <n v="130000086.24000001"/>
    <n v="0"/>
    <n v="-130000086.240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2"/>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97"/>
    <n v="18"/>
    <n v="48"/>
    <n v="0.99160000000000004"/>
    <m/>
    <m/>
    <n v="0"/>
    <n v="130013197.69600001"/>
    <n v="0"/>
    <n v="-130013197.696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3"/>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8.97"/>
    <n v="19"/>
    <n v="48"/>
    <n v="0.99170000000000003"/>
    <m/>
    <m/>
    <n v="0"/>
    <n v="130026309.15200001"/>
    <n v="0"/>
    <n v="-130026309.152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4"/>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7.97"/>
    <n v="20"/>
    <n v="48"/>
    <n v="0.99180000000000001"/>
    <m/>
    <m/>
    <n v="0"/>
    <n v="130039420.608"/>
    <n v="0"/>
    <n v="-130039420.60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5"/>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6.97"/>
    <n v="21"/>
    <n v="48"/>
    <n v="0.9919"/>
    <m/>
    <m/>
    <n v="0"/>
    <n v="130052532.064"/>
    <n v="0"/>
    <n v="-130052532.064"/>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6"/>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5.97"/>
    <n v="22"/>
    <n v="48"/>
    <n v="0.99199999999999999"/>
    <m/>
    <m/>
    <n v="0"/>
    <n v="130065643.52"/>
    <n v="0"/>
    <n v="-130065643.52"/>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7"/>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4.97"/>
    <n v="23"/>
    <n v="48"/>
    <n v="0.99209999999999998"/>
    <m/>
    <m/>
    <n v="0"/>
    <n v="130078754.976"/>
    <n v="0"/>
    <n v="-130078754.976"/>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8"/>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3.97"/>
    <n v="24"/>
    <n v="48"/>
    <n v="0.99219999999999997"/>
    <m/>
    <m/>
    <n v="0"/>
    <n v="130091866.432"/>
    <n v="0"/>
    <n v="-130091866.432"/>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9"/>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2.97"/>
    <n v="25"/>
    <n v="48"/>
    <n v="0.99229999999999996"/>
    <m/>
    <m/>
    <n v="0"/>
    <n v="130104977.888"/>
    <n v="0"/>
    <n v="-130104977.88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1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1.97"/>
    <n v="26"/>
    <n v="48"/>
    <n v="0.99239999999999995"/>
    <m/>
    <m/>
    <n v="0"/>
    <n v="130118089.344"/>
    <n v="0"/>
    <n v="-130118089.344"/>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1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0.97"/>
    <n v="27"/>
    <n v="48"/>
    <n v="0.99250000000000005"/>
    <m/>
    <m/>
    <n v="0"/>
    <n v="130131200.80000001"/>
    <n v="0"/>
    <n v="-130131200.800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97"/>
    <n v="28"/>
    <n v="48"/>
    <n v="0.99260000000000004"/>
    <m/>
    <m/>
    <n v="0"/>
    <n v="130144312.25600001"/>
    <n v="0"/>
    <n v="-130144312.25600001"/>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8.97"/>
    <n v="29"/>
    <n v="48"/>
    <n v="0.99270000000000003"/>
    <m/>
    <m/>
    <n v="0"/>
    <n v="130157423.712"/>
    <n v="0"/>
    <n v="-130157423.712"/>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2"/>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7.97"/>
    <n v="30"/>
    <n v="48"/>
    <n v="0.99280000000000002"/>
    <m/>
    <m/>
    <n v="0"/>
    <n v="130170535.168"/>
    <n v="0"/>
    <n v="-130170535.16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3"/>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6.97"/>
    <n v="31"/>
    <n v="48"/>
    <n v="0.9929"/>
    <m/>
    <m/>
    <n v="0"/>
    <n v="130183646.624"/>
    <n v="0"/>
    <n v="-130183646.624"/>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4"/>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5.969999999999999"/>
    <n v="32"/>
    <n v="48"/>
    <n v="0.99299999999999999"/>
    <m/>
    <m/>
    <n v="0"/>
    <n v="130196758.08"/>
    <n v="0"/>
    <n v="-130196758.0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5"/>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4.969999999999999"/>
    <n v="33"/>
    <n v="48"/>
    <n v="0.99309999999999998"/>
    <m/>
    <m/>
    <n v="0"/>
    <n v="130209869.536"/>
    <n v="0"/>
    <n v="-130209869.536"/>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6"/>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3.969999999999999"/>
    <n v="34"/>
    <n v="48"/>
    <n v="0.99319999999999997"/>
    <m/>
    <m/>
    <n v="0"/>
    <n v="130222980.992"/>
    <n v="0"/>
    <n v="-130222980.992"/>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7"/>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2.969999999999999"/>
    <n v="35"/>
    <n v="48"/>
    <n v="0.99329999999999996"/>
    <m/>
    <m/>
    <n v="0"/>
    <n v="130236092.448"/>
    <n v="0"/>
    <n v="-130236092.44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8"/>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1.969999999999999"/>
    <n v="36"/>
    <n v="48"/>
    <n v="0.99339999999999995"/>
    <m/>
    <m/>
    <n v="0"/>
    <n v="130249203.904"/>
    <n v="0"/>
    <n v="-130249203.904"/>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9"/>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0.969999999999999"/>
    <n v="37"/>
    <n v="48"/>
    <n v="0.99350000000000005"/>
    <m/>
    <m/>
    <n v="0"/>
    <n v="130262315.36"/>
    <n v="0"/>
    <n v="-130262315.36"/>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1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9.9699999999999989"/>
    <n v="38"/>
    <n v="48"/>
    <n v="0.99360000000000004"/>
    <m/>
    <m/>
    <n v="0"/>
    <n v="130275426.816"/>
    <n v="0"/>
    <n v="-130275426.816"/>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1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8.9699999999999989"/>
    <n v="39"/>
    <n v="48"/>
    <n v="0.99370000000000003"/>
    <m/>
    <m/>
    <n v="0"/>
    <n v="130288538.272"/>
    <n v="0"/>
    <n v="-130288538.272"/>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0"/>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7.9699999999999989"/>
    <n v="40"/>
    <n v="48"/>
    <n v="0.99380000000000002"/>
    <m/>
    <m/>
    <n v="0"/>
    <n v="130301649.728"/>
    <n v="0"/>
    <n v="-130301649.72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1"/>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6.9699999999999989"/>
    <n v="41"/>
    <n v="48"/>
    <n v="0.99390000000000001"/>
    <m/>
    <m/>
    <n v="0"/>
    <n v="130314761.184"/>
    <n v="0"/>
    <n v="-130314761.184"/>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2"/>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5.9699999999999989"/>
    <n v="42"/>
    <n v="48"/>
    <n v="0.99399999999999999"/>
    <m/>
    <m/>
    <n v="0"/>
    <n v="130327872.64"/>
    <n v="0"/>
    <n v="-130327872.64"/>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3"/>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4.9699999999999989"/>
    <n v="43"/>
    <n v="48"/>
    <n v="0.99409999999999998"/>
    <m/>
    <m/>
    <n v="0"/>
    <n v="130340984.096"/>
    <n v="0"/>
    <n v="-130340984.096"/>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4"/>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9699999999999989"/>
    <n v="44"/>
    <n v="48"/>
    <n v="0.99419999999999997"/>
    <m/>
    <m/>
    <n v="0"/>
    <n v="130354095.552"/>
    <n v="0"/>
    <n v="-130354095.552"/>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5"/>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2.9699999999999989"/>
    <n v="45"/>
    <n v="48"/>
    <n v="0.99429999999999996"/>
    <m/>
    <m/>
    <n v="0"/>
    <n v="130367207.008"/>
    <n v="0"/>
    <n v="-130367207.00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6"/>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1.9699999999999989"/>
    <n v="46"/>
    <n v="48"/>
    <n v="0.99439999999999995"/>
    <m/>
    <m/>
    <n v="0"/>
    <n v="130380318.46399999"/>
    <n v="0"/>
    <n v="-130380318.46399999"/>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7"/>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0.96999999999999886"/>
    <n v="47"/>
    <n v="48"/>
    <n v="0.99449999999999905"/>
    <m/>
    <m/>
    <n v="0"/>
    <n v="130393429.91999988"/>
    <n v="0"/>
    <n v="-130393429.91999988"/>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8"/>
    <s v="d79ac27b-ce9f-f011-ad66-00155d10d01e"/>
    <d v="2025-10-02T20:29:32"/>
    <x v="53"/>
    <s v="Carlos Alberto Osorio Ortiz"/>
    <s v="https://growdatasas.sharepoint.com/sites/pwa/CONSYCOM - CAMARA DE FOTODECCION 2"/>
    <s v=" ​Realizar una venta financiada de una cámara de foto  iDS-TCE907-BR(F)/150m/1140(AF) Cámara para tres carriles a 5 años "/>
    <s v="TI"/>
    <s v="0378"/>
    <s v="Activo.Iniciado"/>
    <n v="131114560"/>
    <d v="2025-10-01T00:00:00"/>
    <d v="2029-09-30T00:00:00"/>
    <n v="47.97"/>
    <n v="3.0000000000001137E-2"/>
    <n v="48"/>
    <n v="48"/>
    <n v="1"/>
    <m/>
    <m/>
    <n v="0"/>
    <n v="131114560"/>
    <n v="0"/>
    <n v="-131114560"/>
    <s v="No se realizó gasto en este corte"/>
    <x v="1"/>
    <n v="0"/>
    <x v="3"/>
    <n v="0"/>
    <n v="-131114560"/>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1"/>
    <x v="9"/>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50"/>
    <n v="1"/>
    <n v="47"/>
    <n v="0.5"/>
    <n v="0.5"/>
    <n v="85245827"/>
    <n v="1905290718.5"/>
    <n v="1905290718.5"/>
    <n v="1820044891.5"/>
    <n v="0"/>
    <n v="22.350545305871687"/>
    <x v="1"/>
    <n v="1"/>
    <x v="0"/>
    <n v="170491654"/>
    <n v="-3640089783"/>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1"/>
    <x v="1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9"/>
    <n v="2"/>
    <n v="47"/>
    <n v="0.75"/>
    <n v="0.75"/>
    <n v="103587494"/>
    <n v="2857936077.75"/>
    <n v="2857936077.75"/>
    <n v="2754348583.75"/>
    <n v="0"/>
    <n v="27.589586033908688"/>
    <x v="1"/>
    <n v="1"/>
    <x v="0"/>
    <n v="138116658.66666666"/>
    <n v="-3672464778.3333335"/>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1"/>
    <x v="1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8"/>
    <n v="3"/>
    <n v="47"/>
    <n v="0.999"/>
    <n v="0.999"/>
    <n v="15867004"/>
    <n v="3806770855.5630002"/>
    <n v="3806770855.5630002"/>
    <n v="3790903851.5630002"/>
    <n v="0"/>
    <n v="239.91743214806021"/>
    <x v="1"/>
    <n v="1"/>
    <x v="0"/>
    <n v="15882886.886886887"/>
    <n v="-3794698550.1131129"/>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7"/>
    <n v="4"/>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6"/>
    <n v="5"/>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2"/>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5"/>
    <n v="6"/>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3"/>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4"/>
    <n v="7"/>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4"/>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3"/>
    <n v="8"/>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5"/>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2"/>
    <n v="9"/>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6"/>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1"/>
    <n v="10"/>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7"/>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0"/>
    <n v="11"/>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8"/>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9"/>
    <n v="12"/>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9"/>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8"/>
    <n v="13"/>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1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7"/>
    <n v="14"/>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2"/>
    <x v="1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6"/>
    <n v="15"/>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5"/>
    <n v="16"/>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4"/>
    <n v="17"/>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2"/>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3"/>
    <n v="18"/>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3"/>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2"/>
    <n v="19"/>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4"/>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1"/>
    <n v="20"/>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5"/>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0"/>
    <n v="21"/>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6"/>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9"/>
    <n v="22"/>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7"/>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8"/>
    <n v="23"/>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8"/>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7"/>
    <n v="24"/>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9"/>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6"/>
    <n v="25"/>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1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5"/>
    <n v="26"/>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3"/>
    <x v="1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4"/>
    <n v="27"/>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3"/>
    <n v="28"/>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2"/>
    <n v="29"/>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2"/>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1"/>
    <n v="30"/>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3"/>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0"/>
    <n v="31"/>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4"/>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9"/>
    <n v="32"/>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5"/>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8"/>
    <n v="33"/>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6"/>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7"/>
    <n v="34"/>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7"/>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6"/>
    <n v="35"/>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8"/>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5"/>
    <n v="36"/>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9"/>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4"/>
    <n v="37"/>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1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3"/>
    <n v="38"/>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4"/>
    <x v="1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2"/>
    <n v="39"/>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1"/>
    <n v="40"/>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0"/>
    <n v="41"/>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2"/>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9"/>
    <n v="42"/>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3"/>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8"/>
    <n v="43"/>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4"/>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7"/>
    <n v="44"/>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5"/>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6"/>
    <n v="45"/>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6"/>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5"/>
    <n v="46"/>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7"/>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4"/>
    <n v="47"/>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8"/>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3"/>
    <n v="48"/>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9"/>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2"/>
    <n v="49"/>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10"/>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1"/>
    <n v="50"/>
    <n v="47"/>
    <n v="0.999"/>
    <m/>
    <m/>
    <n v="0"/>
    <n v="3806770855.5630002"/>
    <n v="0"/>
    <n v="-3806770855.5630002"/>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5"/>
    <x v="11"/>
    <s v="b2c2cee9-ca9f-f011-ad66-00155d10cc0e"/>
    <d v="2025-10-02T20:03:53"/>
    <x v="54"/>
    <s v="Carlos Alberto Osorio Ortiz"/>
    <s v="https://growdatasas.sharepoint.com/sites/pwa/CODALTEC – MINISTERIO DEL INTERIOR"/>
    <s v=" ​OBJETO:  _x0009_El objeto de este proceso es la adquisición, instalación, configuración y puesta en funcionamiento de una solución de infraestructura hiperconvergente (HCI) con un mínimo de cuatro (4) nodos, acompañada de switches LAN de 48 puertos con  interfaces de 10/25GbE, así como una solución de almacenamiento para copias de respaldo. Todo ello en cumplimiento de los requerimientos técnicos establecidos por la Entidad, asegurando además soporte, garantía y acompañamiento durante un periodo de tres (3) años. "/>
    <s v="TI"/>
    <s v="0005"/>
    <s v="Activo.En Ejecución"/>
    <n v="3810581437"/>
    <d v="2025-10-01T00:00:00"/>
    <d v="2029-12-31T00:00:00"/>
    <n v="51"/>
    <n v="0"/>
    <n v="51"/>
    <n v="47"/>
    <n v="1"/>
    <m/>
    <m/>
    <n v="0"/>
    <n v="3810581437"/>
    <n v="0"/>
    <n v="-3810581437"/>
    <s v="No se realizó gasto en este corte"/>
    <x v="1"/>
    <n v="0"/>
    <x v="3"/>
    <n v="0"/>
    <n v="-3810581437"/>
    <s v="https://growdatasas.sharepoint.com/:x:/r/sites/Gestiondocumental/Administrativa/GD/Financiera/_layouts/15/Doc.aspx?sourcedoc=%7BB9F619F2-CED9-492C-9912-ECF7B94ECFDC%7D&amp;file=MODELO%20FINANCIERO%20HCI%20Ministerio%20del%20Interior%20-%20UT%20GD%20HC%2026-09-2025.xlsm&amp;action=default&amp;mobileredirect=true"/>
    <n v="1"/>
    <n v="1"/>
  </r>
  <r>
    <x v="1"/>
    <x v="9"/>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8.97"/>
    <n v="1"/>
    <n v="56"/>
    <n v="0.75"/>
    <n v="0.75"/>
    <n v="130801762"/>
    <n v="70328914.5"/>
    <n v="70328914.5"/>
    <n v="-60472847.5"/>
    <n v="0"/>
    <n v="0.53767558956889283"/>
    <x v="2"/>
    <n v="1"/>
    <x v="0"/>
    <n v="174402349.33333331"/>
    <n v="80630463.333333313"/>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1"/>
    <x v="1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7.97"/>
    <n v="2"/>
    <n v="56"/>
    <n v="0.999"/>
    <n v="0.999"/>
    <n v="312798"/>
    <n v="93678114.113999993"/>
    <n v="93678114.113999993"/>
    <n v="93365316.113999993"/>
    <n v="0"/>
    <n v="299.48437686302339"/>
    <x v="1"/>
    <n v="1"/>
    <x v="0"/>
    <n v="313111.11111111112"/>
    <n v="-93458774.88888889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1"/>
    <x v="1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6.97"/>
    <n v="3"/>
    <n v="56"/>
    <n v="0.999"/>
    <n v="0.999"/>
    <n v="0"/>
    <n v="93678114.113999993"/>
    <n v="93678114.113999993"/>
    <n v="93678114.113999993"/>
    <n v="0"/>
    <s v="No se realizó gasto en este corte"/>
    <x v="1"/>
    <n v="1"/>
    <x v="0"/>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5.97"/>
    <n v="4"/>
    <n v="56"/>
    <n v="0.999"/>
    <m/>
    <n v="0"/>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4.97"/>
    <n v="5"/>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2"/>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3.97"/>
    <n v="6"/>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3"/>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2.97"/>
    <n v="7"/>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4"/>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1.97"/>
    <n v="8"/>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5"/>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0.97"/>
    <n v="9"/>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6"/>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9.97"/>
    <n v="10"/>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7"/>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8.97"/>
    <n v="11"/>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8"/>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7.97"/>
    <n v="12"/>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9"/>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6.97"/>
    <n v="13"/>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1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5.97"/>
    <n v="14"/>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2"/>
    <x v="1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4.97"/>
    <n v="15"/>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3.97"/>
    <n v="16"/>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2.97"/>
    <n v="17"/>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2"/>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1.97"/>
    <n v="18"/>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3"/>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0.97"/>
    <n v="19"/>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4"/>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9.97"/>
    <n v="20"/>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5"/>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8.97"/>
    <n v="21"/>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6"/>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7.97"/>
    <n v="22"/>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7"/>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6.97"/>
    <n v="23"/>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8"/>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5.97"/>
    <n v="24"/>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9"/>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4.97"/>
    <n v="25"/>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1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3.97"/>
    <n v="26"/>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3"/>
    <x v="1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2.97"/>
    <n v="27"/>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1.97"/>
    <n v="28"/>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0.97"/>
    <n v="29"/>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2"/>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9.97"/>
    <n v="30"/>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3"/>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8.97"/>
    <n v="31"/>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4"/>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7.97"/>
    <n v="32"/>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5"/>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6.97"/>
    <n v="33"/>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6"/>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5.97"/>
    <n v="34"/>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7"/>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4.97"/>
    <n v="35"/>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8"/>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3.97"/>
    <n v="36"/>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9"/>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2.97"/>
    <n v="37"/>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1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1.97"/>
    <n v="38"/>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4"/>
    <x v="1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0.97"/>
    <n v="39"/>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9.97"/>
    <n v="40"/>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8.97"/>
    <n v="41"/>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2"/>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7.97"/>
    <n v="42"/>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3"/>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6.97"/>
    <n v="43"/>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4"/>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5.969999999999999"/>
    <n v="44"/>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5"/>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4.969999999999999"/>
    <n v="45"/>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6"/>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3.969999999999999"/>
    <n v="46"/>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7"/>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2.969999999999999"/>
    <n v="47"/>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8"/>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1.969999999999999"/>
    <n v="48"/>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9"/>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0.969999999999999"/>
    <n v="49"/>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1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9.9699999999999989"/>
    <n v="50"/>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5"/>
    <x v="1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8.9699999999999989"/>
    <n v="51"/>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0"/>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7.9699999999999989"/>
    <n v="52"/>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1"/>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6.9699999999999989"/>
    <n v="53"/>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2"/>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5.9699999999999989"/>
    <n v="54"/>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3"/>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4.9699999999999989"/>
    <n v="55"/>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4"/>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9699999999999989"/>
    <n v="56"/>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5"/>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2.9699999999999989"/>
    <n v="57"/>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6"/>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1.9699999999999989"/>
    <n v="58"/>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7"/>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0.96999999999999886"/>
    <n v="59"/>
    <n v="56"/>
    <n v="0.999"/>
    <m/>
    <m/>
    <n v="0"/>
    <n v="93678114.113999993"/>
    <n v="0"/>
    <n v="-93678114.113999993"/>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6"/>
    <x v="8"/>
    <s v="a30c7fbe-c51e-f011-92a8-00155d103b0a"/>
    <d v="2025-04-21T15:31:55"/>
    <x v="55"/>
    <s v="Carlos Alberto Osorio Ortiz"/>
    <s v="https://growdatasas.sharepoint.com/sites/pwa/CONSYCOM- CAMARA FOTODETECCION"/>
    <s v=" ​Suministro de Camara de Foto deteccion financiada a 60 meses _x000a_    "/>
    <s v="TI"/>
    <s v="0364"/>
    <s v="Activo.En Cierre"/>
    <n v="93771886"/>
    <d v="2025-10-01T00:00:00"/>
    <d v="2030-09-30T00:00:00"/>
    <n v="59.97"/>
    <n v="3.0000000000001137E-2"/>
    <n v="60"/>
    <n v="56"/>
    <n v="1"/>
    <m/>
    <m/>
    <n v="0"/>
    <n v="93771886"/>
    <n v="0"/>
    <n v="-93771886"/>
    <s v="No se realizó gasto en este corte"/>
    <x v="1"/>
    <n v="0"/>
    <x v="3"/>
    <n v="0"/>
    <n v="-93771886"/>
    <s v="https://growdatasas.sharepoint.com/:x:/r/sites/Gestiondocumental/Administrativa/GD/Financiera/_layouts/15/Doc.aspx?sourcedoc=%7B68938D93-F552-460C-83CE-BF34E8A8C037%7D&amp;file=20250407%20MODELO%20FINANCIERO%20REFERENCIA%20V7.4%2060%20Meses%20-%20Opcion%202.xlsm&amp;action=default&amp;mobileredirect=true"/>
    <n v="1"/>
    <n v="1"/>
  </r>
  <r>
    <x v="1"/>
    <x v="0"/>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1"/>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2"/>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3"/>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4"/>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5"/>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6"/>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7"/>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8"/>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9"/>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10"/>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11"/>
    <s v="1b5f767b-beb8-ef11-bbdf-00155d10cc0b"/>
    <d v="2024-12-12T19:22:56"/>
    <x v="56"/>
    <s v="Rodrigo Alexander Ramirez Ospina"/>
    <s v="https://growdatasas.sharepoint.com/sites/pwa/UNIEMPRESARIAL-INFRAESTRUC ALIBABA"/>
    <s v=" ​Implementación, configuración y puesta en marcha del servicio de Nube Pública, ambiente de producción y de pruebas. "/>
    <s v="TI"/>
    <s v="0352"/>
    <s v="Activo.En Ejecución"/>
    <n v="198857341"/>
    <d v="2025-10-01T00:00:00"/>
    <d v="2025-12-31T00:00:00"/>
    <n v="3"/>
    <n v="1"/>
    <n v="4"/>
    <n v="12"/>
    <m/>
    <m/>
    <m/>
    <n v="0"/>
    <n v="0"/>
    <n v="0"/>
    <n v="0"/>
    <s v="No se realizó gasto en este corte"/>
    <x v="1"/>
    <n v="0"/>
    <x v="3"/>
    <n v="0"/>
    <n v="-198857341"/>
    <s v="https://growdatasas.sharepoint.com/:x:/r/sites/Gestiondocumental/Administrativa/GD/Financiera/_layouts/15/Doc.aspx?sourcedoc=%7B1DBFC819-A96C-4AF2-9C53-2D70E3ED9365%7D&amp;file=Modelo%20de%20negocio%20-%20Uniempresarial%20-%2020241127.xlsm&amp;action=default&amp;mobileredirect=true"/>
    <n v="1"/>
    <n v="1"/>
  </r>
  <r>
    <x v="1"/>
    <x v="9"/>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1"/>
    <x v="10"/>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1"/>
    <x v="11"/>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0"/>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1"/>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2"/>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3"/>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4"/>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5"/>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6"/>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7"/>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8"/>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9"/>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10"/>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2"/>
    <x v="11"/>
    <s v="db1b0b93-c7ca-f011-86bf-00155d10c402"/>
    <d v="2025-11-26T12:58:19"/>
    <x v="57"/>
    <s v="Fernando Linares Castro"/>
    <s v="https://growdatasas.sharepoint.com/sites/pwa/COLPENSIONES-GOBDATOS"/>
    <s v=" ​PRESTACION DE SERVICIOS TECNICOS ESPECIALIZADOS PARA EL ANALISIS, DISEÑO, LEVANTAMIENTO TECNICO E IMPLEMENTACION DEL GOBIERNO DE DATOS PARA COLPENSIONES "/>
    <s v="DATOS Y SISTEMAS DE INFORMACIÓN"/>
    <s v="0381"/>
    <s v="Activo.En Ejecución"/>
    <n v="2207086979"/>
    <d v="2025-10-10T00:00:00"/>
    <d v="2026-12-31T00:00:00"/>
    <n v="14.7"/>
    <n v="-10.7"/>
    <n v="4"/>
    <m/>
    <m/>
    <m/>
    <m/>
    <n v="0"/>
    <n v="0"/>
    <n v="0"/>
    <n v="0"/>
    <s v="No se realizó gasto en este corte"/>
    <x v="1"/>
    <n v="0"/>
    <x v="3"/>
    <n v="0"/>
    <n v="-2207086979"/>
    <n v="0"/>
    <n v="1"/>
    <n v="1"/>
  </r>
  <r>
    <x v="1"/>
    <x v="9"/>
    <s v="e85d2141-26ca-f011-86be-00155d109619"/>
    <d v="2025-11-25T17:43:33"/>
    <x v="58"/>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5299999999999998"/>
    <n v="1"/>
    <n v="3"/>
    <n v="0.35"/>
    <n v="0.3"/>
    <m/>
    <n v="231852100.79999998"/>
    <n v="270494117.59999996"/>
    <n v="231852100.79999998"/>
    <n v="-38642016.799999982"/>
    <s v="No se realizó gasto en este corte"/>
    <x v="1"/>
    <n v="0.85714285714285721"/>
    <x v="1"/>
    <n v="0"/>
    <n v="-772840336"/>
    <s v="https://growdatasas.sharepoint.com/:x:/r/sites/Gestiondocumental/Administrativa/GD/Financiera/_layouts/15/Doc.aspx?sourcedoc=%7B0CDB7FA7-62D8-4102-9A59-9817018FB4BB%7D&amp;file=05112025%20MODELO%20FINANCIERO%20REFERENCIA_AEROCIVIL%20V7.4%20ajustada230.xlsm&amp;action=default&amp;mobileredirect=true"/>
    <n v="1"/>
    <n v="1"/>
  </r>
  <r>
    <x v="1"/>
    <x v="10"/>
    <s v="e85d2141-26ca-f011-86be-00155d109619"/>
    <d v="2025-11-25T17:43:33"/>
    <x v="58"/>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0.5299999999999998"/>
    <n v="2"/>
    <n v="3"/>
    <n v="0.65"/>
    <n v="0.57999999999999996"/>
    <m/>
    <n v="448247394.88"/>
    <n v="502346218.40000004"/>
    <n v="448247394.88"/>
    <n v="-54098823.520000041"/>
    <s v="No se realizó gasto en este corte"/>
    <x v="1"/>
    <n v="0.89230769230769225"/>
    <x v="1"/>
    <n v="0"/>
    <n v="-772840336"/>
    <s v="https://growdatasas.sharepoint.com/:x:/r/sites/Gestiondocumental/Administrativa/GD/Financiera/_layouts/15/Doc.aspx?sourcedoc=%7B0CDB7FA7-62D8-4102-9A59-9817018FB4BB%7D&amp;file=05112025%20MODELO%20FINANCIERO%20REFERENCIA_AEROCIVIL%20V7.4%20ajustada230.xlsm&amp;action=default&amp;mobileredirect=true"/>
    <n v="1"/>
    <n v="1"/>
  </r>
  <r>
    <x v="1"/>
    <x v="11"/>
    <s v="e85d2141-26ca-f011-86be-00155d109619"/>
    <d v="2025-11-25T17:43:33"/>
    <x v="58"/>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4700000000000002"/>
    <n v="4"/>
    <n v="3"/>
    <n v="1"/>
    <n v="0.7"/>
    <m/>
    <n v="540988235.19999993"/>
    <n v="772840336"/>
    <n v="540988235.19999993"/>
    <n v="-231852100.80000007"/>
    <s v="No se realizó gasto en este corte"/>
    <x v="1"/>
    <n v="0.7"/>
    <x v="1"/>
    <n v="0"/>
    <n v="-772840336"/>
    <s v="https://growdatasas.sharepoint.com/:x:/r/sites/Gestiondocumental/Administrativa/GD/Financiera/_layouts/15/Doc.aspx?sourcedoc=%7B0CDB7FA7-62D8-4102-9A59-9817018FB4BB%7D&amp;file=05112025%20MODELO%20FINANCIERO%20REFERENCIA_AEROCIVIL%20V7.4%20ajustada230.xlsm&amp;action=default&amp;mobileredirect=true"/>
    <n v="1"/>
    <n v="1"/>
  </r>
  <r>
    <x v="2"/>
    <x v="0"/>
    <s v="e85d2141-26ca-f011-86be-00155d109619"/>
    <d v="2025-11-25T17:43:33"/>
    <x v="58"/>
    <s v="Johan Sebastian Rodriguez Niño"/>
    <s v="https://growdatasas.sharepoint.com/sites/pwa/AEROCIVIL - ARQUITECTURA 2025"/>
    <s v=" ​Prestar servicios para actualizar el modelo de la arquitectura   empresarial de gestión de TI y determinar el estado funcional y   técnico del proceso y sistema de información de mantenimiento   operacional aeronáutico -SIMOA. "/>
    <s v="CONSULTORÍA"/>
    <s v="0385"/>
    <s v="Activo.En Ejecución"/>
    <n v="772840336"/>
    <d v="2025-10-15T00:00:00"/>
    <d v="2025-12-31T00:00:00"/>
    <n v="2.5299999999999998"/>
    <n v="1.4700000000000002"/>
    <n v="4"/>
    <n v="3"/>
    <n v="1"/>
    <n v="1"/>
    <m/>
    <n v="772840336"/>
    <n v="772840336"/>
    <n v="772840336"/>
    <n v="0"/>
    <s v="No se realizó gasto en este corte"/>
    <x v="1"/>
    <n v="1"/>
    <x v="0"/>
    <n v="0"/>
    <n v="-772840336"/>
    <s v="https://growdatasas.sharepoint.com/:x:/r/sites/Gestiondocumental/Administrativa/GD/Financiera/_layouts/15/Doc.aspx?sourcedoc=%7B0CDB7FA7-62D8-4102-9A59-9817018FB4BB%7D&amp;file=05112025%20MODELO%20FINANCIERO%20REFERENCIA_AEROCIVIL%20V7.4%20ajustada230.xlsm&amp;action=default&amp;mobileredirect=true"/>
    <n v="1"/>
    <n v="1"/>
  </r>
  <r>
    <x v="1"/>
    <x v="9"/>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3.37"/>
    <n v="1"/>
    <n v="15"/>
    <n v="0.1"/>
    <n v="0.1"/>
    <n v="155224195"/>
    <n v="712372394.10000002"/>
    <n v="712372394.10000002"/>
    <n v="557148199.10000002"/>
    <n v="0"/>
    <n v="4.5893128587331375"/>
    <x v="1"/>
    <n v="1"/>
    <x v="0"/>
    <n v="1552241950"/>
    <n v="-5571481991"/>
    <s v="https://growdatasas.sharepoint.com/:x:/r/sites/Gestiondocumental/Administrativa/GD/Financiera/_layouts/15/Doc.aspx?sourcedoc=%7B65B8247F-DA01-4A6A-8421-57629CEF7367%7D&amp;file=MODELO%20FINANCIERO%20ANH%20FISCALIZACION%2023.09.25%20V1.xlsm&amp;action=default&amp;mobileredirect=true"/>
    <n v="1"/>
    <n v="1"/>
  </r>
  <r>
    <x v="1"/>
    <x v="10"/>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2.37"/>
    <n v="2"/>
    <n v="15"/>
    <n v="0.12"/>
    <n v="0.12"/>
    <n v="466512474"/>
    <n v="854846872.91999996"/>
    <n v="854846872.91999996"/>
    <n v="388334398.91999996"/>
    <n v="0"/>
    <n v="1.8324201828738238"/>
    <x v="1"/>
    <n v="1"/>
    <x v="0"/>
    <n v="3887603950"/>
    <n v="-3236119991"/>
    <s v="https://growdatasas.sharepoint.com/:x:/r/sites/Gestiondocumental/Administrativa/GD/Financiera/_layouts/15/Doc.aspx?sourcedoc=%7B65B8247F-DA01-4A6A-8421-57629CEF7367%7D&amp;file=MODELO%20FINANCIERO%20ANH%20FISCALIZACION%2023.09.25%20V1.xlsm&amp;action=default&amp;mobileredirect=true"/>
    <n v="1"/>
    <n v="1"/>
  </r>
  <r>
    <x v="1"/>
    <x v="11"/>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1.37"/>
    <n v="3"/>
    <n v="15"/>
    <n v="0.18"/>
    <n v="0.18"/>
    <n v="466512474"/>
    <n v="1282270309.3799999"/>
    <n v="1282270309.3799999"/>
    <n v="815757835.37999988"/>
    <n v="0"/>
    <n v="2.7486302743107354"/>
    <x v="1"/>
    <n v="1"/>
    <x v="0"/>
    <n v="2591735966.666667"/>
    <n v="-4531987974.333333"/>
    <s v="https://growdatasas.sharepoint.com/:x:/r/sites/Gestiondocumental/Administrativa/GD/Financiera/_layouts/15/Doc.aspx?sourcedoc=%7B65B8247F-DA01-4A6A-8421-57629CEF7367%7D&amp;file=MODELO%20FINANCIERO%20ANH%20FISCALIZACION%2023.09.25%20V1.xlsm&amp;action=default&amp;mobileredirect=true"/>
    <n v="1"/>
    <n v="1"/>
  </r>
  <r>
    <x v="2"/>
    <x v="0"/>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n v="15"/>
    <n v="0.21333333333333299"/>
    <n v="0.21333333333333299"/>
    <n v="466512474"/>
    <n v="1519727774.0799975"/>
    <n v="1519727774.0799975"/>
    <n v="1053215300.0799975"/>
    <n v="0"/>
    <n v="3.2576358806645707"/>
    <x v="1"/>
    <n v="1"/>
    <x v="0"/>
    <n v="2186777221.8750033"/>
    <n v="-4936946719.1249962"/>
    <s v="https://growdatasas.sharepoint.com/:x:/r/sites/Gestiondocumental/Administrativa/GD/Financiera/_layouts/15/Doc.aspx?sourcedoc=%7B65B8247F-DA01-4A6A-8421-57629CEF7367%7D&amp;file=MODELO%20FINANCIERO%20ANH%20FISCALIZACION%2023.09.25%20V1.xlsm&amp;action=default&amp;mobileredirect=true"/>
    <n v="1"/>
    <n v="1"/>
  </r>
  <r>
    <x v="2"/>
    <x v="1"/>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9.3699999999999992"/>
    <n v="5"/>
    <m/>
    <n v="0.3"/>
    <m/>
    <m/>
    <n v="0"/>
    <n v="2137117182.3"/>
    <n v="0"/>
    <n v="-2137117182.3"/>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2"/>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8.3699999999999992"/>
    <n v="6"/>
    <m/>
    <n v="0.35"/>
    <m/>
    <m/>
    <n v="0"/>
    <n v="2493303379.3499999"/>
    <n v="0"/>
    <n v="-2493303379.3499999"/>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3"/>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7.3699999999999992"/>
    <n v="7"/>
    <m/>
    <n v="0.4"/>
    <m/>
    <m/>
    <n v="0"/>
    <n v="2849489576.4000001"/>
    <n v="0"/>
    <n v="-2849489576.4000001"/>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4"/>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45"/>
    <m/>
    <m/>
    <n v="0"/>
    <n v="3205675773.4500003"/>
    <n v="0"/>
    <n v="-3205675773.4500003"/>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5"/>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49"/>
    <m/>
    <m/>
    <n v="0"/>
    <n v="3490624731.0900002"/>
    <n v="0"/>
    <n v="-3490624731.0900002"/>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6"/>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53"/>
    <m/>
    <m/>
    <n v="0"/>
    <n v="3775573688.73"/>
    <n v="0"/>
    <n v="-3775573688.73"/>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7"/>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59"/>
    <m/>
    <m/>
    <n v="0"/>
    <n v="4202997125.1899996"/>
    <n v="0"/>
    <n v="-4202997125.1899996"/>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8"/>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72"/>
    <m/>
    <m/>
    <n v="0"/>
    <n v="5129081237.5199995"/>
    <n v="0"/>
    <n v="-5129081237.5199995"/>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9"/>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88"/>
    <m/>
    <m/>
    <n v="0"/>
    <n v="6268877068.0799999"/>
    <n v="0"/>
    <n v="-6268877068.0799999"/>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10"/>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0.92"/>
    <m/>
    <m/>
    <n v="0"/>
    <n v="6553826025.7200003"/>
    <n v="0"/>
    <n v="-6553826025.7200003"/>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2"/>
    <x v="11"/>
    <s v="cf6abfed-bec4-f011-a2d5-00155d10610d"/>
    <d v="2025-11-18T20:41:21"/>
    <x v="59"/>
    <s v="Jairo Alfredo Cuellar Ortiz"/>
    <s v="https://growdatasas.sharepoint.com/sites/pwa/UT ANH FISCALIZACIÓN"/>
    <s v="Desarrollar una solución tecnológica que integre los datos desde diversas fuentes hacia los sistemas de información que realizan el cálculo del Informe Diario de Producción (IDP) de la ANH y que permita la generación y visualización de la información de producción de hidrocarburos para la correcta fiscalización   "/>
    <s v="DATOS Y SISTEMAS DE INFORMACIÓN"/>
    <s v="10040"/>
    <s v="Activo.Iniciado"/>
    <n v="7123723941"/>
    <d v="2025-10-20T00:00:00"/>
    <d v="2026-12-31T00:00:00"/>
    <n v="14.37"/>
    <n v="-10.37"/>
    <n v="4"/>
    <m/>
    <n v="1"/>
    <m/>
    <m/>
    <n v="0"/>
    <n v="7123723941"/>
    <n v="0"/>
    <n v="-7123723941"/>
    <s v="No se realizó gasto en este corte"/>
    <x v="1"/>
    <n v="0"/>
    <x v="3"/>
    <n v="0"/>
    <n v="-7123723941"/>
    <s v="https://growdatasas.sharepoint.com/:x:/r/sites/Gestiondocumental/Administrativa/GD/Financiera/_layouts/15/Doc.aspx?sourcedoc=%7B65B8247F-DA01-4A6A-8421-57629CEF7367%7D&amp;file=MODELO%20FINANCIERO%20ANH%20FISCALIZACION%2023.09.25%20V1.xlsm&amp;action=default&amp;mobileredirect=true"/>
    <n v="1"/>
    <n v="1"/>
  </r>
  <r>
    <x v="1"/>
    <x v="10"/>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1"/>
    <x v="11"/>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0"/>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1"/>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2"/>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3"/>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4"/>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5"/>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6"/>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7"/>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8"/>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2"/>
    <x v="9"/>
    <s v="a571ec8c-1aca-f011-86be-00155d10d427"/>
    <d v="2025-11-25T16:19:51"/>
    <x v="60"/>
    <s v="Marlon Fabian Moreno Buitrago"/>
    <s v="https://growdatasas.sharepoint.com/sites/pwa/INTERNEXA-MT-ANALITICA IOT"/>
    <s v=" ​Renovación plataforma, conectividad y soporte técnico para el MINISTERIO DE TRANSPORTE continuidad del servicio "/>
    <s v="DATOS Y SISTEMAS DE INFORMACIÓN"/>
    <s v="0389"/>
    <s v="Activo.En Ejecución"/>
    <n v="1117759798"/>
    <d v="2025-11-01T00:00:00"/>
    <d v="2026-10-30T00:00:00"/>
    <n v="11.97"/>
    <n v="-8.9700000000000006"/>
    <n v="3"/>
    <m/>
    <m/>
    <m/>
    <m/>
    <n v="0"/>
    <n v="0"/>
    <n v="0"/>
    <n v="0"/>
    <s v="No se realizó gasto en este corte"/>
    <x v="1"/>
    <n v="0"/>
    <x v="3"/>
    <n v="0"/>
    <n v="-1117759798"/>
    <n v="0"/>
    <n v="1"/>
    <n v="1"/>
  </r>
  <r>
    <x v="1"/>
    <x v="10"/>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1"/>
    <m/>
    <n v="448382955"/>
    <n v="0"/>
    <n v="389882955"/>
    <n v="-448382955"/>
    <n v="-389882955"/>
    <n v="0"/>
    <x v="3"/>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1"/>
    <x v="11"/>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2"/>
    <m/>
    <n v="383382955"/>
    <n v="0"/>
    <n v="779765910"/>
    <n v="-383382955"/>
    <n v="-779765910"/>
    <n v="0"/>
    <x v="3"/>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0"/>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3"/>
    <m/>
    <n v="383382955"/>
    <n v="0"/>
    <n v="1169648865"/>
    <n v="-383382955"/>
    <n v="-1169648865"/>
    <n v="0"/>
    <x v="3"/>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1"/>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4"/>
    <m/>
    <m/>
    <n v="0"/>
    <n v="1559531820"/>
    <n v="0"/>
    <n v="-1559531820"/>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2"/>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5"/>
    <m/>
    <m/>
    <n v="0"/>
    <n v="1949414775"/>
    <n v="0"/>
    <n v="-1949414775"/>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3"/>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6"/>
    <m/>
    <m/>
    <n v="0"/>
    <n v="2339297730"/>
    <n v="0"/>
    <n v="-2339297730"/>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4"/>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7"/>
    <m/>
    <m/>
    <n v="0"/>
    <n v="2729180685"/>
    <n v="0"/>
    <n v="-2729180685"/>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5"/>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8"/>
    <m/>
    <m/>
    <n v="0"/>
    <n v="3119063640"/>
    <n v="0"/>
    <n v="-3119063640"/>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6"/>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0.9"/>
    <m/>
    <m/>
    <n v="0"/>
    <n v="3508946595"/>
    <n v="0"/>
    <n v="-3508946595"/>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2"/>
    <x v="7"/>
    <s v="cda84f1e-b9c4-f011-a2c3-00155d102501"/>
    <d v="2025-11-18T19:59:43"/>
    <x v="61"/>
    <s v="Mario Briceño Torres"/>
    <s v="https://growdatasas.sharepoint.com/sites/pwa/UT SOLUCIONES SOFTWARE 2025"/>
    <s v="  PRESTAR EL SERVICIO DE DESARROLLO, IMPLEMENTACION, SOPORTE Y MANTENIMIENTO ADAPTATIVO Y EVOLUTIVO PARA LA MEJORA CONTINUA DE SOLUCIONES DE SOFTWARE PARA LA FISCALÍA GENERAL DE LA NACION, MEDIANTE EL MODELO DE FABRICA DE SOFTWARE. "/>
    <s v="DATOS Y SISTEMAS DE INFORMACIÓN"/>
    <s v="10039"/>
    <s v="Activo.Iniciado"/>
    <n v="3898829550"/>
    <d v="2025-11-01T00:00:00"/>
    <d v="2026-08-30T00:00:00"/>
    <n v="9.9700000000000006"/>
    <n v="-6.9700000000000006"/>
    <n v="3"/>
    <m/>
    <n v="1"/>
    <m/>
    <m/>
    <n v="0"/>
    <n v="3898829550"/>
    <n v="0"/>
    <n v="-3898829550"/>
    <s v="No se realizó gasto en este corte"/>
    <x v="1"/>
    <n v="0"/>
    <x v="3"/>
    <n v="0"/>
    <n v="-3898829550"/>
    <s v="https://growdatasas.sharepoint.com/:x:/r/sites/Gestiondocumental/Administrativa/GD/Financiera/_layouts/15/Doc.aspx?sourcedoc=%7BDC14EEB5-8BB0-4127-9C10-E6FA8B23CAA0%7D&amp;file=OK-%2020251301%20MODELO%20FINANCIERO%20FISCALIA%20FABRICA%20DE%20SW%2011.09.25%20V1.xlsm&amp;action=default&amp;mobileredirect=true"/>
    <n v="1"/>
    <n v="1"/>
  </r>
  <r>
    <x v="1"/>
    <x v="10"/>
    <s v="de44d35f-a3c4-f011-a2d3-00155d10a20e"/>
    <d v="2025-11-18T17:24:08"/>
    <x v="62"/>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9699999999999998"/>
    <n v="1"/>
    <n v="5"/>
    <n v="0.25"/>
    <n v="0.25"/>
    <n v="190549470"/>
    <n v="209206837"/>
    <n v="209206837"/>
    <n v="18657367"/>
    <n v="0"/>
    <n v="1.0979135077100974"/>
    <x v="1"/>
    <n v="1"/>
    <x v="0"/>
    <n v="762197880.00000012"/>
    <n v="-74629467.999999881"/>
    <s v="http://growdatasas.sharepoint.com/:x:/r/sites/Gestiondocumental/Administrativa/GD/Financiera/_layouts/15/Doc.aspx?sourcedoc=%7B01BE6969-C81D-4E83-B0DC-5E1ADEBADCFC%7D&amp;file=20251301%20MODELO%20FINANCIERO%20FISCALIA%20GOBIERNO%20DE%20DATOS%2017.12.25%20V5.xlsm&amp;action=default&amp;mobileredirect=true"/>
    <n v="1"/>
    <n v="1"/>
  </r>
  <r>
    <x v="1"/>
    <x v="11"/>
    <s v="de44d35f-a3c4-f011-a2d3-00155d10a20e"/>
    <d v="2025-11-18T17:24:08"/>
    <x v="62"/>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2.9699999999999998"/>
    <n v="2"/>
    <n v="5"/>
    <n v="0.45"/>
    <n v="0.45"/>
    <n v="161569470"/>
    <n v="376572306.60000002"/>
    <n v="376572306.60000002"/>
    <n v="215002836.60000002"/>
    <n v="0"/>
    <n v="2.3307145007036292"/>
    <x v="1"/>
    <n v="1"/>
    <x v="0"/>
    <n v="359043266.66666669"/>
    <n v="-477784081.33333331"/>
    <s v="http://growdatasas.sharepoint.com/:x:/r/sites/Gestiondocumental/Administrativa/GD/Financiera/_layouts/15/Doc.aspx?sourcedoc=%7B01BE6969-C81D-4E83-B0DC-5E1ADEBADCFC%7D&amp;file=20251301%20MODELO%20FINANCIERO%20FISCALIA%20GOBIERNO%20DE%20DATOS%2017.12.25%20V5.xlsm&amp;action=default&amp;mobileredirect=true"/>
    <n v="1"/>
    <n v="1"/>
  </r>
  <r>
    <x v="2"/>
    <x v="0"/>
    <s v="de44d35f-a3c4-f011-a2d3-00155d10a20e"/>
    <d v="2025-11-18T17:24:08"/>
    <x v="62"/>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1.9699999999999998"/>
    <n v="3"/>
    <n v="5"/>
    <n v="0.75"/>
    <n v="0.75"/>
    <n v="161569470"/>
    <n v="627620511"/>
    <n v="627620511"/>
    <n v="466051041"/>
    <n v="0"/>
    <n v="3.8845241678393818"/>
    <x v="1"/>
    <n v="1"/>
    <x v="0"/>
    <n v="215425960"/>
    <n v="-621401388"/>
    <s v="http://growdatasas.sharepoint.com/:x:/r/sites/Gestiondocumental/Administrativa/GD/Financiera/_layouts/15/Doc.aspx?sourcedoc=%7B01BE6969-C81D-4E83-B0DC-5E1ADEBADCFC%7D&amp;file=20251301%20MODELO%20FINANCIERO%20FISCALIA%20GOBIERNO%20DE%20DATOS%2017.12.25%20V5.xlsm&amp;action=default&amp;mobileredirect=true"/>
    <n v="1"/>
    <n v="1"/>
  </r>
  <r>
    <x v="2"/>
    <x v="1"/>
    <s v="de44d35f-a3c4-f011-a2d3-00155d10a20e"/>
    <d v="2025-11-18T17:24:08"/>
    <x v="62"/>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0.96999999999999975"/>
    <n v="4"/>
    <n v="5"/>
    <n v="0.92"/>
    <m/>
    <m/>
    <n v="0"/>
    <n v="769881160.16000009"/>
    <n v="0"/>
    <n v="-769881160.16000009"/>
    <s v="No se realizó gasto en este corte"/>
    <x v="1"/>
    <n v="0"/>
    <x v="3"/>
    <n v="0"/>
    <n v="-836827348"/>
    <s v="http://growdatasas.sharepoint.com/:x:/r/sites/Gestiondocumental/Administrativa/GD/Financiera/_layouts/15/Doc.aspx?sourcedoc=%7B01BE6969-C81D-4E83-B0DC-5E1ADEBADCFC%7D&amp;file=20251301%20MODELO%20FINANCIERO%20FISCALIA%20GOBIERNO%20DE%20DATOS%2017.12.25%20V5.xlsm&amp;action=default&amp;mobileredirect=true"/>
    <n v="1"/>
    <n v="1"/>
  </r>
  <r>
    <x v="2"/>
    <x v="2"/>
    <s v="de44d35f-a3c4-f011-a2d3-00155d10a20e"/>
    <d v="2025-11-18T17:24:08"/>
    <x v="62"/>
    <s v="John Fredy Farias Peña"/>
    <s v="https://growdatasas.sharepoint.com/sites/pwa/CLARO -FGN - GOBIERNO DE DATOS"/>
    <s v="Implementar un modelo integral de Gobierno de Datos en la FGN que permita fortalecer la coordinación, control y aprovechamiento estratégico de la información institucional"/>
    <s v="DATOS Y SISTEMAS DE INFORMACIÓN"/>
    <s v="0387"/>
    <s v="Activo.Iniciado"/>
    <n v="836827348"/>
    <d v="2025-11-01T00:00:00"/>
    <d v="2026-03-30T00:00:00"/>
    <n v="4.97"/>
    <n v="3.0000000000000249E-2"/>
    <n v="5"/>
    <n v="5"/>
    <n v="1"/>
    <m/>
    <m/>
    <n v="0"/>
    <n v="836827348"/>
    <n v="0"/>
    <n v="-836827348"/>
    <s v="No se realizó gasto en este corte"/>
    <x v="1"/>
    <n v="0"/>
    <x v="3"/>
    <n v="0"/>
    <n v="-836827348"/>
    <s v="http://growdatasas.sharepoint.com/:x:/r/sites/Gestiondocumental/Administrativa/GD/Financiera/_layouts/15/Doc.aspx?sourcedoc=%7B01BE6969-C81D-4E83-B0DC-5E1ADEBADCFC%7D&amp;file=20251301%20MODELO%20FINANCIERO%20FISCALIA%20GOBIERNO%20DE%20DATOS%2017.12.25%20V5.xlsm&amp;action=default&amp;mobileredirect=true"/>
    <n v="1"/>
    <n v="1"/>
  </r>
  <r>
    <x v="1"/>
    <x v="10"/>
    <s v="7a907e06-82be-f011-a2c8-00155d104505"/>
    <d v="2025-11-10T22:10:22"/>
    <x v="63"/>
    <s v="Lida Milena Rodriguez"/>
    <s v="https://growdatasas.sharepoint.com/sites/pwa/DIAN-BORRADO SEGURO BLANCCO"/>
    <s v=" ​EVENTO_x000a_PRESENTADO POR COLOMBIA COMPRA EFICIENTE "/>
    <s v="TI"/>
    <s v="0382"/>
    <s v="Activo.Iniciado"/>
    <n v="243037690"/>
    <d v="2025-11-01T00:00:00"/>
    <d v="2025-11-30T00:00:00"/>
    <n v="0.97"/>
    <n v="3.0000000000000027E-2"/>
    <n v="1"/>
    <n v="2"/>
    <n v="0.75"/>
    <n v="0.75"/>
    <n v="243037690"/>
    <n v="182278267.5"/>
    <n v="182278267.5"/>
    <n v="-60759422.5"/>
    <n v="0"/>
    <n v="0.75"/>
    <x v="2"/>
    <n v="1"/>
    <x v="0"/>
    <n v="324050253.33333331"/>
    <n v="81012563.333333313"/>
    <s v="https://growdatasas.sharepoint.com/:x:/r/sites/Gestiondocumental/Administrativa/GD/Financiera/_layouts/15/Doc.aspx?sourcedoc=%7B0EF085EC-8E84-47C2-BAD9-3C84DC86B615%7D&amp;file=20251301%20MODELO%20FINANCIERO%20REFERENCIA%20V7.4%20CCE_DIAN_20251031.xlsm&amp;action=default&amp;mobileredirect=true"/>
    <n v="1"/>
    <n v="1"/>
  </r>
  <r>
    <x v="1"/>
    <x v="11"/>
    <s v="7a907e06-82be-f011-a2c8-00155d104505"/>
    <d v="2025-11-10T22:10:22"/>
    <x v="63"/>
    <s v="Lida Milena Rodriguez"/>
    <s v="https://growdatasas.sharepoint.com/sites/pwa/DIAN-BORRADO SEGURO BLANCCO"/>
    <s v=" ​EVENTO_x000a_PRESENTADO POR COLOMBIA COMPRA EFICIENTE "/>
    <s v="TI"/>
    <s v="0382"/>
    <s v="Activo.Iniciado"/>
    <n v="243037690"/>
    <d v="2025-11-01T00:00:00"/>
    <d v="2025-11-30T00:00:00"/>
    <n v="0.97"/>
    <n v="1.03"/>
    <n v="2"/>
    <n v="2"/>
    <n v="1"/>
    <n v="1"/>
    <n v="0"/>
    <n v="243037690"/>
    <n v="243037690"/>
    <n v="243037690"/>
    <n v="0"/>
    <s v="No se realizó gasto en este corte"/>
    <x v="1"/>
    <n v="1"/>
    <x v="0"/>
    <n v="0"/>
    <n v="-243037690"/>
    <s v="https://growdatasas.sharepoint.com/:x:/r/sites/Gestiondocumental/Administrativa/GD/Financiera/_layouts/15/Doc.aspx?sourcedoc=%7B0EF085EC-8E84-47C2-BAD9-3C84DC86B615%7D&amp;file=20251301%20MODELO%20FINANCIERO%20REFERENCIA%20V7.4%20CCE_DIAN_20251031.xlsm&amp;action=default&amp;mobileredirect=true"/>
    <n v="1"/>
    <n v="1"/>
  </r>
  <r>
    <x v="1"/>
    <x v="10"/>
    <s v="3e0420fc-6cbe-f011-a2c4-00155d10161a"/>
    <d v="2025-11-10T19:39:39"/>
    <x v="64"/>
    <s v="Yhon Jairo Martinez Gaviria"/>
    <s v="https://growdatasas.sharepoint.com/sites/pwa/UT - UNAD - CLARO"/>
    <s v=" ​UT - UNAD - CLARO "/>
    <s v="TI"/>
    <s v="10038"/>
    <s v="Activo.En Ejecución"/>
    <n v="28089671329"/>
    <d v="2025-11-01T00:00:00"/>
    <d v="2030-10-31T00:00:00"/>
    <n v="60"/>
    <n v="-59"/>
    <n v="1"/>
    <n v="60"/>
    <n v="0.25"/>
    <n v="0.25"/>
    <n v="2429630372"/>
    <n v="7022417832.25"/>
    <n v="7022417832.25"/>
    <n v="4592787460.25"/>
    <n v="0"/>
    <n v="2.8903235295290424"/>
    <x v="1"/>
    <n v="1"/>
    <x v="0"/>
    <n v="9718521488"/>
    <n v="-18371149841"/>
    <s v="https://growdatasas.sharepoint.com/:x:/r/sites/Gestiondocumental/Administrativa/GD/Financiera/_layouts/15/Doc.aspx?sourcedoc=%7BBF6E8538-B113-45FF-83F6-596104EC0C59%7D&amp;file=3.0.0.%20%20MODELO%20UNAD%20V3.0.%20(ajustado).xlsm&amp;action=default&amp;mobileredirect=true"/>
    <n v="1"/>
    <n v="1"/>
  </r>
  <r>
    <x v="1"/>
    <x v="1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27"/>
    <n v="0.27"/>
    <n v="1680064195"/>
    <n v="7584211258.8300009"/>
    <n v="7584211258.8300009"/>
    <n v="5904147063.8300009"/>
    <n v="0"/>
    <n v="4.5142389686067927"/>
    <x v="1"/>
    <n v="1"/>
    <x v="0"/>
    <n v="6222459981.4814806"/>
    <n v="-21867211347.51852"/>
    <s v="https://growdatasas.sharepoint.com/:x:/r/sites/Gestiondocumental/Administrativa/GD/Financiera/_layouts/15/Doc.aspx?sourcedoc=%7BBF6E8538-B113-45FF-83F6-596104EC0C59%7D&amp;file=3.0.0.%20%20MODELO%20UNAD%20V3.0.%20(ajustado).xlsm&amp;action=default&amp;mobileredirect=true"/>
    <n v="1"/>
    <n v="1"/>
  </r>
  <r>
    <x v="2"/>
    <x v="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28000000000000003"/>
    <n v="0.28000000000000003"/>
    <n v="30081382"/>
    <n v="7865107972.1200008"/>
    <n v="7865107972.1200008"/>
    <n v="7835026590.1200008"/>
    <n v="0"/>
    <n v="261.46099178953949"/>
    <x v="1"/>
    <n v="1"/>
    <x v="0"/>
    <n v="107433507.14285713"/>
    <n v="-27982237821.857143"/>
    <s v="https://growdatasas.sharepoint.com/:x:/r/sites/Gestiondocumental/Administrativa/GD/Financiera/_layouts/15/Doc.aspx?sourcedoc=%7BBF6E8538-B113-45FF-83F6-596104EC0C59%7D&amp;file=3.0.0.%20%20MODELO%20UNAD%20V3.0.%20(ajustado).xlsm&amp;action=default&amp;mobileredirect=true"/>
    <n v="1"/>
    <n v="1"/>
  </r>
  <r>
    <x v="2"/>
    <x v="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28999999999999998"/>
    <m/>
    <m/>
    <n v="0"/>
    <n v="8146004685.4099998"/>
    <n v="0"/>
    <n v="-8146004685.409999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2"/>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
    <m/>
    <m/>
    <n v="0"/>
    <n v="8426901398.6999998"/>
    <n v="0"/>
    <n v="-8426901398.699999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3"/>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1"/>
    <m/>
    <m/>
    <n v="0"/>
    <n v="8707798111.9899998"/>
    <n v="0"/>
    <n v="-8707798111.989999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4"/>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2"/>
    <m/>
    <m/>
    <n v="0"/>
    <n v="8988694825.2800007"/>
    <n v="0"/>
    <n v="-8988694825.2800007"/>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5"/>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3"/>
    <m/>
    <m/>
    <n v="0"/>
    <n v="9269591538.5699997"/>
    <n v="0"/>
    <n v="-9269591538.5699997"/>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6"/>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4"/>
    <m/>
    <m/>
    <n v="0"/>
    <n v="9550488251.8600006"/>
    <n v="0"/>
    <n v="-9550488251.8600006"/>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7"/>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5"/>
    <m/>
    <m/>
    <n v="0"/>
    <n v="9831384965.1499996"/>
    <n v="0"/>
    <n v="-9831384965.1499996"/>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8"/>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6"/>
    <m/>
    <m/>
    <n v="0"/>
    <n v="10112281678.440001"/>
    <n v="0"/>
    <n v="-10112281678.44000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9"/>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7"/>
    <m/>
    <m/>
    <n v="0"/>
    <n v="10393178391.73"/>
    <n v="0"/>
    <n v="-10393178391.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1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8"/>
    <m/>
    <m/>
    <n v="0"/>
    <n v="10674075105.02"/>
    <n v="0"/>
    <n v="-10674075105.0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2"/>
    <x v="1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8999999999999901"/>
    <m/>
    <m/>
    <n v="0"/>
    <n v="10954971818.309973"/>
    <n v="0"/>
    <n v="-10954971818.3099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39999999999999902"/>
    <m/>
    <m/>
    <n v="0"/>
    <n v="11235868531.599972"/>
    <n v="0"/>
    <n v="-11235868531.59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0999999999999898"/>
    <m/>
    <m/>
    <n v="0"/>
    <n v="11516765244.889971"/>
    <n v="0"/>
    <n v="-11516765244.88997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2"/>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1999999999999899"/>
    <m/>
    <m/>
    <n v="0"/>
    <n v="11797661958.179972"/>
    <n v="0"/>
    <n v="-11797661958.17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3"/>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2999999999999899"/>
    <m/>
    <m/>
    <n v="0"/>
    <n v="12078558671.469973"/>
    <n v="0"/>
    <n v="-12078558671.4699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4"/>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39999999999999"/>
    <m/>
    <m/>
    <n v="0"/>
    <n v="12359455384.759972"/>
    <n v="0"/>
    <n v="-12359455384.75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5"/>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4999999999999901"/>
    <m/>
    <m/>
    <n v="0"/>
    <n v="12640352098.049973"/>
    <n v="0"/>
    <n v="-12640352098.0499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6"/>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5999999999999902"/>
    <m/>
    <m/>
    <n v="0"/>
    <n v="12921248811.339972"/>
    <n v="0"/>
    <n v="-12921248811.33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7"/>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6999999999999897"/>
    <m/>
    <m/>
    <n v="0"/>
    <n v="13202145524.629971"/>
    <n v="0"/>
    <n v="-13202145524.62997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8"/>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7999999999999898"/>
    <m/>
    <m/>
    <n v="0"/>
    <n v="13483042237.919971"/>
    <n v="0"/>
    <n v="-13483042237.91997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9"/>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8999999999999899"/>
    <m/>
    <m/>
    <n v="0"/>
    <n v="13763938951.209972"/>
    <n v="0"/>
    <n v="-13763938951.20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1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499999999999999"/>
    <m/>
    <m/>
    <n v="0"/>
    <n v="14044835664.499971"/>
    <n v="0"/>
    <n v="-14044835664.49997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3"/>
    <x v="1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0999999999999901"/>
    <m/>
    <m/>
    <n v="0"/>
    <n v="14325732377.789972"/>
    <n v="0"/>
    <n v="-14325732377.78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1999999999999902"/>
    <m/>
    <m/>
    <n v="0"/>
    <n v="14606629091.079973"/>
    <n v="0"/>
    <n v="-14606629091.0799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2999999999999903"/>
    <m/>
    <m/>
    <n v="0"/>
    <n v="14887525804.369972"/>
    <n v="0"/>
    <n v="-14887525804.36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2"/>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3999999999999904"/>
    <m/>
    <m/>
    <n v="0"/>
    <n v="15168422517.659973"/>
    <n v="0"/>
    <n v="-15168422517.6599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3"/>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4999999999999905"/>
    <m/>
    <m/>
    <n v="0"/>
    <n v="15449319230.949974"/>
    <n v="0"/>
    <n v="-15449319230.949974"/>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4"/>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5999999999999905"/>
    <m/>
    <m/>
    <n v="0"/>
    <n v="15730215944.239973"/>
    <n v="0"/>
    <n v="-15730215944.23997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5"/>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6999999999999895"/>
    <m/>
    <m/>
    <n v="0"/>
    <n v="16011112657.52997"/>
    <n v="0"/>
    <n v="-16011112657.52997"/>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6"/>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7999999999999896"/>
    <m/>
    <m/>
    <n v="0"/>
    <n v="16292009370.819971"/>
    <n v="0"/>
    <n v="-16292009370.81997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7"/>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8999999999999897"/>
    <m/>
    <m/>
    <n v="0"/>
    <n v="16572906084.109972"/>
    <n v="0"/>
    <n v="-16572906084.10997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8"/>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59999999999999898"/>
    <m/>
    <m/>
    <n v="0"/>
    <n v="16853802797.399971"/>
    <n v="0"/>
    <n v="-16853802797.39997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9"/>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0999999999999799"/>
    <m/>
    <m/>
    <n v="0"/>
    <n v="17134699510.689943"/>
    <n v="0"/>
    <n v="-17134699510.68994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1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19999999999998"/>
    <m/>
    <m/>
    <n v="0"/>
    <n v="17415596223.979942"/>
    <n v="0"/>
    <n v="-17415596223.97994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4"/>
    <x v="1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2999999999999801"/>
    <m/>
    <m/>
    <n v="0"/>
    <n v="17696492937.269943"/>
    <n v="0"/>
    <n v="-17696492937.26994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3999999999999801"/>
    <m/>
    <m/>
    <n v="0"/>
    <n v="17977389650.559944"/>
    <n v="0"/>
    <n v="-17977389650.559944"/>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4999999999999802"/>
    <m/>
    <m/>
    <n v="0"/>
    <n v="18258286363.849945"/>
    <n v="0"/>
    <n v="-18258286363.849945"/>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2"/>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5999999999999803"/>
    <m/>
    <m/>
    <n v="0"/>
    <n v="18539183077.139946"/>
    <n v="0"/>
    <n v="-18539183077.139946"/>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3"/>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6999999999999804"/>
    <m/>
    <m/>
    <n v="0"/>
    <n v="18820079790.429943"/>
    <n v="0"/>
    <n v="-18820079790.42994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4"/>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7999999999999805"/>
    <m/>
    <m/>
    <n v="0"/>
    <n v="19100976503.719944"/>
    <n v="0"/>
    <n v="-19100976503.719944"/>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5"/>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8999999999999795"/>
    <m/>
    <m/>
    <n v="0"/>
    <n v="19381873217.009941"/>
    <n v="0"/>
    <n v="-19381873217.00994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6"/>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69999999999999796"/>
    <m/>
    <m/>
    <n v="0"/>
    <n v="19662769930.299942"/>
    <n v="0"/>
    <n v="-19662769930.29994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7"/>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70999999999999797"/>
    <m/>
    <m/>
    <n v="0"/>
    <n v="19943666643.589943"/>
    <n v="0"/>
    <n v="-19943666643.58994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8"/>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71999999999999797"/>
    <m/>
    <m/>
    <n v="0"/>
    <n v="20224563356.879944"/>
    <n v="0"/>
    <n v="-20224563356.879944"/>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9"/>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85"/>
    <m/>
    <m/>
    <n v="0"/>
    <n v="23876220629.649998"/>
    <n v="0"/>
    <n v="-23876220629.64999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1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86"/>
    <m/>
    <m/>
    <n v="0"/>
    <n v="24157117342.939999"/>
    <n v="0"/>
    <n v="-24157117342.939999"/>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5"/>
    <x v="1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87"/>
    <m/>
    <m/>
    <n v="0"/>
    <n v="24438014056.23"/>
    <n v="0"/>
    <n v="-24438014056.23"/>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0"/>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88"/>
    <m/>
    <m/>
    <n v="0"/>
    <n v="24718910769.52"/>
    <n v="0"/>
    <n v="-24718910769.5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1"/>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89"/>
    <m/>
    <m/>
    <n v="0"/>
    <n v="24999807482.810001"/>
    <n v="0"/>
    <n v="-24999807482.81000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2"/>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
    <m/>
    <m/>
    <n v="0"/>
    <n v="25280704196.100002"/>
    <n v="0"/>
    <n v="-25280704196.100002"/>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3"/>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1"/>
    <m/>
    <m/>
    <n v="0"/>
    <n v="25561600909.389999"/>
    <n v="0"/>
    <n v="-25561600909.389999"/>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4"/>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2"/>
    <m/>
    <m/>
    <n v="0"/>
    <n v="25842497622.68"/>
    <n v="0"/>
    <n v="-25842497622.6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5"/>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3"/>
    <m/>
    <m/>
    <n v="0"/>
    <n v="26123394335.970001"/>
    <n v="0"/>
    <n v="-26123394335.970001"/>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6"/>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4"/>
    <m/>
    <m/>
    <n v="0"/>
    <n v="26404291049.259998"/>
    <n v="0"/>
    <n v="-26404291049.25999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7"/>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5"/>
    <m/>
    <m/>
    <n v="0"/>
    <n v="26685187762.549999"/>
    <n v="0"/>
    <n v="-26685187762.549999"/>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8"/>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0.98"/>
    <m/>
    <m/>
    <n v="0"/>
    <n v="27527877902.419998"/>
    <n v="0"/>
    <n v="-27527877902.419998"/>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6"/>
    <x v="9"/>
    <s v="3e0420fc-6cbe-f011-a2c4-00155d10161a"/>
    <d v="2025-11-10T19:39:39"/>
    <x v="64"/>
    <s v="Yhon Jairo Martinez Gaviria"/>
    <s v="https://growdatasas.sharepoint.com/sites/pwa/UT - UNAD - CLARO"/>
    <s v=" ​UT - UNAD - CLARO "/>
    <s v="TI"/>
    <s v="10038"/>
    <s v="Activo.En Ejecución"/>
    <n v="28089671329"/>
    <d v="2025-11-01T00:00:00"/>
    <d v="2030-10-31T00:00:00"/>
    <n v="60"/>
    <n v="-57"/>
    <n v="3"/>
    <n v="60"/>
    <n v="1"/>
    <m/>
    <m/>
    <n v="0"/>
    <n v="28089671329"/>
    <n v="0"/>
    <n v="-28089671329"/>
    <s v="No se realizó gasto en este corte"/>
    <x v="1"/>
    <n v="0"/>
    <x v="3"/>
    <n v="0"/>
    <n v="-28089671329"/>
    <s v="https://growdatasas.sharepoint.com/:x:/r/sites/Gestiondocumental/Administrativa/GD/Financiera/_layouts/15/Doc.aspx?sourcedoc=%7BBF6E8538-B113-45FF-83F6-596104EC0C59%7D&amp;file=3.0.0.%20%20MODELO%20UNAD%20V3.0.%20(ajustado).xlsm&amp;action=default&amp;mobileredirect=true"/>
    <n v="1"/>
    <n v="1"/>
  </r>
  <r>
    <x v="1"/>
    <x v="10"/>
    <s v="d48feed8-6abe-f011-a2cc-00155d11080d"/>
    <d v="2025-11-10T19:24:20"/>
    <x v="65"/>
    <s v="Yhon Jairo Martinez Gaviria"/>
    <s v="https://growdatasas.sharepoint.com/sites/pwa/CCD-CANCILLERIA-VENTA DE EQUIPOS LAN Y SEG"/>
    <s v=" ​CCD-CANCILLERIA-VENTA DE EQUIPOS LAN Y SEG  "/>
    <s v="TI"/>
    <s v="0380"/>
    <s v="Activo.En Ejecución"/>
    <n v="3323342988"/>
    <d v="2025-11-01T00:00:00"/>
    <d v="2025-12-30T00:00:00"/>
    <n v="1.97"/>
    <n v="-0.97"/>
    <n v="1"/>
    <n v="3"/>
    <n v="0.5"/>
    <n v="0.25"/>
    <n v="3301205601"/>
    <n v="830835747"/>
    <n v="1661671494"/>
    <n v="-2470369854"/>
    <n v="-830835747"/>
    <n v="0.25167646230465729"/>
    <x v="2"/>
    <n v="0.5"/>
    <x v="1"/>
    <n v="13204822404"/>
    <n v="9881479416"/>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x v="1"/>
    <x v="11"/>
    <s v="d48feed8-6abe-f011-a2cc-00155d11080d"/>
    <d v="2025-11-10T19:24:20"/>
    <x v="65"/>
    <s v="Yhon Jairo Martinez Gaviria"/>
    <s v="https://growdatasas.sharepoint.com/sites/pwa/CCD-CANCILLERIA-VENTA DE EQUIPOS LAN Y SEG"/>
    <s v=" ​CCD-CANCILLERIA-VENTA DE EQUIPOS LAN Y SEG  "/>
    <s v="TI"/>
    <s v="0380"/>
    <s v="Activo.En Ejecución"/>
    <n v="3323342988"/>
    <d v="2025-11-01T00:00:00"/>
    <d v="2025-12-30T00:00:00"/>
    <n v="1.97"/>
    <n v="3.0000000000000027E-2"/>
    <n v="2"/>
    <n v="3"/>
    <n v="1"/>
    <n v="0.5"/>
    <n v="11068693"/>
    <n v="1661671494"/>
    <n v="3323342988"/>
    <n v="1650602801"/>
    <n v="-1661671494"/>
    <n v="150.12355063059388"/>
    <x v="1"/>
    <n v="0.5"/>
    <x v="1"/>
    <n v="22137386"/>
    <n v="-3301205602"/>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x v="1"/>
    <x v="11"/>
    <s v="d48feed8-6abe-f011-a2cc-00155d11080d"/>
    <d v="2025-11-10T19:24:20"/>
    <x v="65"/>
    <s v="Yhon Jairo Martinez Gaviria"/>
    <s v="https://growdatasas.sharepoint.com/sites/pwa/CCD-CANCILLERIA-VENTA DE EQUIPOS LAN Y SEG"/>
    <s v=" ​CCD-CANCILLERIA-VENTA DE EQUIPOS LAN Y SEG  "/>
    <s v="TI"/>
    <s v="0380"/>
    <s v="Activo.En Ejecución"/>
    <n v="3323342988"/>
    <d v="2025-11-01T00:00:00"/>
    <d v="2025-12-30T00:00:00"/>
    <n v="1.97"/>
    <n v="1.03"/>
    <n v="3"/>
    <n v="3"/>
    <n v="1"/>
    <n v="0.8"/>
    <n v="11068693"/>
    <n v="2658674390.4000001"/>
    <n v="3323342988"/>
    <n v="2647605697.4000001"/>
    <n v="-664668597.5999999"/>
    <n v="240.19768100895021"/>
    <x v="1"/>
    <n v="0.8"/>
    <x v="1"/>
    <n v="13835866.25"/>
    <n v="-3309507121.75"/>
    <s v="https://growdatasas.sharepoint.com/:x:/r/sites/Gestiondocumental/Administrativa/GD/Financiera/_layouts/15/Doc.aspx?sourcedoc=%7BAAF63AB6-0AC1-49FD-8C96-9D5F6CE441A2%7D&amp;file=10112025%20MODELO%20FINANCIERO%20SUMINISTRO%20INFRESTRUCTURA%20LAN%20CANCILLERIA.xlsm&amp;action=default&amp;mobileredirect=true"/>
    <n v="1"/>
    <n v="1"/>
  </r>
  <r>
    <x v="1"/>
    <x v="10"/>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3"/>
    <n v="1"/>
    <n v="25"/>
    <n v="0.05"/>
    <n v="0.05"/>
    <n v="8362120"/>
    <n v="24223272.200000003"/>
    <n v="24223272.200000003"/>
    <n v="15861152.200000003"/>
    <n v="0"/>
    <n v="2.8967860064194251"/>
    <x v="1"/>
    <n v="1"/>
    <x v="0"/>
    <n v="167242399.99999997"/>
    <n v="-317223044"/>
    <s v="https://growdatasas.sharepoint.com/:x:/r/sites/Gestiondocumental/Administrativa/GD/Financiera/_layouts/15/Doc.aspx?sourcedoc=%7BD3D1C463-BD96-490E-8523-005453EFE334%7D&amp;file=20251301%20MODELO%20FINANCIERO%20REFERENCIA%20V7.4_CONTINUAR_SAAS_RAMA.xlsm&amp;action=default&amp;mobileredirect=true"/>
    <n v="1"/>
    <n v="1"/>
  </r>
  <r>
    <x v="1"/>
    <x v="11"/>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2"/>
    <n v="2"/>
    <n v="25"/>
    <n v="0.1"/>
    <n v="0.1"/>
    <n v="25921600"/>
    <n v="48446544.400000006"/>
    <n v="48446544.400000006"/>
    <n v="22524944.400000006"/>
    <n v="0"/>
    <n v="1.868964276896488"/>
    <x v="1"/>
    <n v="1"/>
    <x v="0"/>
    <n v="259215999.99999997"/>
    <n v="-225249444.00000003"/>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0"/>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1"/>
    <n v="3"/>
    <n v="25"/>
    <n v="0.15"/>
    <n v="0.15"/>
    <n v="427660124"/>
    <n v="72669816.599999994"/>
    <n v="72669816.599999994"/>
    <n v="-354990307.39999998"/>
    <n v="0"/>
    <n v="0.16992422842771282"/>
    <x v="2"/>
    <n v="1"/>
    <x v="0"/>
    <n v="2851067493.333334"/>
    <n v="2366602049.33333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1"/>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0"/>
    <n v="4"/>
    <n v="25"/>
    <n v="0.2"/>
    <m/>
    <m/>
    <n v="0"/>
    <n v="96893088.800000012"/>
    <n v="0"/>
    <n v="-96893088.800000012"/>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2"/>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9"/>
    <n v="5"/>
    <n v="25"/>
    <n v="0.22"/>
    <m/>
    <m/>
    <n v="0"/>
    <n v="106582397.68000001"/>
    <n v="0"/>
    <n v="-106582397.68000001"/>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3"/>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8"/>
    <n v="6"/>
    <n v="25"/>
    <n v="0.26"/>
    <m/>
    <m/>
    <n v="0"/>
    <n v="125961015.44"/>
    <n v="0"/>
    <n v="-125961015.44"/>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4"/>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7"/>
    <n v="7"/>
    <n v="25"/>
    <n v="0.3"/>
    <m/>
    <m/>
    <n v="0"/>
    <n v="145339633.19999999"/>
    <n v="0"/>
    <n v="-145339633.19999999"/>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5"/>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6"/>
    <n v="8"/>
    <n v="25"/>
    <n v="0.34"/>
    <m/>
    <m/>
    <n v="0"/>
    <n v="164718250.96000001"/>
    <n v="0"/>
    <n v="-164718250.96000001"/>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6"/>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5"/>
    <n v="9"/>
    <n v="25"/>
    <n v="0.372"/>
    <m/>
    <m/>
    <n v="0"/>
    <n v="180221145.16800001"/>
    <n v="0"/>
    <n v="-180221145.16800001"/>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7"/>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4"/>
    <n v="10"/>
    <n v="25"/>
    <n v="0.40799999999999997"/>
    <m/>
    <m/>
    <n v="0"/>
    <n v="197661901.15199998"/>
    <n v="0"/>
    <n v="-197661901.15199998"/>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8"/>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3"/>
    <n v="11"/>
    <n v="25"/>
    <n v="0.44400000000000001"/>
    <m/>
    <m/>
    <n v="0"/>
    <n v="215102657.13600001"/>
    <n v="0"/>
    <n v="-215102657.13600001"/>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9"/>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2"/>
    <n v="12"/>
    <n v="25"/>
    <n v="0.48"/>
    <m/>
    <m/>
    <n v="0"/>
    <n v="232543413.12"/>
    <n v="0"/>
    <n v="-232543413.12"/>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10"/>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1"/>
    <n v="13"/>
    <n v="25"/>
    <n v="0.51600000000000001"/>
    <m/>
    <m/>
    <n v="0"/>
    <n v="249984169.104"/>
    <n v="0"/>
    <n v="-249984169.104"/>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2"/>
    <x v="11"/>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0"/>
    <n v="14"/>
    <n v="25"/>
    <n v="0.55200000000000005"/>
    <m/>
    <m/>
    <n v="0"/>
    <n v="267424925.08800003"/>
    <n v="0"/>
    <n v="-267424925.08800003"/>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0"/>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9"/>
    <n v="15"/>
    <n v="25"/>
    <n v="0.58799999999999997"/>
    <m/>
    <m/>
    <n v="0"/>
    <n v="284865681.07199997"/>
    <n v="0"/>
    <n v="-284865681.07199997"/>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1"/>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8"/>
    <n v="16"/>
    <n v="25"/>
    <n v="0.624"/>
    <m/>
    <m/>
    <n v="0"/>
    <n v="302306437.05599999"/>
    <n v="0"/>
    <n v="-302306437.05599999"/>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2"/>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7"/>
    <n v="17"/>
    <n v="25"/>
    <n v="0.66"/>
    <m/>
    <m/>
    <n v="0"/>
    <n v="319747193.04000002"/>
    <n v="0"/>
    <n v="-319747193.04000002"/>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3"/>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6"/>
    <n v="18"/>
    <n v="25"/>
    <n v="0.69599999999999995"/>
    <m/>
    <m/>
    <n v="0"/>
    <n v="337187949.02399999"/>
    <n v="0"/>
    <n v="-337187949.02399999"/>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4"/>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5"/>
    <n v="19"/>
    <n v="25"/>
    <n v="0.73199999999999998"/>
    <m/>
    <m/>
    <n v="0"/>
    <n v="354628705.00800002"/>
    <n v="0"/>
    <n v="-354628705.00800002"/>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5"/>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4"/>
    <n v="20"/>
    <n v="25"/>
    <n v="0.76800000000000002"/>
    <m/>
    <m/>
    <n v="0"/>
    <n v="372069460.99199998"/>
    <n v="0"/>
    <n v="-372069460.99199998"/>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6"/>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3"/>
    <n v="21"/>
    <n v="25"/>
    <n v="0.80400000000000005"/>
    <m/>
    <m/>
    <n v="0"/>
    <n v="389510216.97600001"/>
    <n v="0"/>
    <n v="-389510216.97600001"/>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7"/>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2"/>
    <n v="22"/>
    <n v="25"/>
    <n v="0.84"/>
    <m/>
    <m/>
    <n v="0"/>
    <n v="406950972.95999998"/>
    <n v="0"/>
    <n v="-406950972.95999998"/>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8"/>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3"/>
    <n v="25"/>
    <n v="0.876"/>
    <m/>
    <m/>
    <n v="0"/>
    <n v="424391728.94400001"/>
    <n v="0"/>
    <n v="-424391728.94400001"/>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9"/>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0"/>
    <n v="24"/>
    <n v="25"/>
    <n v="0.95"/>
    <m/>
    <m/>
    <n v="0"/>
    <n v="460242171.79999995"/>
    <n v="0"/>
    <n v="-460242171.79999995"/>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3"/>
    <x v="10"/>
    <s v="170cbfc7-d6e4-f011-9aac-00155d103e1e"/>
    <d v="2025-12-29T16:52:45"/>
    <x v="66"/>
    <s v="Leidy Susana Ramirez Herrera"/>
    <s v="https://growdatasas.sharepoint.com/sites/pwa/RAMA JUDICIAL - RENOVACION"/>
    <s v=" ​Adquirir el licenciamiento de la herramienta tecnológica Mega HOPEX Cloud, junto con la prestación de los servicios asociados de mantenimiento, soporte especializado y servicios sobre la solución, para soportar los procesos de arquitectura empresarial en la Rama Judicial. "/>
    <s v="CONSULTORÍA"/>
    <s v="0384"/>
    <s v="Activo.En Ejecución"/>
    <n v="484465444"/>
    <d v="2025-11-04T00:00:00"/>
    <d v="2027-11-04T00:00:00"/>
    <n v="24"/>
    <n v="1"/>
    <n v="25"/>
    <n v="25"/>
    <n v="1"/>
    <m/>
    <m/>
    <n v="0"/>
    <n v="484465444"/>
    <n v="0"/>
    <n v="-484465444"/>
    <s v="No se realizó gasto en este corte"/>
    <x v="1"/>
    <n v="0"/>
    <x v="3"/>
    <n v="0"/>
    <n v="-484465444"/>
    <s v="https://growdatasas.sharepoint.com/:x:/r/sites/Gestiondocumental/Administrativa/GD/Financiera/_layouts/15/Doc.aspx?sourcedoc=%7BD3D1C463-BD96-490E-8523-005453EFE334%7D&amp;file=20251301%20MODELO%20FINANCIERO%20REFERENCIA%20V7.4_CONTINUAR_SAAS_RAMA.xlsm&amp;action=default&amp;mobileredirect=true"/>
    <n v="1"/>
    <n v="1"/>
  </r>
  <r>
    <x v="1"/>
    <x v="10"/>
    <s v="26796451-d9f4-f011-8782-00155d10b911"/>
    <d v="2026-01-19T01:51:11"/>
    <x v="67"/>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7"/>
    <n v="1"/>
    <n v="2"/>
    <n v="0.5"/>
    <n v="0.5"/>
    <n v="55878009"/>
    <n v="982606353"/>
    <n v="982606353"/>
    <n v="926728344"/>
    <n v="0"/>
    <n v="17.584849041418064"/>
    <x v="1"/>
    <n v="1"/>
    <x v="0"/>
    <n v="111756018"/>
    <n v="-1853456688"/>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x v="1"/>
    <x v="11"/>
    <s v="26796451-d9f4-f011-8782-00155d10b911"/>
    <d v="2026-01-19T01:51:11"/>
    <x v="67"/>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0.30000000000000004"/>
    <n v="2"/>
    <n v="2"/>
    <n v="1"/>
    <n v="0.75"/>
    <n v="20470785"/>
    <n v="1473909529.5"/>
    <n v="1965212706"/>
    <n v="1453438744.5"/>
    <n v="-491303176.5"/>
    <n v="72.000635515443108"/>
    <x v="1"/>
    <n v="0.75"/>
    <x v="1"/>
    <n v="27294380"/>
    <n v="-1937918326"/>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x v="2"/>
    <x v="0"/>
    <s v="26796451-d9f4-f011-8782-00155d10b911"/>
    <d v="2026-01-19T01:51:11"/>
    <x v="67"/>
    <s v="Carlos Alberto Osorio Ortiz"/>
    <s v="https://growdatasas.sharepoint.com/sites/pwa/DATASEC-RENATA MININTERIOR-CIBERSEG"/>
    <s v=" ​ Red Nacional de Investigación y Educación de Colombia - RENATA _x0009__x0009_   "/>
    <s v="TI"/>
    <s v="0396"/>
    <s v="Activo.En Ejecución"/>
    <n v="1965212706"/>
    <d v="2025-11-10T00:00:00"/>
    <d v="2025-12-31T00:00:00"/>
    <n v="1.7"/>
    <n v="1.3"/>
    <n v="3"/>
    <n v="2"/>
    <n v="1"/>
    <n v="1"/>
    <n v="1888863912"/>
    <n v="1965212706"/>
    <n v="1965212706"/>
    <n v="76348794"/>
    <n v="0"/>
    <n v="1.0404204842471467"/>
    <x v="1"/>
    <n v="1"/>
    <x v="0"/>
    <n v="1888863912"/>
    <n v="-76348794"/>
    <s v="https://growdatasas.sharepoint.com/:x:/r/sites/Gestiondocumental/Administrativa/GD/Financiera/_layouts/15/Doc.aspx?sourcedoc=%7B380FDC26-2DE8-4445-A788-2A385F4CCDE1%7D&amp;file=MODELO%20FINANCIERO%20MIN%20INTERIOR%20CIBERSEGURIDAD%20v9%20-%20sin%20IVA%20WAF%20con%20Provisiones.xlsm&amp;action=default&amp;mobileredirect=true"/>
    <n v="1"/>
    <n v="1"/>
  </r>
  <r>
    <x v="1"/>
    <x v="9"/>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01"/>
    <n v="0.01"/>
    <n v="200646429"/>
    <n v="47493619.140000001"/>
    <n v="47493619.140000001"/>
    <n v="-153152809.86000001"/>
    <n v="0"/>
    <n v="0.23670303716195218"/>
    <x v="2"/>
    <n v="1"/>
    <x v="0"/>
    <n v="20064642900"/>
    <n v="15315280986"/>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1"/>
    <x v="10"/>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4.5"/>
    <n v="1"/>
    <n v="6"/>
    <n v="0.1"/>
    <n v="0.1"/>
    <n v="463544681"/>
    <n v="474936191.40000004"/>
    <n v="474936191.40000004"/>
    <n v="11391510.400000036"/>
    <n v="0"/>
    <n v="1.0245747839785913"/>
    <x v="1"/>
    <n v="1"/>
    <x v="0"/>
    <n v="4635446810"/>
    <n v="-113915104"/>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1"/>
    <x v="11"/>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3.5"/>
    <n v="2"/>
    <n v="6"/>
    <n v="0.3"/>
    <n v="0.25"/>
    <n v="3024666137"/>
    <n v="1187340478.5"/>
    <n v="1424808574.2"/>
    <n v="-1837325658.5"/>
    <n v="-237468095.70000005"/>
    <n v="0.39255257430747637"/>
    <x v="2"/>
    <n v="0.83333333333333326"/>
    <x v="1"/>
    <n v="12098664548"/>
    <n v="7349302634"/>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2"/>
    <x v="0"/>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2.5"/>
    <n v="3"/>
    <n v="6"/>
    <n v="0.5"/>
    <n v="0.45"/>
    <n v="408258621"/>
    <n v="2137212861.3"/>
    <n v="2374680957"/>
    <n v="1728954240.3"/>
    <n v="-237468095.70000005"/>
    <n v="5.234948513922502"/>
    <x v="1"/>
    <n v="0.9"/>
    <x v="1"/>
    <n v="907241380"/>
    <n v="-3842120534"/>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2"/>
    <x v="1"/>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1.5"/>
    <n v="4"/>
    <n v="6"/>
    <n v="0.7"/>
    <m/>
    <m/>
    <n v="0"/>
    <n v="3324553339.7999997"/>
    <n v="0"/>
    <n v="-3324553339.7999997"/>
    <s v="No se realizó gasto en este corte"/>
    <x v="1"/>
    <n v="0"/>
    <x v="3"/>
    <n v="0"/>
    <n v="-4749361914"/>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2"/>
    <x v="2"/>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5"/>
    <n v="6"/>
    <n v="0.8"/>
    <m/>
    <m/>
    <n v="0"/>
    <n v="3799489531.2000003"/>
    <n v="0"/>
    <n v="-3799489531.2000003"/>
    <s v="No se realizó gasto en este corte"/>
    <x v="1"/>
    <n v="0"/>
    <x v="3"/>
    <n v="0"/>
    <n v="-4749361914"/>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2"/>
    <x v="3"/>
    <s v="d8464488-bcc4-f011-a2d2-00155d110115"/>
    <d v="2025-11-18T20:24:10"/>
    <x v="68"/>
    <s v="Mario Briceño Torres"/>
    <s v="https://growdatasas.sharepoint.com/sites/pwa/EMTEL-CNE-INFRAEST Y APLICACIONES 2025"/>
    <s v=" ​Diseñar, desarrollar e implementar una solución tecnológica orientada, que comprenda el desarrollo de la relatoría de la Corporación, la analítica en redes sociales que permita el seguimiento, monitoreo y análisis del comportamiento digital de actores políticos, campañas, partidos y movimientos durante el proceso electoral, gestión y control de resultados electorales que apoyen las etapas de consolidación, verificación y análisis de los comicios electorales y adquisición, instalación, configuración y puesta en funcionamiento de un sistema de infraestructura hiperconvergente (HCI) con sus switches TOR, Solución de BK y gestión de este con servidores de BK y equipos de BK de propósito especifico "/>
    <s v="DATOS Y SISTEMAS DE INFORMACIÓN"/>
    <s v="0388"/>
    <s v="Activo.Iniciado"/>
    <n v="4749361914"/>
    <d v="2025-11-15T00:00:00"/>
    <d v="2026-04-30T00:00:00"/>
    <n v="5.5"/>
    <n v="0.5"/>
    <n v="6"/>
    <n v="6"/>
    <n v="1"/>
    <m/>
    <m/>
    <n v="0"/>
    <n v="4749361914"/>
    <n v="0"/>
    <n v="-4749361914"/>
    <s v="No se realizó gasto en este corte"/>
    <x v="1"/>
    <n v="0"/>
    <x v="3"/>
    <n v="0"/>
    <n v="-4749361914"/>
    <s v="https://growdatasas.sharepoint.com/:x:/r/sites/Gestiondocumental/Administrativa/GD/Financiera/_layouts/15/Doc.aspx?sourcedoc=%7B5D4A893D-AEF1-4B8E-9B0A-8D07579BCA41%7D&amp;file=MODELO%20FINANCIERO%20-%20CNE%20-%20SOLUCI%C3%93N%20TECNOLOGICA%20(TI%20%2B%20DATOS)%2026012026.xlsm&amp;action=default&amp;mobileredirect=true"/>
    <n v="1"/>
    <n v="1"/>
  </r>
  <r>
    <x v="1"/>
    <x v="10"/>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9"/>
    <n v="1"/>
    <n v="10"/>
    <n v="0.1"/>
    <n v="0.1"/>
    <n v="100779731"/>
    <n v="159791349.90000001"/>
    <n v="159791349.90000001"/>
    <n v="59011618.900000006"/>
    <n v="0"/>
    <n v="1.5855504704611685"/>
    <x v="1"/>
    <n v="1"/>
    <x v="0"/>
    <n v="1007797310"/>
    <n v="-590116189"/>
    <s v="https://growdatasas.sharepoint.com/:x:/r/sites/Gestiondocumental/Administrativa/GD/Financiera/_layouts/15/Doc.aspx?sourcedoc=%7B43DC271C-826E-42A6-8DDC-4B4FA4BB2E01%7D&amp;file=MODELO%20FINANCIERO%20-%20RUNT%20IMPLEMENTACI%C3%93N%20CALE%2024112025%20V5.xlsm&amp;action=default&amp;mobileredirect=true"/>
    <n v="1"/>
    <n v="1"/>
  </r>
  <r>
    <x v="1"/>
    <x v="11"/>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8"/>
    <n v="2"/>
    <n v="10"/>
    <n v="0.15"/>
    <n v="0.15"/>
    <n v="156480181"/>
    <n v="239687024.84999999"/>
    <n v="239687024.84999999"/>
    <n v="83206843.849999994"/>
    <n v="0"/>
    <n v="1.5317404627107378"/>
    <x v="1"/>
    <n v="1"/>
    <x v="0"/>
    <n v="1043201206.6666666"/>
    <n v="-554712292.33333337"/>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0"/>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7"/>
    <n v="3"/>
    <n v="10"/>
    <n v="0.2"/>
    <n v="0.2"/>
    <n v="156480181"/>
    <n v="319582699.80000001"/>
    <n v="319582699.80000001"/>
    <n v="163102518.80000001"/>
    <n v="0"/>
    <n v="2.0423206169476504"/>
    <x v="1"/>
    <n v="1"/>
    <x v="0"/>
    <n v="782400905"/>
    <n v="-815512594"/>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1"/>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6"/>
    <n v="4"/>
    <n v="10"/>
    <n v="0.3"/>
    <m/>
    <m/>
    <n v="0"/>
    <n v="479374049.69999999"/>
    <n v="0"/>
    <n v="-479374049.69999999"/>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2"/>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5"/>
    <n v="5"/>
    <n v="10"/>
    <n v="0.4"/>
    <m/>
    <m/>
    <n v="0"/>
    <n v="639165399.60000002"/>
    <n v="0"/>
    <n v="-639165399.60000002"/>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3"/>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4"/>
    <n v="6"/>
    <n v="10"/>
    <n v="0.5"/>
    <m/>
    <m/>
    <n v="0"/>
    <n v="798956749.5"/>
    <n v="0"/>
    <n v="-798956749.5"/>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4"/>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3"/>
    <n v="7"/>
    <n v="10"/>
    <n v="0.6"/>
    <m/>
    <m/>
    <n v="0"/>
    <n v="958748099.39999998"/>
    <n v="0"/>
    <n v="-958748099.39999998"/>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5"/>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2"/>
    <n v="8"/>
    <n v="10"/>
    <n v="0.7"/>
    <m/>
    <m/>
    <n v="0"/>
    <n v="1118539449.3"/>
    <n v="0"/>
    <n v="-1118539449.3"/>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6"/>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9"/>
    <n v="10"/>
    <n v="0.8"/>
    <m/>
    <m/>
    <n v="0"/>
    <n v="1278330799.2"/>
    <n v="0"/>
    <n v="-1278330799.2"/>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7"/>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0"/>
    <n v="10"/>
    <n v="10"/>
    <n v="0.9"/>
    <m/>
    <m/>
    <n v="0"/>
    <n v="1438122149.1000001"/>
    <n v="0"/>
    <n v="-1438122149.1000001"/>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2"/>
    <x v="8"/>
    <s v="053eec63-eeca-f011-86c1-00155d106a17"/>
    <d v="2025-11-26T17:36:10"/>
    <x v="69"/>
    <s v="Diego Armando Giraldo Pachecho"/>
    <s v="https://growdatasas.sharepoint.com/sites/pwa/RUNT-DESARROLLO CALES"/>
    <s v=" ​DESARROLLO DE SOFTWARE PARA IMPLEMENTACIÓN CALE Implementar las funcionalidades de Consulta, Registro y Validación del Examen Teórico de Conducción en RUNT para los Centros de Apoyo Logístico de Evaluación (CALE) según la Resolución 20253040037125 del 10/09/2025. "/>
    <s v="DATOS Y SISTEMAS DE INFORMACIÓN"/>
    <s v="0390"/>
    <s v="Activo.Iniciado"/>
    <n v="1597913499"/>
    <d v="2025-11-28T00:00:00"/>
    <d v="2026-09-28T00:00:00"/>
    <n v="10"/>
    <n v="1"/>
    <n v="11"/>
    <n v="10"/>
    <n v="1"/>
    <m/>
    <m/>
    <n v="0"/>
    <n v="1597913499"/>
    <n v="0"/>
    <n v="-1597913499"/>
    <s v="No se realizó gasto en este corte"/>
    <x v="1"/>
    <n v="0"/>
    <x v="3"/>
    <n v="0"/>
    <n v="-1597913499"/>
    <s v="https://growdatasas.sharepoint.com/:x:/r/sites/Gestiondocumental/Administrativa/GD/Financiera/_layouts/15/Doc.aspx?sourcedoc=%7B43DC271C-826E-42A6-8DDC-4B4FA4BB2E01%7D&amp;file=MODELO%20FINANCIERO%20-%20RUNT%20IMPLEMENTACI%C3%93N%20CALE%2024112025%20V5.xlsm&amp;action=default&amp;mobileredirect=true"/>
    <n v="1"/>
    <n v="1"/>
  </r>
  <r>
    <x v="1"/>
    <x v="11"/>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6.97"/>
    <n v="1"/>
    <n v="8"/>
    <n v="0.1"/>
    <n v="0.1"/>
    <n v="512538627"/>
    <n v="16466919.9"/>
    <n v="16466919.9"/>
    <n v="-496071707.10000002"/>
    <n v="0"/>
    <n v="3.2128153923509067E-2"/>
    <x v="2"/>
    <n v="1"/>
    <x v="0"/>
    <n v="5125386270"/>
    <n v="4960717071"/>
    <s v="https://growdatasas.sharepoint.com/:x:/r/sites/Gestiondocumental/Administrativa/GD/Financiera/_layouts/15/Doc.aspx?sourcedoc=%7B2970928D-0288-4D5D-952F-67732B5D2028%7D&amp;file=251216_MODELO_FINANCIERO_SDH_V.2.0__V7.5%20VF.xlsm&amp;action=default&amp;mobileredirect=true"/>
    <n v="1"/>
    <n v="1"/>
  </r>
  <r>
    <x v="2"/>
    <x v="0"/>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5.97"/>
    <n v="2"/>
    <n v="8"/>
    <n v="0.2"/>
    <n v="0.2"/>
    <n v="352963765"/>
    <n v="32933839.800000001"/>
    <n v="32933839.800000001"/>
    <n v="-320029925.19999999"/>
    <n v="0"/>
    <n v="9.3306574401482822E-2"/>
    <x v="2"/>
    <n v="1"/>
    <x v="0"/>
    <n v="1764818825"/>
    <n v="1600149626"/>
    <s v="https://growdatasas.sharepoint.com/:x:/r/sites/Gestiondocumental/Administrativa/GD/Financiera/_layouts/15/Doc.aspx?sourcedoc=%7B2970928D-0288-4D5D-952F-67732B5D2028%7D&amp;file=251216_MODELO_FINANCIERO_SDH_V.2.0__V7.5%20VF.xlsm&amp;action=default&amp;mobileredirect=true"/>
    <n v="1"/>
    <n v="1"/>
  </r>
  <r>
    <x v="2"/>
    <x v="1"/>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4.97"/>
    <n v="3"/>
    <n v="8"/>
    <n v="0.3"/>
    <m/>
    <m/>
    <n v="0"/>
    <n v="49400759.699999996"/>
    <n v="0"/>
    <n v="-49400759.699999996"/>
    <s v="No se realizó gasto en este corte"/>
    <x v="1"/>
    <n v="0"/>
    <x v="3"/>
    <n v="0"/>
    <n v="-164669199"/>
    <s v="https://growdatasas.sharepoint.com/:x:/r/sites/Gestiondocumental/Administrativa/GD/Financiera/_layouts/15/Doc.aspx?sourcedoc=%7B2970928D-0288-4D5D-952F-67732B5D2028%7D&amp;file=251216_MODELO_FINANCIERO_SDH_V.2.0__V7.5%20VF.xlsm&amp;action=default&amp;mobileredirect=true"/>
    <n v="1"/>
    <n v="1"/>
  </r>
  <r>
    <x v="2"/>
    <x v="2"/>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3.9699999999999998"/>
    <n v="4"/>
    <n v="8"/>
    <n v="0.5"/>
    <m/>
    <m/>
    <n v="0"/>
    <n v="82334599.5"/>
    <n v="0"/>
    <n v="-82334599.5"/>
    <s v="No se realizó gasto en este corte"/>
    <x v="1"/>
    <n v="0"/>
    <x v="3"/>
    <n v="0"/>
    <n v="-164669199"/>
    <s v="https://growdatasas.sharepoint.com/:x:/r/sites/Gestiondocumental/Administrativa/GD/Financiera/_layouts/15/Doc.aspx?sourcedoc=%7B2970928D-0288-4D5D-952F-67732B5D2028%7D&amp;file=251216_MODELO_FINANCIERO_SDH_V.2.0__V7.5%20VF.xlsm&amp;action=default&amp;mobileredirect=true"/>
    <n v="1"/>
    <n v="1"/>
  </r>
  <r>
    <x v="2"/>
    <x v="3"/>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2.9699999999999998"/>
    <n v="5"/>
    <n v="8"/>
    <n v="0.7"/>
    <m/>
    <m/>
    <n v="0"/>
    <n v="115268439.3"/>
    <n v="0"/>
    <n v="-115268439.3"/>
    <s v="No se realizó gasto en este corte"/>
    <x v="1"/>
    <n v="0"/>
    <x v="3"/>
    <n v="0"/>
    <n v="-164669199"/>
    <s v="https://growdatasas.sharepoint.com/:x:/r/sites/Gestiondocumental/Administrativa/GD/Financiera/_layouts/15/Doc.aspx?sourcedoc=%7B2970928D-0288-4D5D-952F-67732B5D2028%7D&amp;file=251216_MODELO_FINANCIERO_SDH_V.2.0__V7.5%20VF.xlsm&amp;action=default&amp;mobileredirect=true"/>
    <n v="1"/>
    <n v="1"/>
  </r>
  <r>
    <x v="2"/>
    <x v="4"/>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1.9699999999999998"/>
    <n v="6"/>
    <n v="8"/>
    <n v="0.8"/>
    <m/>
    <m/>
    <n v="0"/>
    <n v="131735359.2"/>
    <n v="0"/>
    <n v="-131735359.2"/>
    <s v="No se realizó gasto en este corte"/>
    <x v="1"/>
    <n v="0"/>
    <x v="3"/>
    <n v="0"/>
    <n v="-164669199"/>
    <s v="https://growdatasas.sharepoint.com/:x:/r/sites/Gestiondocumental/Administrativa/GD/Financiera/_layouts/15/Doc.aspx?sourcedoc=%7B2970928D-0288-4D5D-952F-67732B5D2028%7D&amp;file=251216_MODELO_FINANCIERO_SDH_V.2.0__V7.5%20VF.xlsm&amp;action=default&amp;mobileredirect=true"/>
    <n v="1"/>
    <n v="1"/>
  </r>
  <r>
    <x v="2"/>
    <x v="5"/>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0.96999999999999975"/>
    <n v="7"/>
    <n v="8"/>
    <n v="0.9"/>
    <m/>
    <m/>
    <n v="0"/>
    <n v="148202279.09999999"/>
    <n v="0"/>
    <n v="-148202279.09999999"/>
    <s v="No se realizó gasto en este corte"/>
    <x v="1"/>
    <n v="0"/>
    <x v="3"/>
    <n v="0"/>
    <n v="-164669199"/>
    <s v="https://growdatasas.sharepoint.com/:x:/r/sites/Gestiondocumental/Administrativa/GD/Financiera/_layouts/15/Doc.aspx?sourcedoc=%7B2970928D-0288-4D5D-952F-67732B5D2028%7D&amp;file=251216_MODELO_FINANCIERO_SDH_V.2.0__V7.5%20VF.xlsm&amp;action=default&amp;mobileredirect=true"/>
    <n v="1"/>
    <n v="1"/>
  </r>
  <r>
    <x v="2"/>
    <x v="6"/>
    <s v="44516f2a-f1fa-f011-b5f8-00155d10100b"/>
    <d v="2026-01-26T19:57:00"/>
    <x v="70"/>
    <s v="Johan Sebastian Rodriguez Niño"/>
    <s v="https://growdatasas.sharepoint.com/sites/pwa/UT AMESC - ARN - ALQUILER EQUIPOS 2026"/>
    <s v=" ​servicio de seguridad electronica_x0009__x0009_   "/>
    <s v="TI"/>
    <s v="0393"/>
    <s v="Activo.En Ejecución"/>
    <n v="164669199"/>
    <d v="2025-12-01T00:00:00"/>
    <d v="2026-07-30T00:00:00"/>
    <n v="7.97"/>
    <n v="3.0000000000000249E-2"/>
    <n v="8"/>
    <n v="8"/>
    <n v="1"/>
    <m/>
    <m/>
    <n v="0"/>
    <n v="164669199"/>
    <n v="0"/>
    <n v="-164669199"/>
    <s v="No se realizó gasto en este corte"/>
    <x v="1"/>
    <n v="0"/>
    <x v="3"/>
    <n v="0"/>
    <n v="-164669199"/>
    <s v="https://growdatasas.sharepoint.com/:x:/r/sites/Gestiondocumental/Administrativa/GD/Financiera/_layouts/15/Doc.aspx?sourcedoc=%7B2970928D-0288-4D5D-952F-67732B5D2028%7D&amp;file=251216_MODELO_FINANCIERO_SDH_V.2.0__V7.5%20VF.xlsm&amp;action=default&amp;mobileredirect=true"/>
    <n v="1"/>
    <n v="1"/>
  </r>
  <r>
    <x v="1"/>
    <x v="11"/>
    <s v="da353807-f0d1-f011-86be-00155d10d315"/>
    <d v="2025-12-05T15:35:32"/>
    <x v="71"/>
    <s v="Rodrigo Alexander Ramirez Ospina"/>
    <s v="https://growdatasas.sharepoint.com/sites/pwa/SUPERSUBSIDIO-MEGA"/>
    <s v=" ​LICENCIA MEGA "/>
    <s v="CONSULTORÍA"/>
    <s v="0391"/>
    <s v="Activo.En Ejecución"/>
    <n v="247635015"/>
    <d v="2025-12-01T00:00:00"/>
    <d v="2025-12-31T00:00:00"/>
    <n v="1"/>
    <n v="0"/>
    <n v="1"/>
    <n v="2"/>
    <n v="0.5"/>
    <n v="0.5"/>
    <n v="14870034"/>
    <n v="123817507.5"/>
    <n v="123817507.5"/>
    <n v="108947473.5"/>
    <n v="0"/>
    <n v="8.3266458906549907"/>
    <x v="1"/>
    <n v="1"/>
    <x v="0"/>
    <n v="29740068"/>
    <n v="-217894947"/>
    <s v="https://growdatasas.sharepoint.com/:x:/r/sites/Gestiondocumental/Administrativa/GD/Financiera/_layouts/15/Doc.aspx?sourcedoc=%7B840D2BBF-2534-4DFF-B0DD-C6009F7470CE%7D&amp;file=20251301%20MODELO%20FINANCIERO%20REFERENCIA%20V7.4_583MILL.xlsm&amp;action=default&amp;mobileredirect=true"/>
    <n v="1"/>
    <n v="1"/>
  </r>
  <r>
    <x v="2"/>
    <x v="0"/>
    <s v="da353807-f0d1-f011-86be-00155d10d315"/>
    <d v="2025-12-05T15:35:32"/>
    <x v="71"/>
    <s v="Rodrigo Alexander Ramirez Ospina"/>
    <s v="https://growdatasas.sharepoint.com/sites/pwa/SUPERSUBSIDIO-MEGA"/>
    <s v=" ​LICENCIA MEGA "/>
    <s v="CONSULTORÍA"/>
    <s v="0391"/>
    <s v="Activo.En Ejecución"/>
    <n v="247635015"/>
    <d v="2025-12-01T00:00:00"/>
    <d v="2025-12-31T00:00:00"/>
    <n v="1"/>
    <n v="1"/>
    <n v="2"/>
    <n v="2"/>
    <n v="1"/>
    <n v="1"/>
    <n v="232764980"/>
    <n v="247635015"/>
    <n v="247635015"/>
    <n v="14870035"/>
    <n v="0"/>
    <n v="1.0638843308817332"/>
    <x v="1"/>
    <n v="1"/>
    <x v="0"/>
    <n v="232764980"/>
    <n v="-14870035"/>
    <s v="https://growdatasas.sharepoint.com/:x:/r/sites/Gestiondocumental/Administrativa/GD/Financiera/_layouts/15/Doc.aspx?sourcedoc=%7B840D2BBF-2534-4DFF-B0DD-C6009F7470CE%7D&amp;file=20251301%20MODELO%20FINANCIERO%20REFERENCIA%20V7.4_583MILL.xlsm&amp;action=default&amp;mobileredirect=true"/>
    <n v="1"/>
    <n v="1"/>
  </r>
  <r>
    <x v="1"/>
    <x v="11"/>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3.97"/>
    <n v="1"/>
    <n v="25"/>
    <n v="0.05"/>
    <m/>
    <n v="512538627"/>
    <n v="0"/>
    <n v="150683449.90000001"/>
    <n v="-512538627"/>
    <n v="-150683449.90000001"/>
    <n v="0"/>
    <x v="3"/>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0"/>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2.97"/>
    <n v="2"/>
    <n v="25"/>
    <n v="0.1"/>
    <m/>
    <n v="352963765"/>
    <n v="0"/>
    <n v="301366899.80000001"/>
    <n v="-352963765"/>
    <n v="-301366899.80000001"/>
    <n v="0"/>
    <x v="3"/>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1"/>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1.97"/>
    <n v="3"/>
    <n v="25"/>
    <n v="0.15"/>
    <m/>
    <m/>
    <n v="0"/>
    <n v="452050349.69999999"/>
    <n v="0"/>
    <n v="-452050349.69999999"/>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2"/>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0.97"/>
    <n v="4"/>
    <n v="25"/>
    <n v="0.2"/>
    <m/>
    <m/>
    <n v="0"/>
    <n v="602733799.60000002"/>
    <n v="0"/>
    <n v="-602733799.60000002"/>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3"/>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97"/>
    <n v="5"/>
    <n v="25"/>
    <n v="0.25"/>
    <m/>
    <m/>
    <n v="0"/>
    <n v="753417249.5"/>
    <n v="0"/>
    <n v="-753417249.5"/>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4"/>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8.97"/>
    <n v="6"/>
    <n v="25"/>
    <n v="0.27"/>
    <m/>
    <m/>
    <n v="0"/>
    <n v="813690629.46000004"/>
    <n v="0"/>
    <n v="-813690629.46000004"/>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5"/>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7.97"/>
    <n v="7"/>
    <n v="25"/>
    <n v="0.32600000000000001"/>
    <m/>
    <m/>
    <n v="0"/>
    <n v="982456093.34800005"/>
    <n v="0"/>
    <n v="-982456093.34800005"/>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6"/>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6.97"/>
    <n v="8"/>
    <n v="25"/>
    <n v="0.37"/>
    <m/>
    <m/>
    <n v="0"/>
    <n v="1115057529.26"/>
    <n v="0"/>
    <n v="-1115057529.26"/>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7"/>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5.969999999999999"/>
    <n v="9"/>
    <n v="25"/>
    <n v="0.41399999999999998"/>
    <m/>
    <m/>
    <n v="0"/>
    <n v="1247658965.1719999"/>
    <n v="0"/>
    <n v="-1247658965.1719999"/>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8"/>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4.969999999999999"/>
    <n v="10"/>
    <n v="25"/>
    <n v="0.45800000000000002"/>
    <m/>
    <m/>
    <n v="0"/>
    <n v="1380260401.0840001"/>
    <n v="0"/>
    <n v="-1380260401.0840001"/>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9"/>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3.969999999999999"/>
    <n v="11"/>
    <n v="25"/>
    <n v="0.502"/>
    <m/>
    <m/>
    <n v="0"/>
    <n v="1512861836.9960001"/>
    <n v="0"/>
    <n v="-1512861836.9960001"/>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10"/>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2.969999999999999"/>
    <n v="12"/>
    <n v="25"/>
    <n v="0.54600000000000004"/>
    <m/>
    <m/>
    <n v="0"/>
    <n v="1645463272.9080002"/>
    <n v="0"/>
    <n v="-1645463272.9080002"/>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2"/>
    <x v="11"/>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1.969999999999999"/>
    <n v="13"/>
    <n v="25"/>
    <n v="0.59"/>
    <m/>
    <m/>
    <n v="0"/>
    <n v="1778064708.8199999"/>
    <n v="0"/>
    <n v="-1778064708.8199999"/>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0"/>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969999999999999"/>
    <n v="14"/>
    <n v="25"/>
    <n v="0.63400000000000001"/>
    <m/>
    <m/>
    <n v="0"/>
    <n v="1910666144.7320001"/>
    <n v="0"/>
    <n v="-1910666144.7320001"/>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1"/>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9.9699999999999989"/>
    <n v="15"/>
    <n v="25"/>
    <n v="0.67800000000000005"/>
    <m/>
    <m/>
    <n v="0"/>
    <n v="2043267580.6440001"/>
    <n v="0"/>
    <n v="-2043267580.6440001"/>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2"/>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8.9699999999999989"/>
    <n v="16"/>
    <n v="25"/>
    <n v="0.72199999999999998"/>
    <m/>
    <m/>
    <n v="0"/>
    <n v="2175869016.5559998"/>
    <n v="0"/>
    <n v="-2175869016.5559998"/>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3"/>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7.9699999999999989"/>
    <n v="17"/>
    <n v="25"/>
    <n v="0.75"/>
    <m/>
    <m/>
    <n v="0"/>
    <n v="2260251748.5"/>
    <n v="0"/>
    <n v="-2260251748.5"/>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4"/>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6.9699999999999989"/>
    <n v="18"/>
    <n v="25"/>
    <n v="0.77"/>
    <m/>
    <m/>
    <n v="0"/>
    <n v="2320525128.46"/>
    <n v="0"/>
    <n v="-2320525128.46"/>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5"/>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5.9699999999999989"/>
    <n v="19"/>
    <n v="25"/>
    <n v="0.8"/>
    <m/>
    <m/>
    <n v="0"/>
    <n v="2410935198.4000001"/>
    <n v="0"/>
    <n v="-2410935198.4000001"/>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6"/>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4.9699999999999989"/>
    <n v="20"/>
    <n v="25"/>
    <n v="0.82"/>
    <m/>
    <m/>
    <n v="0"/>
    <n v="2471208578.3599997"/>
    <n v="0"/>
    <n v="-2471208578.3599997"/>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7"/>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9699999999999989"/>
    <n v="21"/>
    <n v="25"/>
    <n v="0.87"/>
    <m/>
    <m/>
    <n v="0"/>
    <n v="2621892028.2599998"/>
    <n v="0"/>
    <n v="-2621892028.2599998"/>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8"/>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2.9699999999999989"/>
    <n v="22"/>
    <n v="25"/>
    <n v="0.89800000000000002"/>
    <m/>
    <m/>
    <n v="0"/>
    <n v="2706274760.204"/>
    <n v="0"/>
    <n v="-2706274760.204"/>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9"/>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9699999999999989"/>
    <n v="23"/>
    <n v="25"/>
    <n v="0.92"/>
    <m/>
    <m/>
    <n v="0"/>
    <n v="2772575478.1600003"/>
    <n v="0"/>
    <n v="-2772575478.1600003"/>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10"/>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0.96999999999999886"/>
    <n v="24"/>
    <n v="25"/>
    <n v="0.94"/>
    <m/>
    <m/>
    <n v="0"/>
    <n v="2832848858.1199999"/>
    <n v="0"/>
    <n v="-2832848858.1199999"/>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3"/>
    <x v="11"/>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3.0000000000001137E-2"/>
    <n v="25"/>
    <n v="25"/>
    <n v="0.98"/>
    <m/>
    <m/>
    <n v="0"/>
    <n v="2953395618.04"/>
    <n v="0"/>
    <n v="-2953395618.04"/>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4"/>
    <x v="0"/>
    <s v="c611b5bc-bbe5-f011-9aac-00155d10300c"/>
    <d v="2025-12-30T20:11:44"/>
    <x v="72"/>
    <s v="Rodrigo Alexander Ramirez Ospina"/>
    <s v="https://growdatasas.sharepoint.com/sites/pwa/Secretaría Distrital de Hacienda - SDH"/>
    <s v="  PRESTACIÓN DE LOS SERVICIOS QUE PERMITAN REALIZAR LA PLANEACIÓN, GESTIÓN E IMPLEMENTACIÓN DEL MODELO DE ARQUITECTURA EMPRESARIAL (MAE) DEL MARCO DE REFERENCIA DE ARQUITECTURA EMPRESARIAL (MRAE) PARA LA SECRETARIA DISTRITAL DE HACIENDA, de conformidad con lo establecido en el Pliego de Condiciones   "/>
    <s v="CONSULTORÍA"/>
    <s v="00001"/>
    <s v="Activo.En Ejecución"/>
    <n v="3013668998"/>
    <d v="2025-12-15T00:00:00"/>
    <d v="2028-01-14T00:00:00"/>
    <n v="24.97"/>
    <n v="1.0300000000000011"/>
    <n v="26"/>
    <n v="25"/>
    <n v="1"/>
    <m/>
    <m/>
    <n v="0"/>
    <n v="3013668998"/>
    <n v="0"/>
    <n v="-3013668998"/>
    <s v="No se realizó gasto en este corte"/>
    <x v="1"/>
    <n v="0"/>
    <x v="3"/>
    <n v="0"/>
    <n v="-3013668998"/>
    <s v="https://growdatasas.sharepoint.com/:x:/r/sites/Gestiondocumental/Administrativa/GD/Financiera/_layouts/15/Doc.aspx?sourcedoc=%7B2970928D-0288-4D5D-952F-67732B5D2028%7D&amp;file=251216_MODELO_FINANCIERO_SDH_V.2.0__V7.5%20VF.xlsm&amp;action=default&amp;mobileredirect=true"/>
    <n v="1"/>
    <n v="1"/>
  </r>
  <r>
    <x v="1"/>
    <x v="11"/>
    <s v="ec074182-14e0-f011-9aac-00155d10d91f"/>
    <d v="2025-12-23T15:31:58"/>
    <x v="73"/>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0.47"/>
    <n v="1"/>
    <n v="2"/>
    <n v="0.5"/>
    <n v="0.45"/>
    <n v="6929166"/>
    <n v="104411618.55"/>
    <n v="116012909.5"/>
    <n v="97482452.549999997"/>
    <n v="-11601290.950000003"/>
    <n v="15.068425052885152"/>
    <x v="1"/>
    <n v="0.9"/>
    <x v="1"/>
    <n v="15398146.666666668"/>
    <n v="-216627672.33333334"/>
    <s v="https://growdatasas.sharepoint.com/:x:/r/sites/Gestiondocumental/Administrativa/GD/Financiera/_layouts/15/Doc.aspx?sourcedoc=%7BEA9029CE-8DE9-486F-84A4-ED3C150AEAC4%7D&amp;file=20251301%20MODELO%20FINANCIERO%20REFERENCIA%20V7.5_DNP.xlsm&amp;action=default&amp;mobileredirect=true"/>
    <n v="1"/>
    <n v="1"/>
  </r>
  <r>
    <x v="2"/>
    <x v="0"/>
    <s v="ec074182-14e0-f011-9aac-00155d10d91f"/>
    <d v="2025-12-23T15:31:58"/>
    <x v="73"/>
    <s v="Rodrigo Alexander Ramirez Ospina"/>
    <s v="https://growdatasas.sharepoint.com/sites/pwa/DNP-MEGAHOPEX"/>
    <s v=" ​Contratar el soporte y mantenimiento del Sistema de Gestión de Arquitectura Empresarial MEGA HOPEX para el Departamento Nacional de Planeación, según lo especificado en el anexo técnico. "/>
    <s v="CONSULTORÍA"/>
    <s v="00001"/>
    <s v="Activo.Iniciado"/>
    <n v="232025819"/>
    <d v="2025-12-15T00:00:00"/>
    <d v="2025-12-31T00:00:00"/>
    <n v="0.53"/>
    <n v="1.47"/>
    <n v="2"/>
    <n v="2"/>
    <n v="1"/>
    <n v="1"/>
    <n v="112306405"/>
    <n v="232025819"/>
    <n v="232025819"/>
    <n v="119719414"/>
    <n v="0"/>
    <n v="2.0660070011144955"/>
    <x v="1"/>
    <n v="1"/>
    <x v="0"/>
    <n v="112306405"/>
    <n v="-119719414"/>
    <s v="https://growdatasas.sharepoint.com/:x:/r/sites/Gestiondocumental/Administrativa/GD/Financiera/_layouts/15/Doc.aspx?sourcedoc=%7BEA9029CE-8DE9-486F-84A4-ED3C150AEAC4%7D&amp;file=20251301%20MODELO%20FINANCIERO%20REFERENCIA%20V7.5_DNP.xlsm&amp;action=default&amp;mobileredirect=true"/>
    <n v="1"/>
    <n v="1"/>
  </r>
  <r>
    <x v="2"/>
    <x v="0"/>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1"/>
    <n v="1"/>
    <n v="12"/>
    <n v="0.1"/>
    <n v="0.1"/>
    <n v="7064284"/>
    <n v="27395015.5"/>
    <n v="27395015.5"/>
    <n v="20330731.5"/>
    <n v="0"/>
    <n v="3.8779606680592118"/>
    <x v="1"/>
    <n v="1"/>
    <x v="0"/>
    <n v="70642840"/>
    <n v="-203307315"/>
    <s v="https://growdatasas.sharepoint.com/:x:/r/sites/Gestiondocumental/Administrativa/GD/Financiera/_layouts/15/Doc.aspx?sourcedoc=%7BD8C5B8CC-D9E3-4D31-8BCE-513A1CE313F5%7D&amp;file=20251301%20MODELO%20FINANCIERO%20FUNCION%20PUBLICA%20V4.xlsm&amp;action=default&amp;mobileredirect=true"/>
    <n v="1"/>
    <n v="1"/>
  </r>
  <r>
    <x v="2"/>
    <x v="1"/>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0"/>
    <n v="2"/>
    <n v="12"/>
    <n v="0.15"/>
    <n v="0.11"/>
    <n v="208897227"/>
    <n v="30134517.050000001"/>
    <n v="41092523.25"/>
    <n v="-178762709.94999999"/>
    <n v="-10958006.199999999"/>
    <n v="0.14425522771539712"/>
    <x v="2"/>
    <n v="0.73333333333333339"/>
    <x v="1"/>
    <n v="1899065699.9999998"/>
    <n v="1625115544.9999998"/>
    <s v="https://growdatasas.sharepoint.com/:x:/r/sites/Gestiondocumental/Administrativa/GD/Financiera/_layouts/15/Doc.aspx?sourcedoc=%7BD8C5B8CC-D9E3-4D31-8BCE-513A1CE313F5%7D&amp;file=20251301%20MODELO%20FINANCIERO%20FUNCION%20PUBLICA%20V4.xlsm&amp;action=default&amp;mobileredirect=true"/>
    <n v="1"/>
    <n v="1"/>
  </r>
  <r>
    <x v="2"/>
    <x v="2"/>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9"/>
    <n v="3"/>
    <n v="12"/>
    <n v="0.2"/>
    <m/>
    <m/>
    <n v="0"/>
    <n v="54790031"/>
    <n v="0"/>
    <n v="-54790031"/>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3"/>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8"/>
    <n v="4"/>
    <n v="12"/>
    <n v="0.25"/>
    <m/>
    <m/>
    <n v="0"/>
    <n v="68487538.75"/>
    <n v="0"/>
    <n v="-68487538.75"/>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4"/>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7"/>
    <n v="5"/>
    <n v="12"/>
    <n v="0.3"/>
    <m/>
    <m/>
    <n v="0"/>
    <n v="82185046.5"/>
    <n v="0"/>
    <n v="-82185046.5"/>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5"/>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6"/>
    <n v="6"/>
    <n v="12"/>
    <n v="0.4"/>
    <m/>
    <m/>
    <n v="0"/>
    <n v="109580062"/>
    <n v="0"/>
    <n v="-109580062"/>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6"/>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5"/>
    <n v="7"/>
    <n v="12"/>
    <n v="0.5"/>
    <m/>
    <m/>
    <n v="0"/>
    <n v="136975077.5"/>
    <n v="0"/>
    <n v="-136975077.5"/>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7"/>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4"/>
    <n v="8"/>
    <n v="12"/>
    <n v="0.6"/>
    <m/>
    <m/>
    <n v="0"/>
    <n v="164370093"/>
    <n v="0"/>
    <n v="-164370093"/>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8"/>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3"/>
    <n v="9"/>
    <n v="12"/>
    <n v="0.7"/>
    <m/>
    <m/>
    <n v="0"/>
    <n v="191765108.5"/>
    <n v="0"/>
    <n v="-191765108.5"/>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9"/>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2"/>
    <n v="10"/>
    <n v="12"/>
    <n v="0.8"/>
    <m/>
    <m/>
    <n v="0"/>
    <n v="219160124"/>
    <n v="0"/>
    <n v="-219160124"/>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10"/>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1"/>
    <n v="11"/>
    <n v="12"/>
    <n v="0.9"/>
    <m/>
    <m/>
    <n v="0"/>
    <n v="246555139.5"/>
    <n v="0"/>
    <n v="-246555139.5"/>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11"/>
    <s v="2a4aeec0-1ee0-f011-9aac-00155d11040d"/>
    <d v="2025-12-23T16:45:16"/>
    <x v="74"/>
    <s v="Johan Sebastian Rodriguez Niño"/>
    <s v="https://growdatasas.sharepoint.com/sites/pwa/CCD-DEPTO ADMON FUNCION PUBLICA-WAF"/>
    <s v=" ​Adquisición, instalación y configuración de un WEB Application Firewall para los servicios tecnológicos para el Departamento Administrativo de la Función Pública "/>
    <s v="TI"/>
    <s v="00001"/>
    <s v="Activo.En Liquidación"/>
    <n v="273950155"/>
    <d v="2026-01-01T00:00:00"/>
    <d v="2026-12-31T00:00:00"/>
    <n v="12"/>
    <n v="0"/>
    <n v="12"/>
    <n v="12"/>
    <n v="1"/>
    <m/>
    <m/>
    <n v="0"/>
    <n v="273950155"/>
    <n v="0"/>
    <n v="-273950155"/>
    <s v="No se realizó gasto en este corte"/>
    <x v="1"/>
    <n v="0"/>
    <x v="3"/>
    <n v="0"/>
    <n v="-273950155"/>
    <s v="https://growdatasas.sharepoint.com/:x:/r/sites/Gestiondocumental/Administrativa/GD/Financiera/_layouts/15/Doc.aspx?sourcedoc=%7BD8C5B8CC-D9E3-4D31-8BCE-513A1CE313F5%7D&amp;file=20251301%20MODELO%20FINANCIERO%20FUNCION%20PUBLICA%20V4.xlsm&amp;action=default&amp;mobileredirect=true"/>
    <n v="1"/>
    <n v="1"/>
  </r>
  <r>
    <x v="2"/>
    <x v="0"/>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11"/>
    <n v="1"/>
    <n v="12"/>
    <n v="0.1"/>
    <m/>
    <n v="1190864655"/>
    <n v="0"/>
    <n v="663360999.60000002"/>
    <n v="-1190864655"/>
    <n v="-663360999.60000002"/>
    <n v="0"/>
    <x v="3"/>
    <n v="0"/>
    <x v="3"/>
    <n v="0"/>
    <n v="-6633609996"/>
    <s v="https://growdatasas.sharepoint.com/:x:/r/sites/Gestiondocumental/Administrativa/GD/Financiera/_layouts/15/Doc.aspx?sourcedoc=%7BEE2DBDF3-CCDC-4051-9840-1FAD6578D68D%7D&amp;file=MODELO%20MINVIVIENDA%20V1.4.%20(aprobado).xlsm&amp;action=default&amp;mobileredirect=true"/>
    <n v="1"/>
    <n v="1"/>
  </r>
  <r>
    <x v="2"/>
    <x v="1"/>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10"/>
    <n v="2"/>
    <n v="12"/>
    <n v="0.2"/>
    <m/>
    <n v="514607794"/>
    <n v="0"/>
    <n v="1326721999.2"/>
    <n v="-514607794"/>
    <n v="-1326721999.2"/>
    <n v="0"/>
    <x v="3"/>
    <n v="0"/>
    <x v="3"/>
    <n v="0"/>
    <n v="-6633609996"/>
    <s v="https://growdatasas.sharepoint.com/:x:/r/sites/Gestiondocumental/Administrativa/GD/Financiera/_layouts/15/Doc.aspx?sourcedoc=%7BEE2DBDF3-CCDC-4051-9840-1FAD6578D68D%7D&amp;file=MODELO%20MINVIVIENDA%20V1.4.%20(aprobado).xlsm&amp;action=default&amp;mobileredirect=true"/>
    <n v="1"/>
    <n v="1"/>
  </r>
  <r>
    <x v="2"/>
    <x v="2"/>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9"/>
    <n v="3"/>
    <n v="12"/>
    <n v="0.25"/>
    <m/>
    <m/>
    <n v="0"/>
    <n v="1658402499"/>
    <n v="0"/>
    <n v="-1658402499"/>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3"/>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8"/>
    <n v="4"/>
    <n v="12"/>
    <n v="0.3"/>
    <m/>
    <m/>
    <n v="0"/>
    <n v="1990082998.8"/>
    <n v="0"/>
    <n v="-1990082998.8"/>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4"/>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7"/>
    <n v="5"/>
    <n v="12"/>
    <n v="0.35"/>
    <m/>
    <m/>
    <n v="0"/>
    <n v="2321763498.5999999"/>
    <n v="0"/>
    <n v="-2321763498.5999999"/>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5"/>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6"/>
    <n v="6"/>
    <n v="12"/>
    <n v="0.4"/>
    <m/>
    <m/>
    <n v="0"/>
    <n v="2653443998.4000001"/>
    <n v="0"/>
    <n v="-2653443998.4000001"/>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6"/>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5"/>
    <n v="7"/>
    <n v="12"/>
    <n v="0.5"/>
    <m/>
    <m/>
    <n v="0"/>
    <n v="3316804998"/>
    <n v="0"/>
    <n v="-3316804998"/>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7"/>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4"/>
    <n v="8"/>
    <n v="12"/>
    <n v="0.6"/>
    <m/>
    <m/>
    <n v="0"/>
    <n v="3980165997.5999999"/>
    <n v="0"/>
    <n v="-3980165997.5999999"/>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8"/>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3"/>
    <n v="9"/>
    <n v="12"/>
    <n v="0.7"/>
    <m/>
    <m/>
    <n v="0"/>
    <n v="4643526997.1999998"/>
    <n v="0"/>
    <n v="-4643526997.1999998"/>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9"/>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2"/>
    <n v="10"/>
    <n v="12"/>
    <n v="0.8"/>
    <m/>
    <m/>
    <n v="0"/>
    <n v="5306887996.8000002"/>
    <n v="0"/>
    <n v="-5306887996.8000002"/>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10"/>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1"/>
    <n v="11"/>
    <n v="12"/>
    <n v="0.9"/>
    <m/>
    <m/>
    <n v="0"/>
    <n v="5970248996.4000006"/>
    <n v="0"/>
    <n v="-5970248996.4000006"/>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2"/>
    <x v="11"/>
    <s v="a46c1f5d-1bd1-f011-86c0-00155d104312"/>
    <d v="2025-12-04T14:13:14"/>
    <x v="75"/>
    <s v="Blanca Johanna Rangel Martinez"/>
    <s v="https://growdatasas.sharepoint.com/sites/pwa/UT OUTSOURCING TECNOLOGICO 2025 MINVIVIENDA"/>
    <s v=" ​  UT OUTSOURCING TECNOLOGICO 2025 MINVIVIENDA   "/>
    <s v="TI"/>
    <s v="00001"/>
    <s v="Activo.Iniciado"/>
    <n v="6633609996"/>
    <d v="2026-01-01T00:00:00"/>
    <d v="2026-12-31T00:00:00"/>
    <n v="12"/>
    <n v="0"/>
    <n v="12"/>
    <n v="12"/>
    <n v="1"/>
    <m/>
    <m/>
    <n v="0"/>
    <n v="6633609996"/>
    <n v="0"/>
    <n v="-6633609996"/>
    <s v="No se realizó gasto en este corte"/>
    <x v="1"/>
    <n v="0"/>
    <x v="3"/>
    <n v="0"/>
    <n v="-6633609996"/>
    <s v="https://growdatasas.sharepoint.com/:x:/r/sites/Gestiondocumental/Administrativa/GD/Financiera/_layouts/15/Doc.aspx?sourcedoc=%7BEE2DBDF3-CCDC-4051-9840-1FAD6578D68D%7D&amp;file=MODELO%20MINVIVIENDA%20V1.4.%20(aprobado).xlsm&amp;action=default&amp;mobileredirect=true"/>
    <n v="1"/>
    <n v="1"/>
  </r>
  <r>
    <x v="1"/>
    <x v="10"/>
    <s v="c5a4c8cd-7abe-f011-a2cf-00155d10ce0f"/>
    <d v="2025-11-10T21:18:33"/>
    <x v="76"/>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1"/>
    <n v="3"/>
    <n v="0"/>
    <n v="0.3"/>
    <n v="642077207"/>
    <n v="1837181463.3"/>
    <n v="0"/>
    <n v="1195104256.3"/>
    <n v="1837181463.3"/>
    <n v="2.8613092682170231"/>
    <x v="1"/>
    <n v="0"/>
    <x v="3"/>
    <n v="2140257356.6666665"/>
    <n v="-3983680854.3333335"/>
    <s v="https://growdatasas.sharepoint.com/:x:/r/sites/Gestiondocumental/Administrativa/GD/Financiera/_layouts/15/Doc.aspx?sourcedoc=%7BA2729A87-3B6F-45F5-B35B-1B6F95CA8221%7D&amp;file=MODELO%20FINANCIERO%20FGN%20GrowData.xlsm&amp;action=default&amp;mobileredirect=true"/>
    <n v="1"/>
    <n v="1"/>
  </r>
  <r>
    <x v="1"/>
    <x v="11"/>
    <s v="c5a4c8cd-7abe-f011-a2cf-00155d10ce0f"/>
    <d v="2025-11-10T21:18:33"/>
    <x v="76"/>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2"/>
    <n v="3"/>
    <n v="0"/>
    <n v="0.4"/>
    <n v="3649049977"/>
    <n v="2449575284.4000001"/>
    <n v="0"/>
    <n v="-1199474692.5999999"/>
    <n v="2449575284.4000001"/>
    <n v="0.67129124014187214"/>
    <x v="2"/>
    <n v="0"/>
    <x v="3"/>
    <n v="9122624942.5"/>
    <n v="2998686731.5"/>
    <s v="https://growdatasas.sharepoint.com/:x:/r/sites/Gestiondocumental/Administrativa/GD/Financiera/_layouts/15/Doc.aspx?sourcedoc=%7BA2729A87-3B6F-45F5-B35B-1B6F95CA8221%7D&amp;file=MODELO%20FINANCIERO%20FGN%20GrowData.xlsm&amp;action=default&amp;mobileredirect=true"/>
    <n v="1"/>
    <n v="1"/>
  </r>
  <r>
    <x v="2"/>
    <x v="0"/>
    <s v="c5a4c8cd-7abe-f011-a2cf-00155d10ce0f"/>
    <d v="2025-11-10T21:18:33"/>
    <x v="76"/>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0"/>
    <n v="3"/>
    <n v="3"/>
    <n v="0.5"/>
    <n v="0.5"/>
    <n v="0"/>
    <n v="3061969105.5"/>
    <n v="3061969105.5"/>
    <n v="3061969105.5"/>
    <n v="0"/>
    <s v="No se realizó gasto en este corte"/>
    <x v="1"/>
    <n v="1"/>
    <x v="0"/>
    <n v="0"/>
    <n v="-6123938211"/>
    <s v="https://growdatasas.sharepoint.com/:x:/r/sites/Gestiondocumental/Administrativa/GD/Financiera/_layouts/15/Doc.aspx?sourcedoc=%7BA2729A87-3B6F-45F5-B35B-1B6F95CA8221%7D&amp;file=MODELO%20FINANCIERO%20FGN%20GrowData.xlsm&amp;action=default&amp;mobileredirect=true"/>
    <n v="1"/>
    <n v="1"/>
  </r>
  <r>
    <x v="2"/>
    <x v="1"/>
    <s v="c5a4c8cd-7abe-f011-a2cf-00155d10ce0f"/>
    <d v="2025-11-10T21:18:33"/>
    <x v="76"/>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1"/>
    <n v="4"/>
    <n v="3"/>
    <n v="0.9"/>
    <m/>
    <m/>
    <n v="0"/>
    <n v="5511544389.9000006"/>
    <n v="0"/>
    <n v="-5511544389.9000006"/>
    <s v="No se realizó gasto en este corte"/>
    <x v="1"/>
    <n v="0"/>
    <x v="3"/>
    <n v="0"/>
    <n v="-6123938211"/>
    <s v="https://growdatasas.sharepoint.com/:x:/r/sites/Gestiondocumental/Administrativa/GD/Financiera/_layouts/15/Doc.aspx?sourcedoc=%7BA2729A87-3B6F-45F5-B35B-1B6F95CA8221%7D&amp;file=MODELO%20FINANCIERO%20FGN%20GrowData.xlsm&amp;action=default&amp;mobileredirect=true"/>
    <n v="1"/>
    <n v="1"/>
  </r>
  <r>
    <x v="2"/>
    <x v="2"/>
    <s v="c5a4c8cd-7abe-f011-a2cf-00155d10ce0f"/>
    <d v="2025-11-10T21:18:33"/>
    <x v="76"/>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2"/>
    <n v="5"/>
    <n v="3"/>
    <n v="0.95"/>
    <m/>
    <m/>
    <n v="0"/>
    <n v="5817741300.4499998"/>
    <n v="0"/>
    <n v="-5817741300.4499998"/>
    <s v="No se realizó gasto en este corte"/>
    <x v="1"/>
    <n v="0"/>
    <x v="3"/>
    <n v="0"/>
    <n v="-6123938211"/>
    <s v="https://growdatasas.sharepoint.com/:x:/r/sites/Gestiondocumental/Administrativa/GD/Financiera/_layouts/15/Doc.aspx?sourcedoc=%7BA2729A87-3B6F-45F5-B35B-1B6F95CA8221%7D&amp;file=MODELO%20FINANCIERO%20FGN%20GrowData.xlsm&amp;action=default&amp;mobileredirect=true"/>
    <n v="1"/>
    <n v="1"/>
  </r>
  <r>
    <x v="2"/>
    <x v="3"/>
    <s v="c5a4c8cd-7abe-f011-a2cf-00155d10ce0f"/>
    <d v="2025-11-10T21:18:33"/>
    <x v="76"/>
    <s v="Jose Leonardo Gutierrez Cumbe"/>
    <s v="https://growdatasas.sharepoint.com/sites/pwa/FGN - INTRAESTRUCTURA DE RED"/>
    <s v="  &quot;Suiministro equipos Aruba Fiscalia General de la NaciónProyecto en union temporal con la empresa GTS que tiene el manejo de Aruba con los mejores precios, se debe hacer reunon con Synnex para validar si llegan a los costos de GTS, para que ellos nos vendan una parte de la solucion y la otra la coloque GTS &quot;   "/>
    <s v="TI"/>
    <s v="0383"/>
    <s v="Activo.En Ejecución"/>
    <n v="6123938211"/>
    <d v="2026-01-01T00:00:00"/>
    <d v="2026-04-01T00:00:00"/>
    <n v="3"/>
    <n v="3"/>
    <n v="6"/>
    <n v="3"/>
    <n v="1"/>
    <m/>
    <m/>
    <n v="0"/>
    <n v="6123938211"/>
    <n v="0"/>
    <n v="-6123938211"/>
    <s v="No se realizó gasto en este corte"/>
    <x v="1"/>
    <n v="0"/>
    <x v="3"/>
    <n v="0"/>
    <n v="-6123938211"/>
    <s v="https://growdatasas.sharepoint.com/:x:/r/sites/Gestiondocumental/Administrativa/GD/Financiera/_layouts/15/Doc.aspx?sourcedoc=%7BA2729A87-3B6F-45F5-B35B-1B6F95CA8221%7D&amp;file=MODELO%20FINANCIERO%20FGN%20GrowData.xlsm&amp;action=default&amp;mobileredirect=true"/>
    <n v="1"/>
    <n v="1"/>
  </r>
  <r>
    <x v="2"/>
    <x v="0"/>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1"/>
    <n v="0.1"/>
    <n v="66538626"/>
    <n v="95036633.800000012"/>
    <n v="95036633.800000012"/>
    <n v="28498007.800000012"/>
    <n v="0"/>
    <n v="1.4282927002430139"/>
    <x v="1"/>
    <n v="1"/>
    <x v="0"/>
    <n v="665386259.99999988"/>
    <n v="-284980078.00000012"/>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1"/>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15"/>
    <m/>
    <m/>
    <n v="0"/>
    <n v="142554950.69999999"/>
    <n v="0"/>
    <n v="-142554950.69999999"/>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2"/>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2"/>
    <m/>
    <m/>
    <n v="0"/>
    <n v="190073267.60000002"/>
    <n v="0"/>
    <n v="-190073267.60000002"/>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3"/>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25"/>
    <m/>
    <m/>
    <n v="0"/>
    <n v="237591584.5"/>
    <n v="0"/>
    <n v="-237591584.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4"/>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3"/>
    <m/>
    <m/>
    <n v="0"/>
    <n v="285109901.39999998"/>
    <n v="0"/>
    <n v="-285109901.39999998"/>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5"/>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35"/>
    <m/>
    <m/>
    <n v="0"/>
    <n v="332628218.29999995"/>
    <n v="0"/>
    <n v="-332628218.2999999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6"/>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4"/>
    <m/>
    <m/>
    <n v="0"/>
    <n v="380146535.20000005"/>
    <n v="0"/>
    <n v="-380146535.2000000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7"/>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45"/>
    <m/>
    <m/>
    <n v="0"/>
    <n v="427664852.10000002"/>
    <n v="0"/>
    <n v="-427664852.10000002"/>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8"/>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5"/>
    <m/>
    <m/>
    <n v="0"/>
    <n v="475183169"/>
    <n v="0"/>
    <n v="-475183169"/>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9"/>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55000000000000004"/>
    <m/>
    <m/>
    <n v="0"/>
    <n v="522701485.90000004"/>
    <n v="0"/>
    <n v="-522701485.90000004"/>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10"/>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6"/>
    <m/>
    <m/>
    <n v="0"/>
    <n v="570219802.79999995"/>
    <n v="0"/>
    <n v="-570219802.7999999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11"/>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65"/>
    <m/>
    <m/>
    <n v="0"/>
    <n v="617738119.70000005"/>
    <n v="0"/>
    <n v="-617738119.7000000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0"/>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7"/>
    <m/>
    <m/>
    <n v="0"/>
    <n v="665256436.5999999"/>
    <n v="0"/>
    <n v="-665256436.5999999"/>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1"/>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75"/>
    <m/>
    <m/>
    <n v="0"/>
    <n v="712774753.5"/>
    <n v="0"/>
    <n v="-712774753.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2"/>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8"/>
    <m/>
    <m/>
    <n v="0"/>
    <n v="760293070.4000001"/>
    <n v="0"/>
    <n v="-760293070.4000001"/>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3"/>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85"/>
    <m/>
    <m/>
    <n v="0"/>
    <n v="807811387.29999995"/>
    <n v="0"/>
    <n v="-807811387.2999999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4"/>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9"/>
    <m/>
    <m/>
    <n v="0"/>
    <n v="855329704.20000005"/>
    <n v="0"/>
    <n v="-855329704.20000005"/>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5"/>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0.95"/>
    <m/>
    <m/>
    <n v="0"/>
    <n v="902848021.0999999"/>
    <n v="0"/>
    <n v="-902848021.0999999"/>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3"/>
    <x v="6"/>
    <s v="8102396e-b6fc-f011-b5fb-00155d108229"/>
    <d v="2026-01-29T02:01:34"/>
    <x v="77"/>
    <s v="Johan Sebastian Rodriguez Niño"/>
    <s v="https://growdatasas.sharepoint.com/sites/pwa/SPSM-DESARROLLO Y MIGRACION SPSM"/>
    <s v=" MIGRACIÓN Y ACTUALIZACIÓN DE LA PLATAFORMA ONLINE PUERTO VIRTUAL Y APP MÓVIL DEL PUERTO DE SANTA MARTA     "/>
    <s v="DATOS Y SISTEMAS DE INFORMACIÓN"/>
    <s v="00001"/>
    <s v="Activo.En Ejecución"/>
    <n v="950366338"/>
    <d v="2026-01-23T00:00:00"/>
    <d v="2027-07-23T00:00:00"/>
    <n v="18"/>
    <n v="-17"/>
    <n v="1"/>
    <n v="18"/>
    <n v="1"/>
    <m/>
    <m/>
    <n v="0"/>
    <n v="950366338"/>
    <n v="0"/>
    <n v="-950366338"/>
    <s v="No se realizó gasto en este corte"/>
    <x v="1"/>
    <n v="0"/>
    <x v="3"/>
    <n v="0"/>
    <n v="-950366338"/>
    <s v="https://growdatasas.sharepoint.com/:x:/r/sites/Gestiondocumental/Administrativa/GD/Financiera/_layouts/15/Doc.aspx?sourcedoc=%7B16E4E98F-3E73-4CD2-9FF8-7A90CA7DF968%7D&amp;file=MODELO%20FINANCIERO%20PUERTO%20DE%20SANTA%20MARTA%2018%20meses%2019.01.26%20V10.xlsm&amp;action=default&amp;mobileredirect=true"/>
    <n v="1"/>
    <n v="1"/>
  </r>
  <r>
    <x v="2"/>
    <x v="1"/>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5"/>
    <n v="1"/>
    <n v="26"/>
    <n v="0.05"/>
    <n v="0.05"/>
    <n v="766255093"/>
    <n v="41040413.75"/>
    <n v="41040413.75"/>
    <n v="-725214679.25"/>
    <n v="0"/>
    <n v="5.355972720431889E-2"/>
    <x v="2"/>
    <n v="1"/>
    <x v="0"/>
    <n v="15325101860"/>
    <n v="14504293585"/>
    <s v="https://growdatasas.sharepoint.com/:x:/r/sites/Gestiondocumental/Administrativa/GD/Financiera/_layouts/15/Doc.aspx?sourcedoc=%7B69FFBD03-5B13-48F9-8F84-54729A673BE7%7D&amp;file=MODELO%20FINANCIERO%20PREVISORA.xlsm&amp;action=default&amp;mobileredirect=true"/>
    <n v="1"/>
    <n v="1"/>
  </r>
  <r>
    <x v="2"/>
    <x v="2"/>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4"/>
    <n v="2"/>
    <n v="26"/>
    <n v="7.0000000000000007E-2"/>
    <m/>
    <m/>
    <n v="0"/>
    <n v="57456579.250000007"/>
    <n v="0"/>
    <n v="-57456579.250000007"/>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3"/>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3"/>
    <n v="3"/>
    <n v="26"/>
    <n v="0.1"/>
    <m/>
    <m/>
    <n v="0"/>
    <n v="82080827.5"/>
    <n v="0"/>
    <n v="-82080827.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4"/>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2"/>
    <n v="4"/>
    <n v="26"/>
    <n v="0.12"/>
    <m/>
    <m/>
    <n v="0"/>
    <n v="98496993"/>
    <n v="0"/>
    <n v="-98496993"/>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5"/>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1"/>
    <n v="5"/>
    <n v="26"/>
    <n v="0.15"/>
    <m/>
    <m/>
    <n v="0"/>
    <n v="123121241.25"/>
    <n v="0"/>
    <n v="-123121241.2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6"/>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0"/>
    <n v="6"/>
    <n v="26"/>
    <n v="0.18"/>
    <m/>
    <m/>
    <n v="0"/>
    <n v="147745489.5"/>
    <n v="0"/>
    <n v="-147745489.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7"/>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9"/>
    <n v="7"/>
    <n v="26"/>
    <n v="0.2"/>
    <m/>
    <m/>
    <n v="0"/>
    <n v="164161655"/>
    <n v="0"/>
    <n v="-16416165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8"/>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8"/>
    <n v="8"/>
    <n v="26"/>
    <n v="0.22"/>
    <m/>
    <m/>
    <n v="0"/>
    <n v="180577820.5"/>
    <n v="0"/>
    <n v="-180577820.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9"/>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7"/>
    <n v="9"/>
    <n v="26"/>
    <n v="0.28000000000000003"/>
    <m/>
    <m/>
    <n v="0"/>
    <n v="229826317.00000003"/>
    <n v="0"/>
    <n v="-229826317.00000003"/>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10"/>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6"/>
    <n v="10"/>
    <n v="26"/>
    <n v="0.3"/>
    <m/>
    <m/>
    <n v="0"/>
    <n v="246242482.5"/>
    <n v="0"/>
    <n v="-246242482.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11"/>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5"/>
    <n v="11"/>
    <n v="26"/>
    <n v="0.38"/>
    <m/>
    <m/>
    <n v="0"/>
    <n v="311907144.5"/>
    <n v="0"/>
    <n v="-311907144.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0"/>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4"/>
    <n v="12"/>
    <n v="26"/>
    <n v="0.4"/>
    <m/>
    <m/>
    <n v="0"/>
    <n v="328323310"/>
    <n v="0"/>
    <n v="-328323310"/>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1"/>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3"/>
    <n v="13"/>
    <n v="26"/>
    <n v="0.45"/>
    <m/>
    <m/>
    <n v="0"/>
    <n v="369363723.75"/>
    <n v="0"/>
    <n v="-369363723.7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2"/>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2"/>
    <n v="14"/>
    <n v="26"/>
    <n v="0.5"/>
    <m/>
    <m/>
    <n v="0"/>
    <n v="410404137.5"/>
    <n v="0"/>
    <n v="-410404137.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3"/>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1"/>
    <n v="15"/>
    <n v="26"/>
    <n v="0.57999999999999996"/>
    <m/>
    <m/>
    <n v="0"/>
    <n v="476068799.49999994"/>
    <n v="0"/>
    <n v="-476068799.49999994"/>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4"/>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0"/>
    <n v="16"/>
    <n v="26"/>
    <n v="0.62"/>
    <m/>
    <m/>
    <n v="0"/>
    <n v="508901130.5"/>
    <n v="0"/>
    <n v="-508901130.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5"/>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9"/>
    <n v="17"/>
    <n v="26"/>
    <n v="0.68"/>
    <m/>
    <m/>
    <n v="0"/>
    <n v="558149627"/>
    <n v="0"/>
    <n v="-558149627"/>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6"/>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8"/>
    <n v="18"/>
    <n v="26"/>
    <n v="0.7"/>
    <m/>
    <m/>
    <n v="0"/>
    <n v="574565792.5"/>
    <n v="0"/>
    <n v="-574565792.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7"/>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7"/>
    <n v="19"/>
    <n v="26"/>
    <n v="0.75"/>
    <m/>
    <m/>
    <n v="0"/>
    <n v="615606206.25"/>
    <n v="0"/>
    <n v="-615606206.2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8"/>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6"/>
    <n v="20"/>
    <n v="26"/>
    <n v="0.78"/>
    <m/>
    <m/>
    <n v="0"/>
    <n v="640230454.5"/>
    <n v="0"/>
    <n v="-640230454.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9"/>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5"/>
    <n v="21"/>
    <n v="26"/>
    <n v="0.8"/>
    <m/>
    <m/>
    <n v="0"/>
    <n v="656646620"/>
    <n v="0"/>
    <n v="-656646620"/>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10"/>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4"/>
    <n v="22"/>
    <n v="26"/>
    <n v="0.82"/>
    <m/>
    <m/>
    <n v="0"/>
    <n v="673062785.5"/>
    <n v="0"/>
    <n v="-673062785.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3"/>
    <x v="11"/>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3"/>
    <n v="23"/>
    <n v="26"/>
    <n v="0.87"/>
    <m/>
    <m/>
    <n v="0"/>
    <n v="714103199.25"/>
    <n v="0"/>
    <n v="-714103199.2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4"/>
    <x v="0"/>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2"/>
    <n v="24"/>
    <n v="26"/>
    <n v="0.9"/>
    <m/>
    <m/>
    <n v="0"/>
    <n v="738727447.5"/>
    <n v="0"/>
    <n v="-738727447.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4"/>
    <x v="1"/>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1"/>
    <n v="25"/>
    <n v="26"/>
    <n v="0.95"/>
    <m/>
    <m/>
    <n v="0"/>
    <n v="779767861.25"/>
    <n v="0"/>
    <n v="-779767861.2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4"/>
    <x v="2"/>
    <s v="15847220-bafc-f011-b5fb-00155d101522"/>
    <d v="2026-01-29T02:28:01"/>
    <x v="78"/>
    <s v="Alberto Ramirez Nuñez"/>
    <s v="https://growdatasas.sharepoint.com/sites/pwa/LA PREVISORA SEGUROS"/>
    <s v=" ​Servicio especializado que proporcione una solución Tecnológica de gestión de vulnerabilidades, orientada a la identificación, detección, prevención, análisis, monitoreo continuo y seguimiento en tiempo real _x0009_de vulnerabilidades presentes en los activos tecnológicos de LA PREVISORA S.A   "/>
    <s v="DATOS Y SISTEMAS DE INFORMACIÓN"/>
    <s v="0402"/>
    <s v="Activo.Iniciado"/>
    <n v="820808275"/>
    <d v="2026-02-01T00:00:00"/>
    <d v="2028-03-31T00:00:00"/>
    <n v="26"/>
    <n v="0"/>
    <n v="26"/>
    <n v="26"/>
    <n v="1"/>
    <m/>
    <m/>
    <n v="0"/>
    <n v="820808275"/>
    <n v="0"/>
    <n v="-820808275"/>
    <s v="No se realizó gasto en este corte"/>
    <x v="1"/>
    <n v="0"/>
    <x v="3"/>
    <n v="0"/>
    <n v="-820808275"/>
    <s v="https://growdatasas.sharepoint.com/:x:/r/sites/Gestiondocumental/Administrativa/GD/Financiera/_layouts/15/Doc.aspx?sourcedoc=%7B69FFBD03-5B13-48F9-8F84-54729A673BE7%7D&amp;file=MODELO%20FINANCIERO%20PREVISORA.xlsm&amp;action=default&amp;mobileredirect=true"/>
    <n v="1"/>
    <n v="1"/>
  </r>
  <r>
    <x v="2"/>
    <x v="1"/>
    <s v="c56b3dfc-02fb-f011-b5fb-00155d10d10e"/>
    <d v="2026-01-26T22:04:39"/>
    <x v="79"/>
    <s v="Carlos Alberto Osorio Ortiz"/>
    <s v="https://growdatasas.sharepoint.com/sites/pwa/INTERNEXA-SUPERINT SERV PUBLICOS-SOPORTE"/>
    <s v=" ​Pestación de servicios de Mesa de Servicios, Soporte en sitio a nivel nacional, para la atención de incidentes y requerimientos en las diferentes verticales de Infraestructura, Networking, Seguridad y Software (Sistemas de información, Aplicaciones, herramientas).   "/>
    <s v="TI"/>
    <s v="0400"/>
    <s v="Activo.Iniciado"/>
    <n v="559316354"/>
    <d v="2026-02-01T00:00:00"/>
    <d v="2026-07-30T00:00:00"/>
    <n v="5.97"/>
    <n v="-5.97"/>
    <n v="0"/>
    <n v="6"/>
    <n v="0.1"/>
    <m/>
    <m/>
    <n v="0"/>
    <n v="55931635.400000006"/>
    <n v="0"/>
    <n v="-55931635.400000006"/>
    <s v="No se realizó gasto en este corte"/>
    <x v="1"/>
    <n v="0"/>
    <x v="3"/>
    <n v="0"/>
    <n v="-559316354"/>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x v="2"/>
    <x v="2"/>
    <s v="c56b3dfc-02fb-f011-b5fb-00155d10d10e"/>
    <d v="2026-01-26T22:04:39"/>
    <x v="79"/>
    <s v="Carlos Alberto Osorio Ortiz"/>
    <s v="https://growdatasas.sharepoint.com/sites/pwa/INTERNEXA-SUPERINT SERV PUBLICOS-SOPORTE"/>
    <s v=" ​Pestación de servicios de Mesa de Servicios, Soporte en sitio a nivel nacional, para la atención de incidentes y requerimientos en las diferentes verticales de Infraestructura, Networking, Seguridad y Software (Sistemas de información, Aplicaciones, herramientas).   "/>
    <s v="TI"/>
    <s v="0400"/>
    <s v="Activo.Iniciado"/>
    <n v="559316354"/>
    <d v="2026-02-01T00:00:00"/>
    <d v="2026-07-30T00:00:00"/>
    <n v="5.97"/>
    <n v="-5.97"/>
    <n v="0"/>
    <n v="6"/>
    <n v="0.2"/>
    <m/>
    <m/>
    <n v="0"/>
    <n v="111863270.80000001"/>
    <n v="0"/>
    <n v="-111863270.80000001"/>
    <s v="No se realizó gasto en este corte"/>
    <x v="1"/>
    <n v="0"/>
    <x v="3"/>
    <n v="0"/>
    <n v="-559316354"/>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x v="2"/>
    <x v="3"/>
    <s v="c56b3dfc-02fb-f011-b5fb-00155d10d10e"/>
    <d v="2026-01-26T22:04:39"/>
    <x v="79"/>
    <s v="Carlos Alberto Osorio Ortiz"/>
    <s v="https://growdatasas.sharepoint.com/sites/pwa/INTERNEXA-SUPERINT SERV PUBLICOS-SOPORTE"/>
    <s v=" ​Pestación de servicios de Mesa de Servicios, Soporte en sitio a nivel nacional, para la atención de incidentes y requerimientos en las diferentes verticales de Infraestructura, Networking, Seguridad y Software (Sistemas de información, Aplicaciones, herramientas).   "/>
    <s v="TI"/>
    <s v="0400"/>
    <s v="Activo.Iniciado"/>
    <n v="559316354"/>
    <d v="2026-02-01T00:00:00"/>
    <d v="2026-07-30T00:00:00"/>
    <n v="5.97"/>
    <n v="-5.97"/>
    <n v="0"/>
    <n v="6"/>
    <n v="0.4"/>
    <m/>
    <m/>
    <n v="0"/>
    <n v="223726541.60000002"/>
    <n v="0"/>
    <n v="-223726541.60000002"/>
    <s v="No se realizó gasto en este corte"/>
    <x v="1"/>
    <n v="0"/>
    <x v="3"/>
    <n v="0"/>
    <n v="-559316354"/>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x v="2"/>
    <x v="4"/>
    <s v="c56b3dfc-02fb-f011-b5fb-00155d10d10e"/>
    <d v="2026-01-26T22:04:39"/>
    <x v="79"/>
    <s v="Carlos Alberto Osorio Ortiz"/>
    <s v="https://growdatasas.sharepoint.com/sites/pwa/INTERNEXA-SUPERINT SERV PUBLICOS-SOPORTE"/>
    <s v=" ​Pestación de servicios de Mesa de Servicios, Soporte en sitio a nivel nacional, para la atención de incidentes y requerimientos en las diferentes verticales de Infraestructura, Networking, Seguridad y Software (Sistemas de información, Aplicaciones, herramientas).   "/>
    <s v="TI"/>
    <s v="0400"/>
    <s v="Activo.Iniciado"/>
    <n v="559316354"/>
    <d v="2026-02-01T00:00:00"/>
    <d v="2026-07-30T00:00:00"/>
    <n v="5.97"/>
    <n v="-5.97"/>
    <n v="0"/>
    <n v="6"/>
    <n v="0.6"/>
    <m/>
    <m/>
    <n v="0"/>
    <n v="335589812.39999998"/>
    <n v="0"/>
    <n v="-335589812.39999998"/>
    <s v="No se realizó gasto en este corte"/>
    <x v="1"/>
    <n v="0"/>
    <x v="3"/>
    <n v="0"/>
    <n v="-559316354"/>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x v="2"/>
    <x v="5"/>
    <s v="c56b3dfc-02fb-f011-b5fb-00155d10d10e"/>
    <d v="2026-01-26T22:04:39"/>
    <x v="79"/>
    <s v="Carlos Alberto Osorio Ortiz"/>
    <s v="https://growdatasas.sharepoint.com/sites/pwa/INTERNEXA-SUPERINT SERV PUBLICOS-SOPORTE"/>
    <s v=" ​Pestación de servicios de Mesa de Servicios, Soporte en sitio a nivel nacional, para la atención de incidentes y requerimientos en las diferentes verticales de Infraestructura, Networking, Seguridad y Software (Sistemas de información, Aplicaciones, herramientas).   "/>
    <s v="TI"/>
    <s v="0400"/>
    <s v="Activo.Iniciado"/>
    <n v="559316354"/>
    <d v="2026-02-01T00:00:00"/>
    <d v="2026-07-30T00:00:00"/>
    <n v="5.97"/>
    <n v="-5.97"/>
    <n v="0"/>
    <n v="6"/>
    <n v="0.8"/>
    <m/>
    <m/>
    <n v="0"/>
    <n v="447453083.20000005"/>
    <n v="0"/>
    <n v="-447453083.20000005"/>
    <s v="No se realizó gasto en este corte"/>
    <x v="1"/>
    <n v="0"/>
    <x v="3"/>
    <n v="0"/>
    <n v="-559316354"/>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x v="2"/>
    <x v="6"/>
    <s v="c56b3dfc-02fb-f011-b5fb-00155d10d10e"/>
    <d v="2026-01-26T22:04:39"/>
    <x v="79"/>
    <s v="Carlos Alberto Osorio Ortiz"/>
    <s v="https://growdatasas.sharepoint.com/sites/pwa/INTERNEXA-SUPERINT SERV PUBLICOS-SOPORTE"/>
    <s v=" ​Pestación de servicios de Mesa de Servicios, Soporte en sitio a nivel nacional, para la atención de incidentes y requerimientos en las diferentes verticales de Infraestructura, Networking, Seguridad y Software (Sistemas de información, Aplicaciones, herramientas).   "/>
    <s v="TI"/>
    <s v="0400"/>
    <s v="Activo.Iniciado"/>
    <n v="559316354"/>
    <d v="2026-02-01T00:00:00"/>
    <d v="2026-07-30T00:00:00"/>
    <n v="5.97"/>
    <n v="-5.97"/>
    <n v="0"/>
    <n v="6"/>
    <n v="1"/>
    <m/>
    <m/>
    <n v="0"/>
    <n v="559316354"/>
    <n v="0"/>
    <n v="-559316354"/>
    <s v="No se realizó gasto en este corte"/>
    <x v="1"/>
    <n v="0"/>
    <x v="3"/>
    <n v="0"/>
    <n v="-559316354"/>
    <s v="https://growdatasas.sharepoint.com/:x:/r/sites/Gestiondocumental/Administrativa/GD/Financiera/_layouts/15/Doc.aspx?sourcedoc=%7B7E88B81F-AC6E-4A4D-BFDA-5A4921E803E6%7D&amp;file=20261601%20MODELO%20FINANCIERO%20REFERENCIA%20V7.6%20INTERNEXA%20SUPERSERVICIOS%202026.xlsm&amp;action=default&amp;mobileredirect=true"/>
    <n v="1"/>
    <n v="1"/>
  </r>
  <r>
    <x v="2"/>
    <x v="1"/>
    <s v="466e3d54-fffa-f011-b5f8-00155d10e10d"/>
    <d v="2026-01-26T21:38:21"/>
    <x v="80"/>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2"/>
    <n v="0"/>
    <n v="2"/>
    <n v="0.5"/>
    <m/>
    <m/>
    <n v="0"/>
    <n v="601579312"/>
    <n v="0"/>
    <n v="-601579312"/>
    <s v="No se realizó gasto en este corte"/>
    <x v="1"/>
    <n v="0"/>
    <x v="3"/>
    <n v="0"/>
    <n v="-1203158624"/>
    <s v="https://growdatasas.sharepoint.com/:x:/r/sites/Gestiondocumental/Administrativa/GD/Financiera/_layouts/15/Doc.aspx?sourcedoc=%7B9943DCC3-2507-4DCD-B6B6-BEC53480E8BA%7D&amp;file=MODELO%20FINANCIERO%20CNE%20LICENCIAMIENTO.xlsm&amp;action=default&amp;mobileredirect=true"/>
    <n v="1"/>
    <n v="1"/>
  </r>
  <r>
    <x v="2"/>
    <x v="2"/>
    <s v="466e3d54-fffa-f011-b5f8-00155d10e10d"/>
    <d v="2026-01-26T21:38:21"/>
    <x v="80"/>
    <s v="Leidy Susana Ramirez Herrera"/>
    <s v="https://growdatasas.sharepoint.com/sites/pwa/CCD - CONSEJO NACIONAL CNE - LICENCIAMIENTO"/>
    <s v="  Suministro de licencias de uso de software comercial especializado como solución tecnológica Integral para el fortalecimiento tecnológicos de los procesos operativos y misionales de las diferentes áreas del consejo nacional electoral.  "/>
    <s v="TI"/>
    <s v="0398"/>
    <s v="Activo.En Ejecución"/>
    <n v="1203158624"/>
    <d v="2026-02-01T00:00:00"/>
    <d v="2026-03-31T00:00:00"/>
    <n v="2"/>
    <n v="-2"/>
    <n v="0"/>
    <n v="2"/>
    <n v="1"/>
    <m/>
    <m/>
    <n v="0"/>
    <n v="1203158624"/>
    <n v="0"/>
    <n v="-1203158624"/>
    <s v="No se realizó gasto en este corte"/>
    <x v="1"/>
    <n v="0"/>
    <x v="3"/>
    <n v="0"/>
    <n v="-1203158624"/>
    <s v="https://growdatasas.sharepoint.com/:x:/r/sites/Gestiondocumental/Administrativa/GD/Financiera/_layouts/15/Doc.aspx?sourcedoc=%7B9943DCC3-2507-4DCD-B6B6-BEC53480E8BA%7D&amp;file=MODELO%20FINANCIERO%20CNE%20LICENCIAMIENTO.xlsm&amp;action=default&amp;mobileredirect=true"/>
    <n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FB5CBC-5EE3-48FE-B72F-11F9ADA370DE}" name="TablaDinámica1" cacheId="1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1">
  <location ref="A4:C83" firstHeaderRow="0" firstDataRow="1" firstDataCol="1" rowPageCount="1" colPageCount="1"/>
  <pivotFields count="34">
    <pivotField axis="axisRow" showAll="0">
      <items count="8">
        <item x="0"/>
        <item x="1"/>
        <item x="2"/>
        <item x="3"/>
        <item x="4"/>
        <item x="5"/>
        <item x="6"/>
        <item t="default"/>
      </items>
    </pivotField>
    <pivotField axis="axisRow" showAll="0">
      <items count="13">
        <item x="0"/>
        <item x="1"/>
        <item x="2"/>
        <item x="3"/>
        <item x="4"/>
        <item x="5"/>
        <item x="6"/>
        <item x="7"/>
        <item x="8"/>
        <item x="9"/>
        <item x="10"/>
        <item x="11"/>
        <item t="default"/>
      </items>
    </pivotField>
    <pivotField showAll="0"/>
    <pivotField showAll="0"/>
    <pivotField axis="axisPage" multipleItemSelectionAllowed="1" showAll="0">
      <items count="82">
        <item h="1" x="15"/>
        <item h="1" x="27"/>
        <item h="1" x="41"/>
        <item h="1" x="58"/>
        <item h="1" x="8"/>
        <item h="1" x="11"/>
        <item h="1" x="20"/>
        <item h="1" x="25"/>
        <item h="1" x="52"/>
        <item h="1" x="80"/>
        <item h="1" x="4"/>
        <item h="1" x="29"/>
        <item h="1" x="38"/>
        <item h="1" x="65"/>
        <item h="1" x="74"/>
        <item h="1" x="48"/>
        <item h="1" x="62"/>
        <item h="1" x="54"/>
        <item h="1" x="57"/>
        <item h="1" x="36"/>
        <item h="1" x="53"/>
        <item h="1" x="55"/>
        <item h="1" x="2"/>
        <item h="1" x="67"/>
        <item h="1" x="63"/>
        <item h="1" x="22"/>
        <item h="1" x="73"/>
        <item h="1" x="24"/>
        <item h="1" x="39"/>
        <item h="1" x="10"/>
        <item h="1" x="46"/>
        <item h="1" x="68"/>
        <item h="1" x="6"/>
        <item h="1" x="42"/>
        <item h="1" x="0"/>
        <item h="1" x="19"/>
        <item h="1" x="47"/>
        <item h="1" x="76"/>
        <item h="1" x="30"/>
        <item h="1" x="49"/>
        <item h="1" x="16"/>
        <item h="1" x="33"/>
        <item h="1" x="12"/>
        <item h="1" x="3"/>
        <item h="1" x="60"/>
        <item h="1" x="79"/>
        <item h="1" x="78"/>
        <item h="1" x="35"/>
        <item h="1" x="66"/>
        <item h="1" x="17"/>
        <item h="1" x="7"/>
        <item h="1" x="14"/>
        <item h="1" x="37"/>
        <item h="1" x="69"/>
        <item h="1" x="23"/>
        <item h="1" x="18"/>
        <item h="1" x="43"/>
        <item h="1" x="31"/>
        <item h="1" x="77"/>
        <item h="1" x="71"/>
        <item h="1" x="21"/>
        <item h="1" x="5"/>
        <item h="1" x="45"/>
        <item h="1" x="1"/>
        <item h="1" x="64"/>
        <item h="1" x="56"/>
        <item h="1" x="40"/>
        <item x="13"/>
        <item h="1" x="70"/>
        <item h="1" x="59"/>
        <item h="1" x="72"/>
        <item h="1" x="34"/>
        <item h="1" x="26"/>
        <item h="1" x="51"/>
        <item h="1" x="28"/>
        <item h="1" x="44"/>
        <item h="1" x="75"/>
        <item h="1" x="50"/>
        <item h="1" x="9"/>
        <item h="1" x="61"/>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dataField="1" showAll="0" defaultSubtotal="0"/>
    <pivotField axis="axisRow" showAll="0">
      <items count="7">
        <item x="0"/>
        <item x="2"/>
        <item x="1"/>
        <item m="1" x="4"/>
        <item x="3"/>
        <item m="1" x="5"/>
        <item t="default"/>
      </items>
    </pivotField>
    <pivotField showAll="0"/>
    <pivotField showAll="0"/>
    <pivotField showAll="0"/>
    <pivotField dataField="1" showAll="0"/>
    <pivotField showAll="0"/>
  </pivotFields>
  <rowFields count="3">
    <field x="0"/>
    <field x="1"/>
    <field x="28"/>
  </rowFields>
  <rowItems count="79">
    <i>
      <x/>
    </i>
    <i r="1">
      <x v="4"/>
    </i>
    <i r="2">
      <x v="1"/>
    </i>
    <i r="1">
      <x v="5"/>
    </i>
    <i r="2">
      <x v="1"/>
    </i>
    <i r="1">
      <x v="6"/>
    </i>
    <i r="2">
      <x/>
    </i>
    <i r="1">
      <x v="7"/>
    </i>
    <i r="2">
      <x/>
    </i>
    <i r="1">
      <x v="8"/>
    </i>
    <i r="2">
      <x v="2"/>
    </i>
    <i r="1">
      <x v="9"/>
    </i>
    <i r="2">
      <x v="1"/>
    </i>
    <i r="1">
      <x v="10"/>
    </i>
    <i r="2">
      <x v="1"/>
    </i>
    <i r="1">
      <x v="11"/>
    </i>
    <i r="2">
      <x/>
    </i>
    <i>
      <x v="1"/>
    </i>
    <i r="1">
      <x/>
    </i>
    <i r="2">
      <x/>
    </i>
    <i r="1">
      <x v="1"/>
    </i>
    <i r="2">
      <x/>
    </i>
    <i r="1">
      <x v="2"/>
    </i>
    <i r="2">
      <x/>
    </i>
    <i r="1">
      <x v="3"/>
    </i>
    <i r="2">
      <x/>
    </i>
    <i r="1">
      <x v="4"/>
    </i>
    <i r="2">
      <x/>
    </i>
    <i r="1">
      <x v="5"/>
    </i>
    <i r="2">
      <x v="1"/>
    </i>
    <i r="1">
      <x v="6"/>
    </i>
    <i r="2">
      <x v="1"/>
    </i>
    <i r="1">
      <x v="7"/>
    </i>
    <i r="2">
      <x v="1"/>
    </i>
    <i r="1">
      <x v="8"/>
    </i>
    <i r="2">
      <x/>
    </i>
    <i r="1">
      <x v="9"/>
    </i>
    <i r="2">
      <x/>
    </i>
    <i r="1">
      <x v="10"/>
    </i>
    <i r="2">
      <x/>
    </i>
    <i r="1">
      <x v="11"/>
    </i>
    <i r="2">
      <x v="2"/>
    </i>
    <i>
      <x v="2"/>
    </i>
    <i r="1">
      <x/>
    </i>
    <i r="2">
      <x v="2"/>
    </i>
    <i r="1">
      <x v="1"/>
    </i>
    <i r="2">
      <x v="1"/>
    </i>
    <i r="1">
      <x v="2"/>
    </i>
    <i r="2">
      <x v="4"/>
    </i>
    <i r="1">
      <x v="3"/>
    </i>
    <i r="2">
      <x v="4"/>
    </i>
    <i r="1">
      <x v="4"/>
    </i>
    <i r="2">
      <x v="4"/>
    </i>
    <i r="1">
      <x v="5"/>
    </i>
    <i r="2">
      <x v="4"/>
    </i>
    <i r="1">
      <x v="6"/>
    </i>
    <i r="2">
      <x v="4"/>
    </i>
    <i r="1">
      <x v="7"/>
    </i>
    <i r="2">
      <x v="4"/>
    </i>
    <i r="1">
      <x v="8"/>
    </i>
    <i r="2">
      <x v="4"/>
    </i>
    <i r="1">
      <x v="9"/>
    </i>
    <i r="2">
      <x v="4"/>
    </i>
    <i r="1">
      <x v="10"/>
    </i>
    <i r="2">
      <x v="4"/>
    </i>
    <i r="1">
      <x v="11"/>
    </i>
    <i r="2">
      <x v="4"/>
    </i>
    <i>
      <x v="3"/>
    </i>
    <i r="1">
      <x/>
    </i>
    <i r="2">
      <x v="4"/>
    </i>
    <i r="1">
      <x v="1"/>
    </i>
    <i r="2">
      <x v="4"/>
    </i>
    <i r="1">
      <x v="2"/>
    </i>
    <i r="2">
      <x v="4"/>
    </i>
    <i r="1">
      <x v="3"/>
    </i>
    <i r="2">
      <x v="4"/>
    </i>
    <i r="1">
      <x v="4"/>
    </i>
    <i r="2">
      <x v="4"/>
    </i>
    <i t="grand">
      <x/>
    </i>
  </rowItems>
  <colFields count="1">
    <field x="-2"/>
  </colFields>
  <colItems count="2">
    <i>
      <x/>
    </i>
    <i i="1">
      <x v="1"/>
    </i>
  </colItems>
  <pageFields count="1">
    <pageField fld="4" hier="-1"/>
  </pageFields>
  <dataFields count="2">
    <dataField name="Promedio de SPI (Schedule Performance Index)" fld="27" subtotal="average" baseField="0" baseItem="0"/>
    <dataField name="Suma de Meta SPI" fld="32" baseField="0" baseItem="0"/>
  </dataFields>
  <formats count="9">
    <format dxfId="79">
      <pivotArea type="all" dataOnly="0" outline="0" fieldPosition="0"/>
    </format>
    <format dxfId="80">
      <pivotArea outline="0" collapsedLevelsAreSubtotals="1" fieldPosition="0"/>
    </format>
    <format dxfId="81">
      <pivotArea field="4" type="button" dataOnly="0" labelOnly="1" outline="0" axis="axisPage" fieldPosition="0"/>
    </format>
    <format dxfId="82">
      <pivotArea dataOnly="0" labelOnly="1" grandRow="1" outline="0" fieldPosition="0"/>
    </format>
    <format dxfId="83">
      <pivotArea type="all" dataOnly="0" outline="0" fieldPosition="0"/>
    </format>
    <format dxfId="84">
      <pivotArea outline="0" collapsedLevelsAreSubtotals="1" fieldPosition="0"/>
    </format>
    <format dxfId="85">
      <pivotArea field="4" type="button" dataOnly="0" labelOnly="1" outline="0" axis="axisPage" fieldPosition="0"/>
    </format>
    <format dxfId="86">
      <pivotArea dataOnly="0" labelOnly="1" grandRow="1" outline="0" fieldPosition="0"/>
    </format>
    <format dxfId="87">
      <pivotArea outline="0" collapsedLevelsAreSubtotals="1" fieldPosition="0"/>
    </format>
  </formats>
  <chartFormats count="2">
    <chartFormat chart="16" format="2" series="1">
      <pivotArea type="data" outline="0" fieldPosition="0">
        <references count="1">
          <reference field="4294967294" count="1" selected="0">
            <x v="1"/>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50F9DB-3C4A-497F-92D0-CB5F46FA80AC}" name="TablaDinámica3" cacheId="1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7">
  <location ref="E4:G30" firstHeaderRow="0" firstDataRow="1" firstDataCol="1" rowPageCount="1" colPageCount="1"/>
  <pivotFields count="34">
    <pivotField axis="axisRow" showAll="0">
      <items count="8">
        <item h="1" x="0"/>
        <item x="1"/>
        <item h="1" x="2"/>
        <item h="1" x="3"/>
        <item h="1" x="4"/>
        <item h="1" x="5"/>
        <item h="1" x="6"/>
        <item t="default"/>
      </items>
    </pivotField>
    <pivotField axis="axisRow" showAll="0">
      <items count="13">
        <item x="0"/>
        <item x="1"/>
        <item x="2"/>
        <item x="3"/>
        <item x="4"/>
        <item x="5"/>
        <item x="6"/>
        <item x="7"/>
        <item x="8"/>
        <item x="9"/>
        <item x="10"/>
        <item x="11"/>
        <item t="default"/>
      </items>
    </pivotField>
    <pivotField showAll="0"/>
    <pivotField showAll="0"/>
    <pivotField axis="axisPage" multipleItemSelectionAllowed="1" showAll="0">
      <items count="82">
        <item h="1" x="15"/>
        <item h="1" x="27"/>
        <item h="1" x="41"/>
        <item h="1" x="58"/>
        <item h="1" x="8"/>
        <item h="1" x="11"/>
        <item h="1" x="20"/>
        <item h="1" x="25"/>
        <item h="1" x="52"/>
        <item h="1" x="80"/>
        <item h="1" x="4"/>
        <item h="1" x="29"/>
        <item h="1" x="38"/>
        <item h="1" x="65"/>
        <item h="1" x="74"/>
        <item h="1" x="48"/>
        <item h="1" x="62"/>
        <item h="1" x="54"/>
        <item h="1" x="57"/>
        <item h="1" x="36"/>
        <item h="1" x="53"/>
        <item h="1" x="55"/>
        <item h="1" x="2"/>
        <item h="1" x="67"/>
        <item h="1" x="63"/>
        <item h="1" x="22"/>
        <item h="1" x="73"/>
        <item h="1" x="24"/>
        <item h="1" x="39"/>
        <item h="1" x="10"/>
        <item h="1" x="46"/>
        <item h="1" x="68"/>
        <item h="1" x="6"/>
        <item h="1" x="42"/>
        <item h="1" x="0"/>
        <item h="1" x="19"/>
        <item h="1" x="47"/>
        <item h="1" x="76"/>
        <item h="1" x="30"/>
        <item h="1" x="49"/>
        <item h="1" x="16"/>
        <item h="1" x="33"/>
        <item h="1" x="12"/>
        <item h="1" x="3"/>
        <item h="1" x="60"/>
        <item h="1" x="79"/>
        <item h="1" x="78"/>
        <item h="1" x="35"/>
        <item h="1" x="66"/>
        <item h="1" x="17"/>
        <item h="1" x="7"/>
        <item h="1" x="14"/>
        <item h="1" x="37"/>
        <item h="1" x="69"/>
        <item h="1" x="23"/>
        <item h="1" x="18"/>
        <item h="1" x="43"/>
        <item h="1" x="31"/>
        <item h="1" x="77"/>
        <item h="1" x="71"/>
        <item h="1" x="21"/>
        <item h="1" x="5"/>
        <item h="1" x="45"/>
        <item h="1" x="1"/>
        <item h="1" x="64"/>
        <item h="1" x="56"/>
        <item h="1" x="40"/>
        <item x="13"/>
        <item h="1" x="70"/>
        <item h="1" x="59"/>
        <item h="1" x="72"/>
        <item h="1" x="34"/>
        <item h="1" x="26"/>
        <item h="1" x="51"/>
        <item h="1" x="28"/>
        <item h="1" x="44"/>
        <item h="1" x="75"/>
        <item h="1" x="50"/>
        <item h="1" x="9"/>
        <item h="1" x="61"/>
        <item h="1" x="3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 axis="axisRow" showAll="0">
      <items count="5">
        <item x="1"/>
        <item x="2"/>
        <item x="0"/>
        <item x="3"/>
        <item t="default"/>
      </items>
    </pivotField>
    <pivotField showAll="0" defaultSubtotal="0"/>
    <pivotField showAll="0"/>
    <pivotField showAll="0"/>
    <pivotField showAll="0"/>
    <pivotField showAll="0"/>
    <pivotField showAll="0"/>
    <pivotField dataField="1" showAll="0"/>
  </pivotFields>
  <rowFields count="3">
    <field x="0"/>
    <field x="1"/>
    <field x="26"/>
  </rowFields>
  <rowItems count="26">
    <i>
      <x v="1"/>
    </i>
    <i r="1">
      <x/>
    </i>
    <i r="2">
      <x/>
    </i>
    <i r="1">
      <x v="1"/>
    </i>
    <i r="2">
      <x/>
    </i>
    <i r="1">
      <x v="2"/>
    </i>
    <i r="2">
      <x/>
    </i>
    <i r="1">
      <x v="3"/>
    </i>
    <i r="2">
      <x/>
    </i>
    <i r="1">
      <x v="4"/>
    </i>
    <i r="2">
      <x/>
    </i>
    <i r="1">
      <x v="5"/>
    </i>
    <i r="2">
      <x/>
    </i>
    <i r="1">
      <x v="6"/>
    </i>
    <i r="2">
      <x/>
    </i>
    <i r="1">
      <x v="7"/>
    </i>
    <i r="2">
      <x/>
    </i>
    <i r="1">
      <x v="8"/>
    </i>
    <i r="2">
      <x/>
    </i>
    <i r="1">
      <x v="9"/>
    </i>
    <i r="2">
      <x/>
    </i>
    <i r="1">
      <x v="10"/>
    </i>
    <i r="2">
      <x/>
    </i>
    <i r="1">
      <x v="11"/>
    </i>
    <i r="2">
      <x/>
    </i>
    <i t="grand">
      <x/>
    </i>
  </rowItems>
  <colFields count="1">
    <field x="-2"/>
  </colFields>
  <colItems count="2">
    <i>
      <x/>
    </i>
    <i i="1">
      <x v="1"/>
    </i>
  </colItems>
  <pageFields count="1">
    <pageField fld="4" hier="-1"/>
  </pageFields>
  <dataFields count="2">
    <dataField name="Promedio de CPI (Cost Performance Index)" fld="25" subtotal="average" baseField="0" baseItem="0"/>
    <dataField name="Suma de Meta CPI" fld="33" baseField="0" baseItem="0"/>
  </dataFields>
  <formats count="9">
    <format dxfId="70">
      <pivotArea type="all" dataOnly="0" outline="0" fieldPosition="0"/>
    </format>
    <format dxfId="71">
      <pivotArea outline="0" collapsedLevelsAreSubtotals="1" fieldPosition="0"/>
    </format>
    <format dxfId="72">
      <pivotArea field="4" type="button" dataOnly="0" labelOnly="1" outline="0" axis="axisPage" fieldPosition="0"/>
    </format>
    <format dxfId="73">
      <pivotArea dataOnly="0" labelOnly="1" grandRow="1" outline="0" fieldPosition="0"/>
    </format>
    <format dxfId="74">
      <pivotArea type="all" dataOnly="0" outline="0" fieldPosition="0"/>
    </format>
    <format dxfId="75">
      <pivotArea outline="0" collapsedLevelsAreSubtotals="1" fieldPosition="0"/>
    </format>
    <format dxfId="76">
      <pivotArea field="4" type="button" dataOnly="0" labelOnly="1" outline="0" axis="axisPage" fieldPosition="0"/>
    </format>
    <format dxfId="77">
      <pivotArea dataOnly="0" labelOnly="1" grandRow="1" outline="0" fieldPosition="0"/>
    </format>
    <format dxfId="78">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05E20D-AB37-4734-B0A8-E3F2B117DD33}" name="TablaDinámica1" cacheId="1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1">
  <location ref="A3:C85" firstHeaderRow="0" firstDataRow="1" firstDataCol="1"/>
  <pivotFields count="34">
    <pivotField showAll="0"/>
    <pivotField showAll="0"/>
    <pivotField showAll="0"/>
    <pivotField showAll="0"/>
    <pivotField axis="axisRow" multipleItemSelectionAllowed="1" showAll="0" sortType="descending">
      <items count="82">
        <item x="15"/>
        <item x="27"/>
        <item x="41"/>
        <item x="58"/>
        <item x="8"/>
        <item x="11"/>
        <item x="20"/>
        <item x="25"/>
        <item x="52"/>
        <item x="80"/>
        <item x="4"/>
        <item x="29"/>
        <item x="38"/>
        <item x="65"/>
        <item x="74"/>
        <item x="48"/>
        <item x="62"/>
        <item x="54"/>
        <item x="57"/>
        <item x="36"/>
        <item x="53"/>
        <item x="55"/>
        <item x="2"/>
        <item x="67"/>
        <item x="63"/>
        <item x="22"/>
        <item x="73"/>
        <item x="24"/>
        <item x="39"/>
        <item x="10"/>
        <item x="46"/>
        <item x="68"/>
        <item x="6"/>
        <item x="42"/>
        <item x="0"/>
        <item x="19"/>
        <item x="47"/>
        <item x="76"/>
        <item x="30"/>
        <item x="49"/>
        <item x="16"/>
        <item x="33"/>
        <item x="12"/>
        <item x="3"/>
        <item x="60"/>
        <item x="79"/>
        <item x="78"/>
        <item x="35"/>
        <item x="66"/>
        <item x="17"/>
        <item x="7"/>
        <item x="14"/>
        <item x="37"/>
        <item x="69"/>
        <item x="23"/>
        <item x="18"/>
        <item x="43"/>
        <item x="31"/>
        <item x="77"/>
        <item x="71"/>
        <item x="21"/>
        <item x="5"/>
        <item x="45"/>
        <item x="1"/>
        <item x="64"/>
        <item x="56"/>
        <item x="40"/>
        <item x="13"/>
        <item x="70"/>
        <item x="59"/>
        <item x="72"/>
        <item x="34"/>
        <item x="26"/>
        <item x="51"/>
        <item x="28"/>
        <item x="44"/>
        <item x="75"/>
        <item x="50"/>
        <item x="9"/>
        <item x="61"/>
        <item x="3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defaultSubtotal="0"/>
    <pivotField showAll="0"/>
    <pivotField dataField="1" showAll="0" defaultSubtotal="0"/>
    <pivotField showAll="0"/>
    <pivotField showAll="0"/>
    <pivotField showAll="0"/>
    <pivotField showAll="0"/>
    <pivotField showAll="0"/>
    <pivotField showAll="0"/>
  </pivotFields>
  <rowFields count="1">
    <field x="4"/>
  </rowFields>
  <rowItems count="82">
    <i>
      <x v="40"/>
    </i>
    <i>
      <x v="72"/>
    </i>
    <i>
      <x v="29"/>
    </i>
    <i>
      <x v="32"/>
    </i>
    <i>
      <x v="55"/>
    </i>
    <i>
      <x v="35"/>
    </i>
    <i>
      <x v="62"/>
    </i>
    <i>
      <x v="15"/>
    </i>
    <i>
      <x v="39"/>
    </i>
    <i>
      <x v="19"/>
    </i>
    <i>
      <x v="57"/>
    </i>
    <i>
      <x v="24"/>
    </i>
    <i>
      <x v="12"/>
    </i>
    <i>
      <x v="25"/>
    </i>
    <i>
      <x v="36"/>
    </i>
    <i>
      <x v="28"/>
    </i>
    <i>
      <x v="47"/>
    </i>
    <i>
      <x v="2"/>
    </i>
    <i>
      <x v="56"/>
    </i>
    <i>
      <x v="30"/>
    </i>
    <i>
      <x v="59"/>
    </i>
    <i>
      <x v="7"/>
    </i>
    <i>
      <x v="71"/>
    </i>
    <i>
      <x v="73"/>
    </i>
    <i>
      <x v="34"/>
    </i>
    <i>
      <x v="78"/>
    </i>
    <i>
      <x v="33"/>
    </i>
    <i>
      <x/>
    </i>
    <i>
      <x v="4"/>
    </i>
    <i>
      <x v="22"/>
    </i>
    <i>
      <x v="26"/>
    </i>
    <i>
      <x v="6"/>
    </i>
    <i>
      <x v="63"/>
    </i>
    <i>
      <x v="23"/>
    </i>
    <i>
      <x v="5"/>
    </i>
    <i>
      <x v="42"/>
    </i>
    <i>
      <x v="51"/>
    </i>
    <i>
      <x v="52"/>
    </i>
    <i>
      <x v="3"/>
    </i>
    <i>
      <x v="50"/>
    </i>
    <i>
      <x v="43"/>
    </i>
    <i>
      <x v="61"/>
    </i>
    <i>
      <x v="80"/>
    </i>
    <i>
      <x v="41"/>
    </i>
    <i>
      <x v="66"/>
    </i>
    <i>
      <x v="11"/>
    </i>
    <i>
      <x v="1"/>
    </i>
    <i>
      <x v="60"/>
    </i>
    <i>
      <x v="49"/>
    </i>
    <i>
      <x v="10"/>
    </i>
    <i>
      <x v="27"/>
    </i>
    <i>
      <x v="54"/>
    </i>
    <i>
      <x v="67"/>
    </i>
    <i>
      <x v="16"/>
    </i>
    <i>
      <x v="13"/>
    </i>
    <i>
      <x v="31"/>
    </i>
    <i>
      <x v="8"/>
    </i>
    <i>
      <x v="38"/>
    </i>
    <i>
      <x v="53"/>
    </i>
    <i>
      <x v="69"/>
    </i>
    <i>
      <x v="68"/>
    </i>
    <i>
      <x v="75"/>
    </i>
    <i>
      <x v="77"/>
    </i>
    <i>
      <x v="37"/>
    </i>
    <i>
      <x v="14"/>
    </i>
    <i>
      <x v="48"/>
    </i>
    <i>
      <x v="20"/>
    </i>
    <i>
      <x v="17"/>
    </i>
    <i>
      <x v="58"/>
    </i>
    <i>
      <x v="21"/>
    </i>
    <i>
      <x v="64"/>
    </i>
    <i>
      <x v="46"/>
    </i>
    <i>
      <x v="79"/>
    </i>
    <i>
      <x v="9"/>
    </i>
    <i>
      <x v="76"/>
    </i>
    <i>
      <x v="70"/>
    </i>
    <i>
      <x v="44"/>
    </i>
    <i>
      <x v="45"/>
    </i>
    <i>
      <x v="74"/>
    </i>
    <i>
      <x v="65"/>
    </i>
    <i>
      <x v="18"/>
    </i>
    <i t="grand">
      <x/>
    </i>
  </rowItems>
  <colFields count="1">
    <field x="-2"/>
  </colFields>
  <colItems count="2">
    <i>
      <x/>
    </i>
    <i i="1">
      <x v="1"/>
    </i>
  </colItems>
  <dataFields count="2">
    <dataField name="Promedio de SPI (Schedule Performance Index)" fld="27" subtotal="average" baseField="4" baseItem="62"/>
    <dataField name="Cuenta de CPI (Cost Performance Index)" fld="25" subtotal="count" baseField="4" baseItem="40"/>
  </dataFields>
  <formats count="9">
    <format dxfId="61">
      <pivotArea type="all" dataOnly="0" outline="0" fieldPosition="0"/>
    </format>
    <format dxfId="62">
      <pivotArea outline="0" collapsedLevelsAreSubtotals="1" fieldPosition="0"/>
    </format>
    <format dxfId="63">
      <pivotArea field="4" type="button" dataOnly="0" labelOnly="1" outline="0" axis="axisRow" fieldPosition="0"/>
    </format>
    <format dxfId="64">
      <pivotArea dataOnly="0" labelOnly="1" grandRow="1" outline="0" fieldPosition="0"/>
    </format>
    <format dxfId="65">
      <pivotArea type="all" dataOnly="0" outline="0" fieldPosition="0"/>
    </format>
    <format dxfId="66">
      <pivotArea outline="0" collapsedLevelsAreSubtotals="1" fieldPosition="0"/>
    </format>
    <format dxfId="67">
      <pivotArea field="4" type="button" dataOnly="0" labelOnly="1" outline="0" axis="axisRow" fieldPosition="0"/>
    </format>
    <format dxfId="68">
      <pivotArea dataOnly="0" labelOnly="1" grandRow="1" outline="0" fieldPosition="0"/>
    </format>
    <format dxfId="69">
      <pivotArea outline="0" collapsedLevelsAreSubtotals="1" fieldPosition="0"/>
    </format>
  </formats>
  <chartFormats count="1">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1EE502-378C-4668-8E22-0B08445F0105}" name="TablaIndicador" displayName="TablaIndicador" ref="A1:AI926" totalsRowShown="0" headerRowDxfId="52" dataDxfId="51" tableBorderDxfId="50" headerRowCellStyle="Moneda">
  <tableColumns count="35">
    <tableColumn id="1" xr3:uid="{F6D9A42E-EBC7-4FE1-A043-421BECE82F02}" name="Año" dataDxfId="49"/>
    <tableColumn id="2" xr3:uid="{263CE9C7-C88E-4272-84F2-704E7A9E4263}" name="Mes" dataDxfId="48"/>
    <tableColumn id="3" xr3:uid="{00582509-5B37-4487-A7D4-4B2BBF56542C}" name="ProjectId" dataDxfId="47"/>
    <tableColumn id="4" xr3:uid="{4A38F28D-CF07-45DE-A1BB-DFDF49A88224}" name="ProjectCreatedDate" dataDxfId="46"/>
    <tableColumn id="5" xr3:uid="{3028AEC0-C487-4CF6-9979-92BB65091B14}" name="ProjectName" dataDxfId="45"/>
    <tableColumn id="6" xr3:uid="{FD3F8BB2-C321-4612-9BB9-C3E88C35AC99}" name="ProjectOwnerName" dataDxfId="44"/>
    <tableColumn id="7" xr3:uid="{52206C1B-3109-49A9-A514-03ACC15DDCB6}" name="ProjectWorkspaceInternalUrl" dataDxfId="43"/>
    <tableColumn id="8" xr3:uid="{03E971C5-1103-417C-A29A-54E80A1306A4}" name="Objetocontractual" dataDxfId="42"/>
    <tableColumn id="9" xr3:uid="{53F0F22A-5276-4EAD-BC52-7FBA27A43490}" name="Portafolio" dataDxfId="41"/>
    <tableColumn id="10" xr3:uid="{1E00C734-78F1-48A1-AD73-E0B456B6B6D4}" name="CentrodeCostosProyecto" dataDxfId="40"/>
    <tableColumn id="11" xr3:uid="{740B106C-E4E1-470B-AD80-EA421E09A1CB}" name="Estado" dataDxfId="39"/>
    <tableColumn id="12" xr3:uid="{0FA2E487-A178-45AE-B8B5-4759799C5F5F}" name="Presupuesto" dataDxfId="38" dataCellStyle="Moneda">
      <calculatedColumnFormula>VLOOKUP(E2,Diccionario!C$2:AC$150,22,0)</calculatedColumnFormula>
    </tableColumn>
    <tableColumn id="13" xr3:uid="{25B5C588-8475-4ABF-AE27-A1504849E463}" name="Inicio" dataDxfId="37" dataCellStyle="Moneda">
      <calculatedColumnFormula>VLOOKUP(E2,Diccionario!C$2:AC$150,24,0)</calculatedColumnFormula>
    </tableColumn>
    <tableColumn id="14" xr3:uid="{75C1BEDD-CD08-4E28-831E-CB598AF0EC83}" name="Fin" dataDxfId="36" dataCellStyle="Moneda">
      <calculatedColumnFormula>VLOOKUP(E2,Diccionario!C$2:AC$150,25,0)</calculatedColumnFormula>
    </tableColumn>
    <tableColumn id="15" xr3:uid="{BF6F9A3E-1515-46AF-9857-3BA23CF66AB7}" name="Meses" dataDxfId="35">
      <calculatedColumnFormula>VLOOKUP(E2,Diccionario!C$2:AC$150,26,0)</calculatedColumnFormula>
    </tableColumn>
    <tableColumn id="16" xr3:uid="{D6362A7D-B0C5-478C-8A66-74AD3D7203F1}" name="Tiempo Diferencia" dataDxfId="34">
      <calculatedColumnFormula>Q2-O2</calculatedColumnFormula>
    </tableColumn>
    <tableColumn id="17" xr3:uid="{687CB16E-7990-4F94-BA10-D480BE28B41B}" name="Tiempo Ejecución" dataDxfId="33">
      <calculatedColumnFormula>DATEDIF(M2,TODAY(),"m")</calculatedColumnFormula>
    </tableColumn>
    <tableColumn id="18" xr3:uid="{474A0A80-64D3-49DB-B16F-B3A450D2DE66}" name="Tiempo Proyectado" dataDxfId="32"/>
    <tableColumn id="19" xr3:uid="{47ABDA14-CA08-461E-9D15-9B58197D08CF}" name="% Planeado" dataDxfId="31" dataCellStyle="Porcentaje"/>
    <tableColumn id="20" xr3:uid="{7C931EB5-7DF4-48CE-82C3-2C4657D9D762}" name="Completado Real" dataDxfId="30" dataCellStyle="Porcentaje"/>
    <tableColumn id="21" xr3:uid="{CA5E9F81-1721-4A19-9564-32444EA992FC}" name="AC (Actual Cost)" dataDxfId="29"/>
    <tableColumn id="35" xr3:uid="{332B00FE-A69C-41DE-9359-FEA54D7280D5}" name="Costo Mensual" dataDxfId="28"/>
    <tableColumn id="22" xr3:uid="{80D0184B-A563-4EEB-95AF-EA82594BC4E1}" name="EV (Earned Value)" dataDxfId="27">
      <calculatedColumnFormula>IFERROR(T2*L2,0)</calculatedColumnFormula>
    </tableColumn>
    <tableColumn id="23" xr3:uid="{32AA1823-90E5-42C5-9CD1-BECB90F23D81}" name="PV (Planned Value)" dataDxfId="26">
      <calculatedColumnFormula>S2*L2</calculatedColumnFormula>
    </tableColumn>
    <tableColumn id="24" xr3:uid="{C2BE3ED1-682E-40D4-B62F-50F7815A8867}" name="CV (Cost Variance)" dataDxfId="25">
      <calculatedColumnFormula>IFERROR(W2-U2,0)</calculatedColumnFormula>
    </tableColumn>
    <tableColumn id="25" xr3:uid="{86DA88CF-63B3-4C20-BF4E-DF56582E852F}" name="SV (Schedule Variance)" dataDxfId="24">
      <calculatedColumnFormula>W2-X2</calculatedColumnFormula>
    </tableColumn>
    <tableColumn id="26" xr3:uid="{DA029B25-ACAE-47D4-913E-5B0B05FD10FE}" name="CPI (Cost Performance Index)" dataDxfId="23">
      <calculatedColumnFormula>IFERROR(W2/U2,"No se realizó gasto en este corte")</calculatedColumnFormula>
    </tableColumn>
    <tableColumn id="27" xr3:uid="{EC604D8B-DCDB-4838-BBE4-C1B3246D98A8}" name="Detalle de CPI" dataDxfId="22">
      <calculatedColumnFormula>IFERROR(
  IF(OR(AA2="",AA2=0),
    "No calculado",
    IF(AA2&gt;1,"Costo eficiente: se está gastando menos de lo presupuestado",
      IF(AA2=1,"Costo según lo presupuestado",
        "Costo ineficiente: se está gastando más de lo presupuestado"))),
"No calculado")</calculatedColumnFormula>
    </tableColumn>
    <tableColumn id="28" xr3:uid="{B4036A26-B17F-4DA9-B7BE-B1AEA39EB829}" name="SPI (Schedule Performance Index)" dataDxfId="21">
      <calculatedColumnFormula>IFERROR(W2/X2,0)</calculatedColumnFormula>
    </tableColumn>
    <tableColumn id="29" xr3:uid="{9EC98EAC-C61C-42FD-8EEA-777BA7752DAD}" name="Detalle SPI" dataDxfId="20">
      <calculatedColumnFormula>IF(OR(AC2="",AC2=0),"Sin Línea Base",
IF(AC2&gt;1,"Proyecto adelantado respecto al cronograma",
IF(AC2=1,"Proyecto a tiempo según lo planificado",
IF(AC2&lt;1,"Proyecto atrasado con respecto al cronograma",
"No calculado"))))</calculatedColumnFormula>
    </tableColumn>
    <tableColumn id="30" xr3:uid="{86FCB06F-56FE-46E9-8F5D-3C5F98DA88AE}" name="EAC (Estimación al finalizar)" dataDxfId="19" dataCellStyle="Moneda">
      <calculatedColumnFormula>IFERROR(L2/AA2,0)</calculatedColumnFormula>
    </tableColumn>
    <tableColumn id="31" xr3:uid="{3C79DD12-07F9-4279-8F04-F2E1EA078704}" name="VAC (Exceso de presupuesto proyectado)" dataDxfId="18" dataCellStyle="Moneda">
      <calculatedColumnFormula>IFERROR(AE2-L2,0)</calculatedColumnFormula>
    </tableColumn>
    <tableColumn id="32" xr3:uid="{FCD28A33-5B0F-4664-86EE-3D86A394F550}" name="Ruta" dataDxfId="17">
      <calculatedColumnFormula>VLOOKUP(Indicador!E2,Diccionario!C$1:AC$150,27,0)</calculatedColumnFormula>
    </tableColumn>
    <tableColumn id="33" xr3:uid="{5DCBF9F3-75B3-41A0-A155-62C729F25689}" name="Meta SPI" dataDxfId="16"/>
    <tableColumn id="34" xr3:uid="{16E2099D-8606-4996-973C-3BE11A78F3F6}" name="Meta CPI" dataDxfId="15"/>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1" dT="2025-07-16T13:28:36.87" personId="{DBE562E7-CF34-40BB-8419-78CEBF0C7509}" id="{0622965A-9BBB-4BA8-BBD5-9F1F00ACF6BB}">
    <text xml:space="preserve">El presupuesto del proyecto es la estimación total de recursos financieros necesarios para ejecutar todas las actividades del proyecto y cumplir con su alcance, cronograma y objetivos establecidos </text>
  </threadedComment>
  <threadedComment ref="L1" dT="2026-02-04T22:08:21.65" personId="{DBE562E7-CF34-40BB-8419-78CEBF0C7509}" id="{2B8CB4EB-EFB3-4EC1-A3AA-F98460283BDE}" parentId="{0622965A-9BBB-4BA8-BBD5-9F1F00ACF6BB}">
    <text xml:space="preserve">✅ Para calcular Valor Ganado, el presupuesto debe ser el Total Costos del Proyecto (BAC) </text>
  </threadedComment>
  <threadedComment ref="Q1" dT="2025-07-16T13:29:07.78" personId="{DBE562E7-CF34-40BB-8419-78CEBF0C7509}" id="{BADBF203-B0C6-4BA7-BB8B-A0519610D7BF}">
    <text xml:space="preserve">El tiempo de ejecución es el período comprendido entre el inicio formal de las actividades del proyecto y su finalización real, es decir, el lapso durante el cual se llevan a cabo los entregables, tareas y actividades planificadas para cumplir con el alcance del proyecto. </text>
  </threadedComment>
  <threadedComment ref="W1" dT="2025-07-16T13:46:49.12" personId="{DBE562E7-CF34-40BB-8419-78CEBF0C7509}" id="{E887E8D2-752C-4167-905D-4D84E6364563}">
    <text>Representa el valor del trabajo realmente completado a una fecha determinada, expresado en unidades monetarias (según el presupuesto aprobado).</text>
  </threadedComment>
  <threadedComment ref="X1" dT="2025-07-16T13:47:08.81" personId="{DBE562E7-CF34-40BB-8419-78CEBF0C7509}" id="{53B24E85-04BE-4A2C-BCCF-AE5738BC7D2A}">
    <text xml:space="preserve">Representa el valor del trabajo que se debía haber completado a una fecha determinada según la línea base del cronograma. </text>
  </threadedComment>
  <threadedComment ref="Y1" dT="2025-07-16T13:34:32.36" personId="{DBE562E7-CF34-40BB-8419-78CEBF0C7509}" id="{F374F0EB-1087-4C13-A790-9D78B29A8533}">
    <text>Mide la diferencia entre el valor del trabajo completado (EV) y el costo real incurrido (AC). Indica si hay ahorro o sobrecosto.</text>
  </threadedComment>
  <threadedComment ref="Z1" dT="2025-07-16T13:33:55.75" personId="{DBE562E7-CF34-40BB-8419-78CEBF0C7509}" id="{2B3FA292-6D96-41CB-8CA6-A94F0F53AA29}">
    <text>Mide la diferencia entre el valor del trabajo ejecutado (EV) y el que se debía haber ejecutado según el plan (PV). Indica adelanto o retraso.</text>
  </threadedComment>
  <threadedComment ref="AA1" dT="2025-07-16T13:33:10.88" personId="{DBE562E7-CF34-40BB-8419-78CEBF0C7509}" id="{0C29B139-CF0C-4E33-8B87-EF2F62E6097C}">
    <text>Evalúa la eficiencia del uso del presupuesto. Indica cuánto valor se obtiene por cada unidad monetaria gastada.</text>
  </threadedComment>
  <threadedComment ref="AC1" dT="2025-07-16T13:32:35.14" personId="{DBE562E7-CF34-40BB-8419-78CEBF0C7509}" id="{323BCE7D-7E35-415B-B00C-9708B13F4DAB}">
    <text>Evalúa la eficiencia del cronograma. Muestra qué tan bien se avanza respecto al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L1" dT="2025-07-16T13:28:36.87" personId="{DBE562E7-CF34-40BB-8419-78CEBF0C7509}" id="{E76C9D19-3294-41AF-A118-5C0296F6F94A}">
    <text xml:space="preserve">El presupuesto del proyecto es la estimación total de recursos financieros necesarios para ejecutar todas las actividades del proyecto y cumplir con su alcance, cronograma y objetivos establecidos </text>
  </threadedComment>
  <threadedComment ref="L1" dT="2026-02-04T22:08:21.65" personId="{DBE562E7-CF34-40BB-8419-78CEBF0C7509}" id="{6B74EE62-78D8-4345-8D43-EA947976D401}" parentId="{E76C9D19-3294-41AF-A118-5C0296F6F94A}">
    <text xml:space="preserve">✅ Para calcular Valor Ganado, el presupuesto debe ser el Total Costos del Proyecto (BAC) </text>
  </threadedComment>
  <threadedComment ref="Q1" dT="2025-07-16T13:29:07.78" personId="{DBE562E7-CF34-40BB-8419-78CEBF0C7509}" id="{B505EA2F-8EF7-4804-AF92-EC4C09155B42}">
    <text xml:space="preserve">El tiempo de ejecución es el período comprendido entre el inicio formal de las actividades del proyecto y su finalización real, es decir, el lapso durante el cual se llevan a cabo los entregables, tareas y actividades planificadas para cumplir con el alcance del proyecto. </text>
  </threadedComment>
  <threadedComment ref="V1" dT="2025-07-16T13:46:49.12" personId="{DBE562E7-CF34-40BB-8419-78CEBF0C7509}" id="{989B7BEB-245D-4ED0-9D19-1E235937CE8D}">
    <text>Representa el valor del trabajo realmente completado a una fecha determinada, expresado en unidades monetarias (según el presupuesto aprobado).</text>
  </threadedComment>
  <threadedComment ref="W1" dT="2025-07-16T13:47:08.81" personId="{DBE562E7-CF34-40BB-8419-78CEBF0C7509}" id="{18DE217E-D2FD-4063-B51A-E166885CADA3}">
    <text xml:space="preserve">Representa el valor del trabajo que se debía haber completado a una fecha determinada según la línea base del cronograma. </text>
  </threadedComment>
  <threadedComment ref="X1" dT="2025-07-16T13:34:32.36" personId="{DBE562E7-CF34-40BB-8419-78CEBF0C7509}" id="{4699E194-DC61-4015-A771-708B7917626F}">
    <text>Mide la diferencia entre el valor del trabajo completado (EV) y el costo real incurrido (AC). Indica si hay ahorro o sobrecosto.</text>
  </threadedComment>
  <threadedComment ref="Y1" dT="2025-07-16T13:33:55.75" personId="{DBE562E7-CF34-40BB-8419-78CEBF0C7509}" id="{102E8C8E-5D63-46F8-9194-BADAF2492023}">
    <text>Mide la diferencia entre el valor del trabajo ejecutado (EV) y el que se debía haber ejecutado según el plan (PV). Indica adelanto o retraso.</text>
  </threadedComment>
  <threadedComment ref="Z1" dT="2025-07-16T13:33:10.88" personId="{DBE562E7-CF34-40BB-8419-78CEBF0C7509}" id="{E039A975-BEB7-4028-BB2C-92C2EBE3E1E2}">
    <text>Evalúa la eficiencia del uso del presupuesto. Indica cuánto valor se obtiene por cada unidad monetaria gastada.</text>
  </threadedComment>
  <threadedComment ref="AB1" dT="2025-07-16T13:32:35.14" personId="{DBE562E7-CF34-40BB-8419-78CEBF0C7509}" id="{53AF90AF-4F1F-402A-9578-6315C35BBF2A}">
    <text>Evalúa la eficiencia del cronograma. Muestra qué tan bien se avanza respecto al plan.</text>
  </threadedComment>
</ThreadedComments>
</file>

<file path=xl/threadedComments/threadedComment3.xml><?xml version="1.0" encoding="utf-8"?>
<ThreadedComments xmlns="http://schemas.microsoft.com/office/spreadsheetml/2018/threadedcomments" xmlns:x="http://schemas.openxmlformats.org/spreadsheetml/2006/main">
  <threadedComment ref="AA43" dT="2026-02-06T23:59:09.38" personId="{DBE562E7-CF34-40BB-8419-78CEBF0C7509}" id="{D4C9E463-61C2-4420-9334-9B288C0DD118}">
    <text>31/12/2025</text>
  </threadedComment>
</ThreadedComments>
</file>

<file path=xl/threadedComments/threadedComment4.xml><?xml version="1.0" encoding="utf-8"?>
<ThreadedComments xmlns="http://schemas.microsoft.com/office/spreadsheetml/2018/threadedcomments" xmlns:x="http://schemas.openxmlformats.org/spreadsheetml/2006/main">
  <threadedComment ref="C43" dT="2026-02-06T23:59:09.38" personId="{DBE562E7-CF34-40BB-8419-78CEBF0C7509}" id="{F1E0C0BD-ED22-4C8D-9CCF-E4083919E680}">
    <text>31/12/2025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x:/r/sites/Gestiondocumental/Administrativa/GD/Financiera/_layouts/15/Doc.aspx?sourcedoc=%7B74DBEC6A-69C6-4C69-8B83-8B465ADA35AB%7D&amp;file=Modelo%20Cortolima%20%20V2.xlsm&amp;action=default&amp;mobileredirect=true" TargetMode="External"/><Relationship Id="rId13" Type="http://schemas.openxmlformats.org/officeDocument/2006/relationships/hyperlink" Target="../../../../../../../../:x:/r/sites/Gestiondocumental/Administrativa/GD/Financiera/_layouts/15/Doc.aspx?sourcedoc=%7BEA2AC996-D46C-4123-8126-7F0BE9537AF4%7D&amp;file=20241108%20MODELO%20FINANCIERO%20REFERENCIA%20V7.2%20APROBADO.xlsm&amp;action=default&amp;mobileredirect=true" TargetMode="External"/><Relationship Id="rId18" Type="http://schemas.openxmlformats.org/officeDocument/2006/relationships/hyperlink" Target="../../../../../../../../:x:/r/sites/Gestiondocumental/Administrativa/GD/Financiera/_layouts/15/Doc.aspx?sourcedoc=%7B0288FE6C-6AAB-43FF-AEC6-9D8F73023920%7D&amp;file=29082024%20TELEFONICA_CORMAGDALENA%20V2.xlsm&amp;action=default&amp;mobileredirect=true" TargetMode="External"/><Relationship Id="rId26" Type="http://schemas.openxmlformats.org/officeDocument/2006/relationships/comments" Target="../comments3.xml"/><Relationship Id="rId3" Type="http://schemas.openxmlformats.org/officeDocument/2006/relationships/hyperlink" Target="../../../../../../../../:x:/r/sites/Gestiondocumental/Administrativa/GD/Financiera/_layouts/15/Doc.aspx?sourcedoc=%7BD3D1C463-BD96-490E-8523-005453EFE334%7D&amp;file=20251301%20MODELO%20FINANCIERO%20REFERENCIA%20V7.4_CONTINUAR_SAAS_RAMA.xlsm&amp;action=default&amp;mobileredirect=true" TargetMode="External"/><Relationship Id="rId21" Type="http://schemas.openxmlformats.org/officeDocument/2006/relationships/hyperlink" Target="../../../../../../../../:x:/r/sites/Gestiondocumental/Administrativa/GD/Financiera/_layouts/15/Doc.aspx?sourcedoc=%7B7CA5727E-8CD9-4225-BEF4-3B8118646894%7D&amp;file=20240530%20MODELO%20FINANCIERO%20REFERENCIA%20V7_472.xlsm&amp;action=default&amp;mobileredirect=true" TargetMode="External"/><Relationship Id="rId7" Type="http://schemas.openxmlformats.org/officeDocument/2006/relationships/hyperlink" Target="../../../../../../../../:x:/r/sites/Gestiondocumental/Administrativa/GD/Financiera/_layouts/15/Doc.aspx?sourcedoc=%7B992F7B45-9CC9-43D2-9E9D-0F8A68C8C555%7D&amp;file=22052025%20MODELO%20FINANCIERO%20REFERENCIA%20V7.4_ANSV_V1.0.xlsm&amp;action=default&amp;mobileredirect=true" TargetMode="External"/><Relationship Id="rId12" Type="http://schemas.openxmlformats.org/officeDocument/2006/relationships/hyperlink" Target="../../../../../../../../:x:/r/sites/Gestiondocumental/Administrativa/GD/Financiera/_layouts/15/Doc.aspx?sourcedoc=%7BD278ABBE-F1D6-4C56-888E-6E01CED7BFDD%7D&amp;file=SNR%20MIGRACION%203%20CIUDADES%20V6%20FINAL.xlsm&amp;action=default&amp;mobileredirect=true" TargetMode="External"/><Relationship Id="rId17" Type="http://schemas.openxmlformats.org/officeDocument/2006/relationships/hyperlink" Target="../../../../../../../../:x:/r/sites/Gestiondocumental/Administrativa/GD/Financiera/_layouts/15/Doc.aspx?sourcedoc=%7B7847B3E7-120E-4453-ABEB-FCCD451C6101%7D&amp;file=MODELO%20FINANCIERO%20REFERENCIA%20V7.2_Aprobado_Mintransporte_23092024%20V1.xlsm&amp;action=default&amp;mobileredirect=true" TargetMode="External"/><Relationship Id="rId25" Type="http://schemas.openxmlformats.org/officeDocument/2006/relationships/vmlDrawing" Target="../drawings/vmlDrawing3.vml"/><Relationship Id="rId2" Type="http://schemas.openxmlformats.org/officeDocument/2006/relationships/hyperlink" Target="../../../../../../../../:x:/r/sites/Gestiondocumental/Administrativa/GD/Financiera/_layouts/15/Doc.aspx?sourcedoc=%7B9943DCC3-2507-4DCD-B6B6-BEC53480E8BA%7D&amp;file=MODELO%20FINANCIERO%20CNE%20LICENCIAMIENTO.xlsm&amp;action=default&amp;mobileredirect=true" TargetMode="External"/><Relationship Id="rId16" Type="http://schemas.openxmlformats.org/officeDocument/2006/relationships/hyperlink" Target="../../../../../../../../:x:/r/sites/Gestiondocumental/Administrativa/GD/Financiera/_layouts/15/Doc.aspx?sourcedoc=%7B8B953C7E-D0F5-422E-BC36-C51DAEC457DB%7D&amp;file=28082024%20MODELO%20FINANCIERO%20V7.1_DEFENSORIA_RENOVACION.xlsm&amp;action=default&amp;mobileredirect=true" TargetMode="External"/><Relationship Id="rId20" Type="http://schemas.openxmlformats.org/officeDocument/2006/relationships/hyperlink" Target="../../../../../../../../:x:/r/sites/Gestiondocumental/Administrativa/GD/Financiera/_layouts/15/Doc.aspx?sourcedoc=%7B9AED4F39-5D53-43D6-BACC-397FDB920633%7D&amp;file=20240613%20RUNT_DATAWAREHOUSE_23024V5%20P.xlsm&amp;action=default&amp;mobileredirect=true" TargetMode="External"/><Relationship Id="rId1" Type="http://schemas.openxmlformats.org/officeDocument/2006/relationships/hyperlink" Target="../../../../../../../../:x:/r/sites/Gestiondocumental/Administrativa/GD/Financiera/_layouts/15/Doc.aspx?sourcedoc=%7B69FFBD03-5B13-48F9-8F84-54729A673BE7%7D&amp;file=MODELO%20FINANCIERO%20PREVISORA.xlsm&amp;action=default&amp;mobileredirect=true" TargetMode="External"/><Relationship Id="rId6" Type="http://schemas.openxmlformats.org/officeDocument/2006/relationships/hyperlink" Target="../../../../../../../../:x:/r/sites/Gestiondocumental/Administrativa/GD/Financiera/_layouts/15/Doc.aspx?sourcedoc=%7B9C76270D-595C-496E-97BB-8004054AF14A%7D&amp;file=20251301%20MODELO%20FINANCIERO%20REFERENCIA%20V7.4_ADRES_2A%C3%91OS_VF.xlsm&amp;action=default&amp;mobileredirect=true" TargetMode="External"/><Relationship Id="rId11" Type="http://schemas.openxmlformats.org/officeDocument/2006/relationships/hyperlink" Target="../../../../../../../../:x:/r/sites/Gestiondocumental/Administrativa/GD/Financiera/_layouts/15/Doc.aspx?sourcedoc=%7BFBEECA15-7AD7-44CB-BB15-659366F92F74%7D&amp;file=20241115%20MODELO%20FINANCIERO%20REFERENCIA%20V7.1_RUNT_MIGRACION.xlsm&amp;action=default&amp;mobileredirect=true" TargetMode="External"/><Relationship Id="rId24" Type="http://schemas.openxmlformats.org/officeDocument/2006/relationships/hyperlink" Target="../../../../../../../../:x:/r/sites/Gestiondocumental/Administrativa/GD/Financiera/_layouts/15/Doc.aspx?sourcedoc=%7BB4DE39AF-1EC1-466C-A807-3FE95776A982%7D&amp;file=17012024%20INFOTIC%20DPC%20SOC%20V2.xlsm&amp;action=default&amp;mobileredirect=true" TargetMode="External"/><Relationship Id="rId5" Type="http://schemas.openxmlformats.org/officeDocument/2006/relationships/hyperlink" Target="../../../../../../../../:x:/r/sites/Gestiondocumental/Administrativa/GD/Financiera/_layouts/15/Doc.aspx?sourcedoc=%7B7342DE4F-42D6-43D5-B227-6B91A3A42F97%7D&amp;file=MODELO%20FINANCIERO%20ANT%20DESARROLLO%2BARQ%2BIA%2022.08.25%20V4.xlsm&amp;action=default&amp;mobileredirect=true" TargetMode="External"/><Relationship Id="rId15" Type="http://schemas.openxmlformats.org/officeDocument/2006/relationships/hyperlink" Target="../../../../../../../../:x:/r/sites/Gestiondocumental/Administrativa/GD/Financiera/_layouts/15/Doc.aspx?sourcedoc=%7BBEB26481-98E1-4A71-BC98-FA27225C2807%7D&amp;file=TELEFONICA%20ELECCIONES%20MODELO%20FINANCIERO%20V7.2%20MESA%20DE%20SERVICIO%2017102024.xlsm&amp;action=default&amp;mobileredirect=true" TargetMode="External"/><Relationship Id="rId23" Type="http://schemas.openxmlformats.org/officeDocument/2006/relationships/hyperlink" Target="../../../../../../../../:x:/r/sites/Gestiondocumental/Administrativa/GD/Financiera/_layouts/15/Doc.aspx?sourcedoc=%7B453B6AA8-B631-4722-B916-8323F8C43E87%7D&amp;file=315%20CORP%20COLOMBIA%20DIGITAL%20FNA%20AE.xlsm&amp;action=default&amp;mobileredirect=true" TargetMode="External"/><Relationship Id="rId10" Type="http://schemas.openxmlformats.org/officeDocument/2006/relationships/hyperlink" Target="../../../../../../../../:x:/r/sites/Gestiondocumental/Administrativa/GD/Financiera/_layouts/15/Doc.aspx?sourcedoc=%7B825EA9F7-C4AC-4367-8925-5CE1786AE91A%7D&amp;file=20241118%20MODELO%20FINANCIERO%20REFERENCIA%20V7.1_%20PERPETUIDAD_TOTAL.xlsm&amp;action=default&amp;mobileredirect=true" TargetMode="External"/><Relationship Id="rId19" Type="http://schemas.openxmlformats.org/officeDocument/2006/relationships/hyperlink" Target="../../../../../../../../:x:/r/sites/Gestiondocumental/Administrativa/GD/Financiera/_layouts/15/Doc.aspx?sourcedoc=%7BE27BC622-4961-4BA4-8FF2-7949D6CE364A%7D&amp;file=20062024%20SNR%20MIGRACION.xlsm&amp;action=default&amp;mobileredirect=true" TargetMode="External"/><Relationship Id="rId4" Type="http://schemas.openxmlformats.org/officeDocument/2006/relationships/hyperlink" Target="../../../../../../../../: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TargetMode="External"/><Relationship Id="rId9" Type="http://schemas.openxmlformats.org/officeDocument/2006/relationships/hyperlink" Target="../../../../../../../../:x:/r/sites/Gestiondocumental/Administrativa/GD/Financiera/_layouts/15/Doc.aspx?sourcedoc=%7B1DBFC819-A96C-4AF2-9C53-2D70E3ED9365%7D&amp;file=Modelo%20de%20negocio%20-%20Uniempresarial%20-%2020241127.xlsm&amp;action=default&amp;mobileredirect=true" TargetMode="External"/><Relationship Id="rId14" Type="http://schemas.openxmlformats.org/officeDocument/2006/relationships/hyperlink" Target="../../../../../../../../:x:/r/sites/Gestiondocumental/Administrativa/GD/Financiera/_layouts/15/Doc.aspx?sourcedoc=%7B31D60157-8CD5-4C3C-8CC4-ED72E8A94FED%7D&amp;file=ANT_20241101.xlsm&amp;action=default&amp;mobileredirect=true" TargetMode="External"/><Relationship Id="rId22" Type="http://schemas.openxmlformats.org/officeDocument/2006/relationships/hyperlink" Target="../../../../../../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TargetMode="External"/><Relationship Id="rId27"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425B-B105-4695-A482-7B82F6C77429}">
  <dimension ref="A2:K83"/>
  <sheetViews>
    <sheetView topLeftCell="F17" zoomScale="85" zoomScaleNormal="85" workbookViewId="0">
      <selection activeCell="I21" sqref="I21:AP21"/>
    </sheetView>
  </sheetViews>
  <sheetFormatPr defaultColWidth="4.7109375" defaultRowHeight="15"/>
  <cols>
    <col min="1" max="1" width="53.85546875" bestFit="1" customWidth="1"/>
    <col min="2" max="2" width="56.42578125" bestFit="1" customWidth="1"/>
    <col min="3" max="3" width="22.42578125" bestFit="1" customWidth="1"/>
    <col min="4" max="4" width="17" bestFit="1" customWidth="1"/>
    <col min="5" max="5" width="67.7109375" bestFit="1" customWidth="1"/>
    <col min="6" max="6" width="50.5703125" bestFit="1" customWidth="1"/>
    <col min="7" max="7" width="22.42578125" bestFit="1" customWidth="1"/>
    <col min="8" max="8" width="17" customWidth="1"/>
    <col min="9" max="9" width="23.140625" bestFit="1" customWidth="1"/>
    <col min="10" max="10" width="49.5703125" bestFit="1" customWidth="1"/>
    <col min="11" max="11" width="38.7109375" bestFit="1" customWidth="1"/>
  </cols>
  <sheetData>
    <row r="2" spans="1:11">
      <c r="A2" s="58" t="s">
        <v>0</v>
      </c>
      <c r="B2" s="2" t="s">
        <v>1</v>
      </c>
      <c r="E2" s="58" t="s">
        <v>0</v>
      </c>
      <c r="F2" s="2" t="s">
        <v>1</v>
      </c>
    </row>
    <row r="3" spans="1:11" ht="18">
      <c r="J3" s="62" t="s">
        <v>2</v>
      </c>
      <c r="K3" s="62" t="s">
        <v>3</v>
      </c>
    </row>
    <row r="4" spans="1:11">
      <c r="A4" s="58" t="s">
        <v>4</v>
      </c>
      <c r="B4" s="2" t="s">
        <v>5</v>
      </c>
      <c r="C4" s="2" t="s">
        <v>6</v>
      </c>
      <c r="E4" s="58" t="s">
        <v>4</v>
      </c>
      <c r="F4" s="2" t="s">
        <v>7</v>
      </c>
      <c r="G4" s="2" t="s">
        <v>8</v>
      </c>
      <c r="J4" s="63" t="s">
        <v>9</v>
      </c>
      <c r="K4" s="63" t="s">
        <v>10</v>
      </c>
    </row>
    <row r="5" spans="1:11">
      <c r="A5" s="2">
        <v>2024</v>
      </c>
      <c r="B5" s="61">
        <v>1.2421743697478993</v>
      </c>
      <c r="C5" s="61">
        <v>8</v>
      </c>
      <c r="E5" s="2">
        <v>2025</v>
      </c>
      <c r="F5" s="61">
        <v>15.886921078223034</v>
      </c>
      <c r="G5" s="61">
        <v>12</v>
      </c>
      <c r="J5" s="65" t="s">
        <v>11</v>
      </c>
      <c r="K5" s="65" t="s">
        <v>12</v>
      </c>
    </row>
    <row r="6" spans="1:11">
      <c r="A6" s="59" t="s">
        <v>13</v>
      </c>
      <c r="B6" s="61">
        <v>2.5000000000000004</v>
      </c>
      <c r="C6" s="61">
        <v>1</v>
      </c>
      <c r="E6" s="59" t="s">
        <v>14</v>
      </c>
      <c r="F6" s="61">
        <v>9.6622210066385676</v>
      </c>
      <c r="G6" s="61">
        <v>1</v>
      </c>
      <c r="J6" s="65" t="s">
        <v>15</v>
      </c>
      <c r="K6" s="65" t="s">
        <v>16</v>
      </c>
    </row>
    <row r="7" spans="1:11">
      <c r="A7" s="60" t="s">
        <v>17</v>
      </c>
      <c r="B7" s="61">
        <v>2.5000000000000004</v>
      </c>
      <c r="C7" s="61">
        <v>1</v>
      </c>
      <c r="E7" s="60" t="s">
        <v>18</v>
      </c>
      <c r="F7" s="61">
        <v>9.6622210066385676</v>
      </c>
      <c r="G7" s="61">
        <v>1</v>
      </c>
      <c r="J7" s="65" t="s">
        <v>19</v>
      </c>
      <c r="K7" s="65" t="s">
        <v>20</v>
      </c>
    </row>
    <row r="8" spans="1:11">
      <c r="A8" s="59" t="s">
        <v>21</v>
      </c>
      <c r="B8" s="61">
        <v>1.4</v>
      </c>
      <c r="C8" s="61">
        <v>1</v>
      </c>
      <c r="E8" s="59" t="s">
        <v>22</v>
      </c>
      <c r="F8" s="61">
        <v>10.777092661250711</v>
      </c>
      <c r="G8" s="61">
        <v>1</v>
      </c>
      <c r="J8" s="64"/>
      <c r="K8" s="64"/>
    </row>
    <row r="9" spans="1:11">
      <c r="A9" s="60" t="s">
        <v>17</v>
      </c>
      <c r="B9" s="61">
        <v>1.4</v>
      </c>
      <c r="C9" s="61">
        <v>1</v>
      </c>
      <c r="E9" s="60" t="s">
        <v>18</v>
      </c>
      <c r="F9" s="61">
        <v>10.777092661250711</v>
      </c>
      <c r="G9" s="61">
        <v>1</v>
      </c>
    </row>
    <row r="10" spans="1:11">
      <c r="A10" s="59" t="s">
        <v>23</v>
      </c>
      <c r="B10" s="61">
        <v>1</v>
      </c>
      <c r="C10" s="61">
        <v>1</v>
      </c>
      <c r="E10" s="59" t="s">
        <v>24</v>
      </c>
      <c r="F10" s="61">
        <v>11.891964315862854</v>
      </c>
      <c r="G10" s="61">
        <v>1</v>
      </c>
      <c r="J10" s="64"/>
      <c r="K10" s="64"/>
    </row>
    <row r="11" spans="1:11">
      <c r="A11" s="60" t="s">
        <v>25</v>
      </c>
      <c r="B11" s="61">
        <v>1</v>
      </c>
      <c r="C11" s="61">
        <v>1</v>
      </c>
      <c r="E11" s="60" t="s">
        <v>18</v>
      </c>
      <c r="F11" s="61">
        <v>11.891964315862854</v>
      </c>
      <c r="G11" s="61">
        <v>1</v>
      </c>
    </row>
    <row r="12" spans="1:11">
      <c r="A12" s="59" t="s">
        <v>26</v>
      </c>
      <c r="B12" s="61">
        <v>1</v>
      </c>
      <c r="C12" s="61">
        <v>1</v>
      </c>
      <c r="E12" s="59" t="s">
        <v>27</v>
      </c>
      <c r="F12" s="61">
        <v>13.006835970474995</v>
      </c>
      <c r="G12" s="61">
        <v>1</v>
      </c>
    </row>
    <row r="13" spans="1:11">
      <c r="A13" s="60" t="s">
        <v>25</v>
      </c>
      <c r="B13" s="61">
        <v>1</v>
      </c>
      <c r="C13" s="61">
        <v>1</v>
      </c>
      <c r="E13" s="60" t="s">
        <v>18</v>
      </c>
      <c r="F13" s="61">
        <v>13.006835970474995</v>
      </c>
      <c r="G13" s="61">
        <v>1</v>
      </c>
    </row>
    <row r="14" spans="1:11">
      <c r="A14" s="59" t="s">
        <v>28</v>
      </c>
      <c r="B14" s="61">
        <v>0.92857142857142849</v>
      </c>
      <c r="C14" s="61">
        <v>1</v>
      </c>
      <c r="E14" s="59" t="s">
        <v>13</v>
      </c>
      <c r="F14" s="61">
        <v>14.12170762508714</v>
      </c>
      <c r="G14" s="61">
        <v>1</v>
      </c>
    </row>
    <row r="15" spans="1:11">
      <c r="A15" s="60" t="s">
        <v>29</v>
      </c>
      <c r="B15" s="61">
        <v>0.92857142857142849</v>
      </c>
      <c r="C15" s="61">
        <v>1</v>
      </c>
      <c r="E15" s="60" t="s">
        <v>18</v>
      </c>
      <c r="F15" s="61">
        <v>14.12170762508714</v>
      </c>
      <c r="G15" s="61">
        <v>1</v>
      </c>
    </row>
    <row r="16" spans="1:11">
      <c r="A16" s="59" t="s">
        <v>30</v>
      </c>
      <c r="B16" s="61">
        <v>1.0588235294117647</v>
      </c>
      <c r="C16" s="61">
        <v>1</v>
      </c>
      <c r="E16" s="59" t="s">
        <v>21</v>
      </c>
      <c r="F16" s="61">
        <v>15.608203164569995</v>
      </c>
      <c r="G16" s="61">
        <v>1</v>
      </c>
    </row>
    <row r="17" spans="1:7">
      <c r="A17" s="60" t="s">
        <v>17</v>
      </c>
      <c r="B17" s="61">
        <v>1.0588235294117647</v>
      </c>
      <c r="C17" s="61">
        <v>1</v>
      </c>
      <c r="E17" s="60" t="s">
        <v>18</v>
      </c>
      <c r="F17" s="61">
        <v>15.608203164569995</v>
      </c>
      <c r="G17" s="61">
        <v>1</v>
      </c>
    </row>
    <row r="18" spans="1:7">
      <c r="A18" s="59" t="s">
        <v>31</v>
      </c>
      <c r="B18" s="61">
        <v>1.0499999999999998</v>
      </c>
      <c r="C18" s="61">
        <v>1</v>
      </c>
      <c r="E18" s="59" t="s">
        <v>23</v>
      </c>
      <c r="F18" s="61">
        <v>16.723074819182138</v>
      </c>
      <c r="G18" s="61">
        <v>1</v>
      </c>
    </row>
    <row r="19" spans="1:7">
      <c r="A19" s="60" t="s">
        <v>17</v>
      </c>
      <c r="B19" s="61">
        <v>1.0499999999999998</v>
      </c>
      <c r="C19" s="61">
        <v>1</v>
      </c>
      <c r="E19" s="60" t="s">
        <v>18</v>
      </c>
      <c r="F19" s="61">
        <v>16.723074819182138</v>
      </c>
      <c r="G19" s="61">
        <v>1</v>
      </c>
    </row>
    <row r="20" spans="1:7">
      <c r="A20" s="59" t="s">
        <v>32</v>
      </c>
      <c r="B20" s="61">
        <v>1</v>
      </c>
      <c r="C20" s="61">
        <v>1</v>
      </c>
      <c r="E20" s="59" t="s">
        <v>26</v>
      </c>
      <c r="F20" s="61">
        <v>17.837946473794283</v>
      </c>
      <c r="G20" s="61">
        <v>1</v>
      </c>
    </row>
    <row r="21" spans="1:7">
      <c r="A21" s="60" t="s">
        <v>25</v>
      </c>
      <c r="B21" s="61">
        <v>1</v>
      </c>
      <c r="C21" s="61">
        <v>1</v>
      </c>
      <c r="E21" s="60" t="s">
        <v>18</v>
      </c>
      <c r="F21" s="61">
        <v>17.837946473794283</v>
      </c>
      <c r="G21" s="61">
        <v>1</v>
      </c>
    </row>
    <row r="22" spans="1:7">
      <c r="A22" s="2">
        <v>2025</v>
      </c>
      <c r="B22" s="61">
        <v>1.0056995093645327</v>
      </c>
      <c r="C22" s="61">
        <v>12</v>
      </c>
      <c r="E22" s="59" t="s">
        <v>28</v>
      </c>
      <c r="F22" s="61">
        <v>18.581194243535709</v>
      </c>
      <c r="G22" s="61">
        <v>1</v>
      </c>
    </row>
    <row r="23" spans="1:7">
      <c r="A23" s="59" t="s">
        <v>14</v>
      </c>
      <c r="B23" s="61">
        <v>1</v>
      </c>
      <c r="C23" s="61">
        <v>1</v>
      </c>
      <c r="E23" s="60" t="s">
        <v>18</v>
      </c>
      <c r="F23" s="61">
        <v>18.581194243535709</v>
      </c>
      <c r="G23" s="61">
        <v>1</v>
      </c>
    </row>
    <row r="24" spans="1:7">
      <c r="A24" s="60" t="s">
        <v>25</v>
      </c>
      <c r="B24" s="61">
        <v>1</v>
      </c>
      <c r="C24" s="61">
        <v>1</v>
      </c>
      <c r="E24" s="59" t="s">
        <v>30</v>
      </c>
      <c r="F24" s="61">
        <v>19.69606589814785</v>
      </c>
      <c r="G24" s="61">
        <v>1</v>
      </c>
    </row>
    <row r="25" spans="1:7">
      <c r="A25" s="59" t="s">
        <v>22</v>
      </c>
      <c r="B25" s="61">
        <v>0.99999999999999978</v>
      </c>
      <c r="C25" s="61">
        <v>1</v>
      </c>
      <c r="E25" s="60" t="s">
        <v>18</v>
      </c>
      <c r="F25" s="61">
        <v>19.69606589814785</v>
      </c>
      <c r="G25" s="61">
        <v>1</v>
      </c>
    </row>
    <row r="26" spans="1:7">
      <c r="A26" s="60" t="s">
        <v>25</v>
      </c>
      <c r="B26" s="61">
        <v>0.99999999999999978</v>
      </c>
      <c r="C26" s="61">
        <v>1</v>
      </c>
      <c r="E26" s="59" t="s">
        <v>31</v>
      </c>
      <c r="F26" s="61">
        <v>20.810937552759995</v>
      </c>
      <c r="G26" s="61">
        <v>1</v>
      </c>
    </row>
    <row r="27" spans="1:7">
      <c r="A27" s="59" t="s">
        <v>24</v>
      </c>
      <c r="B27" s="61">
        <v>0.99999999999999989</v>
      </c>
      <c r="C27" s="61">
        <v>1</v>
      </c>
      <c r="E27" s="60" t="s">
        <v>18</v>
      </c>
      <c r="F27" s="61">
        <v>20.810937552759995</v>
      </c>
      <c r="G27" s="61">
        <v>1</v>
      </c>
    </row>
    <row r="28" spans="1:7">
      <c r="A28" s="60" t="s">
        <v>25</v>
      </c>
      <c r="B28" s="61">
        <v>0.99999999999999989</v>
      </c>
      <c r="C28" s="61">
        <v>1</v>
      </c>
      <c r="E28" s="59" t="s">
        <v>32</v>
      </c>
      <c r="F28" s="61">
        <v>21.925809207372133</v>
      </c>
      <c r="G28" s="61">
        <v>1</v>
      </c>
    </row>
    <row r="29" spans="1:7">
      <c r="A29" s="59" t="s">
        <v>27</v>
      </c>
      <c r="B29" s="61">
        <v>0.99999999999999967</v>
      </c>
      <c r="C29" s="61">
        <v>1</v>
      </c>
      <c r="E29" s="60" t="s">
        <v>18</v>
      </c>
      <c r="F29" s="61">
        <v>21.925809207372133</v>
      </c>
      <c r="G29" s="61">
        <v>1</v>
      </c>
    </row>
    <row r="30" spans="1:7">
      <c r="A30" s="60" t="s">
        <v>25</v>
      </c>
      <c r="B30" s="61">
        <v>0.99999999999999967</v>
      </c>
      <c r="C30" s="61">
        <v>1</v>
      </c>
      <c r="E30" s="2" t="s">
        <v>33</v>
      </c>
      <c r="F30" s="61">
        <v>15.886921078223034</v>
      </c>
      <c r="G30" s="61">
        <v>12</v>
      </c>
    </row>
    <row r="31" spans="1:7">
      <c r="A31" s="59" t="s">
        <v>13</v>
      </c>
      <c r="B31" s="61">
        <v>0.99999999999999967</v>
      </c>
      <c r="C31" s="61">
        <v>1</v>
      </c>
    </row>
    <row r="32" spans="1:7">
      <c r="A32" s="60" t="s">
        <v>25</v>
      </c>
      <c r="B32" s="61">
        <v>0.99999999999999967</v>
      </c>
      <c r="C32" s="61">
        <v>1</v>
      </c>
    </row>
    <row r="33" spans="1:3">
      <c r="A33" s="59" t="s">
        <v>21</v>
      </c>
      <c r="B33" s="61">
        <v>1.0243902439024386</v>
      </c>
      <c r="C33" s="61">
        <v>1</v>
      </c>
    </row>
    <row r="34" spans="1:3">
      <c r="A34" s="60" t="s">
        <v>17</v>
      </c>
      <c r="B34" s="61">
        <v>1.0243902439024386</v>
      </c>
      <c r="C34" s="61">
        <v>1</v>
      </c>
    </row>
    <row r="35" spans="1:3">
      <c r="A35" s="59" t="s">
        <v>23</v>
      </c>
      <c r="B35" s="61">
        <v>1.0227272727272723</v>
      </c>
      <c r="C35" s="61">
        <v>1</v>
      </c>
    </row>
    <row r="36" spans="1:3">
      <c r="A36" s="60" t="s">
        <v>17</v>
      </c>
      <c r="B36" s="61">
        <v>1.0227272727272723</v>
      </c>
      <c r="C36" s="61">
        <v>1</v>
      </c>
    </row>
    <row r="37" spans="1:3">
      <c r="A37" s="59" t="s">
        <v>26</v>
      </c>
      <c r="B37" s="61">
        <v>1.0212765957446805</v>
      </c>
      <c r="C37" s="61">
        <v>1</v>
      </c>
    </row>
    <row r="38" spans="1:3">
      <c r="A38" s="60" t="s">
        <v>17</v>
      </c>
      <c r="B38" s="61">
        <v>1.0212765957446805</v>
      </c>
      <c r="C38" s="61">
        <v>1</v>
      </c>
    </row>
    <row r="39" spans="1:3">
      <c r="A39" s="59" t="s">
        <v>28</v>
      </c>
      <c r="B39" s="61">
        <v>0.99999999999999956</v>
      </c>
      <c r="C39" s="61">
        <v>1</v>
      </c>
    </row>
    <row r="40" spans="1:3">
      <c r="A40" s="60" t="s">
        <v>25</v>
      </c>
      <c r="B40" s="61">
        <v>0.99999999999999956</v>
      </c>
      <c r="C40" s="61">
        <v>1</v>
      </c>
    </row>
    <row r="41" spans="1:3">
      <c r="A41" s="59" t="s">
        <v>30</v>
      </c>
      <c r="B41" s="61">
        <v>0.99999999999999956</v>
      </c>
      <c r="C41" s="61">
        <v>1</v>
      </c>
    </row>
    <row r="42" spans="1:3">
      <c r="A42" s="60" t="s">
        <v>25</v>
      </c>
      <c r="B42" s="61">
        <v>0.99999999999999956</v>
      </c>
      <c r="C42" s="61">
        <v>1</v>
      </c>
    </row>
    <row r="43" spans="1:3">
      <c r="A43" s="59" t="s">
        <v>31</v>
      </c>
      <c r="B43" s="61">
        <v>0.99999999999999967</v>
      </c>
      <c r="C43" s="61">
        <v>1</v>
      </c>
    </row>
    <row r="44" spans="1:3">
      <c r="A44" s="60" t="s">
        <v>25</v>
      </c>
      <c r="B44" s="61">
        <v>0.99999999999999967</v>
      </c>
      <c r="C44" s="61">
        <v>1</v>
      </c>
    </row>
    <row r="45" spans="1:3">
      <c r="A45" s="59" t="s">
        <v>32</v>
      </c>
      <c r="B45" s="61">
        <v>0.99999999999999933</v>
      </c>
      <c r="C45" s="61">
        <v>1</v>
      </c>
    </row>
    <row r="46" spans="1:3">
      <c r="A46" s="60" t="s">
        <v>29</v>
      </c>
      <c r="B46" s="61">
        <v>0.99999999999999933</v>
      </c>
      <c r="C46" s="61">
        <v>1</v>
      </c>
    </row>
    <row r="47" spans="1:3">
      <c r="A47" s="2">
        <v>2026</v>
      </c>
      <c r="B47" s="61">
        <v>0.16788668320926378</v>
      </c>
      <c r="C47" s="61">
        <v>12</v>
      </c>
    </row>
    <row r="48" spans="1:3">
      <c r="A48" s="59" t="s">
        <v>14</v>
      </c>
      <c r="B48" s="61">
        <v>0.98387096774193494</v>
      </c>
      <c r="C48" s="61">
        <v>1</v>
      </c>
    </row>
    <row r="49" spans="1:6">
      <c r="A49" s="60" t="s">
        <v>29</v>
      </c>
      <c r="B49" s="61">
        <v>0.98387096774193494</v>
      </c>
      <c r="C49" s="61">
        <v>1</v>
      </c>
    </row>
    <row r="50" spans="1:6">
      <c r="A50" s="59" t="s">
        <v>22</v>
      </c>
      <c r="B50" s="61">
        <v>1.0307692307692302</v>
      </c>
      <c r="C50" s="61">
        <v>1</v>
      </c>
    </row>
    <row r="51" spans="1:6">
      <c r="A51" s="60" t="s">
        <v>17</v>
      </c>
      <c r="B51" s="61">
        <v>1.0307692307692302</v>
      </c>
      <c r="C51" s="61">
        <v>1</v>
      </c>
    </row>
    <row r="52" spans="1:6">
      <c r="A52" s="59" t="s">
        <v>24</v>
      </c>
      <c r="B52" s="61">
        <v>0</v>
      </c>
      <c r="C52" s="61">
        <v>1</v>
      </c>
    </row>
    <row r="53" spans="1:6">
      <c r="A53" s="60" t="s">
        <v>34</v>
      </c>
      <c r="B53" s="61">
        <v>0</v>
      </c>
      <c r="C53" s="61">
        <v>1</v>
      </c>
    </row>
    <row r="54" spans="1:6">
      <c r="A54" s="59" t="s">
        <v>27</v>
      </c>
      <c r="B54" s="61">
        <v>0</v>
      </c>
      <c r="C54" s="61">
        <v>1</v>
      </c>
    </row>
    <row r="55" spans="1:6">
      <c r="A55" s="60" t="s">
        <v>34</v>
      </c>
      <c r="B55" s="61">
        <v>0</v>
      </c>
      <c r="C55" s="61">
        <v>1</v>
      </c>
    </row>
    <row r="56" spans="1:6">
      <c r="A56" s="59" t="s">
        <v>13</v>
      </c>
      <c r="B56" s="61">
        <v>0</v>
      </c>
      <c r="C56" s="61">
        <v>1</v>
      </c>
    </row>
    <row r="57" spans="1:6">
      <c r="A57" s="60" t="s">
        <v>34</v>
      </c>
      <c r="B57" s="61">
        <v>0</v>
      </c>
      <c r="C57" s="61">
        <v>1</v>
      </c>
    </row>
    <row r="58" spans="1:6">
      <c r="A58" s="59" t="s">
        <v>21</v>
      </c>
      <c r="B58" s="61">
        <v>0</v>
      </c>
      <c r="C58" s="61">
        <v>1</v>
      </c>
    </row>
    <row r="59" spans="1:6">
      <c r="A59" s="60" t="s">
        <v>34</v>
      </c>
      <c r="B59" s="61">
        <v>0</v>
      </c>
      <c r="C59" s="61">
        <v>1</v>
      </c>
    </row>
    <row r="60" spans="1:6">
      <c r="A60" s="59" t="s">
        <v>23</v>
      </c>
      <c r="B60" s="61">
        <v>0</v>
      </c>
      <c r="C60" s="61">
        <v>1</v>
      </c>
      <c r="F60">
        <v>80</v>
      </c>
    </row>
    <row r="61" spans="1:6">
      <c r="A61" s="60" t="s">
        <v>34</v>
      </c>
      <c r="B61" s="61">
        <v>0</v>
      </c>
      <c r="C61" s="61">
        <v>1</v>
      </c>
      <c r="F61">
        <v>64</v>
      </c>
    </row>
    <row r="62" spans="1:6">
      <c r="A62" s="59" t="s">
        <v>26</v>
      </c>
      <c r="B62" s="61">
        <v>0</v>
      </c>
      <c r="C62" s="61">
        <v>1</v>
      </c>
      <c r="F62" s="96">
        <f>F61/F60</f>
        <v>0.8</v>
      </c>
    </row>
    <row r="63" spans="1:6">
      <c r="A63" s="60" t="s">
        <v>34</v>
      </c>
      <c r="B63" s="61">
        <v>0</v>
      </c>
      <c r="C63" s="61">
        <v>1</v>
      </c>
    </row>
    <row r="64" spans="1:6">
      <c r="A64" s="59" t="s">
        <v>28</v>
      </c>
      <c r="B64" s="61">
        <v>0</v>
      </c>
      <c r="C64" s="61">
        <v>1</v>
      </c>
    </row>
    <row r="65" spans="1:3">
      <c r="A65" s="60" t="s">
        <v>34</v>
      </c>
      <c r="B65" s="61">
        <v>0</v>
      </c>
      <c r="C65" s="61">
        <v>1</v>
      </c>
    </row>
    <row r="66" spans="1:3">
      <c r="A66" s="59" t="s">
        <v>30</v>
      </c>
      <c r="B66" s="61">
        <v>0</v>
      </c>
      <c r="C66" s="61">
        <v>1</v>
      </c>
    </row>
    <row r="67" spans="1:3">
      <c r="A67" s="60" t="s">
        <v>34</v>
      </c>
      <c r="B67" s="61">
        <v>0</v>
      </c>
      <c r="C67" s="61">
        <v>1</v>
      </c>
    </row>
    <row r="68" spans="1:3">
      <c r="A68" s="59" t="s">
        <v>31</v>
      </c>
      <c r="B68" s="61">
        <v>0</v>
      </c>
      <c r="C68" s="61">
        <v>1</v>
      </c>
    </row>
    <row r="69" spans="1:3">
      <c r="A69" s="60" t="s">
        <v>34</v>
      </c>
      <c r="B69" s="61">
        <v>0</v>
      </c>
      <c r="C69" s="61">
        <v>1</v>
      </c>
    </row>
    <row r="70" spans="1:3">
      <c r="A70" s="59" t="s">
        <v>32</v>
      </c>
      <c r="B70" s="61">
        <v>0</v>
      </c>
      <c r="C70" s="61">
        <v>1</v>
      </c>
    </row>
    <row r="71" spans="1:3">
      <c r="A71" s="60" t="s">
        <v>34</v>
      </c>
      <c r="B71" s="61">
        <v>0</v>
      </c>
      <c r="C71" s="61">
        <v>1</v>
      </c>
    </row>
    <row r="72" spans="1:3">
      <c r="A72" s="2">
        <v>2027</v>
      </c>
      <c r="B72" s="61">
        <v>0</v>
      </c>
      <c r="C72" s="61">
        <v>5</v>
      </c>
    </row>
    <row r="73" spans="1:3">
      <c r="A73" s="59" t="s">
        <v>14</v>
      </c>
      <c r="B73" s="61">
        <v>0</v>
      </c>
      <c r="C73" s="61">
        <v>1</v>
      </c>
    </row>
    <row r="74" spans="1:3">
      <c r="A74" s="60" t="s">
        <v>34</v>
      </c>
      <c r="B74" s="61">
        <v>0</v>
      </c>
      <c r="C74" s="61">
        <v>1</v>
      </c>
    </row>
    <row r="75" spans="1:3">
      <c r="A75" s="59" t="s">
        <v>22</v>
      </c>
      <c r="B75" s="61">
        <v>0</v>
      </c>
      <c r="C75" s="61">
        <v>1</v>
      </c>
    </row>
    <row r="76" spans="1:3">
      <c r="A76" s="60" t="s">
        <v>34</v>
      </c>
      <c r="B76" s="61">
        <v>0</v>
      </c>
      <c r="C76" s="61">
        <v>1</v>
      </c>
    </row>
    <row r="77" spans="1:3">
      <c r="A77" s="59" t="s">
        <v>24</v>
      </c>
      <c r="B77" s="61">
        <v>0</v>
      </c>
      <c r="C77" s="61">
        <v>1</v>
      </c>
    </row>
    <row r="78" spans="1:3">
      <c r="A78" s="60" t="s">
        <v>34</v>
      </c>
      <c r="B78" s="61">
        <v>0</v>
      </c>
      <c r="C78" s="61">
        <v>1</v>
      </c>
    </row>
    <row r="79" spans="1:3">
      <c r="A79" s="59" t="s">
        <v>27</v>
      </c>
      <c r="B79" s="61">
        <v>0</v>
      </c>
      <c r="C79" s="61">
        <v>1</v>
      </c>
    </row>
    <row r="80" spans="1:3">
      <c r="A80" s="60" t="s">
        <v>34</v>
      </c>
      <c r="B80" s="61">
        <v>0</v>
      </c>
      <c r="C80" s="61">
        <v>1</v>
      </c>
    </row>
    <row r="81" spans="1:3">
      <c r="A81" s="59" t="s">
        <v>13</v>
      </c>
      <c r="B81" s="61">
        <v>0</v>
      </c>
      <c r="C81" s="61">
        <v>1</v>
      </c>
    </row>
    <row r="82" spans="1:3">
      <c r="A82" s="60" t="s">
        <v>34</v>
      </c>
      <c r="B82" s="61">
        <v>0</v>
      </c>
      <c r="C82" s="61">
        <v>1</v>
      </c>
    </row>
    <row r="83" spans="1:3">
      <c r="A83" s="2" t="s">
        <v>33</v>
      </c>
      <c r="B83" s="61">
        <v>0.64920079105050688</v>
      </c>
      <c r="C83" s="61">
        <v>37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3876E-4589-4821-9472-A7E5D988ECCA}">
  <dimension ref="A3:C85"/>
  <sheetViews>
    <sheetView topLeftCell="A19" workbookViewId="0">
      <selection activeCell="F50" sqref="F50"/>
    </sheetView>
  </sheetViews>
  <sheetFormatPr defaultColWidth="11.42578125" defaultRowHeight="15"/>
  <cols>
    <col min="1" max="1" width="48.140625" bestFit="1" customWidth="1"/>
    <col min="2" max="2" width="43.7109375" bestFit="1" customWidth="1"/>
    <col min="3" max="3" width="37" bestFit="1" customWidth="1"/>
  </cols>
  <sheetData>
    <row r="3" spans="1:3">
      <c r="A3" s="58" t="s">
        <v>4</v>
      </c>
      <c r="B3" s="2" t="s">
        <v>5</v>
      </c>
      <c r="C3" s="2" t="s">
        <v>35</v>
      </c>
    </row>
    <row r="4" spans="1:3">
      <c r="A4" s="2" t="s">
        <v>36</v>
      </c>
      <c r="B4" s="61">
        <v>1.1333333333333333</v>
      </c>
      <c r="C4" s="61">
        <v>3</v>
      </c>
    </row>
    <row r="5" spans="1:3">
      <c r="A5" s="2" t="s">
        <v>37</v>
      </c>
      <c r="B5" s="61">
        <v>1.0951082251082249</v>
      </c>
      <c r="C5" s="61">
        <v>15</v>
      </c>
    </row>
    <row r="6" spans="1:3">
      <c r="A6" s="2" t="s">
        <v>38</v>
      </c>
      <c r="B6" s="61">
        <v>1.0623688811188812</v>
      </c>
      <c r="C6" s="61">
        <v>8</v>
      </c>
    </row>
    <row r="7" spans="1:3">
      <c r="A7" s="2" t="s">
        <v>39</v>
      </c>
      <c r="B7" s="61">
        <v>1.0359642094017094</v>
      </c>
      <c r="C7" s="61">
        <v>8</v>
      </c>
    </row>
    <row r="8" spans="1:3">
      <c r="A8" s="2" t="s">
        <v>40</v>
      </c>
      <c r="B8" s="61">
        <v>1.0357843137254901</v>
      </c>
      <c r="C8" s="61">
        <v>7</v>
      </c>
    </row>
    <row r="9" spans="1:3">
      <c r="A9" s="2" t="s">
        <v>41</v>
      </c>
      <c r="B9" s="61">
        <v>1</v>
      </c>
      <c r="C9" s="61">
        <v>2</v>
      </c>
    </row>
    <row r="10" spans="1:3">
      <c r="A10" s="2" t="s">
        <v>42</v>
      </c>
      <c r="B10" s="61">
        <v>1</v>
      </c>
      <c r="C10" s="61">
        <v>11</v>
      </c>
    </row>
    <row r="11" spans="1:3">
      <c r="A11" s="2" t="s">
        <v>43</v>
      </c>
      <c r="B11" s="61">
        <v>1</v>
      </c>
      <c r="C11" s="61">
        <v>4</v>
      </c>
    </row>
    <row r="12" spans="1:3">
      <c r="A12" s="2" t="s">
        <v>44</v>
      </c>
      <c r="B12" s="61">
        <v>1</v>
      </c>
      <c r="C12" s="61">
        <v>12</v>
      </c>
    </row>
    <row r="13" spans="1:3">
      <c r="A13" s="2" t="s">
        <v>45</v>
      </c>
      <c r="B13" s="61">
        <v>1</v>
      </c>
      <c r="C13" s="61">
        <v>1</v>
      </c>
    </row>
    <row r="14" spans="1:3">
      <c r="A14" s="2" t="s">
        <v>46</v>
      </c>
      <c r="B14" s="61">
        <v>1</v>
      </c>
      <c r="C14" s="61">
        <v>2</v>
      </c>
    </row>
    <row r="15" spans="1:3">
      <c r="A15" s="2" t="s">
        <v>47</v>
      </c>
      <c r="B15" s="61">
        <v>1</v>
      </c>
      <c r="C15" s="61">
        <v>2</v>
      </c>
    </row>
    <row r="16" spans="1:3">
      <c r="A16" s="2" t="s">
        <v>48</v>
      </c>
      <c r="B16" s="61">
        <v>1</v>
      </c>
      <c r="C16" s="61">
        <v>16</v>
      </c>
    </row>
    <row r="17" spans="1:3">
      <c r="A17" s="2" t="s">
        <v>49</v>
      </c>
      <c r="B17" s="61">
        <v>1</v>
      </c>
      <c r="C17" s="61">
        <v>3</v>
      </c>
    </row>
    <row r="18" spans="1:3">
      <c r="A18" s="2" t="s">
        <v>50</v>
      </c>
      <c r="B18" s="61">
        <v>1</v>
      </c>
      <c r="C18" s="61">
        <v>4</v>
      </c>
    </row>
    <row r="19" spans="1:3">
      <c r="A19" s="2" t="s">
        <v>51</v>
      </c>
      <c r="B19" s="61">
        <v>1</v>
      </c>
      <c r="C19" s="61">
        <v>16</v>
      </c>
    </row>
    <row r="20" spans="1:3">
      <c r="A20" s="2" t="s">
        <v>52</v>
      </c>
      <c r="B20" s="61">
        <v>1</v>
      </c>
      <c r="C20" s="61">
        <v>1</v>
      </c>
    </row>
    <row r="21" spans="1:3">
      <c r="A21" s="2" t="s">
        <v>53</v>
      </c>
      <c r="B21" s="61">
        <v>1</v>
      </c>
      <c r="C21" s="61">
        <v>6</v>
      </c>
    </row>
    <row r="22" spans="1:3">
      <c r="A22" s="2" t="s">
        <v>54</v>
      </c>
      <c r="B22" s="61">
        <v>1</v>
      </c>
      <c r="C22" s="61">
        <v>5</v>
      </c>
    </row>
    <row r="23" spans="1:3">
      <c r="A23" s="2" t="s">
        <v>55</v>
      </c>
      <c r="B23" s="61">
        <v>1</v>
      </c>
      <c r="C23" s="61">
        <v>5</v>
      </c>
    </row>
    <row r="24" spans="1:3">
      <c r="A24" s="2" t="s">
        <v>56</v>
      </c>
      <c r="B24" s="61">
        <v>1</v>
      </c>
      <c r="C24" s="61">
        <v>2</v>
      </c>
    </row>
    <row r="25" spans="1:3">
      <c r="A25" s="2" t="s">
        <v>57</v>
      </c>
      <c r="B25" s="61">
        <v>1</v>
      </c>
      <c r="C25" s="61">
        <v>10</v>
      </c>
    </row>
    <row r="26" spans="1:3">
      <c r="A26" s="2" t="s">
        <v>58</v>
      </c>
      <c r="B26" s="61">
        <v>1</v>
      </c>
      <c r="C26" s="61">
        <v>10</v>
      </c>
    </row>
    <row r="27" spans="1:3">
      <c r="A27" s="2" t="s">
        <v>59</v>
      </c>
      <c r="B27" s="61">
        <v>1</v>
      </c>
      <c r="C27" s="61">
        <v>4</v>
      </c>
    </row>
    <row r="28" spans="1:3">
      <c r="A28" s="2" t="s">
        <v>60</v>
      </c>
      <c r="B28" s="61">
        <v>1</v>
      </c>
      <c r="C28" s="61">
        <v>1</v>
      </c>
    </row>
    <row r="29" spans="1:3">
      <c r="A29" s="2" t="s">
        <v>61</v>
      </c>
      <c r="B29" s="61">
        <v>1</v>
      </c>
      <c r="C29" s="61">
        <v>1</v>
      </c>
    </row>
    <row r="30" spans="1:3">
      <c r="A30" s="2" t="s">
        <v>62</v>
      </c>
      <c r="B30" s="61">
        <v>1</v>
      </c>
      <c r="C30" s="61">
        <v>9</v>
      </c>
    </row>
    <row r="31" spans="1:3">
      <c r="A31" s="2" t="s">
        <v>63</v>
      </c>
      <c r="B31" s="61">
        <v>1</v>
      </c>
      <c r="C31" s="61">
        <v>2</v>
      </c>
    </row>
    <row r="32" spans="1:3">
      <c r="A32" s="2" t="s">
        <v>64</v>
      </c>
      <c r="B32" s="61">
        <v>0.99541666666666673</v>
      </c>
      <c r="C32" s="61">
        <v>6</v>
      </c>
    </row>
    <row r="33" spans="1:3">
      <c r="A33" s="2" t="s">
        <v>65</v>
      </c>
      <c r="B33" s="61">
        <v>0.97312500000000002</v>
      </c>
      <c r="C33" s="61">
        <v>8</v>
      </c>
    </row>
    <row r="34" spans="1:3">
      <c r="A34" s="2" t="s">
        <v>66</v>
      </c>
      <c r="B34" s="61">
        <v>0.95</v>
      </c>
      <c r="C34" s="61">
        <v>2</v>
      </c>
    </row>
    <row r="35" spans="1:3">
      <c r="A35" s="2" t="s">
        <v>67</v>
      </c>
      <c r="B35" s="61">
        <v>0.92677864533127696</v>
      </c>
      <c r="C35" s="61">
        <v>13</v>
      </c>
    </row>
    <row r="36" spans="1:3">
      <c r="A36" s="2" t="s">
        <v>68</v>
      </c>
      <c r="B36" s="61">
        <v>0.92063492063492058</v>
      </c>
      <c r="C36" s="61">
        <v>3</v>
      </c>
    </row>
    <row r="37" spans="1:3">
      <c r="A37" s="2" t="s">
        <v>69</v>
      </c>
      <c r="B37" s="61">
        <v>0.91666666666666663</v>
      </c>
      <c r="C37" s="61">
        <v>3</v>
      </c>
    </row>
    <row r="38" spans="1:3">
      <c r="A38" s="2" t="s">
        <v>70</v>
      </c>
      <c r="B38" s="61">
        <v>0.90164705882352936</v>
      </c>
      <c r="C38" s="61">
        <v>5</v>
      </c>
    </row>
    <row r="39" spans="1:3">
      <c r="A39" s="2" t="s">
        <v>71</v>
      </c>
      <c r="B39" s="61">
        <v>0.89004629629629628</v>
      </c>
      <c r="C39" s="61">
        <v>6</v>
      </c>
    </row>
    <row r="40" spans="1:3">
      <c r="A40" s="2" t="s">
        <v>72</v>
      </c>
      <c r="B40" s="61">
        <v>0.88611111111111107</v>
      </c>
      <c r="C40" s="61">
        <v>6</v>
      </c>
    </row>
    <row r="41" spans="1:3">
      <c r="A41" s="2" t="s">
        <v>73</v>
      </c>
      <c r="B41" s="61">
        <v>0.8666666666666667</v>
      </c>
      <c r="C41" s="61">
        <v>15</v>
      </c>
    </row>
    <row r="42" spans="1:3">
      <c r="A42" s="2" t="s">
        <v>74</v>
      </c>
      <c r="B42" s="61">
        <v>0.86236263736263741</v>
      </c>
      <c r="C42" s="61">
        <v>4</v>
      </c>
    </row>
    <row r="43" spans="1:3">
      <c r="A43" s="2" t="s">
        <v>75</v>
      </c>
      <c r="B43" s="61">
        <v>0.85625000000000007</v>
      </c>
      <c r="C43" s="61">
        <v>6</v>
      </c>
    </row>
    <row r="44" spans="1:3">
      <c r="A44" s="2" t="s">
        <v>76</v>
      </c>
      <c r="B44" s="61">
        <v>0.84305555555555556</v>
      </c>
      <c r="C44" s="61">
        <v>8</v>
      </c>
    </row>
    <row r="45" spans="1:3">
      <c r="A45" s="2" t="s">
        <v>77</v>
      </c>
      <c r="B45" s="61">
        <v>0.78194444444444455</v>
      </c>
      <c r="C45" s="61">
        <v>6</v>
      </c>
    </row>
    <row r="46" spans="1:3">
      <c r="A46" s="2" t="s">
        <v>78</v>
      </c>
      <c r="B46" s="61">
        <v>0.75</v>
      </c>
      <c r="C46" s="61">
        <v>2</v>
      </c>
    </row>
    <row r="47" spans="1:3">
      <c r="A47" s="2" t="s">
        <v>79</v>
      </c>
      <c r="B47" s="61">
        <v>0.75</v>
      </c>
      <c r="C47" s="61">
        <v>2</v>
      </c>
    </row>
    <row r="48" spans="1:3">
      <c r="A48" s="2" t="s">
        <v>80</v>
      </c>
      <c r="B48" s="61">
        <v>0.74560095067209231</v>
      </c>
      <c r="C48" s="61">
        <v>12</v>
      </c>
    </row>
    <row r="49" spans="1:3">
      <c r="A49" s="2" t="s">
        <v>81</v>
      </c>
      <c r="B49" s="61">
        <v>0.73999999999999988</v>
      </c>
      <c r="C49" s="61">
        <v>3</v>
      </c>
    </row>
    <row r="50" spans="1:3">
      <c r="A50" s="2" t="s">
        <v>82</v>
      </c>
      <c r="B50" s="61">
        <v>0.73333333333333339</v>
      </c>
      <c r="C50" s="61">
        <v>4</v>
      </c>
    </row>
    <row r="51" spans="1:3">
      <c r="A51" s="2" t="s">
        <v>83</v>
      </c>
      <c r="B51" s="61">
        <v>0.69619047619047625</v>
      </c>
      <c r="C51" s="61">
        <v>5</v>
      </c>
    </row>
    <row r="52" spans="1:3">
      <c r="A52" s="2" t="s">
        <v>84</v>
      </c>
      <c r="B52" s="61">
        <v>0.6875</v>
      </c>
      <c r="C52" s="61">
        <v>4</v>
      </c>
    </row>
    <row r="53" spans="1:3">
      <c r="A53" s="2" t="s">
        <v>85</v>
      </c>
      <c r="B53" s="61">
        <v>0.68346153846153868</v>
      </c>
      <c r="C53" s="61">
        <v>26</v>
      </c>
    </row>
    <row r="54" spans="1:3">
      <c r="A54" s="2" t="s">
        <v>86</v>
      </c>
      <c r="B54" s="61">
        <v>0.66666666666666663</v>
      </c>
      <c r="C54" s="61">
        <v>3</v>
      </c>
    </row>
    <row r="55" spans="1:3">
      <c r="A55" s="2" t="s">
        <v>87</v>
      </c>
      <c r="B55" s="61">
        <v>0.66666666666666663</v>
      </c>
      <c r="C55" s="61">
        <v>3</v>
      </c>
    </row>
    <row r="56" spans="1:3">
      <c r="A56" s="2" t="s">
        <v>1</v>
      </c>
      <c r="B56" s="61">
        <v>0.64920079105050688</v>
      </c>
      <c r="C56" s="61">
        <v>37</v>
      </c>
    </row>
    <row r="57" spans="1:3">
      <c r="A57" s="2" t="s">
        <v>88</v>
      </c>
      <c r="B57" s="61">
        <v>0.6</v>
      </c>
      <c r="C57" s="61">
        <v>5</v>
      </c>
    </row>
    <row r="58" spans="1:3">
      <c r="A58" s="2" t="s">
        <v>89</v>
      </c>
      <c r="B58" s="61">
        <v>0.6</v>
      </c>
      <c r="C58" s="61">
        <v>3</v>
      </c>
    </row>
    <row r="59" spans="1:3">
      <c r="A59" s="2" t="s">
        <v>90</v>
      </c>
      <c r="B59" s="61">
        <v>0.53333333333333333</v>
      </c>
      <c r="C59" s="61">
        <v>7</v>
      </c>
    </row>
    <row r="60" spans="1:3">
      <c r="A60" s="2" t="s">
        <v>91</v>
      </c>
      <c r="B60" s="61">
        <v>0.5</v>
      </c>
      <c r="C60" s="61">
        <v>8</v>
      </c>
    </row>
    <row r="61" spans="1:3">
      <c r="A61" s="2" t="s">
        <v>92</v>
      </c>
      <c r="B61" s="61">
        <v>0.27751196172248799</v>
      </c>
      <c r="C61" s="61">
        <v>11</v>
      </c>
    </row>
    <row r="62" spans="1:3">
      <c r="A62" s="2" t="s">
        <v>93</v>
      </c>
      <c r="B62" s="61">
        <v>0.27272727272727271</v>
      </c>
      <c r="C62" s="61">
        <v>11</v>
      </c>
    </row>
    <row r="63" spans="1:3">
      <c r="A63" s="2" t="s">
        <v>94</v>
      </c>
      <c r="B63" s="61">
        <v>0.26666666666666666</v>
      </c>
      <c r="C63" s="61">
        <v>15</v>
      </c>
    </row>
    <row r="64" spans="1:3">
      <c r="A64" s="2" t="s">
        <v>95</v>
      </c>
      <c r="B64" s="61">
        <v>0.25</v>
      </c>
      <c r="C64" s="61">
        <v>8</v>
      </c>
    </row>
    <row r="65" spans="1:3">
      <c r="A65" s="2" t="s">
        <v>96</v>
      </c>
      <c r="B65" s="61">
        <v>0.22222222222222221</v>
      </c>
      <c r="C65" s="61">
        <v>27</v>
      </c>
    </row>
    <row r="66" spans="1:3">
      <c r="A66" s="2" t="s">
        <v>97</v>
      </c>
      <c r="B66" s="61">
        <v>0.17241379310344829</v>
      </c>
      <c r="C66" s="61">
        <v>29</v>
      </c>
    </row>
    <row r="67" spans="1:3">
      <c r="A67" s="2" t="s">
        <v>98</v>
      </c>
      <c r="B67" s="61">
        <v>0.16666666666666666</v>
      </c>
      <c r="C67" s="61">
        <v>6</v>
      </c>
    </row>
    <row r="68" spans="1:3">
      <c r="A68" s="2" t="s">
        <v>99</v>
      </c>
      <c r="B68" s="61">
        <v>0.14444444444444446</v>
      </c>
      <c r="C68" s="61">
        <v>12</v>
      </c>
    </row>
    <row r="69" spans="1:3">
      <c r="A69" s="2" t="s">
        <v>100</v>
      </c>
      <c r="B69" s="61">
        <v>0.12</v>
      </c>
      <c r="C69" s="61">
        <v>25</v>
      </c>
    </row>
    <row r="70" spans="1:3">
      <c r="A70" s="2" t="s">
        <v>101</v>
      </c>
      <c r="B70" s="61">
        <v>8.3333333333333329E-2</v>
      </c>
      <c r="C70" s="61">
        <v>48</v>
      </c>
    </row>
    <row r="71" spans="1:3">
      <c r="A71" s="2" t="s">
        <v>102</v>
      </c>
      <c r="B71" s="61">
        <v>5.8823529411764705E-2</v>
      </c>
      <c r="C71" s="61">
        <v>51</v>
      </c>
    </row>
    <row r="72" spans="1:3">
      <c r="A72" s="2" t="s">
        <v>103</v>
      </c>
      <c r="B72" s="61">
        <v>5.2631578947368418E-2</v>
      </c>
      <c r="C72" s="61">
        <v>19</v>
      </c>
    </row>
    <row r="73" spans="1:3">
      <c r="A73" s="2" t="s">
        <v>104</v>
      </c>
      <c r="B73" s="61">
        <v>0.05</v>
      </c>
      <c r="C73" s="61">
        <v>60</v>
      </c>
    </row>
    <row r="74" spans="1:3">
      <c r="A74" s="2" t="s">
        <v>105</v>
      </c>
      <c r="B74" s="61">
        <v>0.05</v>
      </c>
      <c r="C74" s="61">
        <v>60</v>
      </c>
    </row>
    <row r="75" spans="1:3">
      <c r="A75" s="2" t="s">
        <v>106</v>
      </c>
      <c r="B75" s="61">
        <v>3.8461538461538464E-2</v>
      </c>
      <c r="C75" s="61">
        <v>26</v>
      </c>
    </row>
    <row r="76" spans="1:3">
      <c r="A76" s="2" t="s">
        <v>107</v>
      </c>
      <c r="B76" s="61">
        <v>0</v>
      </c>
      <c r="C76" s="61">
        <v>10</v>
      </c>
    </row>
    <row r="77" spans="1:3">
      <c r="A77" s="2" t="s">
        <v>108</v>
      </c>
      <c r="B77" s="61">
        <v>0</v>
      </c>
      <c r="C77" s="61">
        <v>2</v>
      </c>
    </row>
    <row r="78" spans="1:3">
      <c r="A78" s="2" t="s">
        <v>109</v>
      </c>
      <c r="B78" s="61">
        <v>0</v>
      </c>
      <c r="C78" s="61">
        <v>12</v>
      </c>
    </row>
    <row r="79" spans="1:3">
      <c r="A79" s="2" t="s">
        <v>110</v>
      </c>
      <c r="B79" s="61">
        <v>0</v>
      </c>
      <c r="C79" s="61">
        <v>26</v>
      </c>
    </row>
    <row r="80" spans="1:3">
      <c r="A80" s="2" t="s">
        <v>111</v>
      </c>
      <c r="B80" s="61">
        <v>0</v>
      </c>
      <c r="C80" s="61">
        <v>12</v>
      </c>
    </row>
    <row r="81" spans="1:3">
      <c r="A81" s="2" t="s">
        <v>112</v>
      </c>
      <c r="B81" s="61">
        <v>0</v>
      </c>
      <c r="C81" s="61">
        <v>6</v>
      </c>
    </row>
    <row r="82" spans="1:3">
      <c r="A82" s="2" t="s">
        <v>113</v>
      </c>
      <c r="B82" s="61">
        <v>0</v>
      </c>
      <c r="C82" s="61">
        <v>26</v>
      </c>
    </row>
    <row r="83" spans="1:3">
      <c r="A83" s="2" t="s">
        <v>114</v>
      </c>
      <c r="B83" s="61">
        <v>0</v>
      </c>
      <c r="C83" s="61">
        <v>12</v>
      </c>
    </row>
    <row r="84" spans="1:3">
      <c r="A84" s="2" t="s">
        <v>115</v>
      </c>
      <c r="B84" s="61">
        <v>0</v>
      </c>
      <c r="C84" s="61">
        <v>15</v>
      </c>
    </row>
    <row r="85" spans="1:3">
      <c r="A85" s="2" t="s">
        <v>33</v>
      </c>
      <c r="B85" s="61">
        <v>0.41543848083592499</v>
      </c>
      <c r="C85" s="61">
        <v>914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80F87-D351-47C4-8FFA-DC1E34E6B637}">
  <dimension ref="A1:AI926"/>
  <sheetViews>
    <sheetView tabSelected="1" topLeftCell="I1" zoomScale="70" zoomScaleNormal="70" workbookViewId="0">
      <pane ySplit="1" topLeftCell="A2" activePane="bottomLeft" state="frozen"/>
      <selection pane="bottomLeft" activeCell="L13" sqref="L13"/>
    </sheetView>
  </sheetViews>
  <sheetFormatPr defaultColWidth="11.42578125" defaultRowHeight="18.75" customHeight="1"/>
  <cols>
    <col min="1" max="1" width="11.42578125" style="1"/>
    <col min="2" max="2" width="14" style="115" customWidth="1"/>
    <col min="3" max="3" width="37.85546875" style="1" bestFit="1" customWidth="1"/>
    <col min="4" max="4" width="20.5703125" style="1" customWidth="1"/>
    <col min="5" max="5" width="53.42578125" style="1" customWidth="1"/>
    <col min="6" max="6" width="32.140625" style="1" customWidth="1"/>
    <col min="7" max="7" width="98.5703125" style="1" customWidth="1"/>
    <col min="8" max="8" width="255.7109375" style="1" customWidth="1"/>
    <col min="9" max="9" width="34.28515625" style="1" customWidth="1"/>
    <col min="10" max="10" width="25.140625" style="1" customWidth="1"/>
    <col min="11" max="11" width="20" style="1" customWidth="1"/>
    <col min="12" max="12" width="53.5703125" style="1" customWidth="1"/>
    <col min="13" max="13" width="16.7109375" style="1" customWidth="1"/>
    <col min="14" max="14" width="12.140625" style="1" customWidth="1"/>
    <col min="15" max="15" width="9" style="1" customWidth="1"/>
    <col min="16" max="16" width="23.5703125" style="1" customWidth="1"/>
    <col min="17" max="17" width="22" style="1" customWidth="1"/>
    <col min="18" max="18" width="23.7109375" style="1" customWidth="1"/>
    <col min="19" max="19" width="15.7109375" style="57" customWidth="1"/>
    <col min="20" max="20" width="21.85546875" style="57" customWidth="1"/>
    <col min="21" max="22" width="21.85546875" style="1" customWidth="1"/>
    <col min="23" max="23" width="22.42578125" style="1" customWidth="1"/>
    <col min="24" max="24" width="23.5703125" style="1" customWidth="1"/>
    <col min="25" max="25" width="23.7109375" style="1" customWidth="1"/>
    <col min="26" max="26" width="28.5703125" style="1" customWidth="1"/>
    <col min="27" max="27" width="34" style="1" customWidth="1"/>
    <col min="28" max="28" width="66" style="1" bestFit="1" customWidth="1"/>
    <col min="29" max="29" width="38.85546875" style="1" customWidth="1"/>
    <col min="30" max="30" width="52.5703125" style="1" bestFit="1" customWidth="1"/>
    <col min="31" max="31" width="33.5703125" style="1" customWidth="1"/>
    <col min="32" max="32" width="48.7109375" style="1" customWidth="1"/>
    <col min="33" max="33" width="255.7109375" style="1" customWidth="1"/>
    <col min="34" max="35" width="11.42578125" style="1" customWidth="1"/>
    <col min="36" max="16384" width="11.42578125" style="1"/>
  </cols>
  <sheetData>
    <row r="1" spans="1:35" ht="18.75" customHeight="1">
      <c r="A1" s="71" t="s">
        <v>116</v>
      </c>
      <c r="B1" s="111" t="s">
        <v>117</v>
      </c>
      <c r="C1" s="72" t="s">
        <v>118</v>
      </c>
      <c r="D1" s="72" t="s">
        <v>119</v>
      </c>
      <c r="E1" s="72" t="s">
        <v>0</v>
      </c>
      <c r="F1" s="72" t="s">
        <v>120</v>
      </c>
      <c r="G1" s="72" t="s">
        <v>121</v>
      </c>
      <c r="H1" s="72" t="s">
        <v>122</v>
      </c>
      <c r="I1" s="72" t="s">
        <v>123</v>
      </c>
      <c r="J1" s="72" t="s">
        <v>124</v>
      </c>
      <c r="K1" s="66" t="s">
        <v>125</v>
      </c>
      <c r="L1" s="67" t="s">
        <v>126</v>
      </c>
      <c r="M1" s="72" t="s">
        <v>127</v>
      </c>
      <c r="N1" s="72" t="s">
        <v>128</v>
      </c>
      <c r="O1" s="72" t="s">
        <v>129</v>
      </c>
      <c r="P1" s="67" t="s">
        <v>130</v>
      </c>
      <c r="Q1" s="66" t="s">
        <v>131</v>
      </c>
      <c r="R1" s="66" t="s">
        <v>132</v>
      </c>
      <c r="S1" s="68" t="s">
        <v>133</v>
      </c>
      <c r="T1" s="68" t="s">
        <v>134</v>
      </c>
      <c r="U1" s="67" t="s">
        <v>135</v>
      </c>
      <c r="V1" s="67" t="s">
        <v>136</v>
      </c>
      <c r="W1" s="66" t="s">
        <v>137</v>
      </c>
      <c r="X1" s="66" t="s">
        <v>138</v>
      </c>
      <c r="Y1" s="66" t="s">
        <v>139</v>
      </c>
      <c r="Z1" s="66" t="s">
        <v>140</v>
      </c>
      <c r="AA1" s="66" t="s">
        <v>2</v>
      </c>
      <c r="AB1" s="66" t="s">
        <v>141</v>
      </c>
      <c r="AC1" s="66" t="s">
        <v>3</v>
      </c>
      <c r="AD1" s="66" t="s">
        <v>142</v>
      </c>
      <c r="AE1" s="67" t="s">
        <v>143</v>
      </c>
      <c r="AF1" s="67" t="s">
        <v>144</v>
      </c>
      <c r="AG1" s="69" t="s">
        <v>145</v>
      </c>
      <c r="AH1" s="70" t="s">
        <v>146</v>
      </c>
      <c r="AI1" s="70" t="s">
        <v>147</v>
      </c>
    </row>
    <row r="2" spans="1:35" ht="18.75" customHeight="1">
      <c r="A2" s="73">
        <v>2024</v>
      </c>
      <c r="B2" s="112" t="s">
        <v>14</v>
      </c>
      <c r="C2" s="36" t="s">
        <v>148</v>
      </c>
      <c r="D2" s="37">
        <v>45615.65629467593</v>
      </c>
      <c r="E2" s="36" t="s">
        <v>60</v>
      </c>
      <c r="F2" s="36" t="s">
        <v>149</v>
      </c>
      <c r="G2" s="36" t="s">
        <v>150</v>
      </c>
      <c r="H2" s="36" t="s">
        <v>151</v>
      </c>
      <c r="I2" s="36" t="s">
        <v>152</v>
      </c>
      <c r="J2" s="36" t="s">
        <v>153</v>
      </c>
      <c r="K2" s="36" t="s">
        <v>154</v>
      </c>
      <c r="L2" s="74">
        <f>VLOOKUP(E2,Diccionario!C$2:AC$150,22,0)</f>
        <v>314881564</v>
      </c>
      <c r="M2" s="75">
        <f>VLOOKUP(E2,Diccionario!C$2:AC$150,24,0)</f>
        <v>45292</v>
      </c>
      <c r="N2" s="76">
        <f>VLOOKUP(E2,Diccionario!C$2:AC$150,25,0)</f>
        <v>45321</v>
      </c>
      <c r="O2" s="77">
        <f>VLOOKUP(E2,Diccionario!C$2:AC$150,26,0)</f>
        <v>0.97</v>
      </c>
      <c r="P2" s="77">
        <f>O2-Q2</f>
        <v>-3.0000000000000027E-2</v>
      </c>
      <c r="Q2" s="78">
        <v>1</v>
      </c>
      <c r="R2" s="79">
        <v>1</v>
      </c>
      <c r="S2" s="80">
        <v>1</v>
      </c>
      <c r="T2" s="81">
        <v>1</v>
      </c>
      <c r="U2" s="82">
        <v>314881564</v>
      </c>
      <c r="V2" s="82">
        <v>314881564</v>
      </c>
      <c r="W2" s="82">
        <f t="shared" ref="W2:W65" si="0">IFERROR(T2*L2,0)</f>
        <v>314881564</v>
      </c>
      <c r="X2" s="82">
        <f t="shared" ref="X2" si="1">S2*L2</f>
        <v>314881564</v>
      </c>
      <c r="Y2" s="82">
        <f t="shared" ref="Y2:Y65" si="2">IFERROR(W2-U2,0)</f>
        <v>0</v>
      </c>
      <c r="Z2" s="82">
        <f>W2-X2</f>
        <v>0</v>
      </c>
      <c r="AA2" s="83">
        <f>IFERROR(W2/U2,"No se realizó gasto en este corte")</f>
        <v>1</v>
      </c>
      <c r="AB2" s="84" t="str">
        <f t="shared" ref="AB2" si="3">IFERROR(
  IF(OR(AA2="",AA2=0),
    "No calculado",
    IF(AA2&gt;1,"Costo eficiente: se está gastando menos de lo presupuestado",
      IF(AA2=1,"Costo según lo presupuestado",
        "Costo ineficiente: se está gastando más de lo presupuestado"))),
"No calculado")</f>
        <v>Costo según lo presupuestado</v>
      </c>
      <c r="AC2" s="84">
        <f t="shared" ref="AC2:AC65" si="4">IFERROR(W2/X2,0)</f>
        <v>1</v>
      </c>
      <c r="AD2" s="84" t="str">
        <f t="shared" ref="AD2" si="5">IF(OR(AC2="",AC2=0),"Sin Línea Base",
IF(AC2&gt;1,"Proyecto adelantado respecto al cronograma",
IF(AC2=1,"Proyecto a tiempo según lo planificado",
IF(AC2&lt;1,"Proyecto atrasado con respecto al cronograma",
"No calculado"))))</f>
        <v>Proyecto a tiempo según lo planificado</v>
      </c>
      <c r="AE2" s="85">
        <f t="shared" ref="AE2:AE65" si="6">IFERROR(L2/AA2,0)</f>
        <v>314881564</v>
      </c>
      <c r="AF2" s="85">
        <f t="shared" ref="AF2:AF65" si="7">IFERROR(AE2-L2,0)</f>
        <v>0</v>
      </c>
      <c r="AG2" s="40" t="str">
        <f>VLOOKUP(Indicador!E2,Diccionario!C$1:AC$150,27,0)</f>
        <v>https://growdatasas.sharepoint.com/:x:/r/sites/Gestiondocumental/Administrativa/GD/Financiera/_layouts/15/Doc.aspx?sourcedoc=%7BEA2AC996-D46C-4123-8126-7F0BE9537AF4%7D&amp;file=20241108%20MODELO%20FINANCIERO%20REFERENCIA%20V7.2%20APROBADO.xlsm&amp;action=default&amp;mobileredirect=true</v>
      </c>
      <c r="AH2" s="40">
        <v>1</v>
      </c>
      <c r="AI2" s="40">
        <v>1</v>
      </c>
    </row>
    <row r="3" spans="1:35" ht="18.75" customHeight="1">
      <c r="A3" s="73">
        <v>2024</v>
      </c>
      <c r="B3" s="112" t="s">
        <v>14</v>
      </c>
      <c r="C3" s="36" t="s">
        <v>155</v>
      </c>
      <c r="D3" s="37">
        <v>45348.736015659721</v>
      </c>
      <c r="E3" s="36" t="s">
        <v>68</v>
      </c>
      <c r="F3" s="36" t="s">
        <v>156</v>
      </c>
      <c r="G3" s="36" t="s">
        <v>157</v>
      </c>
      <c r="H3" s="36" t="s">
        <v>158</v>
      </c>
      <c r="I3" s="36" t="s">
        <v>152</v>
      </c>
      <c r="J3" s="36" t="s">
        <v>159</v>
      </c>
      <c r="K3" s="36" t="s">
        <v>160</v>
      </c>
      <c r="L3" s="74">
        <f>VLOOKUP(E3,Diccionario!C$2:AC$150,22,0)</f>
        <v>13344287960</v>
      </c>
      <c r="M3" s="75">
        <f>VLOOKUP(E3,Diccionario!C$2:AC$150,24,0)</f>
        <v>45292</v>
      </c>
      <c r="N3" s="76">
        <f>VLOOKUP(E3,Diccionario!C$2:AC$150,25,0)</f>
        <v>45381</v>
      </c>
      <c r="O3" s="77">
        <f>VLOOKUP(E3,Diccionario!C$2:AC$150,26,0)</f>
        <v>2.97</v>
      </c>
      <c r="P3" s="77">
        <f t="shared" ref="P3:P19" si="8">Q3-O3</f>
        <v>-1.9700000000000002</v>
      </c>
      <c r="Q3" s="78">
        <v>1</v>
      </c>
      <c r="R3" s="79">
        <v>3</v>
      </c>
      <c r="S3" s="86">
        <v>0.3</v>
      </c>
      <c r="T3" s="86">
        <v>0.25</v>
      </c>
      <c r="U3" s="82">
        <v>1589891803</v>
      </c>
      <c r="V3" s="82">
        <v>1589891803</v>
      </c>
      <c r="W3" s="82">
        <f t="shared" si="0"/>
        <v>3336071990</v>
      </c>
      <c r="X3" s="82">
        <f t="shared" ref="X3:X19" si="9">S3*L3</f>
        <v>4003286388</v>
      </c>
      <c r="Y3" s="82">
        <f t="shared" si="2"/>
        <v>1746180187</v>
      </c>
      <c r="Z3" s="82">
        <f t="shared" ref="Z3:Z19" si="10">W3-X3</f>
        <v>-667214398</v>
      </c>
      <c r="AA3" s="83">
        <f t="shared" ref="AA3:AA66" si="11">IFERROR(W3/U3,"No se realizó gasto en este corte")</f>
        <v>2.098301270378963</v>
      </c>
      <c r="AB3" s="84" t="str">
        <f t="shared" ref="AB3:AB19" si="12">IFERROR(
  IF(OR(AA3="",AA3=0),
    "No calculado",
    IF(AA3&gt;1,"Costo eficiente: se está gastando menos de lo presupuestado",
      IF(AA3=1,"Costo según lo presupuestado",
        "Costo ineficiente: se está gastando más de lo presupuestado"))),
"No calculado")</f>
        <v>Costo eficiente: se está gastando menos de lo presupuestado</v>
      </c>
      <c r="AC3" s="84">
        <f t="shared" si="4"/>
        <v>0.83333333333333337</v>
      </c>
      <c r="AD3" s="84" t="str">
        <f t="shared" ref="AD3:AD19" si="13">IF(OR(AC3="",AC3=0),"Sin Línea Base",
IF(AC3&gt;1,"Proyecto adelantado respecto al cronograma",
IF(AC3=1,"Proyecto a tiempo según lo planificado",
IF(AC3&lt;1,"Proyecto atrasado con respecto al cronograma",
"No calculado"))))</f>
        <v>Proyecto atrasado con respecto al cronograma</v>
      </c>
      <c r="AE3" s="85">
        <f t="shared" si="6"/>
        <v>6359567212</v>
      </c>
      <c r="AF3" s="85">
        <f t="shared" si="7"/>
        <v>-6984720748</v>
      </c>
      <c r="AG3" s="40" t="str">
        <f>VLOOKUP(Indicador!E3,Diccionario!C$1:AC$150,27,0)</f>
        <v>https://growdatasas.sharepoint.com/:x:/r/sites/Gestiondocumental/Administrativa/GD/Financiera/_layouts/15/Doc.aspx?sourcedoc=%7B06FB1484-E2DE-40DA-83E0-D97F6AF0AE9B%7D&amp;file=MODELO%20FINANCIERO%20REFERENCIA%20V7%20MS%2020240130.xlsx&amp;action=default&amp;mobileredirect=true</v>
      </c>
      <c r="AH3" s="40">
        <v>1</v>
      </c>
      <c r="AI3" s="40">
        <v>1</v>
      </c>
    </row>
    <row r="4" spans="1:35" ht="18.75" customHeight="1">
      <c r="A4" s="73">
        <v>2024</v>
      </c>
      <c r="B4" s="112" t="s">
        <v>22</v>
      </c>
      <c r="C4" s="36" t="s">
        <v>155</v>
      </c>
      <c r="D4" s="37">
        <v>45348.736015659721</v>
      </c>
      <c r="E4" s="36" t="s">
        <v>68</v>
      </c>
      <c r="F4" s="36" t="s">
        <v>156</v>
      </c>
      <c r="G4" s="36" t="s">
        <v>157</v>
      </c>
      <c r="H4" s="36" t="s">
        <v>158</v>
      </c>
      <c r="I4" s="36" t="s">
        <v>152</v>
      </c>
      <c r="J4" s="36" t="s">
        <v>159</v>
      </c>
      <c r="K4" s="36" t="s">
        <v>160</v>
      </c>
      <c r="L4" s="74">
        <f>VLOOKUP(E4,Diccionario!C$2:AC$150,22,0)</f>
        <v>13344287960</v>
      </c>
      <c r="M4" s="75">
        <f>VLOOKUP(E4,Diccionario!C$2:AC$150,24,0)</f>
        <v>45292</v>
      </c>
      <c r="N4" s="76">
        <f>VLOOKUP(E4,Diccionario!C$2:AC$150,25,0)</f>
        <v>45381</v>
      </c>
      <c r="O4" s="77">
        <f>VLOOKUP(E4,Diccionario!C$2:AC$150,26,0)</f>
        <v>2.97</v>
      </c>
      <c r="P4" s="77">
        <f t="shared" si="8"/>
        <v>-0.9700000000000002</v>
      </c>
      <c r="Q4" s="78">
        <v>2</v>
      </c>
      <c r="R4" s="79">
        <v>3</v>
      </c>
      <c r="S4" s="86">
        <v>0.7</v>
      </c>
      <c r="T4" s="86">
        <v>0.65</v>
      </c>
      <c r="U4" s="82">
        <f>U3+TablaIndicador[[#This Row],[Costo Mensual]]</f>
        <v>3913702428</v>
      </c>
      <c r="V4" s="82">
        <v>2323810625</v>
      </c>
      <c r="W4" s="82">
        <f t="shared" si="0"/>
        <v>8673787174</v>
      </c>
      <c r="X4" s="82">
        <f t="shared" si="9"/>
        <v>9341001572</v>
      </c>
      <c r="Y4" s="82">
        <f t="shared" si="2"/>
        <v>4760084746</v>
      </c>
      <c r="Z4" s="82">
        <f t="shared" si="10"/>
        <v>-667214398</v>
      </c>
      <c r="AA4" s="83">
        <f t="shared" si="11"/>
        <v>2.2162612854632697</v>
      </c>
      <c r="AB4" s="84" t="str">
        <f t="shared" si="12"/>
        <v>Costo eficiente: se está gastando menos de lo presupuestado</v>
      </c>
      <c r="AC4" s="84">
        <f t="shared" si="4"/>
        <v>0.9285714285714286</v>
      </c>
      <c r="AD4" s="84" t="str">
        <f t="shared" si="13"/>
        <v>Proyecto atrasado con respecto al cronograma</v>
      </c>
      <c r="AE4" s="85">
        <f t="shared" si="6"/>
        <v>6021080658.4615383</v>
      </c>
      <c r="AF4" s="85">
        <f t="shared" si="7"/>
        <v>-7323207301.5384617</v>
      </c>
      <c r="AG4" s="40" t="str">
        <f>VLOOKUP(Indicador!E4,Diccionario!C$1:AC$150,27,0)</f>
        <v>https://growdatasas.sharepoint.com/:x:/r/sites/Gestiondocumental/Administrativa/GD/Financiera/_layouts/15/Doc.aspx?sourcedoc=%7B06FB1484-E2DE-40DA-83E0-D97F6AF0AE9B%7D&amp;file=MODELO%20FINANCIERO%20REFERENCIA%20V7%20MS%2020240130.xlsx&amp;action=default&amp;mobileredirect=true</v>
      </c>
      <c r="AH4" s="40">
        <v>1</v>
      </c>
      <c r="AI4" s="40">
        <v>1</v>
      </c>
    </row>
    <row r="5" spans="1:35" ht="18.75" customHeight="1">
      <c r="A5" s="73">
        <v>2024</v>
      </c>
      <c r="B5" s="112" t="s">
        <v>24</v>
      </c>
      <c r="C5" s="36" t="s">
        <v>155</v>
      </c>
      <c r="D5" s="37">
        <v>45348.736015659721</v>
      </c>
      <c r="E5" s="36" t="s">
        <v>68</v>
      </c>
      <c r="F5" s="36" t="s">
        <v>156</v>
      </c>
      <c r="G5" s="36" t="s">
        <v>157</v>
      </c>
      <c r="H5" s="36" t="s">
        <v>158</v>
      </c>
      <c r="I5" s="36" t="s">
        <v>152</v>
      </c>
      <c r="J5" s="36" t="s">
        <v>159</v>
      </c>
      <c r="K5" s="36" t="s">
        <v>160</v>
      </c>
      <c r="L5" s="74">
        <f>VLOOKUP(E5,Diccionario!C$2:AC$150,22,0)</f>
        <v>13344287960</v>
      </c>
      <c r="M5" s="75">
        <f>VLOOKUP(E5,Diccionario!C$2:AC$150,24,0)</f>
        <v>45292</v>
      </c>
      <c r="N5" s="76">
        <f>VLOOKUP(E5,Diccionario!C$2:AC$150,25,0)</f>
        <v>45381</v>
      </c>
      <c r="O5" s="77">
        <f>VLOOKUP(E5,Diccionario!C$2:AC$150,26,0)</f>
        <v>2.97</v>
      </c>
      <c r="P5" s="77">
        <f t="shared" si="8"/>
        <v>2.9999999999999805E-2</v>
      </c>
      <c r="Q5" s="78">
        <v>3</v>
      </c>
      <c r="R5" s="79">
        <v>3</v>
      </c>
      <c r="S5" s="86">
        <v>1</v>
      </c>
      <c r="T5" s="86">
        <v>1</v>
      </c>
      <c r="U5" s="82">
        <f>U4+TablaIndicador[[#This Row],[Costo Mensual]]</f>
        <v>6237513053</v>
      </c>
      <c r="V5" s="82">
        <v>2323810625</v>
      </c>
      <c r="W5" s="82">
        <f t="shared" si="0"/>
        <v>13344287960</v>
      </c>
      <c r="X5" s="82">
        <f t="shared" si="9"/>
        <v>13344287960</v>
      </c>
      <c r="Y5" s="82">
        <f t="shared" si="2"/>
        <v>7106774907</v>
      </c>
      <c r="Z5" s="82">
        <f>W5-X5</f>
        <v>0</v>
      </c>
      <c r="AA5" s="83">
        <f t="shared" si="11"/>
        <v>2.1393603262412282</v>
      </c>
      <c r="AB5" s="84" t="str">
        <f t="shared" si="12"/>
        <v>Costo eficiente: se está gastando menos de lo presupuestado</v>
      </c>
      <c r="AC5" s="84">
        <f t="shared" si="4"/>
        <v>1</v>
      </c>
      <c r="AD5" s="84" t="str">
        <f t="shared" si="13"/>
        <v>Proyecto a tiempo según lo planificado</v>
      </c>
      <c r="AE5" s="85">
        <f t="shared" si="6"/>
        <v>6237513053</v>
      </c>
      <c r="AF5" s="85">
        <f t="shared" si="7"/>
        <v>-7106774907</v>
      </c>
      <c r="AG5" s="40" t="str">
        <f>VLOOKUP(Indicador!E5,Diccionario!C$1:AC$150,27,0)</f>
        <v>https://growdatasas.sharepoint.com/:x:/r/sites/Gestiondocumental/Administrativa/GD/Financiera/_layouts/15/Doc.aspx?sourcedoc=%7B06FB1484-E2DE-40DA-83E0-D97F6AF0AE9B%7D&amp;file=MODELO%20FINANCIERO%20REFERENCIA%20V7%20MS%2020240130.xlsx&amp;action=default&amp;mobileredirect=true</v>
      </c>
      <c r="AH5" s="40">
        <v>1</v>
      </c>
      <c r="AI5" s="40">
        <v>1</v>
      </c>
    </row>
    <row r="6" spans="1:35" ht="18.75" customHeight="1">
      <c r="A6" s="73">
        <v>2024</v>
      </c>
      <c r="B6" s="112" t="s">
        <v>14</v>
      </c>
      <c r="C6" s="1" t="s">
        <v>161</v>
      </c>
      <c r="D6" s="119">
        <v>45323.90036605324</v>
      </c>
      <c r="E6" s="36" t="s">
        <v>65</v>
      </c>
      <c r="F6" s="1" t="s">
        <v>162</v>
      </c>
      <c r="G6" s="1" t="s">
        <v>163</v>
      </c>
      <c r="H6" s="1" t="s">
        <v>164</v>
      </c>
      <c r="I6" s="1" t="s">
        <v>165</v>
      </c>
      <c r="J6" s="1" t="s">
        <v>166</v>
      </c>
      <c r="K6" s="1" t="s">
        <v>154</v>
      </c>
      <c r="L6" s="74">
        <f>VLOOKUP(E6,Diccionario!C$2:AC$150,22,0)</f>
        <v>1422409157</v>
      </c>
      <c r="M6" s="75">
        <f>VLOOKUP(E6,Diccionario!C$2:AC$150,24,0)</f>
        <v>45292</v>
      </c>
      <c r="N6" s="76">
        <f>VLOOKUP(E6,Diccionario!C$2:AC$150,25,0)</f>
        <v>45534</v>
      </c>
      <c r="O6" s="77">
        <f>VLOOKUP(E6,Diccionario!C$2:AC$150,26,0)</f>
        <v>7.97</v>
      </c>
      <c r="P6" s="77">
        <f t="shared" si="8"/>
        <v>-6.97</v>
      </c>
      <c r="Q6" s="78">
        <v>1</v>
      </c>
      <c r="R6" s="36">
        <v>8</v>
      </c>
      <c r="S6" s="86">
        <v>0.1</v>
      </c>
      <c r="T6" s="86">
        <v>0.08</v>
      </c>
      <c r="U6" s="82">
        <f>TablaIndicador[[#This Row],[Costo Mensual]]</f>
        <v>153115599.630252</v>
      </c>
      <c r="V6" s="82">
        <v>153115599.630252</v>
      </c>
      <c r="W6" s="82">
        <f t="shared" si="0"/>
        <v>113792732.56</v>
      </c>
      <c r="X6" s="82">
        <f t="shared" si="9"/>
        <v>142240915.70000002</v>
      </c>
      <c r="Y6" s="82">
        <f t="shared" si="2"/>
        <v>-39322867.070252001</v>
      </c>
      <c r="Z6" s="82">
        <f t="shared" si="10"/>
        <v>-28448183.140000015</v>
      </c>
      <c r="AA6" s="83">
        <f t="shared" si="11"/>
        <v>0.74318183669586901</v>
      </c>
      <c r="AB6" s="84" t="str">
        <f t="shared" si="12"/>
        <v>Costo ineficiente: se está gastando más de lo presupuestado</v>
      </c>
      <c r="AC6" s="84">
        <f t="shared" si="4"/>
        <v>0.79999999999999993</v>
      </c>
      <c r="AD6" s="84" t="str">
        <f t="shared" si="13"/>
        <v>Proyecto atrasado con respecto al cronograma</v>
      </c>
      <c r="AE6" s="85">
        <f t="shared" si="6"/>
        <v>1913944995.37815</v>
      </c>
      <c r="AF6" s="85">
        <f t="shared" si="7"/>
        <v>491535838.37814999</v>
      </c>
      <c r="AG6" s="40" t="str">
        <f>VLOOKUP(Indicador!E6,Diccionario!C$1:AC$150,27,0)</f>
        <v>https://growdatasas.sharepoint.com/:x:/r/sites/Gestiondocumental/Administrativa/GD/Financiera/_layouts/15/Doc.aspx?sourcedoc=%7B453B6AA8-B631-4722-B916-8323F8C43E87%7D&amp;file=315%20CORP%20COLOMBIA%20DIGITAL%20FNA%20AE.xlsm&amp;action=default&amp;mobileredirect=true</v>
      </c>
      <c r="AH6" s="40">
        <v>1</v>
      </c>
      <c r="AI6" s="40">
        <v>1</v>
      </c>
    </row>
    <row r="7" spans="1:35" ht="18.75" customHeight="1">
      <c r="A7" s="73">
        <v>2024</v>
      </c>
      <c r="B7" s="112" t="s">
        <v>22</v>
      </c>
      <c r="C7" s="1" t="s">
        <v>161</v>
      </c>
      <c r="D7" s="119">
        <v>45323.90036605324</v>
      </c>
      <c r="E7" s="36" t="s">
        <v>65</v>
      </c>
      <c r="F7" s="1" t="s">
        <v>162</v>
      </c>
      <c r="G7" s="1" t="s">
        <v>163</v>
      </c>
      <c r="H7" s="1" t="s">
        <v>164</v>
      </c>
      <c r="I7" s="1" t="s">
        <v>165</v>
      </c>
      <c r="J7" s="1" t="s">
        <v>166</v>
      </c>
      <c r="K7" s="1" t="s">
        <v>154</v>
      </c>
      <c r="L7" s="74">
        <f>VLOOKUP(E7,Diccionario!C$2:AC$150,22,0)</f>
        <v>1422409157</v>
      </c>
      <c r="M7" s="75">
        <f>VLOOKUP(E7,Diccionario!C$2:AC$150,24,0)</f>
        <v>45292</v>
      </c>
      <c r="N7" s="76">
        <f>VLOOKUP(E7,Diccionario!C$2:AC$150,25,0)</f>
        <v>45534</v>
      </c>
      <c r="O7" s="77">
        <f>VLOOKUP(E7,Diccionario!C$2:AC$150,26,0)</f>
        <v>7.97</v>
      </c>
      <c r="P7" s="77">
        <f t="shared" si="8"/>
        <v>-5.97</v>
      </c>
      <c r="Q7" s="78">
        <v>2</v>
      </c>
      <c r="R7" s="36">
        <v>8</v>
      </c>
      <c r="S7" s="86">
        <v>0.2</v>
      </c>
      <c r="T7" s="86">
        <v>0.18</v>
      </c>
      <c r="U7" s="82">
        <f>U6+TablaIndicador[[#This Row],[Costo Mensual]]</f>
        <v>404973379.26050401</v>
      </c>
      <c r="V7" s="123">
        <v>251857779.630252</v>
      </c>
      <c r="W7" s="82">
        <f t="shared" si="0"/>
        <v>256033648.25999999</v>
      </c>
      <c r="X7" s="82">
        <f t="shared" si="9"/>
        <v>284481831.40000004</v>
      </c>
      <c r="Y7" s="82">
        <f t="shared" si="2"/>
        <v>-148939731.00050402</v>
      </c>
      <c r="Z7" s="82">
        <f t="shared" si="10"/>
        <v>-28448183.140000045</v>
      </c>
      <c r="AA7" s="83">
        <f t="shared" si="11"/>
        <v>0.63222340373959063</v>
      </c>
      <c r="AB7" s="84" t="str">
        <f t="shared" si="12"/>
        <v>Costo ineficiente: se está gastando más de lo presupuestado</v>
      </c>
      <c r="AC7" s="84">
        <f t="shared" si="4"/>
        <v>0.8999999999999998</v>
      </c>
      <c r="AD7" s="84" t="str">
        <f t="shared" si="13"/>
        <v>Proyecto atrasado con respecto al cronograma</v>
      </c>
      <c r="AE7" s="85">
        <f t="shared" si="6"/>
        <v>2249852107.0028</v>
      </c>
      <c r="AF7" s="85">
        <f t="shared" si="7"/>
        <v>827442950.00279999</v>
      </c>
      <c r="AG7" s="40" t="str">
        <f>VLOOKUP(Indicador!E7,Diccionario!C$1:AC$150,27,0)</f>
        <v>https://growdatasas.sharepoint.com/:x:/r/sites/Gestiondocumental/Administrativa/GD/Financiera/_layouts/15/Doc.aspx?sourcedoc=%7B453B6AA8-B631-4722-B916-8323F8C43E87%7D&amp;file=315%20CORP%20COLOMBIA%20DIGITAL%20FNA%20AE.xlsm&amp;action=default&amp;mobileredirect=true</v>
      </c>
      <c r="AH7" s="40">
        <v>1</v>
      </c>
      <c r="AI7" s="40">
        <v>1</v>
      </c>
    </row>
    <row r="8" spans="1:35" ht="18.75" customHeight="1">
      <c r="A8" s="73">
        <v>2024</v>
      </c>
      <c r="B8" s="112" t="s">
        <v>24</v>
      </c>
      <c r="C8" s="1" t="s">
        <v>161</v>
      </c>
      <c r="D8" s="119">
        <v>45323.90036605324</v>
      </c>
      <c r="E8" s="36" t="s">
        <v>65</v>
      </c>
      <c r="F8" s="1" t="s">
        <v>162</v>
      </c>
      <c r="G8" s="1" t="s">
        <v>163</v>
      </c>
      <c r="H8" s="1" t="s">
        <v>164</v>
      </c>
      <c r="I8" s="1" t="s">
        <v>165</v>
      </c>
      <c r="J8" s="1" t="s">
        <v>166</v>
      </c>
      <c r="K8" s="1" t="s">
        <v>154</v>
      </c>
      <c r="L8" s="74">
        <f>VLOOKUP(E8,Diccionario!C$2:AC$150,22,0)</f>
        <v>1422409157</v>
      </c>
      <c r="M8" s="75">
        <f>VLOOKUP(E8,Diccionario!C$2:AC$150,24,0)</f>
        <v>45292</v>
      </c>
      <c r="N8" s="76">
        <f>VLOOKUP(E8,Diccionario!C$2:AC$150,25,0)</f>
        <v>45534</v>
      </c>
      <c r="O8" s="77">
        <f>VLOOKUP(E8,Diccionario!C$2:AC$150,26,0)</f>
        <v>7.97</v>
      </c>
      <c r="P8" s="77">
        <f t="shared" si="8"/>
        <v>-4.97</v>
      </c>
      <c r="Q8" s="78">
        <v>3</v>
      </c>
      <c r="R8" s="36">
        <v>8</v>
      </c>
      <c r="S8" s="86">
        <v>0.3</v>
      </c>
      <c r="T8" s="86">
        <v>0.32</v>
      </c>
      <c r="U8" s="82">
        <f>U7+TablaIndicador[[#This Row],[Costo Mensual]]</f>
        <v>558088978.89075601</v>
      </c>
      <c r="V8" s="123">
        <v>153115599.630252</v>
      </c>
      <c r="W8" s="82">
        <f t="shared" si="0"/>
        <v>455170930.24000001</v>
      </c>
      <c r="X8" s="82">
        <f t="shared" si="9"/>
        <v>426722747.09999996</v>
      </c>
      <c r="Y8" s="82">
        <f t="shared" si="2"/>
        <v>-102918048.650756</v>
      </c>
      <c r="Z8" s="82">
        <f t="shared" si="10"/>
        <v>28448183.140000045</v>
      </c>
      <c r="AA8" s="83">
        <f t="shared" si="11"/>
        <v>0.81558845893120235</v>
      </c>
      <c r="AB8" s="84" t="str">
        <f t="shared" si="12"/>
        <v>Costo ineficiente: se está gastando más de lo presupuestado</v>
      </c>
      <c r="AC8" s="84">
        <f t="shared" si="4"/>
        <v>1.0666666666666669</v>
      </c>
      <c r="AD8" s="84" t="str">
        <f t="shared" si="13"/>
        <v>Proyecto adelantado respecto al cronograma</v>
      </c>
      <c r="AE8" s="85">
        <f t="shared" si="6"/>
        <v>1744028059.0336125</v>
      </c>
      <c r="AF8" s="85">
        <f t="shared" si="7"/>
        <v>321618902.03361249</v>
      </c>
      <c r="AG8" s="40" t="str">
        <f>VLOOKUP(Indicador!E8,Diccionario!C$1:AC$150,27,0)</f>
        <v>https://growdatasas.sharepoint.com/:x:/r/sites/Gestiondocumental/Administrativa/GD/Financiera/_layouts/15/Doc.aspx?sourcedoc=%7B453B6AA8-B631-4722-B916-8323F8C43E87%7D&amp;file=315%20CORP%20COLOMBIA%20DIGITAL%20FNA%20AE.xlsm&amp;action=default&amp;mobileredirect=true</v>
      </c>
      <c r="AH8" s="40">
        <v>1</v>
      </c>
      <c r="AI8" s="40">
        <v>1</v>
      </c>
    </row>
    <row r="9" spans="1:35" ht="18.75" customHeight="1">
      <c r="A9" s="73">
        <v>2024</v>
      </c>
      <c r="B9" s="112" t="s">
        <v>27</v>
      </c>
      <c r="C9" s="1" t="s">
        <v>161</v>
      </c>
      <c r="D9" s="119">
        <v>45323.90036605324</v>
      </c>
      <c r="E9" s="36" t="s">
        <v>65</v>
      </c>
      <c r="F9" s="1" t="s">
        <v>162</v>
      </c>
      <c r="G9" s="1" t="s">
        <v>163</v>
      </c>
      <c r="H9" s="1" t="s">
        <v>164</v>
      </c>
      <c r="I9" s="1" t="s">
        <v>165</v>
      </c>
      <c r="J9" s="1" t="s">
        <v>166</v>
      </c>
      <c r="K9" s="1" t="s">
        <v>154</v>
      </c>
      <c r="L9" s="74">
        <f>VLOOKUP(E9,Diccionario!C$2:AC$150,22,0)</f>
        <v>1422409157</v>
      </c>
      <c r="M9" s="75">
        <f>VLOOKUP(E9,Diccionario!C$2:AC$150,24,0)</f>
        <v>45292</v>
      </c>
      <c r="N9" s="76">
        <f>VLOOKUP(E9,Diccionario!C$2:AC$150,25,0)</f>
        <v>45534</v>
      </c>
      <c r="O9" s="77">
        <f>VLOOKUP(E9,Diccionario!C$2:AC$150,26,0)</f>
        <v>7.97</v>
      </c>
      <c r="P9" s="77">
        <f t="shared" si="8"/>
        <v>-3.9699999999999998</v>
      </c>
      <c r="Q9" s="78">
        <v>4</v>
      </c>
      <c r="R9" s="36">
        <v>8</v>
      </c>
      <c r="S9" s="86">
        <v>0.5</v>
      </c>
      <c r="T9" s="86">
        <v>0.51</v>
      </c>
      <c r="U9" s="82">
        <f>U8+TablaIndicador[[#This Row],[Costo Mensual]]</f>
        <v>711204578.52100801</v>
      </c>
      <c r="V9" s="82">
        <v>153115599.630252</v>
      </c>
      <c r="W9" s="82">
        <f t="shared" si="0"/>
        <v>725428670.07000005</v>
      </c>
      <c r="X9" s="82">
        <f t="shared" si="9"/>
        <v>711204578.5</v>
      </c>
      <c r="Y9" s="82">
        <f t="shared" si="2"/>
        <v>14224091.548992038</v>
      </c>
      <c r="Z9" s="82">
        <f t="shared" si="10"/>
        <v>14224091.570000052</v>
      </c>
      <c r="AA9" s="83">
        <f t="shared" si="11"/>
        <v>1.0199999999698706</v>
      </c>
      <c r="AB9" s="84" t="str">
        <f t="shared" si="12"/>
        <v>Costo eficiente: se está gastando menos de lo presupuestado</v>
      </c>
      <c r="AC9" s="84">
        <f t="shared" si="4"/>
        <v>1.02</v>
      </c>
      <c r="AD9" s="84" t="str">
        <f t="shared" si="13"/>
        <v>Proyecto adelantado respecto al cronograma</v>
      </c>
      <c r="AE9" s="85">
        <f t="shared" si="6"/>
        <v>1394518781.4137414</v>
      </c>
      <c r="AF9" s="85">
        <f t="shared" si="7"/>
        <v>-27890375.58625865</v>
      </c>
      <c r="AG9" s="40" t="str">
        <f>VLOOKUP(Indicador!E9,Diccionario!C$1:AC$150,27,0)</f>
        <v>https://growdatasas.sharepoint.com/:x:/r/sites/Gestiondocumental/Administrativa/GD/Financiera/_layouts/15/Doc.aspx?sourcedoc=%7B453B6AA8-B631-4722-B916-8323F8C43E87%7D&amp;file=315%20CORP%20COLOMBIA%20DIGITAL%20FNA%20AE.xlsm&amp;action=default&amp;mobileredirect=true</v>
      </c>
      <c r="AH9" s="40">
        <v>1</v>
      </c>
      <c r="AI9" s="40">
        <v>1</v>
      </c>
    </row>
    <row r="10" spans="1:35" ht="18.75" customHeight="1">
      <c r="A10" s="73">
        <v>2024</v>
      </c>
      <c r="B10" s="112" t="s">
        <v>13</v>
      </c>
      <c r="C10" s="1" t="s">
        <v>161</v>
      </c>
      <c r="D10" s="119">
        <v>45323.90036605324</v>
      </c>
      <c r="E10" s="36" t="s">
        <v>65</v>
      </c>
      <c r="F10" s="1" t="s">
        <v>162</v>
      </c>
      <c r="G10" s="1" t="s">
        <v>163</v>
      </c>
      <c r="H10" s="1" t="s">
        <v>164</v>
      </c>
      <c r="I10" s="1" t="s">
        <v>165</v>
      </c>
      <c r="J10" s="1" t="s">
        <v>166</v>
      </c>
      <c r="K10" s="1" t="s">
        <v>154</v>
      </c>
      <c r="L10" s="74">
        <f>VLOOKUP(E10,Diccionario!C$2:AC$150,22,0)</f>
        <v>1422409157</v>
      </c>
      <c r="M10" s="75">
        <f>VLOOKUP(E10,Diccionario!C$2:AC$150,24,0)</f>
        <v>45292</v>
      </c>
      <c r="N10" s="76">
        <f>VLOOKUP(E10,Diccionario!C$2:AC$150,25,0)</f>
        <v>45534</v>
      </c>
      <c r="O10" s="77">
        <f>VLOOKUP(E10,Diccionario!C$2:AC$150,26,0)</f>
        <v>7.97</v>
      </c>
      <c r="P10" s="77">
        <f t="shared" si="8"/>
        <v>-2.9699999999999998</v>
      </c>
      <c r="Q10" s="78">
        <v>5</v>
      </c>
      <c r="R10" s="36">
        <v>8</v>
      </c>
      <c r="S10" s="86">
        <v>0.6</v>
      </c>
      <c r="T10" s="86">
        <v>0.6</v>
      </c>
      <c r="U10" s="82">
        <f>U9+TablaIndicador[[#This Row],[Costo Mensual]]</f>
        <v>864320178.15126002</v>
      </c>
      <c r="V10" s="82">
        <v>153115599.630252</v>
      </c>
      <c r="W10" s="82">
        <f t="shared" si="0"/>
        <v>853445494.19999993</v>
      </c>
      <c r="X10" s="82">
        <f t="shared" si="9"/>
        <v>853445494.19999993</v>
      </c>
      <c r="Y10" s="82">
        <f t="shared" si="2"/>
        <v>-10874683.95126009</v>
      </c>
      <c r="Z10" s="82">
        <f t="shared" si="10"/>
        <v>0</v>
      </c>
      <c r="AA10" s="83">
        <f t="shared" si="11"/>
        <v>0.98741822275337765</v>
      </c>
      <c r="AB10" s="84" t="str">
        <f t="shared" si="12"/>
        <v>Costo ineficiente: se está gastando más de lo presupuestado</v>
      </c>
      <c r="AC10" s="84">
        <f t="shared" si="4"/>
        <v>1</v>
      </c>
      <c r="AD10" s="84" t="str">
        <f t="shared" si="13"/>
        <v>Proyecto a tiempo según lo planificado</v>
      </c>
      <c r="AE10" s="85">
        <f t="shared" si="6"/>
        <v>1440533630.2521002</v>
      </c>
      <c r="AF10" s="85">
        <f t="shared" si="7"/>
        <v>18124473.252100229</v>
      </c>
      <c r="AG10" s="40" t="str">
        <f>VLOOKUP(Indicador!E10,Diccionario!C$1:AC$150,27,0)</f>
        <v>https://growdatasas.sharepoint.com/:x:/r/sites/Gestiondocumental/Administrativa/GD/Financiera/_layouts/15/Doc.aspx?sourcedoc=%7B453B6AA8-B631-4722-B916-8323F8C43E87%7D&amp;file=315%20CORP%20COLOMBIA%20DIGITAL%20FNA%20AE.xlsm&amp;action=default&amp;mobileredirect=true</v>
      </c>
      <c r="AH10" s="40">
        <v>1</v>
      </c>
      <c r="AI10" s="40">
        <v>1</v>
      </c>
    </row>
    <row r="11" spans="1:35" ht="18.75" customHeight="1">
      <c r="A11" s="73">
        <v>2024</v>
      </c>
      <c r="B11" s="112" t="s">
        <v>21</v>
      </c>
      <c r="C11" s="1" t="s">
        <v>161</v>
      </c>
      <c r="D11" s="119">
        <v>45323.90036605324</v>
      </c>
      <c r="E11" s="36" t="s">
        <v>65</v>
      </c>
      <c r="F11" s="1" t="s">
        <v>162</v>
      </c>
      <c r="G11" s="1" t="s">
        <v>163</v>
      </c>
      <c r="H11" s="1" t="s">
        <v>164</v>
      </c>
      <c r="I11" s="1" t="s">
        <v>165</v>
      </c>
      <c r="J11" s="1" t="s">
        <v>166</v>
      </c>
      <c r="K11" s="1" t="s">
        <v>154</v>
      </c>
      <c r="L11" s="74">
        <f>VLOOKUP(E11,Diccionario!C$2:AC$150,22,0)</f>
        <v>1422409157</v>
      </c>
      <c r="M11" s="75">
        <f>VLOOKUP(E11,Diccionario!C$2:AC$150,24,0)</f>
        <v>45292</v>
      </c>
      <c r="N11" s="76">
        <f>VLOOKUP(E11,Diccionario!C$2:AC$150,25,0)</f>
        <v>45534</v>
      </c>
      <c r="O11" s="77">
        <f>VLOOKUP(E11,Diccionario!C$2:AC$150,26,0)</f>
        <v>7.97</v>
      </c>
      <c r="P11" s="77">
        <f t="shared" si="8"/>
        <v>-1.9699999999999998</v>
      </c>
      <c r="Q11" s="78">
        <v>6</v>
      </c>
      <c r="R11" s="36">
        <v>8</v>
      </c>
      <c r="S11" s="86">
        <v>0.75</v>
      </c>
      <c r="T11" s="86">
        <v>0.73</v>
      </c>
      <c r="U11" s="82">
        <f>U10+TablaIndicador[[#This Row],[Costo Mensual]]</f>
        <v>1116177957.781512</v>
      </c>
      <c r="V11" s="82">
        <v>251857779.630252</v>
      </c>
      <c r="W11" s="82">
        <f t="shared" si="0"/>
        <v>1038358684.61</v>
      </c>
      <c r="X11" s="82">
        <f t="shared" si="9"/>
        <v>1066806867.75</v>
      </c>
      <c r="Y11" s="82">
        <f t="shared" si="2"/>
        <v>-77819273.171512008</v>
      </c>
      <c r="Z11" s="82">
        <f t="shared" si="10"/>
        <v>-28448183.139999986</v>
      </c>
      <c r="AA11" s="83">
        <f t="shared" si="11"/>
        <v>0.93028058596840268</v>
      </c>
      <c r="AB11" s="84" t="str">
        <f t="shared" si="12"/>
        <v>Costo ineficiente: se está gastando más de lo presupuestado</v>
      </c>
      <c r="AC11" s="84">
        <f t="shared" si="4"/>
        <v>0.97333333333333338</v>
      </c>
      <c r="AD11" s="84" t="str">
        <f t="shared" si="13"/>
        <v>Proyecto atrasado con respecto al cronograma</v>
      </c>
      <c r="AE11" s="85">
        <f t="shared" si="6"/>
        <v>1529010901.0705643</v>
      </c>
      <c r="AF11" s="85">
        <f t="shared" si="7"/>
        <v>106601744.07056427</v>
      </c>
      <c r="AG11" s="40" t="str">
        <f>VLOOKUP(Indicador!E11,Diccionario!C$1:AC$150,27,0)</f>
        <v>https://growdatasas.sharepoint.com/:x:/r/sites/Gestiondocumental/Administrativa/GD/Financiera/_layouts/15/Doc.aspx?sourcedoc=%7B453B6AA8-B631-4722-B916-8323F8C43E87%7D&amp;file=315%20CORP%20COLOMBIA%20DIGITAL%20FNA%20AE.xlsm&amp;action=default&amp;mobileredirect=true</v>
      </c>
      <c r="AH11" s="40">
        <v>1</v>
      </c>
      <c r="AI11" s="40">
        <v>1</v>
      </c>
    </row>
    <row r="12" spans="1:35" ht="18.75" customHeight="1">
      <c r="A12" s="73">
        <v>2024</v>
      </c>
      <c r="B12" s="112" t="s">
        <v>23</v>
      </c>
      <c r="C12" s="1" t="s">
        <v>161</v>
      </c>
      <c r="D12" s="119">
        <v>45323.90036605324</v>
      </c>
      <c r="E12" s="36" t="s">
        <v>65</v>
      </c>
      <c r="F12" s="1" t="s">
        <v>162</v>
      </c>
      <c r="G12" s="1" t="s">
        <v>163</v>
      </c>
      <c r="H12" s="1" t="s">
        <v>164</v>
      </c>
      <c r="I12" s="1" t="s">
        <v>165</v>
      </c>
      <c r="J12" s="1" t="s">
        <v>166</v>
      </c>
      <c r="K12" s="1" t="s">
        <v>154</v>
      </c>
      <c r="L12" s="74">
        <f>VLOOKUP(E12,Diccionario!C$2:AC$150,22,0)</f>
        <v>1422409157</v>
      </c>
      <c r="M12" s="75">
        <f>VLOOKUP(E12,Diccionario!C$2:AC$150,24,0)</f>
        <v>45292</v>
      </c>
      <c r="N12" s="76">
        <f>VLOOKUP(E12,Diccionario!C$2:AC$150,25,0)</f>
        <v>45534</v>
      </c>
      <c r="O12" s="77">
        <f>VLOOKUP(E12,Diccionario!C$2:AC$150,26,0)</f>
        <v>7.97</v>
      </c>
      <c r="P12" s="77">
        <f t="shared" si="8"/>
        <v>-0.96999999999999975</v>
      </c>
      <c r="Q12" s="78">
        <v>7</v>
      </c>
      <c r="R12" s="36">
        <v>8</v>
      </c>
      <c r="S12" s="86">
        <v>0.8</v>
      </c>
      <c r="T12" s="86">
        <v>0.82</v>
      </c>
      <c r="U12" s="82">
        <f>U11+TablaIndicador[[#This Row],[Costo Mensual]]</f>
        <v>1269293557.4117641</v>
      </c>
      <c r="V12" s="123">
        <v>153115599.630252</v>
      </c>
      <c r="W12" s="82">
        <f t="shared" si="0"/>
        <v>1166375508.74</v>
      </c>
      <c r="X12" s="82">
        <f t="shared" si="9"/>
        <v>1137927325.6000001</v>
      </c>
      <c r="Y12" s="82">
        <f t="shared" si="2"/>
        <v>-102918048.67176414</v>
      </c>
      <c r="Z12" s="82">
        <f t="shared" si="10"/>
        <v>28448183.139999866</v>
      </c>
      <c r="AA12" s="83">
        <f t="shared" si="11"/>
        <v>0.91891706369200687</v>
      </c>
      <c r="AB12" s="84" t="str">
        <f t="shared" si="12"/>
        <v>Costo ineficiente: se está gastando más de lo presupuestado</v>
      </c>
      <c r="AC12" s="84">
        <f t="shared" si="4"/>
        <v>1.0249999999999999</v>
      </c>
      <c r="AD12" s="84" t="str">
        <f t="shared" si="13"/>
        <v>Proyecto adelantado respecto al cronograma</v>
      </c>
      <c r="AE12" s="85">
        <f t="shared" si="6"/>
        <v>1547918972.4533708</v>
      </c>
      <c r="AF12" s="85">
        <f t="shared" si="7"/>
        <v>125509815.45337081</v>
      </c>
      <c r="AG12" s="40" t="str">
        <f>VLOOKUP(Indicador!E12,Diccionario!C$1:AC$150,27,0)</f>
        <v>https://growdatasas.sharepoint.com/:x:/r/sites/Gestiondocumental/Administrativa/GD/Financiera/_layouts/15/Doc.aspx?sourcedoc=%7B453B6AA8-B631-4722-B916-8323F8C43E87%7D&amp;file=315%20CORP%20COLOMBIA%20DIGITAL%20FNA%20AE.xlsm&amp;action=default&amp;mobileredirect=true</v>
      </c>
      <c r="AH12" s="40">
        <v>1</v>
      </c>
      <c r="AI12" s="40">
        <v>1</v>
      </c>
    </row>
    <row r="13" spans="1:35" ht="18.75" customHeight="1">
      <c r="A13" s="73">
        <v>2024</v>
      </c>
      <c r="B13" s="112" t="s">
        <v>26</v>
      </c>
      <c r="C13" s="1" t="s">
        <v>161</v>
      </c>
      <c r="D13" s="119">
        <v>45323.90036605324</v>
      </c>
      <c r="E13" s="36" t="s">
        <v>65</v>
      </c>
      <c r="F13" s="1" t="s">
        <v>162</v>
      </c>
      <c r="G13" s="1" t="s">
        <v>163</v>
      </c>
      <c r="H13" s="1" t="s">
        <v>164</v>
      </c>
      <c r="I13" s="1" t="s">
        <v>165</v>
      </c>
      <c r="J13" s="1" t="s">
        <v>166</v>
      </c>
      <c r="K13" s="1" t="s">
        <v>154</v>
      </c>
      <c r="L13" s="124">
        <f>VLOOKUP(E13,Diccionario!C$2:AC$150,22,0)</f>
        <v>1422409157</v>
      </c>
      <c r="M13" s="75">
        <f>VLOOKUP(E13,Diccionario!C$2:AC$150,24,0)</f>
        <v>45292</v>
      </c>
      <c r="N13" s="76">
        <f>VLOOKUP(E13,Diccionario!C$2:AC$150,25,0)</f>
        <v>45534</v>
      </c>
      <c r="O13" s="77">
        <f>VLOOKUP(E13,Diccionario!C$2:AC$150,26,0)</f>
        <v>7.97</v>
      </c>
      <c r="P13" s="77">
        <f t="shared" si="8"/>
        <v>3.0000000000000249E-2</v>
      </c>
      <c r="Q13" s="78">
        <v>8</v>
      </c>
      <c r="R13" s="36">
        <v>8</v>
      </c>
      <c r="S13" s="86">
        <v>1</v>
      </c>
      <c r="T13" s="86">
        <v>1</v>
      </c>
      <c r="U13" s="122">
        <f>U12+TablaIndicador[[#This Row],[Costo Mensual]]</f>
        <v>1422409157.042016</v>
      </c>
      <c r="V13" s="123">
        <v>153115599.630252</v>
      </c>
      <c r="W13" s="82">
        <f t="shared" si="0"/>
        <v>1422409157</v>
      </c>
      <c r="X13" s="82">
        <f t="shared" si="9"/>
        <v>1422409157</v>
      </c>
      <c r="Y13" s="82">
        <f t="shared" si="2"/>
        <v>-4.2016029357910156E-2</v>
      </c>
      <c r="Z13" s="82">
        <f t="shared" si="10"/>
        <v>0</v>
      </c>
      <c r="AA13" s="83">
        <f t="shared" si="11"/>
        <v>0.99999999997046141</v>
      </c>
      <c r="AB13" s="84" t="str">
        <f t="shared" si="12"/>
        <v>Costo ineficiente: se está gastando más de lo presupuestado</v>
      </c>
      <c r="AC13" s="84">
        <f t="shared" si="4"/>
        <v>1</v>
      </c>
      <c r="AD13" s="84" t="str">
        <f t="shared" si="13"/>
        <v>Proyecto a tiempo según lo planificado</v>
      </c>
      <c r="AE13" s="85">
        <f t="shared" si="6"/>
        <v>1422409157.042016</v>
      </c>
      <c r="AF13" s="85">
        <f t="shared" si="7"/>
        <v>4.2016029357910156E-2</v>
      </c>
      <c r="AG13" s="40" t="str">
        <f>VLOOKUP(Indicador!E13,Diccionario!C$1:AC$150,27,0)</f>
        <v>https://growdatasas.sharepoint.com/:x:/r/sites/Gestiondocumental/Administrativa/GD/Financiera/_layouts/15/Doc.aspx?sourcedoc=%7B453B6AA8-B631-4722-B916-8323F8C43E87%7D&amp;file=315%20CORP%20COLOMBIA%20DIGITAL%20FNA%20AE.xlsm&amp;action=default&amp;mobileredirect=true</v>
      </c>
      <c r="AH13" s="40">
        <v>1</v>
      </c>
      <c r="AI13" s="40">
        <v>1</v>
      </c>
    </row>
    <row r="14" spans="1:35" ht="18.75" customHeight="1">
      <c r="A14" s="73">
        <v>2024</v>
      </c>
      <c r="B14" s="112" t="s">
        <v>14</v>
      </c>
      <c r="C14" s="1" t="s">
        <v>167</v>
      </c>
      <c r="D14" s="119">
        <v>45307.664935879628</v>
      </c>
      <c r="E14" s="36" t="s">
        <v>76</v>
      </c>
      <c r="F14" s="1" t="s">
        <v>168</v>
      </c>
      <c r="G14" s="1" t="s">
        <v>169</v>
      </c>
      <c r="H14" s="1" t="s">
        <v>170</v>
      </c>
      <c r="I14" s="1" t="s">
        <v>152</v>
      </c>
      <c r="J14" s="120" t="s">
        <v>171</v>
      </c>
      <c r="K14" s="36" t="s">
        <v>160</v>
      </c>
      <c r="L14" s="74">
        <f>VLOOKUP(E14,Diccionario!C$2:AC$150,22,0)</f>
        <v>5280083724</v>
      </c>
      <c r="M14" s="75">
        <f>VLOOKUP(E14,Diccionario!C$2:AC$150,24,0)</f>
        <v>45300</v>
      </c>
      <c r="N14" s="76">
        <f>VLOOKUP(E14,Diccionario!C$2:AC$150,25,0)</f>
        <v>45473</v>
      </c>
      <c r="O14" s="77">
        <f>VLOOKUP(E14,Diccionario!C$2:AC$150,26,0)</f>
        <v>5.7</v>
      </c>
      <c r="P14" s="77">
        <f t="shared" si="8"/>
        <v>-4.7</v>
      </c>
      <c r="Q14" s="36">
        <v>1</v>
      </c>
      <c r="R14" s="36">
        <v>6</v>
      </c>
      <c r="S14" s="86">
        <v>0.2</v>
      </c>
      <c r="T14" s="86">
        <v>0.25</v>
      </c>
      <c r="U14" s="82">
        <v>35266820</v>
      </c>
      <c r="V14" s="82">
        <v>35266820</v>
      </c>
      <c r="W14" s="82">
        <f t="shared" si="0"/>
        <v>1320020931</v>
      </c>
      <c r="X14" s="82">
        <f t="shared" si="9"/>
        <v>1056016744.8000001</v>
      </c>
      <c r="Y14" s="82">
        <f t="shared" si="2"/>
        <v>1284754111</v>
      </c>
      <c r="Z14" s="82">
        <f t="shared" si="10"/>
        <v>264004186.19999993</v>
      </c>
      <c r="AA14" s="83">
        <f t="shared" si="11"/>
        <v>37.429542300666746</v>
      </c>
      <c r="AB14" s="84" t="str">
        <f t="shared" si="12"/>
        <v>Costo eficiente: se está gastando menos de lo presupuestado</v>
      </c>
      <c r="AC14" s="84">
        <f t="shared" si="4"/>
        <v>1.25</v>
      </c>
      <c r="AD14" s="84" t="str">
        <f t="shared" si="13"/>
        <v>Proyecto adelantado respecto al cronograma</v>
      </c>
      <c r="AE14" s="85">
        <f t="shared" si="6"/>
        <v>141067280</v>
      </c>
      <c r="AF14" s="85">
        <f t="shared" si="7"/>
        <v>-5139016444</v>
      </c>
      <c r="AG14" s="40" t="str">
        <f>VLOOKUP(Indicador!E14,Diccionario!C$1:AC$150,27,0)</f>
        <v>https://growdatasas.sharepoint.com/:x:/r/sites/Gestiondocumental/Administrativa/GD/Financiera/_layouts/15/Doc.aspx?sourcedoc=%7BB4DE39AF-1EC1-466C-A807-3FE95776A982%7D&amp;file=17012024%20INFOTIC%20DPC%20SOC%20V2.xlsm&amp;action=default&amp;mobileredirect=true</v>
      </c>
      <c r="AH14" s="40">
        <v>1</v>
      </c>
      <c r="AI14" s="40">
        <v>1</v>
      </c>
    </row>
    <row r="15" spans="1:35" ht="18.75" customHeight="1">
      <c r="A15" s="73">
        <v>2024</v>
      </c>
      <c r="B15" s="112" t="s">
        <v>22</v>
      </c>
      <c r="C15" s="1" t="s">
        <v>167</v>
      </c>
      <c r="D15" s="119">
        <v>45307.664935879628</v>
      </c>
      <c r="E15" s="36" t="s">
        <v>76</v>
      </c>
      <c r="F15" s="1" t="s">
        <v>168</v>
      </c>
      <c r="G15" s="1" t="s">
        <v>169</v>
      </c>
      <c r="H15" s="1" t="s">
        <v>170</v>
      </c>
      <c r="I15" s="1" t="s">
        <v>152</v>
      </c>
      <c r="J15" s="120" t="s">
        <v>171</v>
      </c>
      <c r="K15" s="36" t="s">
        <v>160</v>
      </c>
      <c r="L15" s="74">
        <f>VLOOKUP(E15,Diccionario!C$2:AC$150,22,0)</f>
        <v>5280083724</v>
      </c>
      <c r="M15" s="75">
        <f>VLOOKUP(E15,Diccionario!C$2:AC$150,24,0)</f>
        <v>45300</v>
      </c>
      <c r="N15" s="76">
        <f>VLOOKUP(E15,Diccionario!C$2:AC$150,25,0)</f>
        <v>45473</v>
      </c>
      <c r="O15" s="77">
        <f>VLOOKUP(E15,Diccionario!C$2:AC$150,26,0)</f>
        <v>5.7</v>
      </c>
      <c r="P15" s="77">
        <f t="shared" si="8"/>
        <v>-3.7</v>
      </c>
      <c r="Q15" s="36">
        <v>2</v>
      </c>
      <c r="R15" s="36">
        <v>6</v>
      </c>
      <c r="S15" s="86">
        <v>0.45</v>
      </c>
      <c r="T15" s="86">
        <v>0.35</v>
      </c>
      <c r="U15" s="82">
        <v>4039374977</v>
      </c>
      <c r="V15" s="82">
        <v>4039374977</v>
      </c>
      <c r="W15" s="82">
        <f t="shared" si="0"/>
        <v>1848029303.3999999</v>
      </c>
      <c r="X15" s="82">
        <f t="shared" si="9"/>
        <v>2376037675.8000002</v>
      </c>
      <c r="Y15" s="82">
        <f t="shared" si="2"/>
        <v>-2191345673.6000004</v>
      </c>
      <c r="Z15" s="82">
        <f t="shared" si="10"/>
        <v>-528008372.40000033</v>
      </c>
      <c r="AA15" s="83">
        <f t="shared" si="11"/>
        <v>0.45750377568871092</v>
      </c>
      <c r="AB15" s="84" t="str">
        <f t="shared" si="12"/>
        <v>Costo ineficiente: se está gastando más de lo presupuestado</v>
      </c>
      <c r="AC15" s="84">
        <f t="shared" si="4"/>
        <v>0.77777777777777768</v>
      </c>
      <c r="AD15" s="84" t="str">
        <f t="shared" si="13"/>
        <v>Proyecto atrasado con respecto al cronograma</v>
      </c>
      <c r="AE15" s="85">
        <f t="shared" si="6"/>
        <v>11541071362.857143</v>
      </c>
      <c r="AF15" s="85">
        <f t="shared" si="7"/>
        <v>6260987638.8571434</v>
      </c>
      <c r="AG15" s="40" t="str">
        <f>VLOOKUP(Indicador!E15,Diccionario!C$1:AC$150,27,0)</f>
        <v>https://growdatasas.sharepoint.com/:x:/r/sites/Gestiondocumental/Administrativa/GD/Financiera/_layouts/15/Doc.aspx?sourcedoc=%7BB4DE39AF-1EC1-466C-A807-3FE95776A982%7D&amp;file=17012024%20INFOTIC%20DPC%20SOC%20V2.xlsm&amp;action=default&amp;mobileredirect=true</v>
      </c>
      <c r="AH15" s="40">
        <v>1</v>
      </c>
      <c r="AI15" s="40">
        <v>1</v>
      </c>
    </row>
    <row r="16" spans="1:35" ht="18.75" customHeight="1">
      <c r="A16" s="73">
        <v>2024</v>
      </c>
      <c r="B16" s="112" t="s">
        <v>24</v>
      </c>
      <c r="C16" s="1" t="s">
        <v>167</v>
      </c>
      <c r="D16" s="119">
        <v>45307.664935879628</v>
      </c>
      <c r="E16" s="36" t="s">
        <v>76</v>
      </c>
      <c r="F16" s="1" t="s">
        <v>168</v>
      </c>
      <c r="G16" s="1" t="s">
        <v>169</v>
      </c>
      <c r="H16" s="1" t="s">
        <v>170</v>
      </c>
      <c r="I16" s="1" t="s">
        <v>152</v>
      </c>
      <c r="J16" s="120" t="s">
        <v>171</v>
      </c>
      <c r="K16" s="36" t="s">
        <v>160</v>
      </c>
      <c r="L16" s="74">
        <f>VLOOKUP(E16,Diccionario!C$2:AC$150,22,0)</f>
        <v>5280083724</v>
      </c>
      <c r="M16" s="75">
        <f>VLOOKUP(E16,Diccionario!C$2:AC$150,24,0)</f>
        <v>45300</v>
      </c>
      <c r="N16" s="76">
        <f>VLOOKUP(E16,Diccionario!C$2:AC$150,25,0)</f>
        <v>45473</v>
      </c>
      <c r="O16" s="77">
        <f>VLOOKUP(E16,Diccionario!C$2:AC$150,26,0)</f>
        <v>5.7</v>
      </c>
      <c r="P16" s="77">
        <f t="shared" si="8"/>
        <v>-2.7</v>
      </c>
      <c r="Q16" s="36">
        <v>3</v>
      </c>
      <c r="R16" s="36">
        <v>6</v>
      </c>
      <c r="S16" s="86">
        <v>0.6</v>
      </c>
      <c r="T16" s="86">
        <v>0.38</v>
      </c>
      <c r="U16" s="82">
        <v>1072838872</v>
      </c>
      <c r="V16" s="82">
        <v>1072838872</v>
      </c>
      <c r="W16" s="82">
        <f t="shared" si="0"/>
        <v>2006431815.1200001</v>
      </c>
      <c r="X16" s="82">
        <f t="shared" si="9"/>
        <v>3168050234.4000001</v>
      </c>
      <c r="Y16" s="82">
        <f t="shared" si="2"/>
        <v>933592943.12000012</v>
      </c>
      <c r="Z16" s="82">
        <f t="shared" si="10"/>
        <v>-1161618419.28</v>
      </c>
      <c r="AA16" s="83">
        <f t="shared" si="11"/>
        <v>1.8702079757602221</v>
      </c>
      <c r="AB16" s="84" t="str">
        <f t="shared" si="12"/>
        <v>Costo eficiente: se está gastando menos de lo presupuestado</v>
      </c>
      <c r="AC16" s="84">
        <f t="shared" si="4"/>
        <v>0.6333333333333333</v>
      </c>
      <c r="AD16" s="84" t="str">
        <f t="shared" si="13"/>
        <v>Proyecto atrasado con respecto al cronograma</v>
      </c>
      <c r="AE16" s="85">
        <f t="shared" si="6"/>
        <v>2823260189.4736843</v>
      </c>
      <c r="AF16" s="85">
        <f t="shared" si="7"/>
        <v>-2456823534.5263157</v>
      </c>
      <c r="AG16" s="40" t="str">
        <f>VLOOKUP(Indicador!E16,Diccionario!C$1:AC$150,27,0)</f>
        <v>https://growdatasas.sharepoint.com/:x:/r/sites/Gestiondocumental/Administrativa/GD/Financiera/_layouts/15/Doc.aspx?sourcedoc=%7BB4DE39AF-1EC1-466C-A807-3FE95776A982%7D&amp;file=17012024%20INFOTIC%20DPC%20SOC%20V2.xlsm&amp;action=default&amp;mobileredirect=true</v>
      </c>
      <c r="AH16" s="40">
        <v>1</v>
      </c>
      <c r="AI16" s="40">
        <v>1</v>
      </c>
    </row>
    <row r="17" spans="1:35" ht="18.75" customHeight="1">
      <c r="A17" s="73">
        <v>2024</v>
      </c>
      <c r="B17" s="112" t="s">
        <v>27</v>
      </c>
      <c r="C17" s="1" t="s">
        <v>167</v>
      </c>
      <c r="D17" s="119">
        <v>45307.664935879628</v>
      </c>
      <c r="E17" s="36" t="s">
        <v>76</v>
      </c>
      <c r="F17" s="1" t="s">
        <v>168</v>
      </c>
      <c r="G17" s="1" t="s">
        <v>169</v>
      </c>
      <c r="H17" s="1" t="s">
        <v>170</v>
      </c>
      <c r="I17" s="1" t="s">
        <v>152</v>
      </c>
      <c r="J17" s="120" t="s">
        <v>171</v>
      </c>
      <c r="K17" s="36" t="s">
        <v>160</v>
      </c>
      <c r="L17" s="74">
        <f>VLOOKUP(E17,Diccionario!C$2:AC$150,22,0)</f>
        <v>5280083724</v>
      </c>
      <c r="M17" s="75">
        <f>VLOOKUP(E17,Diccionario!C$2:AC$150,24,0)</f>
        <v>45300</v>
      </c>
      <c r="N17" s="76">
        <f>VLOOKUP(E17,Diccionario!C$2:AC$150,25,0)</f>
        <v>45473</v>
      </c>
      <c r="O17" s="77">
        <f>VLOOKUP(E17,Diccionario!C$2:AC$150,26,0)</f>
        <v>5.7</v>
      </c>
      <c r="P17" s="77">
        <f t="shared" si="8"/>
        <v>-1.7000000000000002</v>
      </c>
      <c r="Q17" s="36">
        <v>4</v>
      </c>
      <c r="R17" s="36">
        <v>6</v>
      </c>
      <c r="S17" s="86">
        <v>0.75</v>
      </c>
      <c r="T17" s="86">
        <v>0.49</v>
      </c>
      <c r="U17" s="82">
        <v>35266820</v>
      </c>
      <c r="V17" s="82">
        <v>35266820</v>
      </c>
      <c r="W17" s="82">
        <f t="shared" si="0"/>
        <v>2587241024.7599998</v>
      </c>
      <c r="X17" s="82">
        <f t="shared" si="9"/>
        <v>3960062793</v>
      </c>
      <c r="Y17" s="82">
        <f t="shared" si="2"/>
        <v>2551974204.7599998</v>
      </c>
      <c r="Z17" s="82">
        <f t="shared" si="10"/>
        <v>-1372821768.2400002</v>
      </c>
      <c r="AA17" s="83">
        <f t="shared" si="11"/>
        <v>73.361902909306821</v>
      </c>
      <c r="AB17" s="84" t="str">
        <f t="shared" si="12"/>
        <v>Costo eficiente: se está gastando menos de lo presupuestado</v>
      </c>
      <c r="AC17" s="84">
        <f t="shared" si="4"/>
        <v>0.65333333333333332</v>
      </c>
      <c r="AD17" s="84" t="str">
        <f t="shared" si="13"/>
        <v>Proyecto atrasado con respecto al cronograma</v>
      </c>
      <c r="AE17" s="85">
        <f t="shared" si="6"/>
        <v>71973102.040816322</v>
      </c>
      <c r="AF17" s="85">
        <f t="shared" si="7"/>
        <v>-5208110621.9591837</v>
      </c>
      <c r="AG17" s="40" t="str">
        <f>VLOOKUP(Indicador!E17,Diccionario!C$1:AC$150,27,0)</f>
        <v>https://growdatasas.sharepoint.com/:x:/r/sites/Gestiondocumental/Administrativa/GD/Financiera/_layouts/15/Doc.aspx?sourcedoc=%7BB4DE39AF-1EC1-466C-A807-3FE95776A982%7D&amp;file=17012024%20INFOTIC%20DPC%20SOC%20V2.xlsm&amp;action=default&amp;mobileredirect=true</v>
      </c>
      <c r="AH17" s="40">
        <v>1</v>
      </c>
      <c r="AI17" s="40">
        <v>1</v>
      </c>
    </row>
    <row r="18" spans="1:35" ht="18.75" customHeight="1">
      <c r="A18" s="73">
        <v>2024</v>
      </c>
      <c r="B18" s="112" t="s">
        <v>13</v>
      </c>
      <c r="C18" s="1" t="s">
        <v>167</v>
      </c>
      <c r="D18" s="119">
        <v>45307.664935879628</v>
      </c>
      <c r="E18" s="36" t="s">
        <v>76</v>
      </c>
      <c r="F18" s="1" t="s">
        <v>168</v>
      </c>
      <c r="G18" s="1" t="s">
        <v>169</v>
      </c>
      <c r="H18" s="1" t="s">
        <v>170</v>
      </c>
      <c r="I18" s="1" t="s">
        <v>152</v>
      </c>
      <c r="J18" s="120" t="s">
        <v>171</v>
      </c>
      <c r="K18" s="36" t="s">
        <v>160</v>
      </c>
      <c r="L18" s="74">
        <f>VLOOKUP(E18,Diccionario!C$2:AC$150,22,0)</f>
        <v>5280083724</v>
      </c>
      <c r="M18" s="75">
        <f>VLOOKUP(E18,Diccionario!C$2:AC$150,24,0)</f>
        <v>45300</v>
      </c>
      <c r="N18" s="76">
        <f>VLOOKUP(E18,Diccionario!C$2:AC$150,25,0)</f>
        <v>45473</v>
      </c>
      <c r="O18" s="77">
        <f>VLOOKUP(E18,Diccionario!C$2:AC$150,26,0)</f>
        <v>5.7</v>
      </c>
      <c r="P18" s="77">
        <f t="shared" si="8"/>
        <v>-0.70000000000000018</v>
      </c>
      <c r="Q18" s="36">
        <v>5</v>
      </c>
      <c r="R18" s="36">
        <v>6</v>
      </c>
      <c r="S18" s="86">
        <v>0.8</v>
      </c>
      <c r="T18" s="86">
        <v>0.6</v>
      </c>
      <c r="U18" s="82">
        <v>35266820</v>
      </c>
      <c r="V18" s="82">
        <v>35266820</v>
      </c>
      <c r="W18" s="82">
        <f t="shared" si="0"/>
        <v>3168050234.4000001</v>
      </c>
      <c r="X18" s="82">
        <f t="shared" si="9"/>
        <v>4224066979.2000003</v>
      </c>
      <c r="Y18" s="82">
        <f t="shared" si="2"/>
        <v>3132783414.4000001</v>
      </c>
      <c r="Z18" s="82">
        <f t="shared" si="10"/>
        <v>-1056016744.8000002</v>
      </c>
      <c r="AA18" s="83">
        <f t="shared" si="11"/>
        <v>89.830901521600197</v>
      </c>
      <c r="AB18" s="84" t="str">
        <f t="shared" si="12"/>
        <v>Costo eficiente: se está gastando menos de lo presupuestado</v>
      </c>
      <c r="AC18" s="84">
        <f t="shared" si="4"/>
        <v>0.75</v>
      </c>
      <c r="AD18" s="84" t="str">
        <f t="shared" si="13"/>
        <v>Proyecto atrasado con respecto al cronograma</v>
      </c>
      <c r="AE18" s="85">
        <f t="shared" si="6"/>
        <v>58778033.333333328</v>
      </c>
      <c r="AF18" s="85">
        <f t="shared" si="7"/>
        <v>-5221305690.666667</v>
      </c>
      <c r="AG18" s="40" t="str">
        <f>VLOOKUP(Indicador!E18,Diccionario!C$1:AC$150,27,0)</f>
        <v>https://growdatasas.sharepoint.com/:x:/r/sites/Gestiondocumental/Administrativa/GD/Financiera/_layouts/15/Doc.aspx?sourcedoc=%7BB4DE39AF-1EC1-466C-A807-3FE95776A982%7D&amp;file=17012024%20INFOTIC%20DPC%20SOC%20V2.xlsm&amp;action=default&amp;mobileredirect=true</v>
      </c>
      <c r="AH18" s="40">
        <v>1</v>
      </c>
      <c r="AI18" s="40">
        <v>1</v>
      </c>
    </row>
    <row r="19" spans="1:35" ht="18.75" customHeight="1">
      <c r="A19" s="73">
        <v>2024</v>
      </c>
      <c r="B19" s="112" t="s">
        <v>21</v>
      </c>
      <c r="C19" s="1" t="s">
        <v>167</v>
      </c>
      <c r="D19" s="119">
        <v>45307.664935879628</v>
      </c>
      <c r="E19" s="36" t="s">
        <v>76</v>
      </c>
      <c r="F19" s="1" t="s">
        <v>168</v>
      </c>
      <c r="G19" s="1" t="s">
        <v>169</v>
      </c>
      <c r="H19" s="1" t="s">
        <v>170</v>
      </c>
      <c r="I19" s="1" t="s">
        <v>152</v>
      </c>
      <c r="J19" s="120" t="s">
        <v>171</v>
      </c>
      <c r="K19" s="36" t="s">
        <v>160</v>
      </c>
      <c r="L19" s="74">
        <f>VLOOKUP(E19,Diccionario!C$2:AC$150,22,0)</f>
        <v>5280083724</v>
      </c>
      <c r="M19" s="75">
        <f>VLOOKUP(E19,Diccionario!C$2:AC$150,24,0)</f>
        <v>45300</v>
      </c>
      <c r="N19" s="76">
        <f>VLOOKUP(E19,Diccionario!C$2:AC$150,25,0)</f>
        <v>45473</v>
      </c>
      <c r="O19" s="77">
        <f>VLOOKUP(E19,Diccionario!C$2:AC$150,26,0)</f>
        <v>5.7</v>
      </c>
      <c r="P19" s="77">
        <f t="shared" si="8"/>
        <v>0.29999999999999982</v>
      </c>
      <c r="Q19" s="36">
        <v>6</v>
      </c>
      <c r="R19" s="36">
        <v>6</v>
      </c>
      <c r="S19" s="86">
        <v>1</v>
      </c>
      <c r="T19" s="86">
        <v>0.78</v>
      </c>
      <c r="U19" s="82">
        <v>35266820</v>
      </c>
      <c r="V19" s="82">
        <v>35266820</v>
      </c>
      <c r="W19" s="82">
        <f t="shared" si="0"/>
        <v>4118465304.7200003</v>
      </c>
      <c r="X19" s="82">
        <f t="shared" si="9"/>
        <v>5280083724</v>
      </c>
      <c r="Y19" s="82">
        <f t="shared" si="2"/>
        <v>4083198484.7200003</v>
      </c>
      <c r="Z19" s="82">
        <f t="shared" si="10"/>
        <v>-1161618419.2799997</v>
      </c>
      <c r="AA19" s="83">
        <f t="shared" si="11"/>
        <v>116.78017197808025</v>
      </c>
      <c r="AB19" s="84" t="str">
        <f t="shared" si="12"/>
        <v>Costo eficiente: se está gastando menos de lo presupuestado</v>
      </c>
      <c r="AC19" s="84">
        <f t="shared" si="4"/>
        <v>0.78</v>
      </c>
      <c r="AD19" s="84" t="str">
        <f t="shared" si="13"/>
        <v>Proyecto atrasado con respecto al cronograma</v>
      </c>
      <c r="AE19" s="85">
        <f t="shared" si="6"/>
        <v>45213871.794871792</v>
      </c>
      <c r="AF19" s="85">
        <f t="shared" si="7"/>
        <v>-5234869852.2051287</v>
      </c>
      <c r="AG19" s="40" t="str">
        <f>VLOOKUP(Indicador!E19,Diccionario!C$1:AC$150,27,0)</f>
        <v>https://growdatasas.sharepoint.com/:x:/r/sites/Gestiondocumental/Administrativa/GD/Financiera/_layouts/15/Doc.aspx?sourcedoc=%7BB4DE39AF-1EC1-466C-A807-3FE95776A982%7D&amp;file=17012024%20INFOTIC%20DPC%20SOC%20V2.xlsm&amp;action=default&amp;mobileredirect=true</v>
      </c>
      <c r="AH19" s="40">
        <v>1</v>
      </c>
      <c r="AI19" s="40">
        <v>1</v>
      </c>
    </row>
    <row r="20" spans="1:35" ht="18.75" customHeight="1">
      <c r="A20" s="87">
        <v>2024</v>
      </c>
      <c r="B20" s="112" t="s">
        <v>23</v>
      </c>
      <c r="C20" s="1" t="s">
        <v>167</v>
      </c>
      <c r="D20" s="119">
        <v>45307.664935879628</v>
      </c>
      <c r="E20" s="36" t="s">
        <v>76</v>
      </c>
      <c r="F20" s="1" t="s">
        <v>168</v>
      </c>
      <c r="G20" s="1" t="s">
        <v>169</v>
      </c>
      <c r="H20" s="1" t="s">
        <v>170</v>
      </c>
      <c r="I20" s="1" t="s">
        <v>152</v>
      </c>
      <c r="J20" s="120" t="s">
        <v>171</v>
      </c>
      <c r="K20" s="36" t="s">
        <v>160</v>
      </c>
      <c r="L20" s="74">
        <f>VLOOKUP(E20,Diccionario!C$2:AC$150,22,0)</f>
        <v>5280083724</v>
      </c>
      <c r="M20" s="75">
        <f>VLOOKUP(E20,Diccionario!C$2:AC$150,24,0)</f>
        <v>45300</v>
      </c>
      <c r="N20" s="76">
        <f>VLOOKUP(E20,Diccionario!C$2:AC$150,25,0)</f>
        <v>45473</v>
      </c>
      <c r="O20" s="77">
        <f>VLOOKUP(E20,Diccionario!C$2:AC$150,26,0)</f>
        <v>5.7</v>
      </c>
      <c r="P20" s="77">
        <f t="shared" ref="P20:P21" si="14">Q20-O20</f>
        <v>1.2999999999999998</v>
      </c>
      <c r="Q20" s="36">
        <v>7</v>
      </c>
      <c r="R20" s="36">
        <v>6</v>
      </c>
      <c r="S20" s="86">
        <v>1</v>
      </c>
      <c r="T20" s="86">
        <v>0.9</v>
      </c>
      <c r="U20" s="82">
        <v>13401297</v>
      </c>
      <c r="V20" s="82">
        <v>13401297</v>
      </c>
      <c r="W20" s="82">
        <f t="shared" si="0"/>
        <v>4752075351.6000004</v>
      </c>
      <c r="X20" s="82">
        <f t="shared" ref="X20:X27" si="15">S20*L20</f>
        <v>5280083724</v>
      </c>
      <c r="Y20" s="82">
        <f t="shared" si="2"/>
        <v>4738674054.6000004</v>
      </c>
      <c r="Z20" s="82">
        <f t="shared" ref="Z20:Z27" si="16">W20-X20</f>
        <v>-528008372.39999962</v>
      </c>
      <c r="AA20" s="83">
        <f t="shared" si="11"/>
        <v>354.59816699831367</v>
      </c>
      <c r="AB20" s="84" t="str">
        <f t="shared" ref="AB20:AB27" si="17">IFERROR(
  IF(OR(AA20="",AA20=0),
    "No calculado",
    IF(AA20&gt;1,"Costo eficiente: se está gastando menos de lo presupuestado",
      IF(AA20=1,"Costo según lo presupuestado",
        "Costo ineficiente: se está gastando más de lo presupuestado"))),
"No calculado")</f>
        <v>Costo eficiente: se está gastando menos de lo presupuestado</v>
      </c>
      <c r="AC20" s="84">
        <f t="shared" si="4"/>
        <v>0.9</v>
      </c>
      <c r="AD20" s="84" t="str">
        <f t="shared" ref="AD20:AD27" si="18">IF(OR(AC20="",AC20=0),"Sin Línea Base",
IF(AC20&gt;1,"Proyecto adelantado respecto al cronograma",
IF(AC20=1,"Proyecto a tiempo según lo planificado",
IF(AC20&lt;1,"Proyecto atrasado con respecto al cronograma",
"No calculado"))))</f>
        <v>Proyecto atrasado con respecto al cronograma</v>
      </c>
      <c r="AE20" s="85">
        <f t="shared" si="6"/>
        <v>14890330</v>
      </c>
      <c r="AF20" s="85">
        <f t="shared" si="7"/>
        <v>-5265193394</v>
      </c>
      <c r="AG20" s="40" t="str">
        <f>VLOOKUP(Indicador!E20,Diccionario!C$1:AC$150,27,0)</f>
        <v>https://growdatasas.sharepoint.com/:x:/r/sites/Gestiondocumental/Administrativa/GD/Financiera/_layouts/15/Doc.aspx?sourcedoc=%7BB4DE39AF-1EC1-466C-A807-3FE95776A982%7D&amp;file=17012024%20INFOTIC%20DPC%20SOC%20V2.xlsm&amp;action=default&amp;mobileredirect=true</v>
      </c>
      <c r="AH20" s="40">
        <v>1</v>
      </c>
      <c r="AI20" s="40">
        <v>1</v>
      </c>
    </row>
    <row r="21" spans="1:35" ht="18.75" customHeight="1">
      <c r="A21" s="87">
        <v>2024</v>
      </c>
      <c r="B21" s="112" t="s">
        <v>26</v>
      </c>
      <c r="C21" s="1" t="s">
        <v>167</v>
      </c>
      <c r="D21" s="119">
        <v>45307.664935879628</v>
      </c>
      <c r="E21" s="36" t="s">
        <v>76</v>
      </c>
      <c r="F21" s="1" t="s">
        <v>168</v>
      </c>
      <c r="G21" s="1" t="s">
        <v>169</v>
      </c>
      <c r="H21" s="1" t="s">
        <v>170</v>
      </c>
      <c r="I21" s="1" t="s">
        <v>152</v>
      </c>
      <c r="J21" s="120" t="s">
        <v>171</v>
      </c>
      <c r="K21" s="36" t="s">
        <v>160</v>
      </c>
      <c r="L21" s="74">
        <f>VLOOKUP(E21,Diccionario!C$2:AC$150,22,0)</f>
        <v>5280083724</v>
      </c>
      <c r="M21" s="75">
        <f>VLOOKUP(E21,Diccionario!C$2:AC$150,24,0)</f>
        <v>45300</v>
      </c>
      <c r="N21" s="76">
        <f>VLOOKUP(E21,Diccionario!C$2:AC$150,25,0)</f>
        <v>45473</v>
      </c>
      <c r="O21" s="77">
        <f>VLOOKUP(E21,Diccionario!C$2:AC$150,26,0)</f>
        <v>5.7</v>
      </c>
      <c r="P21" s="77">
        <f t="shared" si="14"/>
        <v>2.2999999999999998</v>
      </c>
      <c r="Q21" s="36">
        <v>8</v>
      </c>
      <c r="R21" s="36">
        <v>6</v>
      </c>
      <c r="S21" s="86">
        <v>1</v>
      </c>
      <c r="T21" s="86">
        <v>1</v>
      </c>
      <c r="U21" s="82">
        <v>13401297</v>
      </c>
      <c r="V21" s="82">
        <v>13401297</v>
      </c>
      <c r="W21" s="82">
        <f t="shared" si="0"/>
        <v>5280083724</v>
      </c>
      <c r="X21" s="82">
        <f t="shared" si="15"/>
        <v>5280083724</v>
      </c>
      <c r="Y21" s="82">
        <f t="shared" si="2"/>
        <v>5266682427</v>
      </c>
      <c r="Z21" s="82">
        <f t="shared" si="16"/>
        <v>0</v>
      </c>
      <c r="AA21" s="83">
        <f t="shared" si="11"/>
        <v>393.99796333145963</v>
      </c>
      <c r="AB21" s="84" t="str">
        <f t="shared" si="17"/>
        <v>Costo eficiente: se está gastando menos de lo presupuestado</v>
      </c>
      <c r="AC21" s="84">
        <f t="shared" si="4"/>
        <v>1</v>
      </c>
      <c r="AD21" s="84" t="str">
        <f t="shared" si="18"/>
        <v>Proyecto a tiempo según lo planificado</v>
      </c>
      <c r="AE21" s="85">
        <f t="shared" si="6"/>
        <v>13401297</v>
      </c>
      <c r="AF21" s="85">
        <f t="shared" si="7"/>
        <v>-5266682427</v>
      </c>
      <c r="AG21" s="40" t="str">
        <f>VLOOKUP(Indicador!E21,Diccionario!C$1:AC$150,27,0)</f>
        <v>https://growdatasas.sharepoint.com/:x:/r/sites/Gestiondocumental/Administrativa/GD/Financiera/_layouts/15/Doc.aspx?sourcedoc=%7BB4DE39AF-1EC1-466C-A807-3FE95776A982%7D&amp;file=17012024%20INFOTIC%20DPC%20SOC%20V2.xlsm&amp;action=default&amp;mobileredirect=true</v>
      </c>
      <c r="AH21" s="40">
        <v>1</v>
      </c>
      <c r="AI21" s="40">
        <v>1</v>
      </c>
    </row>
    <row r="22" spans="1:35" ht="18.75" customHeight="1">
      <c r="A22" s="73">
        <v>2024</v>
      </c>
      <c r="B22" s="112" t="s">
        <v>14</v>
      </c>
      <c r="C22" s="1" t="s">
        <v>172</v>
      </c>
      <c r="D22" s="119">
        <v>45296.528889155095</v>
      </c>
      <c r="E22" s="36" t="s">
        <v>85</v>
      </c>
      <c r="F22" s="1" t="s">
        <v>162</v>
      </c>
      <c r="G22" s="1" t="s">
        <v>173</v>
      </c>
      <c r="H22" s="1" t="s">
        <v>174</v>
      </c>
      <c r="I22" s="1" t="s">
        <v>175</v>
      </c>
      <c r="J22" s="120" t="s">
        <v>176</v>
      </c>
      <c r="K22" s="1" t="s">
        <v>177</v>
      </c>
      <c r="L22" s="74">
        <f>VLOOKUP(E22,Diccionario!C$2:AC$150,22,0)</f>
        <v>3323223361</v>
      </c>
      <c r="M22" s="75">
        <f>VLOOKUP(E22,Diccionario!C$2:AC$150,24,0)</f>
        <v>45300</v>
      </c>
      <c r="N22" s="76">
        <f>VLOOKUP(E22,Diccionario!C$2:AC$150,25,0)</f>
        <v>45473</v>
      </c>
      <c r="O22" s="77">
        <f>VLOOKUP(E22,Diccionario!C$2:AC$150,26,0)</f>
        <v>5.7</v>
      </c>
      <c r="P22" s="77">
        <f t="shared" ref="P22:P27" si="19">Q22-O22</f>
        <v>-4.7</v>
      </c>
      <c r="Q22" s="78">
        <v>1</v>
      </c>
      <c r="R22" s="36">
        <v>6</v>
      </c>
      <c r="S22" s="86">
        <v>0.2</v>
      </c>
      <c r="T22" s="86">
        <v>0.2</v>
      </c>
      <c r="U22" s="82"/>
      <c r="V22" s="82"/>
      <c r="W22" s="82">
        <f t="shared" si="0"/>
        <v>664644672.20000005</v>
      </c>
      <c r="X22" s="82">
        <f t="shared" si="15"/>
        <v>664644672.20000005</v>
      </c>
      <c r="Y22" s="82">
        <f t="shared" si="2"/>
        <v>664644672.20000005</v>
      </c>
      <c r="Z22" s="82">
        <f t="shared" si="16"/>
        <v>0</v>
      </c>
      <c r="AA22" s="83" t="str">
        <f t="shared" si="11"/>
        <v>No se realizó gasto en este corte</v>
      </c>
      <c r="AB22" s="84" t="str">
        <f t="shared" si="17"/>
        <v>Costo eficiente: se está gastando menos de lo presupuestado</v>
      </c>
      <c r="AC22" s="84">
        <f t="shared" si="4"/>
        <v>1</v>
      </c>
      <c r="AD22" s="84" t="str">
        <f t="shared" si="18"/>
        <v>Proyecto a tiempo según lo planificado</v>
      </c>
      <c r="AE22" s="85">
        <f t="shared" si="6"/>
        <v>0</v>
      </c>
      <c r="AF22" s="85">
        <f t="shared" si="7"/>
        <v>-3323223361</v>
      </c>
      <c r="AG22" s="40" t="str">
        <f>VLOOKUP(Indicador!E22,Diccionario!C$1:AC$150,27,0)</f>
        <v>https://growdatasas.sharepoint.com/:x:/r/sites/Gestiondocumental/Administrativa/GD/Financiera/_layouts/15/Doc.aspx?sourcedoc=%7BC3EFE0E2-C211-45B0-905D-ECEF11221767%7D&amp;file=299.%20DEFENSORIA_ERP.xlsm&amp;action=default&amp;mobileredirect=true</v>
      </c>
      <c r="AH22" s="40">
        <v>1</v>
      </c>
      <c r="AI22" s="40">
        <v>1</v>
      </c>
    </row>
    <row r="23" spans="1:35" ht="18.75" customHeight="1">
      <c r="A23" s="73">
        <v>2024</v>
      </c>
      <c r="B23" s="112" t="s">
        <v>22</v>
      </c>
      <c r="C23" s="1" t="s">
        <v>172</v>
      </c>
      <c r="D23" s="119">
        <v>45296.528889155095</v>
      </c>
      <c r="E23" s="36" t="s">
        <v>85</v>
      </c>
      <c r="F23" s="1" t="s">
        <v>162</v>
      </c>
      <c r="G23" s="1" t="s">
        <v>173</v>
      </c>
      <c r="H23" s="1" t="s">
        <v>174</v>
      </c>
      <c r="I23" s="1" t="s">
        <v>175</v>
      </c>
      <c r="J23" s="120" t="s">
        <v>176</v>
      </c>
      <c r="K23" s="1" t="s">
        <v>177</v>
      </c>
      <c r="L23" s="74">
        <f>VLOOKUP(E23,Diccionario!C$2:AC$150,22,0)</f>
        <v>3323223361</v>
      </c>
      <c r="M23" s="75">
        <f>VLOOKUP(E23,Diccionario!C$2:AC$150,24,0)</f>
        <v>45300</v>
      </c>
      <c r="N23" s="76">
        <f>VLOOKUP(E23,Diccionario!C$2:AC$150,25,0)</f>
        <v>45473</v>
      </c>
      <c r="O23" s="77">
        <f>VLOOKUP(E23,Diccionario!C$2:AC$150,26,0)</f>
        <v>5.7</v>
      </c>
      <c r="P23" s="77">
        <f t="shared" si="19"/>
        <v>-3.7</v>
      </c>
      <c r="Q23" s="78">
        <v>2</v>
      </c>
      <c r="R23" s="36">
        <v>6</v>
      </c>
      <c r="S23" s="86">
        <v>0.3</v>
      </c>
      <c r="T23" s="86">
        <v>0.3</v>
      </c>
      <c r="U23" s="82"/>
      <c r="V23" s="82"/>
      <c r="W23" s="82">
        <f t="shared" si="0"/>
        <v>996967008.29999995</v>
      </c>
      <c r="X23" s="82">
        <f t="shared" si="15"/>
        <v>996967008.29999995</v>
      </c>
      <c r="Y23" s="82">
        <f t="shared" si="2"/>
        <v>996967008.29999995</v>
      </c>
      <c r="Z23" s="82">
        <f t="shared" si="16"/>
        <v>0</v>
      </c>
      <c r="AA23" s="83" t="str">
        <f t="shared" si="11"/>
        <v>No se realizó gasto en este corte</v>
      </c>
      <c r="AB23" s="84" t="str">
        <f t="shared" si="17"/>
        <v>Costo eficiente: se está gastando menos de lo presupuestado</v>
      </c>
      <c r="AC23" s="84">
        <f t="shared" si="4"/>
        <v>1</v>
      </c>
      <c r="AD23" s="84" t="str">
        <f t="shared" si="18"/>
        <v>Proyecto a tiempo según lo planificado</v>
      </c>
      <c r="AE23" s="85">
        <f t="shared" si="6"/>
        <v>0</v>
      </c>
      <c r="AF23" s="85">
        <f t="shared" si="7"/>
        <v>-3323223361</v>
      </c>
      <c r="AG23" s="40" t="str">
        <f>VLOOKUP(Indicador!E23,Diccionario!C$1:AC$150,27,0)</f>
        <v>https://growdatasas.sharepoint.com/:x:/r/sites/Gestiondocumental/Administrativa/GD/Financiera/_layouts/15/Doc.aspx?sourcedoc=%7BC3EFE0E2-C211-45B0-905D-ECEF11221767%7D&amp;file=299.%20DEFENSORIA_ERP.xlsm&amp;action=default&amp;mobileredirect=true</v>
      </c>
      <c r="AH23" s="40">
        <v>1</v>
      </c>
      <c r="AI23" s="40">
        <v>1</v>
      </c>
    </row>
    <row r="24" spans="1:35" ht="18.75" customHeight="1">
      <c r="A24" s="73">
        <v>2024</v>
      </c>
      <c r="B24" s="112" t="s">
        <v>24</v>
      </c>
      <c r="C24" s="1" t="s">
        <v>172</v>
      </c>
      <c r="D24" s="119">
        <v>45296.528889155095</v>
      </c>
      <c r="E24" s="36" t="s">
        <v>85</v>
      </c>
      <c r="F24" s="1" t="s">
        <v>162</v>
      </c>
      <c r="G24" s="1" t="s">
        <v>173</v>
      </c>
      <c r="H24" s="1" t="s">
        <v>174</v>
      </c>
      <c r="I24" s="1" t="s">
        <v>175</v>
      </c>
      <c r="J24" s="120" t="s">
        <v>176</v>
      </c>
      <c r="K24" s="1" t="s">
        <v>177</v>
      </c>
      <c r="L24" s="74">
        <f>VLOOKUP(E24,Diccionario!C$2:AC$150,22,0)</f>
        <v>3323223361</v>
      </c>
      <c r="M24" s="75">
        <f>VLOOKUP(E24,Diccionario!C$2:AC$150,24,0)</f>
        <v>45300</v>
      </c>
      <c r="N24" s="76">
        <f>VLOOKUP(E24,Diccionario!C$2:AC$150,25,0)</f>
        <v>45473</v>
      </c>
      <c r="O24" s="77">
        <f>VLOOKUP(E24,Diccionario!C$2:AC$150,26,0)</f>
        <v>5.7</v>
      </c>
      <c r="P24" s="77">
        <f t="shared" ca="1" si="19"/>
        <v>24.3</v>
      </c>
      <c r="Q24" s="78">
        <f ca="1">DATEDIF(M24,TODAY(),"m")</f>
        <v>30</v>
      </c>
      <c r="R24" s="36">
        <v>6</v>
      </c>
      <c r="S24" s="86">
        <v>0.5</v>
      </c>
      <c r="T24" s="86">
        <v>0.4</v>
      </c>
      <c r="U24" s="82"/>
      <c r="V24" s="82"/>
      <c r="W24" s="82">
        <f t="shared" si="0"/>
        <v>1329289344.4000001</v>
      </c>
      <c r="X24" s="82">
        <f t="shared" si="15"/>
        <v>1661611680.5</v>
      </c>
      <c r="Y24" s="82">
        <f t="shared" si="2"/>
        <v>1329289344.4000001</v>
      </c>
      <c r="Z24" s="82">
        <f t="shared" si="16"/>
        <v>-332322336.0999999</v>
      </c>
      <c r="AA24" s="83" t="str">
        <f t="shared" si="11"/>
        <v>No se realizó gasto en este corte</v>
      </c>
      <c r="AB24" s="84" t="str">
        <f t="shared" si="17"/>
        <v>Costo eficiente: se está gastando menos de lo presupuestado</v>
      </c>
      <c r="AC24" s="84">
        <f t="shared" si="4"/>
        <v>0.8</v>
      </c>
      <c r="AD24" s="84" t="str">
        <f t="shared" si="18"/>
        <v>Proyecto atrasado con respecto al cronograma</v>
      </c>
      <c r="AE24" s="85">
        <f t="shared" si="6"/>
        <v>0</v>
      </c>
      <c r="AF24" s="85">
        <f t="shared" si="7"/>
        <v>-3323223361</v>
      </c>
      <c r="AG24" s="40" t="str">
        <f>VLOOKUP(Indicador!E24,Diccionario!C$1:AC$150,27,0)</f>
        <v>https://growdatasas.sharepoint.com/:x:/r/sites/Gestiondocumental/Administrativa/GD/Financiera/_layouts/15/Doc.aspx?sourcedoc=%7BC3EFE0E2-C211-45B0-905D-ECEF11221767%7D&amp;file=299.%20DEFENSORIA_ERP.xlsm&amp;action=default&amp;mobileredirect=true</v>
      </c>
      <c r="AH24" s="40">
        <v>1</v>
      </c>
      <c r="AI24" s="40">
        <v>1</v>
      </c>
    </row>
    <row r="25" spans="1:35" ht="18.75" customHeight="1">
      <c r="A25" s="73">
        <v>2024</v>
      </c>
      <c r="B25" s="112" t="s">
        <v>27</v>
      </c>
      <c r="C25" s="1" t="s">
        <v>172</v>
      </c>
      <c r="D25" s="119">
        <v>45296.528889155095</v>
      </c>
      <c r="E25" s="36" t="s">
        <v>85</v>
      </c>
      <c r="F25" s="1" t="s">
        <v>162</v>
      </c>
      <c r="G25" s="1" t="s">
        <v>173</v>
      </c>
      <c r="H25" s="1" t="s">
        <v>174</v>
      </c>
      <c r="I25" s="1" t="s">
        <v>175</v>
      </c>
      <c r="J25" s="120" t="s">
        <v>176</v>
      </c>
      <c r="K25" s="1" t="s">
        <v>177</v>
      </c>
      <c r="L25" s="74">
        <f>VLOOKUP(E25,Diccionario!C$2:AC$150,22,0)</f>
        <v>3323223361</v>
      </c>
      <c r="M25" s="75">
        <f>VLOOKUP(E25,Diccionario!C$2:AC$150,24,0)</f>
        <v>45300</v>
      </c>
      <c r="N25" s="76">
        <f>VLOOKUP(E25,Diccionario!C$2:AC$150,25,0)</f>
        <v>45473</v>
      </c>
      <c r="O25" s="77">
        <f>VLOOKUP(E25,Diccionario!C$2:AC$150,26,0)</f>
        <v>5.7</v>
      </c>
      <c r="P25" s="77">
        <f t="shared" ca="1" si="19"/>
        <v>24.3</v>
      </c>
      <c r="Q25" s="78">
        <f ca="1">DATEDIF(M25,TODAY(),"m")</f>
        <v>30</v>
      </c>
      <c r="R25" s="36">
        <v>6</v>
      </c>
      <c r="S25" s="86">
        <v>0.75</v>
      </c>
      <c r="T25" s="86">
        <f t="shared" ref="T25:T26" si="20">T24+0.02</f>
        <v>0.42000000000000004</v>
      </c>
      <c r="U25" s="82"/>
      <c r="V25" s="82"/>
      <c r="W25" s="82">
        <f t="shared" si="0"/>
        <v>1395753811.6200001</v>
      </c>
      <c r="X25" s="82">
        <f t="shared" si="15"/>
        <v>2492417520.75</v>
      </c>
      <c r="Y25" s="82">
        <f t="shared" si="2"/>
        <v>1395753811.6200001</v>
      </c>
      <c r="Z25" s="82">
        <f t="shared" si="16"/>
        <v>-1096663709.1299999</v>
      </c>
      <c r="AA25" s="83" t="str">
        <f t="shared" si="11"/>
        <v>No se realizó gasto en este corte</v>
      </c>
      <c r="AB25" s="84" t="str">
        <f t="shared" si="17"/>
        <v>Costo eficiente: se está gastando menos de lo presupuestado</v>
      </c>
      <c r="AC25" s="84">
        <f t="shared" si="4"/>
        <v>0.56000000000000005</v>
      </c>
      <c r="AD25" s="84" t="str">
        <f t="shared" si="18"/>
        <v>Proyecto atrasado con respecto al cronograma</v>
      </c>
      <c r="AE25" s="85">
        <f t="shared" si="6"/>
        <v>0</v>
      </c>
      <c r="AF25" s="85">
        <f t="shared" si="7"/>
        <v>-3323223361</v>
      </c>
      <c r="AG25" s="40" t="str">
        <f>VLOOKUP(Indicador!E25,Diccionario!C$1:AC$150,27,0)</f>
        <v>https://growdatasas.sharepoint.com/:x:/r/sites/Gestiondocumental/Administrativa/GD/Financiera/_layouts/15/Doc.aspx?sourcedoc=%7BC3EFE0E2-C211-45B0-905D-ECEF11221767%7D&amp;file=299.%20DEFENSORIA_ERP.xlsm&amp;action=default&amp;mobileredirect=true</v>
      </c>
      <c r="AH25" s="40">
        <v>1</v>
      </c>
      <c r="AI25" s="40">
        <v>1</v>
      </c>
    </row>
    <row r="26" spans="1:35" ht="18.75" customHeight="1">
      <c r="A26" s="73">
        <v>2024</v>
      </c>
      <c r="B26" s="112" t="s">
        <v>13</v>
      </c>
      <c r="C26" s="1" t="s">
        <v>172</v>
      </c>
      <c r="D26" s="119">
        <v>45296.528889155095</v>
      </c>
      <c r="E26" s="36" t="s">
        <v>85</v>
      </c>
      <c r="F26" s="1" t="s">
        <v>162</v>
      </c>
      <c r="G26" s="1" t="s">
        <v>173</v>
      </c>
      <c r="H26" s="1" t="s">
        <v>174</v>
      </c>
      <c r="I26" s="1" t="s">
        <v>175</v>
      </c>
      <c r="J26" s="120" t="s">
        <v>176</v>
      </c>
      <c r="K26" s="1" t="s">
        <v>177</v>
      </c>
      <c r="L26" s="74">
        <f>VLOOKUP(E26,Diccionario!C$2:AC$150,22,0)</f>
        <v>3323223361</v>
      </c>
      <c r="M26" s="75">
        <f>VLOOKUP(E26,Diccionario!C$2:AC$150,24,0)</f>
        <v>45300</v>
      </c>
      <c r="N26" s="76">
        <f>VLOOKUP(E26,Diccionario!C$2:AC$150,25,0)</f>
        <v>45473</v>
      </c>
      <c r="O26" s="77">
        <f>VLOOKUP(E26,Diccionario!C$2:AC$150,26,0)</f>
        <v>5.7</v>
      </c>
      <c r="P26" s="77">
        <f t="shared" ca="1" si="19"/>
        <v>24.3</v>
      </c>
      <c r="Q26" s="78">
        <f ca="1">DATEDIF(M26,TODAY(),"m")</f>
        <v>30</v>
      </c>
      <c r="R26" s="36">
        <v>6</v>
      </c>
      <c r="S26" s="86">
        <v>0.8</v>
      </c>
      <c r="T26" s="86">
        <f t="shared" si="20"/>
        <v>0.44000000000000006</v>
      </c>
      <c r="U26" s="82"/>
      <c r="V26" s="82"/>
      <c r="W26" s="82">
        <f t="shared" si="0"/>
        <v>1462218278.8400002</v>
      </c>
      <c r="X26" s="82">
        <f t="shared" si="15"/>
        <v>2658578688.8000002</v>
      </c>
      <c r="Y26" s="82">
        <f t="shared" si="2"/>
        <v>1462218278.8400002</v>
      </c>
      <c r="Z26" s="82">
        <f t="shared" si="16"/>
        <v>-1196360409.96</v>
      </c>
      <c r="AA26" s="83" t="str">
        <f t="shared" si="11"/>
        <v>No se realizó gasto en este corte</v>
      </c>
      <c r="AB26" s="84" t="str">
        <f t="shared" si="17"/>
        <v>Costo eficiente: se está gastando menos de lo presupuestado</v>
      </c>
      <c r="AC26" s="84">
        <f t="shared" si="4"/>
        <v>0.55000000000000004</v>
      </c>
      <c r="AD26" s="84" t="str">
        <f t="shared" si="18"/>
        <v>Proyecto atrasado con respecto al cronograma</v>
      </c>
      <c r="AE26" s="85">
        <f t="shared" si="6"/>
        <v>0</v>
      </c>
      <c r="AF26" s="85">
        <f t="shared" si="7"/>
        <v>-3323223361</v>
      </c>
      <c r="AG26" s="40" t="str">
        <f>VLOOKUP(Indicador!E26,Diccionario!C$1:AC$150,27,0)</f>
        <v>https://growdatasas.sharepoint.com/:x:/r/sites/Gestiondocumental/Administrativa/GD/Financiera/_layouts/15/Doc.aspx?sourcedoc=%7BC3EFE0E2-C211-45B0-905D-ECEF11221767%7D&amp;file=299.%20DEFENSORIA_ERP.xlsm&amp;action=default&amp;mobileredirect=true</v>
      </c>
      <c r="AH26" s="40">
        <v>1</v>
      </c>
      <c r="AI26" s="40">
        <v>1</v>
      </c>
    </row>
    <row r="27" spans="1:35" ht="18.75" customHeight="1">
      <c r="A27" s="73">
        <v>2024</v>
      </c>
      <c r="B27" s="112" t="s">
        <v>21</v>
      </c>
      <c r="C27" s="1" t="s">
        <v>172</v>
      </c>
      <c r="D27" s="119">
        <v>45296.528889155095</v>
      </c>
      <c r="E27" s="36" t="s">
        <v>85</v>
      </c>
      <c r="F27" s="1" t="s">
        <v>162</v>
      </c>
      <c r="G27" s="1" t="s">
        <v>173</v>
      </c>
      <c r="H27" s="1" t="s">
        <v>174</v>
      </c>
      <c r="I27" s="1" t="s">
        <v>175</v>
      </c>
      <c r="J27" s="120" t="s">
        <v>176</v>
      </c>
      <c r="K27" s="1" t="s">
        <v>177</v>
      </c>
      <c r="L27" s="74">
        <f>VLOOKUP(E27,Diccionario!C$2:AC$150,22,0)</f>
        <v>3323223361</v>
      </c>
      <c r="M27" s="75">
        <f>VLOOKUP(E27,Diccionario!C$2:AC$150,24,0)</f>
        <v>45300</v>
      </c>
      <c r="N27" s="76">
        <f>VLOOKUP(E27,Diccionario!C$2:AC$150,25,0)</f>
        <v>45473</v>
      </c>
      <c r="O27" s="77">
        <f>VLOOKUP(E27,Diccionario!C$2:AC$150,26,0)</f>
        <v>5.7</v>
      </c>
      <c r="P27" s="77">
        <f t="shared" ca="1" si="19"/>
        <v>24.3</v>
      </c>
      <c r="Q27" s="78">
        <f ca="1">DATEDIF(M27,TODAY(),"m")</f>
        <v>30</v>
      </c>
      <c r="R27" s="36">
        <v>6</v>
      </c>
      <c r="S27" s="86">
        <v>1</v>
      </c>
      <c r="T27" s="86">
        <f>T26+0.02</f>
        <v>0.46000000000000008</v>
      </c>
      <c r="U27" s="82"/>
      <c r="V27" s="82"/>
      <c r="W27" s="82">
        <f t="shared" si="0"/>
        <v>1528682746.0600002</v>
      </c>
      <c r="X27" s="82">
        <f t="shared" si="15"/>
        <v>3323223361</v>
      </c>
      <c r="Y27" s="82">
        <f t="shared" si="2"/>
        <v>1528682746.0600002</v>
      </c>
      <c r="Z27" s="82">
        <f t="shared" si="16"/>
        <v>-1794540614.9399998</v>
      </c>
      <c r="AA27" s="83" t="str">
        <f t="shared" si="11"/>
        <v>No se realizó gasto en este corte</v>
      </c>
      <c r="AB27" s="84" t="str">
        <f t="shared" si="17"/>
        <v>Costo eficiente: se está gastando menos de lo presupuestado</v>
      </c>
      <c r="AC27" s="84">
        <f t="shared" si="4"/>
        <v>0.46000000000000008</v>
      </c>
      <c r="AD27" s="84" t="str">
        <f t="shared" si="18"/>
        <v>Proyecto atrasado con respecto al cronograma</v>
      </c>
      <c r="AE27" s="85">
        <f t="shared" si="6"/>
        <v>0</v>
      </c>
      <c r="AF27" s="85">
        <f t="shared" si="7"/>
        <v>-3323223361</v>
      </c>
      <c r="AG27" s="40" t="str">
        <f>VLOOKUP(Indicador!E27,Diccionario!C$1:AC$150,27,0)</f>
        <v>https://growdatasas.sharepoint.com/:x:/r/sites/Gestiondocumental/Administrativa/GD/Financiera/_layouts/15/Doc.aspx?sourcedoc=%7BC3EFE0E2-C211-45B0-905D-ECEF11221767%7D&amp;file=299.%20DEFENSORIA_ERP.xlsm&amp;action=default&amp;mobileredirect=true</v>
      </c>
      <c r="AH27" s="40">
        <v>1</v>
      </c>
      <c r="AI27" s="40">
        <v>1</v>
      </c>
    </row>
    <row r="28" spans="1:35" ht="18.75" customHeight="1">
      <c r="A28" s="73">
        <v>2024</v>
      </c>
      <c r="B28" s="112" t="s">
        <v>23</v>
      </c>
      <c r="C28" s="1" t="s">
        <v>172</v>
      </c>
      <c r="D28" s="119">
        <v>45296.528889155095</v>
      </c>
      <c r="E28" s="36" t="s">
        <v>85</v>
      </c>
      <c r="F28" s="1" t="s">
        <v>162</v>
      </c>
      <c r="G28" s="1" t="s">
        <v>173</v>
      </c>
      <c r="H28" s="1" t="s">
        <v>174</v>
      </c>
      <c r="I28" s="1" t="s">
        <v>175</v>
      </c>
      <c r="J28" s="120" t="s">
        <v>176</v>
      </c>
      <c r="K28" s="1" t="s">
        <v>177</v>
      </c>
      <c r="L28" s="74">
        <f>VLOOKUP(E28,Diccionario!C$2:AC$150,22,0)</f>
        <v>3323223361</v>
      </c>
      <c r="M28" s="75">
        <f>VLOOKUP(E28,Diccionario!C$2:AC$150,24,0)</f>
        <v>45300</v>
      </c>
      <c r="N28" s="76">
        <f>VLOOKUP(E28,Diccionario!C$2:AC$150,25,0)</f>
        <v>45473</v>
      </c>
      <c r="O28" s="77">
        <f>VLOOKUP(E28,Diccionario!C$2:AC$150,26,0)</f>
        <v>5.7</v>
      </c>
      <c r="P28" s="77">
        <f t="shared" ref="P28:P47" ca="1" si="21">Q28-O28</f>
        <v>24.3</v>
      </c>
      <c r="Q28" s="78">
        <f t="shared" ref="Q28:Q47" ca="1" si="22">DATEDIF(M28,TODAY(),"m")</f>
        <v>30</v>
      </c>
      <c r="R28" s="36">
        <v>6</v>
      </c>
      <c r="S28" s="86">
        <v>1</v>
      </c>
      <c r="T28" s="86">
        <f t="shared" ref="T28:T47" si="23">T27+0.02</f>
        <v>0.48000000000000009</v>
      </c>
      <c r="U28" s="82"/>
      <c r="V28" s="82"/>
      <c r="W28" s="82">
        <f t="shared" si="0"/>
        <v>1595147213.2800002</v>
      </c>
      <c r="X28" s="82">
        <f t="shared" ref="X28:X47" si="24">S28*L28</f>
        <v>3323223361</v>
      </c>
      <c r="Y28" s="82">
        <f t="shared" si="2"/>
        <v>1595147213.2800002</v>
      </c>
      <c r="Z28" s="82">
        <f t="shared" ref="Z28:Z47" si="25">W28-X28</f>
        <v>-1728076147.7199998</v>
      </c>
      <c r="AA28" s="83" t="str">
        <f t="shared" si="11"/>
        <v>No se realizó gasto en este corte</v>
      </c>
      <c r="AB28" s="84" t="str">
        <f t="shared" ref="AB28:AB47" si="26">IFERROR(
  IF(OR(AA28="",AA28=0),
    "No calculado",
    IF(AA28&gt;1,"Costo eficiente: se está gastando menos de lo presupuestado",
      IF(AA28=1,"Costo según lo presupuestado",
        "Costo ineficiente: se está gastando más de lo presupuestado"))),
"No calculado")</f>
        <v>Costo eficiente: se está gastando menos de lo presupuestado</v>
      </c>
      <c r="AC28" s="84">
        <f t="shared" si="4"/>
        <v>0.48000000000000004</v>
      </c>
      <c r="AD28" s="84" t="str">
        <f t="shared" ref="AD28:AD47" si="27">IF(OR(AC28="",AC28=0),"Sin Línea Base",
IF(AC28&gt;1,"Proyecto adelantado respecto al cronograma",
IF(AC28=1,"Proyecto a tiempo según lo planificado",
IF(AC28&lt;1,"Proyecto atrasado con respecto al cronograma",
"No calculado"))))</f>
        <v>Proyecto atrasado con respecto al cronograma</v>
      </c>
      <c r="AE28" s="85">
        <f t="shared" si="6"/>
        <v>0</v>
      </c>
      <c r="AF28" s="85">
        <f t="shared" si="7"/>
        <v>-3323223361</v>
      </c>
      <c r="AG28" s="40" t="str">
        <f>VLOOKUP(Indicador!E28,Diccionario!C$1:AC$150,27,0)</f>
        <v>https://growdatasas.sharepoint.com/:x:/r/sites/Gestiondocumental/Administrativa/GD/Financiera/_layouts/15/Doc.aspx?sourcedoc=%7BC3EFE0E2-C211-45B0-905D-ECEF11221767%7D&amp;file=299.%20DEFENSORIA_ERP.xlsm&amp;action=default&amp;mobileredirect=true</v>
      </c>
      <c r="AH28" s="40">
        <v>1</v>
      </c>
      <c r="AI28" s="40">
        <v>1</v>
      </c>
    </row>
    <row r="29" spans="1:35" ht="18.75" customHeight="1">
      <c r="A29" s="73">
        <v>2024</v>
      </c>
      <c r="B29" s="112" t="s">
        <v>26</v>
      </c>
      <c r="C29" s="1" t="s">
        <v>172</v>
      </c>
      <c r="D29" s="119">
        <v>45296.528889155095</v>
      </c>
      <c r="E29" s="36" t="s">
        <v>85</v>
      </c>
      <c r="F29" s="1" t="s">
        <v>162</v>
      </c>
      <c r="G29" s="1" t="s">
        <v>173</v>
      </c>
      <c r="H29" s="1" t="s">
        <v>174</v>
      </c>
      <c r="I29" s="1" t="s">
        <v>175</v>
      </c>
      <c r="J29" s="120" t="s">
        <v>176</v>
      </c>
      <c r="K29" s="1" t="s">
        <v>177</v>
      </c>
      <c r="L29" s="74">
        <f>VLOOKUP(E29,Diccionario!C$2:AC$150,22,0)</f>
        <v>3323223361</v>
      </c>
      <c r="M29" s="75">
        <f>VLOOKUP(E29,Diccionario!C$2:AC$150,24,0)</f>
        <v>45300</v>
      </c>
      <c r="N29" s="76">
        <f>VLOOKUP(E29,Diccionario!C$2:AC$150,25,0)</f>
        <v>45473</v>
      </c>
      <c r="O29" s="77">
        <f>VLOOKUP(E29,Diccionario!C$2:AC$150,26,0)</f>
        <v>5.7</v>
      </c>
      <c r="P29" s="77">
        <f t="shared" ca="1" si="21"/>
        <v>24.3</v>
      </c>
      <c r="Q29" s="78">
        <f t="shared" ca="1" si="22"/>
        <v>30</v>
      </c>
      <c r="R29" s="36">
        <v>6</v>
      </c>
      <c r="S29" s="86">
        <v>1</v>
      </c>
      <c r="T29" s="86">
        <f t="shared" si="23"/>
        <v>0.50000000000000011</v>
      </c>
      <c r="U29" s="82"/>
      <c r="V29" s="82"/>
      <c r="W29" s="82">
        <f t="shared" si="0"/>
        <v>1661611680.5000005</v>
      </c>
      <c r="X29" s="82">
        <f t="shared" si="24"/>
        <v>3323223361</v>
      </c>
      <c r="Y29" s="82">
        <f t="shared" si="2"/>
        <v>1661611680.5000005</v>
      </c>
      <c r="Z29" s="82">
        <f t="shared" si="25"/>
        <v>-1661611680.4999995</v>
      </c>
      <c r="AA29" s="83" t="str">
        <f t="shared" si="11"/>
        <v>No se realizó gasto en este corte</v>
      </c>
      <c r="AB29" s="84" t="str">
        <f t="shared" si="26"/>
        <v>Costo eficiente: se está gastando menos de lo presupuestado</v>
      </c>
      <c r="AC29" s="84">
        <f t="shared" si="4"/>
        <v>0.50000000000000011</v>
      </c>
      <c r="AD29" s="84" t="str">
        <f t="shared" si="27"/>
        <v>Proyecto atrasado con respecto al cronograma</v>
      </c>
      <c r="AE29" s="85">
        <f t="shared" si="6"/>
        <v>0</v>
      </c>
      <c r="AF29" s="85">
        <f t="shared" si="7"/>
        <v>-3323223361</v>
      </c>
      <c r="AG29" s="40" t="str">
        <f>VLOOKUP(Indicador!E29,Diccionario!C$1:AC$150,27,0)</f>
        <v>https://growdatasas.sharepoint.com/:x:/r/sites/Gestiondocumental/Administrativa/GD/Financiera/_layouts/15/Doc.aspx?sourcedoc=%7BC3EFE0E2-C211-45B0-905D-ECEF11221767%7D&amp;file=299.%20DEFENSORIA_ERP.xlsm&amp;action=default&amp;mobileredirect=true</v>
      </c>
      <c r="AH29" s="40">
        <v>1</v>
      </c>
      <c r="AI29" s="40">
        <v>1</v>
      </c>
    </row>
    <row r="30" spans="1:35" ht="18.75" customHeight="1">
      <c r="A30" s="73">
        <v>2024</v>
      </c>
      <c r="B30" s="112" t="s">
        <v>28</v>
      </c>
      <c r="C30" s="1" t="s">
        <v>172</v>
      </c>
      <c r="D30" s="119">
        <v>45296.528889155095</v>
      </c>
      <c r="E30" s="36" t="s">
        <v>85</v>
      </c>
      <c r="F30" s="1" t="s">
        <v>162</v>
      </c>
      <c r="G30" s="1" t="s">
        <v>173</v>
      </c>
      <c r="H30" s="1" t="s">
        <v>174</v>
      </c>
      <c r="I30" s="1" t="s">
        <v>175</v>
      </c>
      <c r="J30" s="120" t="s">
        <v>176</v>
      </c>
      <c r="K30" s="1" t="s">
        <v>177</v>
      </c>
      <c r="L30" s="74">
        <f>VLOOKUP(E30,Diccionario!C$2:AC$150,22,0)</f>
        <v>3323223361</v>
      </c>
      <c r="M30" s="75">
        <f>VLOOKUP(E30,Diccionario!C$2:AC$150,24,0)</f>
        <v>45300</v>
      </c>
      <c r="N30" s="76">
        <f>VLOOKUP(E30,Diccionario!C$2:AC$150,25,0)</f>
        <v>45473</v>
      </c>
      <c r="O30" s="77">
        <f>VLOOKUP(E30,Diccionario!C$2:AC$150,26,0)</f>
        <v>5.7</v>
      </c>
      <c r="P30" s="77">
        <f t="shared" ca="1" si="21"/>
        <v>24.3</v>
      </c>
      <c r="Q30" s="78">
        <f t="shared" ca="1" si="22"/>
        <v>30</v>
      </c>
      <c r="R30" s="36">
        <v>6</v>
      </c>
      <c r="S30" s="86">
        <v>1</v>
      </c>
      <c r="T30" s="86">
        <f t="shared" si="23"/>
        <v>0.52000000000000013</v>
      </c>
      <c r="U30" s="82"/>
      <c r="V30" s="82"/>
      <c r="W30" s="82">
        <f t="shared" si="0"/>
        <v>1728076147.7200005</v>
      </c>
      <c r="X30" s="82">
        <f t="shared" si="24"/>
        <v>3323223361</v>
      </c>
      <c r="Y30" s="82">
        <f t="shared" si="2"/>
        <v>1728076147.7200005</v>
      </c>
      <c r="Z30" s="82">
        <f t="shared" si="25"/>
        <v>-1595147213.2799995</v>
      </c>
      <c r="AA30" s="83" t="str">
        <f t="shared" si="11"/>
        <v>No se realizó gasto en este corte</v>
      </c>
      <c r="AB30" s="84" t="str">
        <f t="shared" si="26"/>
        <v>Costo eficiente: se está gastando menos de lo presupuestado</v>
      </c>
      <c r="AC30" s="84">
        <f t="shared" si="4"/>
        <v>0.52000000000000013</v>
      </c>
      <c r="AD30" s="84" t="str">
        <f t="shared" si="27"/>
        <v>Proyecto atrasado con respecto al cronograma</v>
      </c>
      <c r="AE30" s="85">
        <f t="shared" si="6"/>
        <v>0</v>
      </c>
      <c r="AF30" s="85">
        <f t="shared" si="7"/>
        <v>-3323223361</v>
      </c>
      <c r="AG30" s="40" t="str">
        <f>VLOOKUP(Indicador!E30,Diccionario!C$1:AC$150,27,0)</f>
        <v>https://growdatasas.sharepoint.com/:x:/r/sites/Gestiondocumental/Administrativa/GD/Financiera/_layouts/15/Doc.aspx?sourcedoc=%7BC3EFE0E2-C211-45B0-905D-ECEF11221767%7D&amp;file=299.%20DEFENSORIA_ERP.xlsm&amp;action=default&amp;mobileredirect=true</v>
      </c>
      <c r="AH30" s="40">
        <v>1</v>
      </c>
      <c r="AI30" s="40">
        <v>1</v>
      </c>
    </row>
    <row r="31" spans="1:35" ht="18.75" customHeight="1">
      <c r="A31" s="73">
        <v>2024</v>
      </c>
      <c r="B31" s="112" t="s">
        <v>30</v>
      </c>
      <c r="C31" s="1" t="s">
        <v>172</v>
      </c>
      <c r="D31" s="119">
        <v>45296.528889155095</v>
      </c>
      <c r="E31" s="36" t="s">
        <v>85</v>
      </c>
      <c r="F31" s="1" t="s">
        <v>162</v>
      </c>
      <c r="G31" s="1" t="s">
        <v>173</v>
      </c>
      <c r="H31" s="1" t="s">
        <v>174</v>
      </c>
      <c r="I31" s="1" t="s">
        <v>175</v>
      </c>
      <c r="J31" s="120" t="s">
        <v>176</v>
      </c>
      <c r="K31" s="1" t="s">
        <v>177</v>
      </c>
      <c r="L31" s="74">
        <f>VLOOKUP(E31,Diccionario!C$2:AC$150,22,0)</f>
        <v>3323223361</v>
      </c>
      <c r="M31" s="75">
        <f>VLOOKUP(E31,Diccionario!C$2:AC$150,24,0)</f>
        <v>45300</v>
      </c>
      <c r="N31" s="76">
        <f>VLOOKUP(E31,Diccionario!C$2:AC$150,25,0)</f>
        <v>45473</v>
      </c>
      <c r="O31" s="77">
        <f>VLOOKUP(E31,Diccionario!C$2:AC$150,26,0)</f>
        <v>5.7</v>
      </c>
      <c r="P31" s="77">
        <f t="shared" ca="1" si="21"/>
        <v>24.3</v>
      </c>
      <c r="Q31" s="78">
        <f t="shared" ca="1" si="22"/>
        <v>30</v>
      </c>
      <c r="R31" s="36">
        <v>6</v>
      </c>
      <c r="S31" s="86">
        <v>1</v>
      </c>
      <c r="T31" s="86">
        <f t="shared" si="23"/>
        <v>0.54000000000000015</v>
      </c>
      <c r="U31" s="82"/>
      <c r="V31" s="82"/>
      <c r="W31" s="82">
        <f t="shared" si="0"/>
        <v>1794540614.9400005</v>
      </c>
      <c r="X31" s="82">
        <f t="shared" si="24"/>
        <v>3323223361</v>
      </c>
      <c r="Y31" s="82">
        <f t="shared" si="2"/>
        <v>1794540614.9400005</v>
      </c>
      <c r="Z31" s="82">
        <f t="shared" si="25"/>
        <v>-1528682746.0599995</v>
      </c>
      <c r="AA31" s="83" t="str">
        <f t="shared" si="11"/>
        <v>No se realizó gasto en este corte</v>
      </c>
      <c r="AB31" s="84" t="str">
        <f t="shared" si="26"/>
        <v>Costo eficiente: se está gastando menos de lo presupuestado</v>
      </c>
      <c r="AC31" s="84">
        <f t="shared" si="4"/>
        <v>0.54000000000000015</v>
      </c>
      <c r="AD31" s="84" t="str">
        <f t="shared" si="27"/>
        <v>Proyecto atrasado con respecto al cronograma</v>
      </c>
      <c r="AE31" s="85">
        <f t="shared" si="6"/>
        <v>0</v>
      </c>
      <c r="AF31" s="85">
        <f t="shared" si="7"/>
        <v>-3323223361</v>
      </c>
      <c r="AG31" s="40" t="str">
        <f>VLOOKUP(Indicador!E31,Diccionario!C$1:AC$150,27,0)</f>
        <v>https://growdatasas.sharepoint.com/:x:/r/sites/Gestiondocumental/Administrativa/GD/Financiera/_layouts/15/Doc.aspx?sourcedoc=%7BC3EFE0E2-C211-45B0-905D-ECEF11221767%7D&amp;file=299.%20DEFENSORIA_ERP.xlsm&amp;action=default&amp;mobileredirect=true</v>
      </c>
      <c r="AH31" s="40">
        <v>1</v>
      </c>
      <c r="AI31" s="40">
        <v>1</v>
      </c>
    </row>
    <row r="32" spans="1:35" ht="18.75" customHeight="1">
      <c r="A32" s="73">
        <v>2024</v>
      </c>
      <c r="B32" s="112" t="s">
        <v>31</v>
      </c>
      <c r="C32" s="1" t="s">
        <v>172</v>
      </c>
      <c r="D32" s="119">
        <v>45296.528889155095</v>
      </c>
      <c r="E32" s="36" t="s">
        <v>85</v>
      </c>
      <c r="F32" s="1" t="s">
        <v>162</v>
      </c>
      <c r="G32" s="1" t="s">
        <v>173</v>
      </c>
      <c r="H32" s="1" t="s">
        <v>174</v>
      </c>
      <c r="I32" s="1" t="s">
        <v>175</v>
      </c>
      <c r="J32" s="120" t="s">
        <v>176</v>
      </c>
      <c r="K32" s="1" t="s">
        <v>177</v>
      </c>
      <c r="L32" s="74">
        <f>VLOOKUP(E32,Diccionario!C$2:AC$150,22,0)</f>
        <v>3323223361</v>
      </c>
      <c r="M32" s="75">
        <f>VLOOKUP(E32,Diccionario!C$2:AC$150,24,0)</f>
        <v>45300</v>
      </c>
      <c r="N32" s="76">
        <f>VLOOKUP(E32,Diccionario!C$2:AC$150,25,0)</f>
        <v>45473</v>
      </c>
      <c r="O32" s="77">
        <f>VLOOKUP(E32,Diccionario!C$2:AC$150,26,0)</f>
        <v>5.7</v>
      </c>
      <c r="P32" s="77">
        <f t="shared" ca="1" si="21"/>
        <v>24.3</v>
      </c>
      <c r="Q32" s="78">
        <f t="shared" ca="1" si="22"/>
        <v>30</v>
      </c>
      <c r="R32" s="36">
        <v>6</v>
      </c>
      <c r="S32" s="86">
        <v>1</v>
      </c>
      <c r="T32" s="86">
        <f t="shared" si="23"/>
        <v>0.56000000000000016</v>
      </c>
      <c r="U32" s="82"/>
      <c r="V32" s="82"/>
      <c r="W32" s="82">
        <f t="shared" si="0"/>
        <v>1861005082.1600006</v>
      </c>
      <c r="X32" s="82">
        <f t="shared" si="24"/>
        <v>3323223361</v>
      </c>
      <c r="Y32" s="82">
        <f t="shared" si="2"/>
        <v>1861005082.1600006</v>
      </c>
      <c r="Z32" s="82">
        <f t="shared" si="25"/>
        <v>-1462218278.8399994</v>
      </c>
      <c r="AA32" s="83" t="str">
        <f t="shared" si="11"/>
        <v>No se realizó gasto en este corte</v>
      </c>
      <c r="AB32" s="84" t="str">
        <f t="shared" si="26"/>
        <v>Costo eficiente: se está gastando menos de lo presupuestado</v>
      </c>
      <c r="AC32" s="84">
        <f t="shared" si="4"/>
        <v>0.56000000000000016</v>
      </c>
      <c r="AD32" s="84" t="str">
        <f t="shared" si="27"/>
        <v>Proyecto atrasado con respecto al cronograma</v>
      </c>
      <c r="AE32" s="85">
        <f t="shared" si="6"/>
        <v>0</v>
      </c>
      <c r="AF32" s="85">
        <f t="shared" si="7"/>
        <v>-3323223361</v>
      </c>
      <c r="AG32" s="40" t="str">
        <f>VLOOKUP(Indicador!E32,Diccionario!C$1:AC$150,27,0)</f>
        <v>https://growdatasas.sharepoint.com/:x:/r/sites/Gestiondocumental/Administrativa/GD/Financiera/_layouts/15/Doc.aspx?sourcedoc=%7BC3EFE0E2-C211-45B0-905D-ECEF11221767%7D&amp;file=299.%20DEFENSORIA_ERP.xlsm&amp;action=default&amp;mobileredirect=true</v>
      </c>
      <c r="AH32" s="40">
        <v>1</v>
      </c>
      <c r="AI32" s="40">
        <v>1</v>
      </c>
    </row>
    <row r="33" spans="1:35" ht="18.75" customHeight="1">
      <c r="A33" s="73">
        <v>2024</v>
      </c>
      <c r="B33" s="112" t="s">
        <v>32</v>
      </c>
      <c r="C33" s="1" t="s">
        <v>172</v>
      </c>
      <c r="D33" s="119">
        <v>45296.528889155095</v>
      </c>
      <c r="E33" s="36" t="s">
        <v>85</v>
      </c>
      <c r="F33" s="1" t="s">
        <v>162</v>
      </c>
      <c r="G33" s="1" t="s">
        <v>173</v>
      </c>
      <c r="H33" s="1" t="s">
        <v>174</v>
      </c>
      <c r="I33" s="1" t="s">
        <v>175</v>
      </c>
      <c r="J33" s="120" t="s">
        <v>176</v>
      </c>
      <c r="K33" s="1" t="s">
        <v>177</v>
      </c>
      <c r="L33" s="74">
        <f>VLOOKUP(E33,Diccionario!C$2:AC$150,22,0)</f>
        <v>3323223361</v>
      </c>
      <c r="M33" s="75">
        <f>VLOOKUP(E33,Diccionario!C$2:AC$150,24,0)</f>
        <v>45300</v>
      </c>
      <c r="N33" s="76">
        <f>VLOOKUP(E33,Diccionario!C$2:AC$150,25,0)</f>
        <v>45473</v>
      </c>
      <c r="O33" s="77">
        <f>VLOOKUP(E33,Diccionario!C$2:AC$150,26,0)</f>
        <v>5.7</v>
      </c>
      <c r="P33" s="77">
        <f t="shared" ca="1" si="21"/>
        <v>24.3</v>
      </c>
      <c r="Q33" s="78">
        <f t="shared" ca="1" si="22"/>
        <v>30</v>
      </c>
      <c r="R33" s="36">
        <v>6</v>
      </c>
      <c r="S33" s="86">
        <v>1</v>
      </c>
      <c r="T33" s="86">
        <f t="shared" si="23"/>
        <v>0.58000000000000018</v>
      </c>
      <c r="U33" s="82"/>
      <c r="V33" s="82"/>
      <c r="W33" s="82">
        <f t="shared" si="0"/>
        <v>1927469549.3800006</v>
      </c>
      <c r="X33" s="82">
        <f t="shared" si="24"/>
        <v>3323223361</v>
      </c>
      <c r="Y33" s="82">
        <f t="shared" si="2"/>
        <v>1927469549.3800006</v>
      </c>
      <c r="Z33" s="82">
        <f t="shared" si="25"/>
        <v>-1395753811.6199994</v>
      </c>
      <c r="AA33" s="83" t="str">
        <f t="shared" si="11"/>
        <v>No se realizó gasto en este corte</v>
      </c>
      <c r="AB33" s="84" t="str">
        <f t="shared" si="26"/>
        <v>Costo eficiente: se está gastando menos de lo presupuestado</v>
      </c>
      <c r="AC33" s="84">
        <f t="shared" si="4"/>
        <v>0.58000000000000018</v>
      </c>
      <c r="AD33" s="84" t="str">
        <f t="shared" si="27"/>
        <v>Proyecto atrasado con respecto al cronograma</v>
      </c>
      <c r="AE33" s="85">
        <f t="shared" si="6"/>
        <v>0</v>
      </c>
      <c r="AF33" s="85">
        <f t="shared" si="7"/>
        <v>-3323223361</v>
      </c>
      <c r="AG33" s="40" t="str">
        <f>VLOOKUP(Indicador!E33,Diccionario!C$1:AC$150,27,0)</f>
        <v>https://growdatasas.sharepoint.com/:x:/r/sites/Gestiondocumental/Administrativa/GD/Financiera/_layouts/15/Doc.aspx?sourcedoc=%7BC3EFE0E2-C211-45B0-905D-ECEF11221767%7D&amp;file=299.%20DEFENSORIA_ERP.xlsm&amp;action=default&amp;mobileredirect=true</v>
      </c>
      <c r="AH33" s="40">
        <v>1</v>
      </c>
      <c r="AI33" s="40">
        <v>1</v>
      </c>
    </row>
    <row r="34" spans="1:35" ht="18.75" customHeight="1">
      <c r="A34" s="87">
        <v>2025</v>
      </c>
      <c r="B34" s="112" t="s">
        <v>14</v>
      </c>
      <c r="C34" s="1" t="s">
        <v>172</v>
      </c>
      <c r="D34" s="119">
        <v>45296.528889155095</v>
      </c>
      <c r="E34" s="36" t="s">
        <v>85</v>
      </c>
      <c r="F34" s="1" t="s">
        <v>162</v>
      </c>
      <c r="G34" s="1" t="s">
        <v>173</v>
      </c>
      <c r="H34" s="1" t="s">
        <v>174</v>
      </c>
      <c r="I34" s="1" t="s">
        <v>175</v>
      </c>
      <c r="J34" s="120" t="s">
        <v>176</v>
      </c>
      <c r="K34" s="1" t="s">
        <v>177</v>
      </c>
      <c r="L34" s="74">
        <f>VLOOKUP(E34,Diccionario!C$2:AC$150,22,0)</f>
        <v>3323223361</v>
      </c>
      <c r="M34" s="75">
        <f>VLOOKUP(E34,Diccionario!C$2:AC$150,24,0)</f>
        <v>45300</v>
      </c>
      <c r="N34" s="76">
        <f>VLOOKUP(E34,Diccionario!C$2:AC$150,25,0)</f>
        <v>45473</v>
      </c>
      <c r="O34" s="77">
        <f>VLOOKUP(E34,Diccionario!C$2:AC$150,26,0)</f>
        <v>5.7</v>
      </c>
      <c r="P34" s="77">
        <f t="shared" ca="1" si="21"/>
        <v>24.3</v>
      </c>
      <c r="Q34" s="78">
        <f t="shared" ca="1" si="22"/>
        <v>30</v>
      </c>
      <c r="R34" s="36">
        <v>6</v>
      </c>
      <c r="S34" s="86">
        <v>1</v>
      </c>
      <c r="T34" s="86">
        <f t="shared" si="23"/>
        <v>0.6000000000000002</v>
      </c>
      <c r="U34" s="82"/>
      <c r="V34" s="82"/>
      <c r="W34" s="82">
        <f t="shared" si="0"/>
        <v>1993934016.6000006</v>
      </c>
      <c r="X34" s="82">
        <f t="shared" si="24"/>
        <v>3323223361</v>
      </c>
      <c r="Y34" s="82">
        <f t="shared" si="2"/>
        <v>1993934016.6000006</v>
      </c>
      <c r="Z34" s="82">
        <f t="shared" si="25"/>
        <v>-1329289344.3999994</v>
      </c>
      <c r="AA34" s="83" t="str">
        <f t="shared" si="11"/>
        <v>No se realizó gasto en este corte</v>
      </c>
      <c r="AB34" s="84" t="str">
        <f t="shared" si="26"/>
        <v>Costo eficiente: se está gastando menos de lo presupuestado</v>
      </c>
      <c r="AC34" s="84">
        <f t="shared" si="4"/>
        <v>0.6000000000000002</v>
      </c>
      <c r="AD34" s="84" t="str">
        <f t="shared" si="27"/>
        <v>Proyecto atrasado con respecto al cronograma</v>
      </c>
      <c r="AE34" s="85">
        <f t="shared" si="6"/>
        <v>0</v>
      </c>
      <c r="AF34" s="85">
        <f t="shared" si="7"/>
        <v>-3323223361</v>
      </c>
      <c r="AG34" s="40" t="str">
        <f>VLOOKUP(Indicador!E34,Diccionario!C$1:AC$150,27,0)</f>
        <v>https://growdatasas.sharepoint.com/:x:/r/sites/Gestiondocumental/Administrativa/GD/Financiera/_layouts/15/Doc.aspx?sourcedoc=%7BC3EFE0E2-C211-45B0-905D-ECEF11221767%7D&amp;file=299.%20DEFENSORIA_ERP.xlsm&amp;action=default&amp;mobileredirect=true</v>
      </c>
      <c r="AH34" s="40">
        <v>1</v>
      </c>
      <c r="AI34" s="40">
        <v>1</v>
      </c>
    </row>
    <row r="35" spans="1:35" ht="18.75" customHeight="1">
      <c r="A35" s="87">
        <v>2025</v>
      </c>
      <c r="B35" s="112" t="s">
        <v>22</v>
      </c>
      <c r="C35" s="1" t="s">
        <v>172</v>
      </c>
      <c r="D35" s="119">
        <v>45296.528889155095</v>
      </c>
      <c r="E35" s="36" t="s">
        <v>85</v>
      </c>
      <c r="F35" s="1" t="s">
        <v>162</v>
      </c>
      <c r="G35" s="1" t="s">
        <v>173</v>
      </c>
      <c r="H35" s="1" t="s">
        <v>174</v>
      </c>
      <c r="I35" s="1" t="s">
        <v>175</v>
      </c>
      <c r="J35" s="120" t="s">
        <v>176</v>
      </c>
      <c r="K35" s="1" t="s">
        <v>177</v>
      </c>
      <c r="L35" s="74">
        <f>VLOOKUP(E35,Diccionario!C$2:AC$150,22,0)</f>
        <v>3323223361</v>
      </c>
      <c r="M35" s="75">
        <f>VLOOKUP(E35,Diccionario!C$2:AC$150,24,0)</f>
        <v>45300</v>
      </c>
      <c r="N35" s="76">
        <f>VLOOKUP(E35,Diccionario!C$2:AC$150,25,0)</f>
        <v>45473</v>
      </c>
      <c r="O35" s="77">
        <f>VLOOKUP(E35,Diccionario!C$2:AC$150,26,0)</f>
        <v>5.7</v>
      </c>
      <c r="P35" s="77">
        <f t="shared" ca="1" si="21"/>
        <v>24.3</v>
      </c>
      <c r="Q35" s="78">
        <f t="shared" ca="1" si="22"/>
        <v>30</v>
      </c>
      <c r="R35" s="36">
        <v>6</v>
      </c>
      <c r="S35" s="86">
        <v>1</v>
      </c>
      <c r="T35" s="86">
        <f t="shared" si="23"/>
        <v>0.62000000000000022</v>
      </c>
      <c r="U35" s="82"/>
      <c r="V35" s="82"/>
      <c r="W35" s="82">
        <f t="shared" si="0"/>
        <v>2060398483.8200006</v>
      </c>
      <c r="X35" s="82">
        <f t="shared" si="24"/>
        <v>3323223361</v>
      </c>
      <c r="Y35" s="82">
        <f t="shared" si="2"/>
        <v>2060398483.8200006</v>
      </c>
      <c r="Z35" s="82">
        <f t="shared" si="25"/>
        <v>-1262824877.1799994</v>
      </c>
      <c r="AA35" s="83" t="str">
        <f t="shared" si="11"/>
        <v>No se realizó gasto en este corte</v>
      </c>
      <c r="AB35" s="84" t="str">
        <f t="shared" si="26"/>
        <v>Costo eficiente: se está gastando menos de lo presupuestado</v>
      </c>
      <c r="AC35" s="84">
        <f t="shared" si="4"/>
        <v>0.62000000000000022</v>
      </c>
      <c r="AD35" s="84" t="str">
        <f t="shared" si="27"/>
        <v>Proyecto atrasado con respecto al cronograma</v>
      </c>
      <c r="AE35" s="85">
        <f t="shared" si="6"/>
        <v>0</v>
      </c>
      <c r="AF35" s="85">
        <f t="shared" si="7"/>
        <v>-3323223361</v>
      </c>
      <c r="AG35" s="40" t="str">
        <f>VLOOKUP(Indicador!E35,Diccionario!C$1:AC$150,27,0)</f>
        <v>https://growdatasas.sharepoint.com/:x:/r/sites/Gestiondocumental/Administrativa/GD/Financiera/_layouts/15/Doc.aspx?sourcedoc=%7BC3EFE0E2-C211-45B0-905D-ECEF11221767%7D&amp;file=299.%20DEFENSORIA_ERP.xlsm&amp;action=default&amp;mobileredirect=true</v>
      </c>
      <c r="AH35" s="40">
        <v>1</v>
      </c>
      <c r="AI35" s="40">
        <v>1</v>
      </c>
    </row>
    <row r="36" spans="1:35" ht="18.75" customHeight="1">
      <c r="A36" s="87">
        <v>2025</v>
      </c>
      <c r="B36" s="112" t="s">
        <v>24</v>
      </c>
      <c r="C36" s="1" t="s">
        <v>172</v>
      </c>
      <c r="D36" s="119">
        <v>45296.528889155095</v>
      </c>
      <c r="E36" s="36" t="s">
        <v>85</v>
      </c>
      <c r="F36" s="1" t="s">
        <v>162</v>
      </c>
      <c r="G36" s="1" t="s">
        <v>173</v>
      </c>
      <c r="H36" s="1" t="s">
        <v>174</v>
      </c>
      <c r="I36" s="1" t="s">
        <v>175</v>
      </c>
      <c r="J36" s="120" t="s">
        <v>176</v>
      </c>
      <c r="K36" s="1" t="s">
        <v>177</v>
      </c>
      <c r="L36" s="74">
        <f>VLOOKUP(E36,Diccionario!C$2:AC$150,22,0)</f>
        <v>3323223361</v>
      </c>
      <c r="M36" s="75">
        <f>VLOOKUP(E36,Diccionario!C$2:AC$150,24,0)</f>
        <v>45300</v>
      </c>
      <c r="N36" s="76">
        <f>VLOOKUP(E36,Diccionario!C$2:AC$150,25,0)</f>
        <v>45473</v>
      </c>
      <c r="O36" s="77">
        <f>VLOOKUP(E36,Diccionario!C$2:AC$150,26,0)</f>
        <v>5.7</v>
      </c>
      <c r="P36" s="77">
        <f t="shared" ca="1" si="21"/>
        <v>24.3</v>
      </c>
      <c r="Q36" s="78">
        <f t="shared" ca="1" si="22"/>
        <v>30</v>
      </c>
      <c r="R36" s="36">
        <v>6</v>
      </c>
      <c r="S36" s="86">
        <v>1</v>
      </c>
      <c r="T36" s="86">
        <f t="shared" si="23"/>
        <v>0.64000000000000024</v>
      </c>
      <c r="U36" s="82"/>
      <c r="V36" s="82"/>
      <c r="W36" s="82">
        <f t="shared" si="0"/>
        <v>2126862951.0400007</v>
      </c>
      <c r="X36" s="82">
        <f t="shared" si="24"/>
        <v>3323223361</v>
      </c>
      <c r="Y36" s="82">
        <f t="shared" si="2"/>
        <v>2126862951.0400007</v>
      </c>
      <c r="Z36" s="82">
        <f t="shared" si="25"/>
        <v>-1196360409.9599993</v>
      </c>
      <c r="AA36" s="83" t="str">
        <f t="shared" si="11"/>
        <v>No se realizó gasto en este corte</v>
      </c>
      <c r="AB36" s="84" t="str">
        <f t="shared" si="26"/>
        <v>Costo eficiente: se está gastando menos de lo presupuestado</v>
      </c>
      <c r="AC36" s="84">
        <f t="shared" si="4"/>
        <v>0.64000000000000024</v>
      </c>
      <c r="AD36" s="84" t="str">
        <f t="shared" si="27"/>
        <v>Proyecto atrasado con respecto al cronograma</v>
      </c>
      <c r="AE36" s="85">
        <f t="shared" si="6"/>
        <v>0</v>
      </c>
      <c r="AF36" s="85">
        <f t="shared" si="7"/>
        <v>-3323223361</v>
      </c>
      <c r="AG36" s="40" t="str">
        <f>VLOOKUP(Indicador!E36,Diccionario!C$1:AC$150,27,0)</f>
        <v>https://growdatasas.sharepoint.com/:x:/r/sites/Gestiondocumental/Administrativa/GD/Financiera/_layouts/15/Doc.aspx?sourcedoc=%7BC3EFE0E2-C211-45B0-905D-ECEF11221767%7D&amp;file=299.%20DEFENSORIA_ERP.xlsm&amp;action=default&amp;mobileredirect=true</v>
      </c>
      <c r="AH36" s="40">
        <v>1</v>
      </c>
      <c r="AI36" s="40">
        <v>1</v>
      </c>
    </row>
    <row r="37" spans="1:35" ht="18.75" customHeight="1">
      <c r="A37" s="87">
        <v>2025</v>
      </c>
      <c r="B37" s="112" t="s">
        <v>27</v>
      </c>
      <c r="C37" s="1" t="s">
        <v>172</v>
      </c>
      <c r="D37" s="119">
        <v>45296.528889155095</v>
      </c>
      <c r="E37" s="36" t="s">
        <v>85</v>
      </c>
      <c r="F37" s="1" t="s">
        <v>162</v>
      </c>
      <c r="G37" s="1" t="s">
        <v>173</v>
      </c>
      <c r="H37" s="1" t="s">
        <v>174</v>
      </c>
      <c r="I37" s="1" t="s">
        <v>175</v>
      </c>
      <c r="J37" s="120" t="s">
        <v>176</v>
      </c>
      <c r="K37" s="1" t="s">
        <v>177</v>
      </c>
      <c r="L37" s="74">
        <f>VLOOKUP(E37,Diccionario!C$2:AC$150,22,0)</f>
        <v>3323223361</v>
      </c>
      <c r="M37" s="75">
        <f>VLOOKUP(E37,Diccionario!C$2:AC$150,24,0)</f>
        <v>45300</v>
      </c>
      <c r="N37" s="76">
        <f>VLOOKUP(E37,Diccionario!C$2:AC$150,25,0)</f>
        <v>45473</v>
      </c>
      <c r="O37" s="77">
        <f>VLOOKUP(E37,Diccionario!C$2:AC$150,26,0)</f>
        <v>5.7</v>
      </c>
      <c r="P37" s="77">
        <f t="shared" ca="1" si="21"/>
        <v>24.3</v>
      </c>
      <c r="Q37" s="78">
        <f t="shared" ca="1" si="22"/>
        <v>30</v>
      </c>
      <c r="R37" s="36">
        <v>6</v>
      </c>
      <c r="S37" s="86">
        <v>1</v>
      </c>
      <c r="T37" s="86">
        <f t="shared" si="23"/>
        <v>0.66000000000000025</v>
      </c>
      <c r="U37" s="82"/>
      <c r="V37" s="82"/>
      <c r="W37" s="82">
        <f t="shared" si="0"/>
        <v>2193327418.2600007</v>
      </c>
      <c r="X37" s="82">
        <f t="shared" si="24"/>
        <v>3323223361</v>
      </c>
      <c r="Y37" s="82">
        <f t="shared" si="2"/>
        <v>2193327418.2600007</v>
      </c>
      <c r="Z37" s="82">
        <f t="shared" si="25"/>
        <v>-1129895942.7399993</v>
      </c>
      <c r="AA37" s="83" t="str">
        <f t="shared" si="11"/>
        <v>No se realizó gasto en este corte</v>
      </c>
      <c r="AB37" s="84" t="str">
        <f t="shared" si="26"/>
        <v>Costo eficiente: se está gastando menos de lo presupuestado</v>
      </c>
      <c r="AC37" s="84">
        <f t="shared" si="4"/>
        <v>0.66000000000000025</v>
      </c>
      <c r="AD37" s="84" t="str">
        <f t="shared" si="27"/>
        <v>Proyecto atrasado con respecto al cronograma</v>
      </c>
      <c r="AE37" s="85">
        <f t="shared" si="6"/>
        <v>0</v>
      </c>
      <c r="AF37" s="85">
        <f t="shared" si="7"/>
        <v>-3323223361</v>
      </c>
      <c r="AG37" s="40" t="str">
        <f>VLOOKUP(Indicador!E37,Diccionario!C$1:AC$150,27,0)</f>
        <v>https://growdatasas.sharepoint.com/:x:/r/sites/Gestiondocumental/Administrativa/GD/Financiera/_layouts/15/Doc.aspx?sourcedoc=%7BC3EFE0E2-C211-45B0-905D-ECEF11221767%7D&amp;file=299.%20DEFENSORIA_ERP.xlsm&amp;action=default&amp;mobileredirect=true</v>
      </c>
      <c r="AH37" s="40">
        <v>1</v>
      </c>
      <c r="AI37" s="40">
        <v>1</v>
      </c>
    </row>
    <row r="38" spans="1:35" ht="18.75" customHeight="1">
      <c r="A38" s="87">
        <v>2025</v>
      </c>
      <c r="B38" s="112" t="s">
        <v>13</v>
      </c>
      <c r="C38" s="1" t="s">
        <v>172</v>
      </c>
      <c r="D38" s="119">
        <v>45296.528889155095</v>
      </c>
      <c r="E38" s="36" t="s">
        <v>85</v>
      </c>
      <c r="F38" s="1" t="s">
        <v>162</v>
      </c>
      <c r="G38" s="1" t="s">
        <v>173</v>
      </c>
      <c r="H38" s="1" t="s">
        <v>174</v>
      </c>
      <c r="I38" s="1" t="s">
        <v>175</v>
      </c>
      <c r="J38" s="120" t="s">
        <v>176</v>
      </c>
      <c r="K38" s="1" t="s">
        <v>177</v>
      </c>
      <c r="L38" s="74">
        <f>VLOOKUP(E38,Diccionario!C$2:AC$150,22,0)</f>
        <v>3323223361</v>
      </c>
      <c r="M38" s="75">
        <f>VLOOKUP(E38,Diccionario!C$2:AC$150,24,0)</f>
        <v>45300</v>
      </c>
      <c r="N38" s="76">
        <f>VLOOKUP(E38,Diccionario!C$2:AC$150,25,0)</f>
        <v>45473</v>
      </c>
      <c r="O38" s="77">
        <f>VLOOKUP(E38,Diccionario!C$2:AC$150,26,0)</f>
        <v>5.7</v>
      </c>
      <c r="P38" s="77">
        <f t="shared" ca="1" si="21"/>
        <v>24.3</v>
      </c>
      <c r="Q38" s="78">
        <f t="shared" ca="1" si="22"/>
        <v>30</v>
      </c>
      <c r="R38" s="36">
        <v>6</v>
      </c>
      <c r="S38" s="86">
        <v>1</v>
      </c>
      <c r="T38" s="86">
        <f t="shared" si="23"/>
        <v>0.68000000000000027</v>
      </c>
      <c r="U38" s="82"/>
      <c r="V38" s="82"/>
      <c r="W38" s="82">
        <f t="shared" si="0"/>
        <v>2259791885.480001</v>
      </c>
      <c r="X38" s="82">
        <f t="shared" si="24"/>
        <v>3323223361</v>
      </c>
      <c r="Y38" s="82">
        <f t="shared" si="2"/>
        <v>2259791885.480001</v>
      </c>
      <c r="Z38" s="82">
        <f t="shared" si="25"/>
        <v>-1063431475.519999</v>
      </c>
      <c r="AA38" s="83" t="str">
        <f t="shared" si="11"/>
        <v>No se realizó gasto en este corte</v>
      </c>
      <c r="AB38" s="84" t="str">
        <f t="shared" si="26"/>
        <v>Costo eficiente: se está gastando menos de lo presupuestado</v>
      </c>
      <c r="AC38" s="84">
        <f t="shared" si="4"/>
        <v>0.68000000000000027</v>
      </c>
      <c r="AD38" s="84" t="str">
        <f t="shared" si="27"/>
        <v>Proyecto atrasado con respecto al cronograma</v>
      </c>
      <c r="AE38" s="85">
        <f t="shared" si="6"/>
        <v>0</v>
      </c>
      <c r="AF38" s="85">
        <f t="shared" si="7"/>
        <v>-3323223361</v>
      </c>
      <c r="AG38" s="40" t="str">
        <f>VLOOKUP(Indicador!E38,Diccionario!C$1:AC$150,27,0)</f>
        <v>https://growdatasas.sharepoint.com/:x:/r/sites/Gestiondocumental/Administrativa/GD/Financiera/_layouts/15/Doc.aspx?sourcedoc=%7BC3EFE0E2-C211-45B0-905D-ECEF11221767%7D&amp;file=299.%20DEFENSORIA_ERP.xlsm&amp;action=default&amp;mobileredirect=true</v>
      </c>
      <c r="AH38" s="40">
        <v>1</v>
      </c>
      <c r="AI38" s="40">
        <v>1</v>
      </c>
    </row>
    <row r="39" spans="1:35" ht="18.75" customHeight="1">
      <c r="A39" s="87">
        <v>2025</v>
      </c>
      <c r="B39" s="112" t="s">
        <v>21</v>
      </c>
      <c r="C39" s="1" t="s">
        <v>172</v>
      </c>
      <c r="D39" s="119">
        <v>45296.528889155095</v>
      </c>
      <c r="E39" s="36" t="s">
        <v>85</v>
      </c>
      <c r="F39" s="1" t="s">
        <v>162</v>
      </c>
      <c r="G39" s="1" t="s">
        <v>173</v>
      </c>
      <c r="H39" s="1" t="s">
        <v>174</v>
      </c>
      <c r="I39" s="1" t="s">
        <v>175</v>
      </c>
      <c r="J39" s="120" t="s">
        <v>176</v>
      </c>
      <c r="K39" s="1" t="s">
        <v>177</v>
      </c>
      <c r="L39" s="74">
        <f>VLOOKUP(E39,Diccionario!C$2:AC$150,22,0)</f>
        <v>3323223361</v>
      </c>
      <c r="M39" s="75">
        <f>VLOOKUP(E39,Diccionario!C$2:AC$150,24,0)</f>
        <v>45300</v>
      </c>
      <c r="N39" s="76">
        <f>VLOOKUP(E39,Diccionario!C$2:AC$150,25,0)</f>
        <v>45473</v>
      </c>
      <c r="O39" s="77">
        <f>VLOOKUP(E39,Diccionario!C$2:AC$150,26,0)</f>
        <v>5.7</v>
      </c>
      <c r="P39" s="77">
        <f t="shared" ca="1" si="21"/>
        <v>24.3</v>
      </c>
      <c r="Q39" s="78">
        <f t="shared" ca="1" si="22"/>
        <v>30</v>
      </c>
      <c r="R39" s="36">
        <v>6</v>
      </c>
      <c r="S39" s="86">
        <v>1</v>
      </c>
      <c r="T39" s="86">
        <f t="shared" si="23"/>
        <v>0.70000000000000029</v>
      </c>
      <c r="U39" s="82"/>
      <c r="V39" s="82"/>
      <c r="W39" s="82">
        <f t="shared" si="0"/>
        <v>2326256352.7000008</v>
      </c>
      <c r="X39" s="82">
        <f t="shared" si="24"/>
        <v>3323223361</v>
      </c>
      <c r="Y39" s="82">
        <f t="shared" si="2"/>
        <v>2326256352.7000008</v>
      </c>
      <c r="Z39" s="82">
        <f t="shared" si="25"/>
        <v>-996967008.29999924</v>
      </c>
      <c r="AA39" s="83" t="str">
        <f t="shared" si="11"/>
        <v>No se realizó gasto en este corte</v>
      </c>
      <c r="AB39" s="84" t="str">
        <f t="shared" si="26"/>
        <v>Costo eficiente: se está gastando menos de lo presupuestado</v>
      </c>
      <c r="AC39" s="84">
        <f t="shared" si="4"/>
        <v>0.70000000000000018</v>
      </c>
      <c r="AD39" s="84" t="str">
        <f t="shared" si="27"/>
        <v>Proyecto atrasado con respecto al cronograma</v>
      </c>
      <c r="AE39" s="85">
        <f t="shared" si="6"/>
        <v>0</v>
      </c>
      <c r="AF39" s="85">
        <f t="shared" si="7"/>
        <v>-3323223361</v>
      </c>
      <c r="AG39" s="40" t="str">
        <f>VLOOKUP(Indicador!E39,Diccionario!C$1:AC$150,27,0)</f>
        <v>https://growdatasas.sharepoint.com/:x:/r/sites/Gestiondocumental/Administrativa/GD/Financiera/_layouts/15/Doc.aspx?sourcedoc=%7BC3EFE0E2-C211-45B0-905D-ECEF11221767%7D&amp;file=299.%20DEFENSORIA_ERP.xlsm&amp;action=default&amp;mobileredirect=true</v>
      </c>
      <c r="AH39" s="40">
        <v>1</v>
      </c>
      <c r="AI39" s="40">
        <v>1</v>
      </c>
    </row>
    <row r="40" spans="1:35" ht="18.75" customHeight="1">
      <c r="A40" s="87">
        <v>2025</v>
      </c>
      <c r="B40" s="112" t="s">
        <v>23</v>
      </c>
      <c r="C40" s="1" t="s">
        <v>172</v>
      </c>
      <c r="D40" s="119">
        <v>45296.528889155095</v>
      </c>
      <c r="E40" s="36" t="s">
        <v>85</v>
      </c>
      <c r="F40" s="1" t="s">
        <v>162</v>
      </c>
      <c r="G40" s="1" t="s">
        <v>173</v>
      </c>
      <c r="H40" s="1" t="s">
        <v>174</v>
      </c>
      <c r="I40" s="1" t="s">
        <v>175</v>
      </c>
      <c r="J40" s="120" t="s">
        <v>176</v>
      </c>
      <c r="K40" s="1" t="s">
        <v>177</v>
      </c>
      <c r="L40" s="74">
        <f>VLOOKUP(E40,Diccionario!C$2:AC$150,22,0)</f>
        <v>3323223361</v>
      </c>
      <c r="M40" s="75">
        <f>VLOOKUP(E40,Diccionario!C$2:AC$150,24,0)</f>
        <v>45300</v>
      </c>
      <c r="N40" s="76">
        <f>VLOOKUP(E40,Diccionario!C$2:AC$150,25,0)</f>
        <v>45473</v>
      </c>
      <c r="O40" s="77">
        <f>VLOOKUP(E40,Diccionario!C$2:AC$150,26,0)</f>
        <v>5.7</v>
      </c>
      <c r="P40" s="77">
        <f t="shared" ca="1" si="21"/>
        <v>24.3</v>
      </c>
      <c r="Q40" s="78">
        <f t="shared" ca="1" si="22"/>
        <v>30</v>
      </c>
      <c r="R40" s="36">
        <v>6</v>
      </c>
      <c r="S40" s="86">
        <v>1</v>
      </c>
      <c r="T40" s="86">
        <f t="shared" si="23"/>
        <v>0.72000000000000031</v>
      </c>
      <c r="U40" s="82"/>
      <c r="V40" s="82"/>
      <c r="W40" s="82">
        <f t="shared" si="0"/>
        <v>2392720819.920001</v>
      </c>
      <c r="X40" s="82">
        <f t="shared" si="24"/>
        <v>3323223361</v>
      </c>
      <c r="Y40" s="82">
        <f t="shared" si="2"/>
        <v>2392720819.920001</v>
      </c>
      <c r="Z40" s="82">
        <f t="shared" si="25"/>
        <v>-930502541.07999897</v>
      </c>
      <c r="AA40" s="83" t="str">
        <f t="shared" si="11"/>
        <v>No se realizó gasto en este corte</v>
      </c>
      <c r="AB40" s="84" t="str">
        <f t="shared" si="26"/>
        <v>Costo eficiente: se está gastando menos de lo presupuestado</v>
      </c>
      <c r="AC40" s="84">
        <f t="shared" si="4"/>
        <v>0.72000000000000031</v>
      </c>
      <c r="AD40" s="84" t="str">
        <f t="shared" si="27"/>
        <v>Proyecto atrasado con respecto al cronograma</v>
      </c>
      <c r="AE40" s="85">
        <f t="shared" si="6"/>
        <v>0</v>
      </c>
      <c r="AF40" s="85">
        <f t="shared" si="7"/>
        <v>-3323223361</v>
      </c>
      <c r="AG40" s="40" t="str">
        <f>VLOOKUP(Indicador!E40,Diccionario!C$1:AC$150,27,0)</f>
        <v>https://growdatasas.sharepoint.com/:x:/r/sites/Gestiondocumental/Administrativa/GD/Financiera/_layouts/15/Doc.aspx?sourcedoc=%7BC3EFE0E2-C211-45B0-905D-ECEF11221767%7D&amp;file=299.%20DEFENSORIA_ERP.xlsm&amp;action=default&amp;mobileredirect=true</v>
      </c>
      <c r="AH40" s="40">
        <v>1</v>
      </c>
      <c r="AI40" s="40">
        <v>1</v>
      </c>
    </row>
    <row r="41" spans="1:35" ht="18.75" customHeight="1">
      <c r="A41" s="87">
        <v>2025</v>
      </c>
      <c r="B41" s="112" t="s">
        <v>26</v>
      </c>
      <c r="C41" s="1" t="s">
        <v>172</v>
      </c>
      <c r="D41" s="119">
        <v>45296.528889155095</v>
      </c>
      <c r="E41" s="36" t="s">
        <v>85</v>
      </c>
      <c r="F41" s="1" t="s">
        <v>162</v>
      </c>
      <c r="G41" s="1" t="s">
        <v>173</v>
      </c>
      <c r="H41" s="1" t="s">
        <v>174</v>
      </c>
      <c r="I41" s="1" t="s">
        <v>175</v>
      </c>
      <c r="J41" s="120" t="s">
        <v>176</v>
      </c>
      <c r="K41" s="1" t="s">
        <v>177</v>
      </c>
      <c r="L41" s="74">
        <f>VLOOKUP(E41,Diccionario!C$2:AC$150,22,0)</f>
        <v>3323223361</v>
      </c>
      <c r="M41" s="75">
        <f>VLOOKUP(E41,Diccionario!C$2:AC$150,24,0)</f>
        <v>45300</v>
      </c>
      <c r="N41" s="76">
        <f>VLOOKUP(E41,Diccionario!C$2:AC$150,25,0)</f>
        <v>45473</v>
      </c>
      <c r="O41" s="77">
        <f>VLOOKUP(E41,Diccionario!C$2:AC$150,26,0)</f>
        <v>5.7</v>
      </c>
      <c r="P41" s="77">
        <f t="shared" ca="1" si="21"/>
        <v>24.3</v>
      </c>
      <c r="Q41" s="78">
        <f t="shared" ca="1" si="22"/>
        <v>30</v>
      </c>
      <c r="R41" s="36">
        <v>6</v>
      </c>
      <c r="S41" s="86">
        <v>1</v>
      </c>
      <c r="T41" s="86">
        <f t="shared" si="23"/>
        <v>0.74000000000000032</v>
      </c>
      <c r="U41" s="82"/>
      <c r="V41" s="82"/>
      <c r="W41" s="82">
        <f t="shared" si="0"/>
        <v>2459185287.1400013</v>
      </c>
      <c r="X41" s="82">
        <f t="shared" si="24"/>
        <v>3323223361</v>
      </c>
      <c r="Y41" s="82">
        <f t="shared" si="2"/>
        <v>2459185287.1400013</v>
      </c>
      <c r="Z41" s="82">
        <f t="shared" si="25"/>
        <v>-864038073.8599987</v>
      </c>
      <c r="AA41" s="83" t="str">
        <f t="shared" si="11"/>
        <v>No se realizó gasto en este corte</v>
      </c>
      <c r="AB41" s="84" t="str">
        <f t="shared" si="26"/>
        <v>Costo eficiente: se está gastando menos de lo presupuestado</v>
      </c>
      <c r="AC41" s="84">
        <f t="shared" si="4"/>
        <v>0.74000000000000044</v>
      </c>
      <c r="AD41" s="84" t="str">
        <f t="shared" si="27"/>
        <v>Proyecto atrasado con respecto al cronograma</v>
      </c>
      <c r="AE41" s="85">
        <f t="shared" si="6"/>
        <v>0</v>
      </c>
      <c r="AF41" s="85">
        <f t="shared" si="7"/>
        <v>-3323223361</v>
      </c>
      <c r="AG41" s="40" t="str">
        <f>VLOOKUP(Indicador!E41,Diccionario!C$1:AC$150,27,0)</f>
        <v>https://growdatasas.sharepoint.com/:x:/r/sites/Gestiondocumental/Administrativa/GD/Financiera/_layouts/15/Doc.aspx?sourcedoc=%7BC3EFE0E2-C211-45B0-905D-ECEF11221767%7D&amp;file=299.%20DEFENSORIA_ERP.xlsm&amp;action=default&amp;mobileredirect=true</v>
      </c>
      <c r="AH41" s="40">
        <v>1</v>
      </c>
      <c r="AI41" s="40">
        <v>1</v>
      </c>
    </row>
    <row r="42" spans="1:35" ht="18.75" customHeight="1">
      <c r="A42" s="87">
        <v>2025</v>
      </c>
      <c r="B42" s="112" t="s">
        <v>28</v>
      </c>
      <c r="C42" s="1" t="s">
        <v>172</v>
      </c>
      <c r="D42" s="119">
        <v>45296.528889155095</v>
      </c>
      <c r="E42" s="36" t="s">
        <v>85</v>
      </c>
      <c r="F42" s="1" t="s">
        <v>162</v>
      </c>
      <c r="G42" s="1" t="s">
        <v>173</v>
      </c>
      <c r="H42" s="1" t="s">
        <v>174</v>
      </c>
      <c r="I42" s="1" t="s">
        <v>175</v>
      </c>
      <c r="J42" s="120" t="s">
        <v>176</v>
      </c>
      <c r="K42" s="1" t="s">
        <v>177</v>
      </c>
      <c r="L42" s="74">
        <f>VLOOKUP(E42,Diccionario!C$2:AC$150,22,0)</f>
        <v>3323223361</v>
      </c>
      <c r="M42" s="75">
        <f>VLOOKUP(E42,Diccionario!C$2:AC$150,24,0)</f>
        <v>45300</v>
      </c>
      <c r="N42" s="76">
        <f>VLOOKUP(E42,Diccionario!C$2:AC$150,25,0)</f>
        <v>45473</v>
      </c>
      <c r="O42" s="77">
        <f>VLOOKUP(E42,Diccionario!C$2:AC$150,26,0)</f>
        <v>5.7</v>
      </c>
      <c r="P42" s="77">
        <f t="shared" ca="1" si="21"/>
        <v>24.3</v>
      </c>
      <c r="Q42" s="78">
        <f t="shared" ca="1" si="22"/>
        <v>30</v>
      </c>
      <c r="R42" s="36">
        <v>6</v>
      </c>
      <c r="S42" s="86">
        <v>1</v>
      </c>
      <c r="T42" s="86">
        <f t="shared" si="23"/>
        <v>0.76000000000000034</v>
      </c>
      <c r="U42" s="82"/>
      <c r="V42" s="82"/>
      <c r="W42" s="82">
        <f t="shared" si="0"/>
        <v>2525649754.3600011</v>
      </c>
      <c r="X42" s="82">
        <f t="shared" si="24"/>
        <v>3323223361</v>
      </c>
      <c r="Y42" s="82">
        <f t="shared" si="2"/>
        <v>2525649754.3600011</v>
      </c>
      <c r="Z42" s="82">
        <f t="shared" si="25"/>
        <v>-797573606.63999891</v>
      </c>
      <c r="AA42" s="83" t="str">
        <f t="shared" si="11"/>
        <v>No se realizó gasto en este corte</v>
      </c>
      <c r="AB42" s="84" t="str">
        <f t="shared" si="26"/>
        <v>Costo eficiente: se está gastando menos de lo presupuestado</v>
      </c>
      <c r="AC42" s="84">
        <f t="shared" si="4"/>
        <v>0.76000000000000034</v>
      </c>
      <c r="AD42" s="84" t="str">
        <f t="shared" si="27"/>
        <v>Proyecto atrasado con respecto al cronograma</v>
      </c>
      <c r="AE42" s="85">
        <f t="shared" si="6"/>
        <v>0</v>
      </c>
      <c r="AF42" s="85">
        <f t="shared" si="7"/>
        <v>-3323223361</v>
      </c>
      <c r="AG42" s="40" t="str">
        <f>VLOOKUP(Indicador!E42,Diccionario!C$1:AC$150,27,0)</f>
        <v>https://growdatasas.sharepoint.com/:x:/r/sites/Gestiondocumental/Administrativa/GD/Financiera/_layouts/15/Doc.aspx?sourcedoc=%7BC3EFE0E2-C211-45B0-905D-ECEF11221767%7D&amp;file=299.%20DEFENSORIA_ERP.xlsm&amp;action=default&amp;mobileredirect=true</v>
      </c>
      <c r="AH42" s="40">
        <v>1</v>
      </c>
      <c r="AI42" s="40">
        <v>1</v>
      </c>
    </row>
    <row r="43" spans="1:35" ht="18.75" customHeight="1">
      <c r="A43" s="87">
        <v>2025</v>
      </c>
      <c r="B43" s="112" t="s">
        <v>30</v>
      </c>
      <c r="C43" s="1" t="s">
        <v>172</v>
      </c>
      <c r="D43" s="119">
        <v>45296.528889155095</v>
      </c>
      <c r="E43" s="36" t="s">
        <v>85</v>
      </c>
      <c r="F43" s="1" t="s">
        <v>162</v>
      </c>
      <c r="G43" s="1" t="s">
        <v>173</v>
      </c>
      <c r="H43" s="1" t="s">
        <v>174</v>
      </c>
      <c r="I43" s="1" t="s">
        <v>175</v>
      </c>
      <c r="J43" s="120" t="s">
        <v>176</v>
      </c>
      <c r="K43" s="1" t="s">
        <v>177</v>
      </c>
      <c r="L43" s="74">
        <f>VLOOKUP(E43,Diccionario!C$2:AC$150,22,0)</f>
        <v>3323223361</v>
      </c>
      <c r="M43" s="75">
        <f>VLOOKUP(E43,Diccionario!C$2:AC$150,24,0)</f>
        <v>45300</v>
      </c>
      <c r="N43" s="76">
        <f>VLOOKUP(E43,Diccionario!C$2:AC$150,25,0)</f>
        <v>45473</v>
      </c>
      <c r="O43" s="77">
        <f>VLOOKUP(E43,Diccionario!C$2:AC$150,26,0)</f>
        <v>5.7</v>
      </c>
      <c r="P43" s="77">
        <f t="shared" ca="1" si="21"/>
        <v>24.3</v>
      </c>
      <c r="Q43" s="78">
        <f t="shared" ca="1" si="22"/>
        <v>30</v>
      </c>
      <c r="R43" s="36">
        <v>6</v>
      </c>
      <c r="S43" s="86">
        <v>1</v>
      </c>
      <c r="T43" s="86">
        <f t="shared" si="23"/>
        <v>0.78000000000000036</v>
      </c>
      <c r="U43" s="82"/>
      <c r="V43" s="82"/>
      <c r="W43" s="82">
        <f t="shared" si="0"/>
        <v>2592114221.5800014</v>
      </c>
      <c r="X43" s="82">
        <f t="shared" si="24"/>
        <v>3323223361</v>
      </c>
      <c r="Y43" s="82">
        <f t="shared" si="2"/>
        <v>2592114221.5800014</v>
      </c>
      <c r="Z43" s="82">
        <f t="shared" si="25"/>
        <v>-731109139.41999865</v>
      </c>
      <c r="AA43" s="83" t="str">
        <f t="shared" si="11"/>
        <v>No se realizó gasto en este corte</v>
      </c>
      <c r="AB43" s="84" t="str">
        <f t="shared" si="26"/>
        <v>Costo eficiente: se está gastando menos de lo presupuestado</v>
      </c>
      <c r="AC43" s="84">
        <f t="shared" si="4"/>
        <v>0.78000000000000036</v>
      </c>
      <c r="AD43" s="84" t="str">
        <f t="shared" si="27"/>
        <v>Proyecto atrasado con respecto al cronograma</v>
      </c>
      <c r="AE43" s="85">
        <f t="shared" si="6"/>
        <v>0</v>
      </c>
      <c r="AF43" s="85">
        <f t="shared" si="7"/>
        <v>-3323223361</v>
      </c>
      <c r="AG43" s="40" t="str">
        <f>VLOOKUP(Indicador!E43,Diccionario!C$1:AC$150,27,0)</f>
        <v>https://growdatasas.sharepoint.com/:x:/r/sites/Gestiondocumental/Administrativa/GD/Financiera/_layouts/15/Doc.aspx?sourcedoc=%7BC3EFE0E2-C211-45B0-905D-ECEF11221767%7D&amp;file=299.%20DEFENSORIA_ERP.xlsm&amp;action=default&amp;mobileredirect=true</v>
      </c>
      <c r="AH43" s="40">
        <v>1</v>
      </c>
      <c r="AI43" s="40">
        <v>1</v>
      </c>
    </row>
    <row r="44" spans="1:35" ht="18.75" customHeight="1">
      <c r="A44" s="87">
        <v>2025</v>
      </c>
      <c r="B44" s="112" t="s">
        <v>31</v>
      </c>
      <c r="C44" s="1" t="s">
        <v>172</v>
      </c>
      <c r="D44" s="119">
        <v>45296.528889155095</v>
      </c>
      <c r="E44" s="36" t="s">
        <v>85</v>
      </c>
      <c r="F44" s="1" t="s">
        <v>162</v>
      </c>
      <c r="G44" s="1" t="s">
        <v>173</v>
      </c>
      <c r="H44" s="1" t="s">
        <v>174</v>
      </c>
      <c r="I44" s="1" t="s">
        <v>175</v>
      </c>
      <c r="J44" s="120" t="s">
        <v>176</v>
      </c>
      <c r="K44" s="1" t="s">
        <v>177</v>
      </c>
      <c r="L44" s="74">
        <f>VLOOKUP(E44,Diccionario!C$2:AC$150,22,0)</f>
        <v>3323223361</v>
      </c>
      <c r="M44" s="75">
        <f>VLOOKUP(E44,Diccionario!C$2:AC$150,24,0)</f>
        <v>45300</v>
      </c>
      <c r="N44" s="76">
        <f>VLOOKUP(E44,Diccionario!C$2:AC$150,25,0)</f>
        <v>45473</v>
      </c>
      <c r="O44" s="77">
        <f>VLOOKUP(E44,Diccionario!C$2:AC$150,26,0)</f>
        <v>5.7</v>
      </c>
      <c r="P44" s="77">
        <f t="shared" ca="1" si="21"/>
        <v>24.3</v>
      </c>
      <c r="Q44" s="78">
        <f t="shared" ca="1" si="22"/>
        <v>30</v>
      </c>
      <c r="R44" s="36">
        <v>6</v>
      </c>
      <c r="S44" s="86">
        <v>1</v>
      </c>
      <c r="T44" s="86">
        <f t="shared" si="23"/>
        <v>0.80000000000000038</v>
      </c>
      <c r="U44" s="82"/>
      <c r="V44" s="82"/>
      <c r="W44" s="82">
        <f t="shared" si="0"/>
        <v>2658578688.8000011</v>
      </c>
      <c r="X44" s="82">
        <f t="shared" si="24"/>
        <v>3323223361</v>
      </c>
      <c r="Y44" s="82">
        <f t="shared" si="2"/>
        <v>2658578688.8000011</v>
      </c>
      <c r="Z44" s="82">
        <f t="shared" si="25"/>
        <v>-664644672.19999886</v>
      </c>
      <c r="AA44" s="83" t="str">
        <f t="shared" si="11"/>
        <v>No se realizó gasto en este corte</v>
      </c>
      <c r="AB44" s="84" t="str">
        <f t="shared" si="26"/>
        <v>Costo eficiente: se está gastando menos de lo presupuestado</v>
      </c>
      <c r="AC44" s="84">
        <f t="shared" si="4"/>
        <v>0.80000000000000038</v>
      </c>
      <c r="AD44" s="84" t="str">
        <f t="shared" si="27"/>
        <v>Proyecto atrasado con respecto al cronograma</v>
      </c>
      <c r="AE44" s="85">
        <f t="shared" si="6"/>
        <v>0</v>
      </c>
      <c r="AF44" s="85">
        <f t="shared" si="7"/>
        <v>-3323223361</v>
      </c>
      <c r="AG44" s="40" t="str">
        <f>VLOOKUP(Indicador!E44,Diccionario!C$1:AC$150,27,0)</f>
        <v>https://growdatasas.sharepoint.com/:x:/r/sites/Gestiondocumental/Administrativa/GD/Financiera/_layouts/15/Doc.aspx?sourcedoc=%7BC3EFE0E2-C211-45B0-905D-ECEF11221767%7D&amp;file=299.%20DEFENSORIA_ERP.xlsm&amp;action=default&amp;mobileredirect=true</v>
      </c>
      <c r="AH44" s="40">
        <v>1</v>
      </c>
      <c r="AI44" s="40">
        <v>1</v>
      </c>
    </row>
    <row r="45" spans="1:35" ht="18.75" customHeight="1">
      <c r="A45" s="87">
        <v>2025</v>
      </c>
      <c r="B45" s="112" t="s">
        <v>32</v>
      </c>
      <c r="C45" s="1" t="s">
        <v>172</v>
      </c>
      <c r="D45" s="119">
        <v>45296.528889155095</v>
      </c>
      <c r="E45" s="36" t="s">
        <v>85</v>
      </c>
      <c r="F45" s="1" t="s">
        <v>162</v>
      </c>
      <c r="G45" s="1" t="s">
        <v>173</v>
      </c>
      <c r="H45" s="1" t="s">
        <v>174</v>
      </c>
      <c r="I45" s="1" t="s">
        <v>175</v>
      </c>
      <c r="J45" s="120" t="s">
        <v>176</v>
      </c>
      <c r="K45" s="1" t="s">
        <v>177</v>
      </c>
      <c r="L45" s="74">
        <f>VLOOKUP(E45,Diccionario!C$2:AC$150,22,0)</f>
        <v>3323223361</v>
      </c>
      <c r="M45" s="75">
        <f>VLOOKUP(E45,Diccionario!C$2:AC$150,24,0)</f>
        <v>45300</v>
      </c>
      <c r="N45" s="76">
        <f>VLOOKUP(E45,Diccionario!C$2:AC$150,25,0)</f>
        <v>45473</v>
      </c>
      <c r="O45" s="77">
        <f>VLOOKUP(E45,Diccionario!C$2:AC$150,26,0)</f>
        <v>5.7</v>
      </c>
      <c r="P45" s="77">
        <f t="shared" ca="1" si="21"/>
        <v>24.3</v>
      </c>
      <c r="Q45" s="78">
        <f t="shared" ca="1" si="22"/>
        <v>30</v>
      </c>
      <c r="R45" s="36">
        <v>6</v>
      </c>
      <c r="S45" s="86">
        <v>1</v>
      </c>
      <c r="T45" s="86">
        <f t="shared" si="23"/>
        <v>0.8200000000000004</v>
      </c>
      <c r="U45" s="82"/>
      <c r="V45" s="82"/>
      <c r="W45" s="82">
        <f t="shared" si="0"/>
        <v>2725043156.0200014</v>
      </c>
      <c r="X45" s="82">
        <f t="shared" si="24"/>
        <v>3323223361</v>
      </c>
      <c r="Y45" s="82">
        <f t="shared" si="2"/>
        <v>2725043156.0200014</v>
      </c>
      <c r="Z45" s="82">
        <f t="shared" si="25"/>
        <v>-598180204.97999859</v>
      </c>
      <c r="AA45" s="83" t="str">
        <f t="shared" si="11"/>
        <v>No se realizó gasto en este corte</v>
      </c>
      <c r="AB45" s="84" t="str">
        <f t="shared" si="26"/>
        <v>Costo eficiente: se está gastando menos de lo presupuestado</v>
      </c>
      <c r="AC45" s="84">
        <f t="shared" si="4"/>
        <v>0.8200000000000004</v>
      </c>
      <c r="AD45" s="84" t="str">
        <f t="shared" si="27"/>
        <v>Proyecto atrasado con respecto al cronograma</v>
      </c>
      <c r="AE45" s="85">
        <f t="shared" si="6"/>
        <v>0</v>
      </c>
      <c r="AF45" s="85">
        <f t="shared" si="7"/>
        <v>-3323223361</v>
      </c>
      <c r="AG45" s="40" t="str">
        <f>VLOOKUP(Indicador!E45,Diccionario!C$1:AC$150,27,0)</f>
        <v>https://growdatasas.sharepoint.com/:x:/r/sites/Gestiondocumental/Administrativa/GD/Financiera/_layouts/15/Doc.aspx?sourcedoc=%7BC3EFE0E2-C211-45B0-905D-ECEF11221767%7D&amp;file=299.%20DEFENSORIA_ERP.xlsm&amp;action=default&amp;mobileredirect=true</v>
      </c>
      <c r="AH45" s="40">
        <v>1</v>
      </c>
      <c r="AI45" s="40">
        <v>1</v>
      </c>
    </row>
    <row r="46" spans="1:35" ht="18.75" customHeight="1">
      <c r="A46" s="87">
        <v>2026</v>
      </c>
      <c r="B46" s="112" t="s">
        <v>14</v>
      </c>
      <c r="C46" s="1" t="s">
        <v>172</v>
      </c>
      <c r="D46" s="119">
        <v>45296.528889155095</v>
      </c>
      <c r="E46" s="36" t="s">
        <v>85</v>
      </c>
      <c r="F46" s="1" t="s">
        <v>162</v>
      </c>
      <c r="G46" s="1" t="s">
        <v>173</v>
      </c>
      <c r="H46" s="1" t="s">
        <v>174</v>
      </c>
      <c r="I46" s="1" t="s">
        <v>175</v>
      </c>
      <c r="J46" s="120" t="s">
        <v>176</v>
      </c>
      <c r="K46" s="1" t="s">
        <v>177</v>
      </c>
      <c r="L46" s="74">
        <f>VLOOKUP(E46,Diccionario!C$2:AC$150,22,0)</f>
        <v>3323223361</v>
      </c>
      <c r="M46" s="75">
        <f>VLOOKUP(E46,Diccionario!C$2:AC$150,24,0)</f>
        <v>45300</v>
      </c>
      <c r="N46" s="76">
        <f>VLOOKUP(E46,Diccionario!C$2:AC$150,25,0)</f>
        <v>45473</v>
      </c>
      <c r="O46" s="77">
        <f>VLOOKUP(E46,Diccionario!C$2:AC$150,26,0)</f>
        <v>5.7</v>
      </c>
      <c r="P46" s="77">
        <f t="shared" ca="1" si="21"/>
        <v>24.3</v>
      </c>
      <c r="Q46" s="78">
        <f t="shared" ca="1" si="22"/>
        <v>30</v>
      </c>
      <c r="R46" s="36">
        <v>6</v>
      </c>
      <c r="S46" s="86">
        <v>1</v>
      </c>
      <c r="T46" s="86">
        <f t="shared" si="23"/>
        <v>0.84000000000000041</v>
      </c>
      <c r="U46" s="82"/>
      <c r="V46" s="82"/>
      <c r="W46" s="82">
        <f t="shared" si="0"/>
        <v>2791507623.2400012</v>
      </c>
      <c r="X46" s="82">
        <f t="shared" si="24"/>
        <v>3323223361</v>
      </c>
      <c r="Y46" s="82">
        <f t="shared" si="2"/>
        <v>2791507623.2400012</v>
      </c>
      <c r="Z46" s="82">
        <f t="shared" si="25"/>
        <v>-531715737.7599988</v>
      </c>
      <c r="AA46" s="83" t="str">
        <f t="shared" si="11"/>
        <v>No se realizó gasto en este corte</v>
      </c>
      <c r="AB46" s="84" t="str">
        <f t="shared" si="26"/>
        <v>Costo eficiente: se está gastando menos de lo presupuestado</v>
      </c>
      <c r="AC46" s="84">
        <f t="shared" si="4"/>
        <v>0.84000000000000041</v>
      </c>
      <c r="AD46" s="84" t="str">
        <f t="shared" si="27"/>
        <v>Proyecto atrasado con respecto al cronograma</v>
      </c>
      <c r="AE46" s="85">
        <f t="shared" si="6"/>
        <v>0</v>
      </c>
      <c r="AF46" s="85">
        <f t="shared" si="7"/>
        <v>-3323223361</v>
      </c>
      <c r="AG46" s="40" t="str">
        <f>VLOOKUP(Indicador!E46,Diccionario!C$1:AC$150,27,0)</f>
        <v>https://growdatasas.sharepoint.com/:x:/r/sites/Gestiondocumental/Administrativa/GD/Financiera/_layouts/15/Doc.aspx?sourcedoc=%7BC3EFE0E2-C211-45B0-905D-ECEF11221767%7D&amp;file=299.%20DEFENSORIA_ERP.xlsm&amp;action=default&amp;mobileredirect=true</v>
      </c>
      <c r="AH46" s="40">
        <v>1</v>
      </c>
      <c r="AI46" s="40">
        <v>1</v>
      </c>
    </row>
    <row r="47" spans="1:35" ht="18.75" customHeight="1">
      <c r="A47" s="87">
        <v>2026</v>
      </c>
      <c r="B47" s="112" t="s">
        <v>22</v>
      </c>
      <c r="C47" s="1" t="s">
        <v>172</v>
      </c>
      <c r="D47" s="119">
        <v>45296.528889155095</v>
      </c>
      <c r="E47" s="36" t="s">
        <v>85</v>
      </c>
      <c r="F47" s="1" t="s">
        <v>162</v>
      </c>
      <c r="G47" s="1" t="s">
        <v>173</v>
      </c>
      <c r="H47" s="1" t="s">
        <v>174</v>
      </c>
      <c r="I47" s="1" t="s">
        <v>175</v>
      </c>
      <c r="J47" s="120" t="s">
        <v>176</v>
      </c>
      <c r="K47" s="1" t="s">
        <v>177</v>
      </c>
      <c r="L47" s="74">
        <f>VLOOKUP(E47,Diccionario!C$2:AC$150,22,0)</f>
        <v>3323223361</v>
      </c>
      <c r="M47" s="75">
        <f>VLOOKUP(E47,Diccionario!C$2:AC$150,24,0)</f>
        <v>45300</v>
      </c>
      <c r="N47" s="76">
        <f>VLOOKUP(E47,Diccionario!C$2:AC$150,25,0)</f>
        <v>45473</v>
      </c>
      <c r="O47" s="77">
        <f>VLOOKUP(E47,Diccionario!C$2:AC$150,26,0)</f>
        <v>5.7</v>
      </c>
      <c r="P47" s="77">
        <f t="shared" ca="1" si="21"/>
        <v>24.3</v>
      </c>
      <c r="Q47" s="78">
        <f t="shared" ca="1" si="22"/>
        <v>30</v>
      </c>
      <c r="R47" s="36">
        <v>6</v>
      </c>
      <c r="S47" s="86">
        <v>1</v>
      </c>
      <c r="T47" s="86">
        <f t="shared" si="23"/>
        <v>0.86000000000000043</v>
      </c>
      <c r="U47" s="82"/>
      <c r="V47" s="82"/>
      <c r="W47" s="82">
        <f t="shared" si="0"/>
        <v>2857972090.4600015</v>
      </c>
      <c r="X47" s="82">
        <f t="shared" si="24"/>
        <v>3323223361</v>
      </c>
      <c r="Y47" s="82">
        <f t="shared" si="2"/>
        <v>2857972090.4600015</v>
      </c>
      <c r="Z47" s="82">
        <f t="shared" si="25"/>
        <v>-465251270.53999853</v>
      </c>
      <c r="AA47" s="83" t="str">
        <f t="shared" si="11"/>
        <v>No se realizó gasto en este corte</v>
      </c>
      <c r="AB47" s="84" t="str">
        <f t="shared" si="26"/>
        <v>Costo eficiente: se está gastando menos de lo presupuestado</v>
      </c>
      <c r="AC47" s="84">
        <f t="shared" si="4"/>
        <v>0.86000000000000043</v>
      </c>
      <c r="AD47" s="84" t="str">
        <f t="shared" si="27"/>
        <v>Proyecto atrasado con respecto al cronograma</v>
      </c>
      <c r="AE47" s="85">
        <f t="shared" si="6"/>
        <v>0</v>
      </c>
      <c r="AF47" s="85">
        <f t="shared" si="7"/>
        <v>-3323223361</v>
      </c>
      <c r="AG47" s="40" t="str">
        <f>VLOOKUP(Indicador!E47,Diccionario!C$1:AC$150,27,0)</f>
        <v>https://growdatasas.sharepoint.com/:x:/r/sites/Gestiondocumental/Administrativa/GD/Financiera/_layouts/15/Doc.aspx?sourcedoc=%7BC3EFE0E2-C211-45B0-905D-ECEF11221767%7D&amp;file=299.%20DEFENSORIA_ERP.xlsm&amp;action=default&amp;mobileredirect=true</v>
      </c>
      <c r="AH47" s="40">
        <v>1</v>
      </c>
      <c r="AI47" s="40">
        <v>1</v>
      </c>
    </row>
    <row r="48" spans="1:35" ht="18.75" customHeight="1">
      <c r="A48" s="73">
        <v>2024</v>
      </c>
      <c r="B48" s="112" t="s">
        <v>14</v>
      </c>
      <c r="C48" s="1" t="s">
        <v>178</v>
      </c>
      <c r="D48" s="119">
        <v>45307.653436655091</v>
      </c>
      <c r="E48" s="36" t="s">
        <v>77</v>
      </c>
      <c r="F48" s="1" t="s">
        <v>179</v>
      </c>
      <c r="G48" s="36" t="s">
        <v>180</v>
      </c>
      <c r="H48" s="1" t="s">
        <v>181</v>
      </c>
      <c r="I48" s="1" t="s">
        <v>152</v>
      </c>
      <c r="J48" s="120" t="s">
        <v>182</v>
      </c>
      <c r="K48" s="36" t="s">
        <v>183</v>
      </c>
      <c r="L48" s="74">
        <f>VLOOKUP(E48,Diccionario!C$2:AC$150,22,0)</f>
        <v>970233948</v>
      </c>
      <c r="M48" s="75">
        <f>VLOOKUP(E48,Diccionario!C$2:AC$150,24,0)</f>
        <v>45306</v>
      </c>
      <c r="N48" s="76">
        <f>VLOOKUP(E48,Diccionario!C$2:AC$150,25,0)</f>
        <v>45412</v>
      </c>
      <c r="O48" s="77">
        <f>VLOOKUP(E48,Diccionario!C$2:AC$150,26,0)</f>
        <v>3.5</v>
      </c>
      <c r="P48" s="77">
        <f t="shared" ref="P48:P88" si="28">Q48-O48</f>
        <v>-2.5</v>
      </c>
      <c r="Q48" s="78">
        <v>1</v>
      </c>
      <c r="R48" s="36">
        <v>4</v>
      </c>
      <c r="S48" s="86">
        <v>0.2</v>
      </c>
      <c r="T48" s="86">
        <v>0.2</v>
      </c>
      <c r="U48" s="82">
        <v>13092805</v>
      </c>
      <c r="V48" s="82">
        <v>13092805</v>
      </c>
      <c r="W48" s="82">
        <f t="shared" si="0"/>
        <v>194046789.60000002</v>
      </c>
      <c r="X48" s="82">
        <f t="shared" ref="X48:X88" si="29">S48*L48</f>
        <v>194046789.60000002</v>
      </c>
      <c r="Y48" s="82">
        <f t="shared" si="2"/>
        <v>180953984.60000002</v>
      </c>
      <c r="Z48" s="82">
        <f t="shared" ref="Z48:Z88" si="30">W48-X48</f>
        <v>0</v>
      </c>
      <c r="AA48" s="83">
        <f t="shared" si="11"/>
        <v>14.820872196599584</v>
      </c>
      <c r="AB48" s="84" t="str">
        <f t="shared" ref="AB48:AB88" si="31">IFERROR(
  IF(OR(AA48="",AA48=0),
    "No calculado",
    IF(AA48&gt;1,"Costo eficiente: se está gastando menos de lo presupuestado",
      IF(AA48=1,"Costo según lo presupuestado",
        "Costo ineficiente: se está gastando más de lo presupuestado"))),
"No calculado")</f>
        <v>Costo eficiente: se está gastando menos de lo presupuestado</v>
      </c>
      <c r="AC48" s="84">
        <f t="shared" si="4"/>
        <v>1</v>
      </c>
      <c r="AD48" s="84" t="str">
        <f t="shared" ref="AD48:AD88" si="32">IF(OR(AC48="",AC48=0),"Sin Línea Base",
IF(AC48&gt;1,"Proyecto adelantado respecto al cronograma",
IF(AC48=1,"Proyecto a tiempo según lo planificado",
IF(AC48&lt;1,"Proyecto atrasado con respecto al cronograma",
"No calculado"))))</f>
        <v>Proyecto a tiempo según lo planificado</v>
      </c>
      <c r="AE48" s="85">
        <f t="shared" si="6"/>
        <v>65464024.999999993</v>
      </c>
      <c r="AF48" s="85">
        <f t="shared" si="7"/>
        <v>-904769923</v>
      </c>
      <c r="AG48" s="40" t="str">
        <f>VLOOKUP(Indicador!E48,Diccionario!C$1:AC$150,27,0)</f>
        <v>https://growdatasas.sharepoint.com/:x:/r/sites/Gestiondocumental/Administrativa/GD/Financiera/_layouts/15/Doc.aspx?sourcedoc=%7B4F9BD6BF-F6F0-4033-84A5-4B5D6077FC32%7D&amp;file=314.%20TELEFONICA%20%E2%80%93%20DPC%20%20SALA%20DE%20ANALITICA.xlsx&amp;action=default&amp;mobileredirect=true</v>
      </c>
      <c r="AH48" s="40">
        <v>1</v>
      </c>
      <c r="AI48" s="40">
        <v>1</v>
      </c>
    </row>
    <row r="49" spans="1:35" ht="18.75" customHeight="1">
      <c r="A49" s="73">
        <v>2024</v>
      </c>
      <c r="B49" s="112" t="s">
        <v>22</v>
      </c>
      <c r="C49" s="1" t="s">
        <v>178</v>
      </c>
      <c r="D49" s="119">
        <v>45307.653436655091</v>
      </c>
      <c r="E49" s="36" t="s">
        <v>77</v>
      </c>
      <c r="F49" s="1" t="s">
        <v>179</v>
      </c>
      <c r="G49" s="36" t="s">
        <v>180</v>
      </c>
      <c r="H49" s="1" t="s">
        <v>181</v>
      </c>
      <c r="I49" s="1" t="s">
        <v>152</v>
      </c>
      <c r="J49" s="120" t="s">
        <v>182</v>
      </c>
      <c r="K49" s="36" t="s">
        <v>183</v>
      </c>
      <c r="L49" s="74">
        <f>VLOOKUP(E49,Diccionario!C$2:AC$150,22,0)</f>
        <v>970233948</v>
      </c>
      <c r="M49" s="75">
        <f>VLOOKUP(E49,Diccionario!C$2:AC$150,24,0)</f>
        <v>45306</v>
      </c>
      <c r="N49" s="76">
        <f>VLOOKUP(E49,Diccionario!C$2:AC$150,25,0)</f>
        <v>45412</v>
      </c>
      <c r="O49" s="77">
        <f>VLOOKUP(E49,Diccionario!C$2:AC$150,26,0)</f>
        <v>3.5</v>
      </c>
      <c r="P49" s="77">
        <f t="shared" si="28"/>
        <v>-1.5</v>
      </c>
      <c r="Q49" s="78">
        <v>2</v>
      </c>
      <c r="R49" s="36">
        <v>4</v>
      </c>
      <c r="S49" s="86">
        <v>0.6</v>
      </c>
      <c r="T49" s="86">
        <v>0.4</v>
      </c>
      <c r="U49" s="82">
        <v>28162559</v>
      </c>
      <c r="V49" s="82">
        <v>28162559</v>
      </c>
      <c r="W49" s="82">
        <f t="shared" si="0"/>
        <v>388093579.20000005</v>
      </c>
      <c r="X49" s="82">
        <f t="shared" si="29"/>
        <v>582140368.79999995</v>
      </c>
      <c r="Y49" s="82">
        <f t="shared" si="2"/>
        <v>359931020.20000005</v>
      </c>
      <c r="Z49" s="82">
        <f t="shared" si="30"/>
        <v>-194046789.5999999</v>
      </c>
      <c r="AA49" s="83">
        <f t="shared" si="11"/>
        <v>13.780479934369602</v>
      </c>
      <c r="AB49" s="84" t="str">
        <f t="shared" si="31"/>
        <v>Costo eficiente: se está gastando menos de lo presupuestado</v>
      </c>
      <c r="AC49" s="84">
        <f t="shared" si="4"/>
        <v>0.66666666666666685</v>
      </c>
      <c r="AD49" s="84" t="str">
        <f t="shared" si="32"/>
        <v>Proyecto atrasado con respecto al cronograma</v>
      </c>
      <c r="AE49" s="85">
        <f t="shared" si="6"/>
        <v>70406397.5</v>
      </c>
      <c r="AF49" s="85">
        <f t="shared" si="7"/>
        <v>-899827550.5</v>
      </c>
      <c r="AG49" s="40" t="str">
        <f>VLOOKUP(Indicador!E49,Diccionario!C$1:AC$150,27,0)</f>
        <v>https://growdatasas.sharepoint.com/:x:/r/sites/Gestiondocumental/Administrativa/GD/Financiera/_layouts/15/Doc.aspx?sourcedoc=%7B4F9BD6BF-F6F0-4033-84A5-4B5D6077FC32%7D&amp;file=314.%20TELEFONICA%20%E2%80%93%20DPC%20%20SALA%20DE%20ANALITICA.xlsx&amp;action=default&amp;mobileredirect=true</v>
      </c>
      <c r="AH49" s="40">
        <v>1</v>
      </c>
      <c r="AI49" s="40">
        <v>1</v>
      </c>
    </row>
    <row r="50" spans="1:35" ht="18.75" customHeight="1">
      <c r="A50" s="73">
        <v>2024</v>
      </c>
      <c r="B50" s="112" t="s">
        <v>24</v>
      </c>
      <c r="C50" s="1" t="s">
        <v>178</v>
      </c>
      <c r="D50" s="119">
        <v>45307.653436655091</v>
      </c>
      <c r="E50" s="36" t="s">
        <v>77</v>
      </c>
      <c r="F50" s="1" t="s">
        <v>179</v>
      </c>
      <c r="G50" s="36" t="s">
        <v>180</v>
      </c>
      <c r="H50" s="1" t="s">
        <v>181</v>
      </c>
      <c r="I50" s="1" t="s">
        <v>152</v>
      </c>
      <c r="J50" s="120" t="s">
        <v>182</v>
      </c>
      <c r="K50" s="36" t="s">
        <v>183</v>
      </c>
      <c r="L50" s="74">
        <f>VLOOKUP(E50,Diccionario!C$2:AC$150,22,0)</f>
        <v>970233948</v>
      </c>
      <c r="M50" s="75">
        <f>VLOOKUP(E50,Diccionario!C$2:AC$150,24,0)</f>
        <v>45306</v>
      </c>
      <c r="N50" s="76">
        <f>VLOOKUP(E50,Diccionario!C$2:AC$150,25,0)</f>
        <v>45412</v>
      </c>
      <c r="O50" s="77">
        <f>VLOOKUP(E50,Diccionario!C$2:AC$150,26,0)</f>
        <v>3.5</v>
      </c>
      <c r="P50" s="77">
        <f t="shared" si="28"/>
        <v>-0.5</v>
      </c>
      <c r="Q50" s="78">
        <v>3</v>
      </c>
      <c r="R50" s="36">
        <v>4</v>
      </c>
      <c r="S50" s="86">
        <v>0.8</v>
      </c>
      <c r="T50" s="86">
        <v>0.5</v>
      </c>
      <c r="U50" s="82">
        <v>28162559</v>
      </c>
      <c r="V50" s="82">
        <v>28162559</v>
      </c>
      <c r="W50" s="82">
        <f t="shared" si="0"/>
        <v>485116974</v>
      </c>
      <c r="X50" s="82">
        <f t="shared" si="29"/>
        <v>776187158.4000001</v>
      </c>
      <c r="Y50" s="82">
        <f t="shared" si="2"/>
        <v>456954415</v>
      </c>
      <c r="Z50" s="82">
        <f t="shared" si="30"/>
        <v>-291070184.4000001</v>
      </c>
      <c r="AA50" s="83">
        <f t="shared" si="11"/>
        <v>17.225599917962001</v>
      </c>
      <c r="AB50" s="84" t="str">
        <f t="shared" si="31"/>
        <v>Costo eficiente: se está gastando menos de lo presupuestado</v>
      </c>
      <c r="AC50" s="84">
        <f t="shared" si="4"/>
        <v>0.62499999999999989</v>
      </c>
      <c r="AD50" s="84" t="str">
        <f t="shared" si="32"/>
        <v>Proyecto atrasado con respecto al cronograma</v>
      </c>
      <c r="AE50" s="85">
        <f t="shared" si="6"/>
        <v>56325118</v>
      </c>
      <c r="AF50" s="85">
        <f t="shared" si="7"/>
        <v>-913908830</v>
      </c>
      <c r="AG50" s="40" t="str">
        <f>VLOOKUP(Indicador!E50,Diccionario!C$1:AC$150,27,0)</f>
        <v>https://growdatasas.sharepoint.com/:x:/r/sites/Gestiondocumental/Administrativa/GD/Financiera/_layouts/15/Doc.aspx?sourcedoc=%7B4F9BD6BF-F6F0-4033-84A5-4B5D6077FC32%7D&amp;file=314.%20TELEFONICA%20%E2%80%93%20DPC%20%20SALA%20DE%20ANALITICA.xlsx&amp;action=default&amp;mobileredirect=true</v>
      </c>
      <c r="AH50" s="40">
        <v>1</v>
      </c>
      <c r="AI50" s="40">
        <v>1</v>
      </c>
    </row>
    <row r="51" spans="1:35" ht="18.75" customHeight="1">
      <c r="A51" s="73">
        <v>2024</v>
      </c>
      <c r="B51" s="112" t="s">
        <v>27</v>
      </c>
      <c r="C51" s="1" t="s">
        <v>178</v>
      </c>
      <c r="D51" s="119">
        <v>45307.653436655091</v>
      </c>
      <c r="E51" s="36" t="s">
        <v>77</v>
      </c>
      <c r="F51" s="1" t="s">
        <v>179</v>
      </c>
      <c r="G51" s="36" t="s">
        <v>180</v>
      </c>
      <c r="H51" s="1" t="s">
        <v>181</v>
      </c>
      <c r="I51" s="1" t="s">
        <v>152</v>
      </c>
      <c r="J51" s="120" t="s">
        <v>182</v>
      </c>
      <c r="K51" s="36" t="s">
        <v>183</v>
      </c>
      <c r="L51" s="74">
        <f>VLOOKUP(E51,Diccionario!C$2:AC$150,22,0)</f>
        <v>970233948</v>
      </c>
      <c r="M51" s="75">
        <f>VLOOKUP(E51,Diccionario!C$2:AC$150,24,0)</f>
        <v>45306</v>
      </c>
      <c r="N51" s="76">
        <f>VLOOKUP(E51,Diccionario!C$2:AC$150,25,0)</f>
        <v>45412</v>
      </c>
      <c r="O51" s="77">
        <f>VLOOKUP(E51,Diccionario!C$2:AC$150,26,0)</f>
        <v>3.5</v>
      </c>
      <c r="P51" s="77">
        <f t="shared" si="28"/>
        <v>0.5</v>
      </c>
      <c r="Q51" s="78">
        <v>4</v>
      </c>
      <c r="R51" s="36">
        <v>4</v>
      </c>
      <c r="S51" s="86">
        <v>1</v>
      </c>
      <c r="T51" s="86">
        <v>0.6</v>
      </c>
      <c r="U51" s="82">
        <v>574605868</v>
      </c>
      <c r="V51" s="82">
        <v>574605868</v>
      </c>
      <c r="W51" s="82">
        <f t="shared" si="0"/>
        <v>582140368.79999995</v>
      </c>
      <c r="X51" s="82">
        <f t="shared" si="29"/>
        <v>970233948</v>
      </c>
      <c r="Y51" s="82">
        <f t="shared" si="2"/>
        <v>7534500.7999999523</v>
      </c>
      <c r="Z51" s="82">
        <f t="shared" si="30"/>
        <v>-388093579.20000005</v>
      </c>
      <c r="AA51" s="83">
        <f t="shared" si="11"/>
        <v>1.0131124675531507</v>
      </c>
      <c r="AB51" s="84" t="str">
        <f t="shared" si="31"/>
        <v>Costo eficiente: se está gastando menos de lo presupuestado</v>
      </c>
      <c r="AC51" s="84">
        <f t="shared" si="4"/>
        <v>0.6</v>
      </c>
      <c r="AD51" s="84" t="str">
        <f t="shared" si="32"/>
        <v>Proyecto atrasado con respecto al cronograma</v>
      </c>
      <c r="AE51" s="85">
        <f t="shared" si="6"/>
        <v>957676446.66666675</v>
      </c>
      <c r="AF51" s="85">
        <f t="shared" si="7"/>
        <v>-12557501.333333254</v>
      </c>
      <c r="AG51" s="40" t="str">
        <f>VLOOKUP(Indicador!E51,Diccionario!C$1:AC$150,27,0)</f>
        <v>https://growdatasas.sharepoint.com/:x:/r/sites/Gestiondocumental/Administrativa/GD/Financiera/_layouts/15/Doc.aspx?sourcedoc=%7B4F9BD6BF-F6F0-4033-84A5-4B5D6077FC32%7D&amp;file=314.%20TELEFONICA%20%E2%80%93%20DPC%20%20SALA%20DE%20ANALITICA.xlsx&amp;action=default&amp;mobileredirect=true</v>
      </c>
      <c r="AH51" s="40">
        <v>1</v>
      </c>
      <c r="AI51" s="40">
        <v>1</v>
      </c>
    </row>
    <row r="52" spans="1:35" ht="18.75" customHeight="1">
      <c r="A52" s="73">
        <v>2024</v>
      </c>
      <c r="B52" s="112" t="s">
        <v>13</v>
      </c>
      <c r="C52" s="1" t="s">
        <v>178</v>
      </c>
      <c r="D52" s="119">
        <v>45307.653436655091</v>
      </c>
      <c r="E52" s="36" t="s">
        <v>77</v>
      </c>
      <c r="F52" s="1" t="s">
        <v>179</v>
      </c>
      <c r="G52" s="36" t="s">
        <v>180</v>
      </c>
      <c r="H52" s="1" t="s">
        <v>181</v>
      </c>
      <c r="I52" s="1" t="s">
        <v>152</v>
      </c>
      <c r="J52" s="120" t="s">
        <v>182</v>
      </c>
      <c r="K52" s="36" t="s">
        <v>183</v>
      </c>
      <c r="L52" s="74">
        <f>VLOOKUP(E52,Diccionario!C$2:AC$150,22,0)</f>
        <v>970233948</v>
      </c>
      <c r="M52" s="75">
        <f>VLOOKUP(E52,Diccionario!C$2:AC$150,24,0)</f>
        <v>45306</v>
      </c>
      <c r="N52" s="76">
        <f>VLOOKUP(E52,Diccionario!C$2:AC$150,25,0)</f>
        <v>45412</v>
      </c>
      <c r="O52" s="77">
        <f>VLOOKUP(E52,Diccionario!C$2:AC$150,26,0)</f>
        <v>3.5</v>
      </c>
      <c r="P52" s="77">
        <f t="shared" si="28"/>
        <v>1.5</v>
      </c>
      <c r="Q52" s="78">
        <v>5</v>
      </c>
      <c r="R52" s="36">
        <v>4</v>
      </c>
      <c r="S52" s="86">
        <v>1</v>
      </c>
      <c r="T52" s="86">
        <v>0.8</v>
      </c>
      <c r="U52" s="82">
        <v>258032419</v>
      </c>
      <c r="V52" s="82">
        <v>258032419</v>
      </c>
      <c r="W52" s="82">
        <f t="shared" si="0"/>
        <v>776187158.4000001</v>
      </c>
      <c r="X52" s="82">
        <f t="shared" si="29"/>
        <v>970233948</v>
      </c>
      <c r="Y52" s="82">
        <f t="shared" si="2"/>
        <v>518154739.4000001</v>
      </c>
      <c r="Z52" s="82">
        <f t="shared" si="30"/>
        <v>-194046789.5999999</v>
      </c>
      <c r="AA52" s="83">
        <f t="shared" si="11"/>
        <v>3.0080993752959393</v>
      </c>
      <c r="AB52" s="84" t="str">
        <f t="shared" si="31"/>
        <v>Costo eficiente: se está gastando menos de lo presupuestado</v>
      </c>
      <c r="AC52" s="84">
        <f t="shared" si="4"/>
        <v>0.8</v>
      </c>
      <c r="AD52" s="84" t="str">
        <f t="shared" si="32"/>
        <v>Proyecto atrasado con respecto al cronograma</v>
      </c>
      <c r="AE52" s="85">
        <f t="shared" si="6"/>
        <v>322540523.75</v>
      </c>
      <c r="AF52" s="85">
        <f t="shared" si="7"/>
        <v>-647693424.25</v>
      </c>
      <c r="AG52" s="40" t="str">
        <f>VLOOKUP(Indicador!E52,Diccionario!C$1:AC$150,27,0)</f>
        <v>https://growdatasas.sharepoint.com/:x:/r/sites/Gestiondocumental/Administrativa/GD/Financiera/_layouts/15/Doc.aspx?sourcedoc=%7B4F9BD6BF-F6F0-4033-84A5-4B5D6077FC32%7D&amp;file=314.%20TELEFONICA%20%E2%80%93%20DPC%20%20SALA%20DE%20ANALITICA.xlsx&amp;action=default&amp;mobileredirect=true</v>
      </c>
      <c r="AH52" s="40">
        <v>1</v>
      </c>
      <c r="AI52" s="40">
        <v>1</v>
      </c>
    </row>
    <row r="53" spans="1:35" ht="18.75" customHeight="1">
      <c r="A53" s="73">
        <v>2024</v>
      </c>
      <c r="B53" s="112" t="s">
        <v>21</v>
      </c>
      <c r="C53" s="1" t="s">
        <v>178</v>
      </c>
      <c r="D53" s="119">
        <v>45307.653436655091</v>
      </c>
      <c r="E53" s="36" t="s">
        <v>77</v>
      </c>
      <c r="F53" s="1" t="s">
        <v>179</v>
      </c>
      <c r="G53" s="36" t="s">
        <v>180</v>
      </c>
      <c r="H53" s="1" t="s">
        <v>181</v>
      </c>
      <c r="I53" s="1" t="s">
        <v>152</v>
      </c>
      <c r="J53" s="120" t="s">
        <v>182</v>
      </c>
      <c r="K53" s="36" t="s">
        <v>183</v>
      </c>
      <c r="L53" s="74">
        <f>VLOOKUP(E53,Diccionario!C$2:AC$150,22,0)</f>
        <v>970233948</v>
      </c>
      <c r="M53" s="75">
        <f>VLOOKUP(E53,Diccionario!C$2:AC$150,24,0)</f>
        <v>45306</v>
      </c>
      <c r="N53" s="76">
        <f>VLOOKUP(E53,Diccionario!C$2:AC$150,25,0)</f>
        <v>45412</v>
      </c>
      <c r="O53" s="77">
        <f>VLOOKUP(E53,Diccionario!C$2:AC$150,26,0)</f>
        <v>3.5</v>
      </c>
      <c r="P53" s="77">
        <f t="shared" si="28"/>
        <v>2.5</v>
      </c>
      <c r="Q53" s="78">
        <v>6</v>
      </c>
      <c r="R53" s="36">
        <v>4</v>
      </c>
      <c r="S53" s="86">
        <v>1</v>
      </c>
      <c r="T53" s="86">
        <v>1</v>
      </c>
      <c r="U53" s="82">
        <v>62526580</v>
      </c>
      <c r="V53" s="82">
        <v>62526580</v>
      </c>
      <c r="W53" s="82">
        <f t="shared" si="0"/>
        <v>970233948</v>
      </c>
      <c r="X53" s="82">
        <f t="shared" si="29"/>
        <v>970233948</v>
      </c>
      <c r="Y53" s="82">
        <f t="shared" si="2"/>
        <v>907707368</v>
      </c>
      <c r="Z53" s="82">
        <f t="shared" si="30"/>
        <v>0</v>
      </c>
      <c r="AA53" s="83">
        <f t="shared" si="11"/>
        <v>15.517144036983952</v>
      </c>
      <c r="AB53" s="84" t="str">
        <f t="shared" si="31"/>
        <v>Costo eficiente: se está gastando menos de lo presupuestado</v>
      </c>
      <c r="AC53" s="84">
        <f t="shared" si="4"/>
        <v>1</v>
      </c>
      <c r="AD53" s="84" t="str">
        <f t="shared" si="32"/>
        <v>Proyecto a tiempo según lo planificado</v>
      </c>
      <c r="AE53" s="85">
        <f t="shared" si="6"/>
        <v>62526580</v>
      </c>
      <c r="AF53" s="85">
        <f t="shared" si="7"/>
        <v>-907707368</v>
      </c>
      <c r="AG53" s="40" t="str">
        <f>VLOOKUP(Indicador!E53,Diccionario!C$1:AC$150,27,0)</f>
        <v>https://growdatasas.sharepoint.com/:x:/r/sites/Gestiondocumental/Administrativa/GD/Financiera/_layouts/15/Doc.aspx?sourcedoc=%7B4F9BD6BF-F6F0-4033-84A5-4B5D6077FC32%7D&amp;file=314.%20TELEFONICA%20%E2%80%93%20DPC%20%20SALA%20DE%20ANALITICA.xlsx&amp;action=default&amp;mobileredirect=true</v>
      </c>
      <c r="AH53" s="40">
        <v>1</v>
      </c>
      <c r="AI53" s="40">
        <v>1</v>
      </c>
    </row>
    <row r="54" spans="1:35" ht="18.75" customHeight="1">
      <c r="A54" s="73">
        <v>2024</v>
      </c>
      <c r="B54" s="112" t="s">
        <v>22</v>
      </c>
      <c r="C54" s="36" t="s">
        <v>184</v>
      </c>
      <c r="D54" s="37">
        <v>45356.825930590276</v>
      </c>
      <c r="E54" s="36" t="s">
        <v>39</v>
      </c>
      <c r="F54" s="36" t="s">
        <v>185</v>
      </c>
      <c r="G54" s="36" t="s">
        <v>186</v>
      </c>
      <c r="H54" s="36" t="s">
        <v>187</v>
      </c>
      <c r="I54" s="36" t="s">
        <v>175</v>
      </c>
      <c r="J54" s="36" t="s">
        <v>188</v>
      </c>
      <c r="K54" s="36" t="s">
        <v>183</v>
      </c>
      <c r="L54" s="74">
        <f>VLOOKUP(E54,Diccionario!C$2:AC$150,22,0)</f>
        <v>4004446789</v>
      </c>
      <c r="M54" s="75">
        <f>VLOOKUP(E54,Diccionario!C$2:AC$150,24,0)</f>
        <v>45345</v>
      </c>
      <c r="N54" s="76">
        <f>VLOOKUP(E54,Diccionario!C$2:AC$150,25,0)</f>
        <v>45587</v>
      </c>
      <c r="O54" s="77">
        <f>VLOOKUP(E54,Diccionario!C$2:AC$150,26,0)</f>
        <v>7.97</v>
      </c>
      <c r="P54" s="77">
        <f t="shared" si="28"/>
        <v>-6.97</v>
      </c>
      <c r="Q54" s="78">
        <v>1</v>
      </c>
      <c r="R54" s="36">
        <v>8</v>
      </c>
      <c r="S54" s="86">
        <v>0.1</v>
      </c>
      <c r="T54" s="86">
        <v>0.09</v>
      </c>
      <c r="U54" s="82">
        <v>1261863958</v>
      </c>
      <c r="V54" s="82">
        <v>1261863958</v>
      </c>
      <c r="W54" s="82">
        <f t="shared" si="0"/>
        <v>360400211.00999999</v>
      </c>
      <c r="X54" s="82">
        <f t="shared" si="29"/>
        <v>400444678.90000004</v>
      </c>
      <c r="Y54" s="82">
        <f t="shared" si="2"/>
        <v>-901463746.99000001</v>
      </c>
      <c r="Z54" s="82">
        <f t="shared" si="30"/>
        <v>-40044467.890000045</v>
      </c>
      <c r="AA54" s="83">
        <f t="shared" si="11"/>
        <v>0.28560940244399941</v>
      </c>
      <c r="AB54" s="84" t="str">
        <f t="shared" si="31"/>
        <v>Costo ineficiente: se está gastando más de lo presupuestado</v>
      </c>
      <c r="AC54" s="84">
        <f t="shared" si="4"/>
        <v>0.89999999999999991</v>
      </c>
      <c r="AD54" s="84" t="str">
        <f t="shared" si="32"/>
        <v>Proyecto atrasado con respecto al cronograma</v>
      </c>
      <c r="AE54" s="85">
        <f t="shared" si="6"/>
        <v>14020710644.444447</v>
      </c>
      <c r="AF54" s="85">
        <f t="shared" si="7"/>
        <v>10016263855.444447</v>
      </c>
      <c r="AG54" s="40" t="str">
        <f>VLOOKUP(Indicador!E54,Diccionario!C$1:AC$150,27,0)</f>
        <v>https://growdatasas.sharepoint.com/:x:/r/sites/Gestiondocumental/Administrativa/GD/Financiera/_layouts/15/Doc.aspx?sourcedoc=%7B29DCF375-0847-4DAD-9B9A-9F9E84ABD4DE%7D&amp;file=322.%20MINTRANSPORTE.xlsx&amp;action=default&amp;mobileredirect=true</v>
      </c>
      <c r="AH54" s="40">
        <v>1</v>
      </c>
      <c r="AI54" s="40">
        <v>1</v>
      </c>
    </row>
    <row r="55" spans="1:35" ht="18.75" customHeight="1">
      <c r="A55" s="73">
        <v>2024</v>
      </c>
      <c r="B55" s="112" t="s">
        <v>24</v>
      </c>
      <c r="C55" s="36" t="s">
        <v>184</v>
      </c>
      <c r="D55" s="37">
        <v>45356.825930590276</v>
      </c>
      <c r="E55" s="36" t="s">
        <v>39</v>
      </c>
      <c r="F55" s="36" t="s">
        <v>185</v>
      </c>
      <c r="G55" s="36" t="s">
        <v>186</v>
      </c>
      <c r="H55" s="36" t="s">
        <v>187</v>
      </c>
      <c r="I55" s="36" t="s">
        <v>175</v>
      </c>
      <c r="J55" s="36" t="s">
        <v>188</v>
      </c>
      <c r="K55" s="36" t="s">
        <v>183</v>
      </c>
      <c r="L55" s="74">
        <f>VLOOKUP(E55,Diccionario!C$2:AC$150,22,0)</f>
        <v>4004446789</v>
      </c>
      <c r="M55" s="75">
        <f>VLOOKUP(E55,Diccionario!C$2:AC$150,24,0)</f>
        <v>45345</v>
      </c>
      <c r="N55" s="76">
        <f>VLOOKUP(E55,Diccionario!C$2:AC$150,25,0)</f>
        <v>45587</v>
      </c>
      <c r="O55" s="77">
        <f>VLOOKUP(E55,Diccionario!C$2:AC$150,26,0)</f>
        <v>7.97</v>
      </c>
      <c r="P55" s="77">
        <f t="shared" si="28"/>
        <v>-5.97</v>
      </c>
      <c r="Q55" s="78">
        <f>Q54+1</f>
        <v>2</v>
      </c>
      <c r="R55" s="36">
        <v>8</v>
      </c>
      <c r="S55" s="86">
        <v>0.2</v>
      </c>
      <c r="T55" s="86">
        <v>0.25</v>
      </c>
      <c r="U55" s="82">
        <v>790679659</v>
      </c>
      <c r="V55" s="82">
        <v>790679659</v>
      </c>
      <c r="W55" s="82">
        <f t="shared" si="0"/>
        <v>1001111697.25</v>
      </c>
      <c r="X55" s="82">
        <f t="shared" si="29"/>
        <v>800889357.80000007</v>
      </c>
      <c r="Y55" s="82">
        <f t="shared" si="2"/>
        <v>210432038.25</v>
      </c>
      <c r="Z55" s="82">
        <f t="shared" si="30"/>
        <v>200222339.44999993</v>
      </c>
      <c r="AA55" s="83">
        <f t="shared" si="11"/>
        <v>1.266140700414806</v>
      </c>
      <c r="AB55" s="84" t="str">
        <f t="shared" si="31"/>
        <v>Costo eficiente: se está gastando menos de lo presupuestado</v>
      </c>
      <c r="AC55" s="84">
        <f t="shared" si="4"/>
        <v>1.2499999999999998</v>
      </c>
      <c r="AD55" s="84" t="str">
        <f t="shared" si="32"/>
        <v>Proyecto adelantado respecto al cronograma</v>
      </c>
      <c r="AE55" s="85">
        <f t="shared" si="6"/>
        <v>3162718636</v>
      </c>
      <c r="AF55" s="85">
        <f t="shared" si="7"/>
        <v>-841728153</v>
      </c>
      <c r="AG55" s="40" t="str">
        <f>VLOOKUP(Indicador!E55,Diccionario!C$1:AC$150,27,0)</f>
        <v>https://growdatasas.sharepoint.com/:x:/r/sites/Gestiondocumental/Administrativa/GD/Financiera/_layouts/15/Doc.aspx?sourcedoc=%7B29DCF375-0847-4DAD-9B9A-9F9E84ABD4DE%7D&amp;file=322.%20MINTRANSPORTE.xlsx&amp;action=default&amp;mobileredirect=true</v>
      </c>
      <c r="AH55" s="40">
        <v>1</v>
      </c>
      <c r="AI55" s="40">
        <v>1</v>
      </c>
    </row>
    <row r="56" spans="1:35" ht="18.75" customHeight="1">
      <c r="A56" s="73">
        <v>2024</v>
      </c>
      <c r="B56" s="112" t="s">
        <v>27</v>
      </c>
      <c r="C56" s="36" t="s">
        <v>184</v>
      </c>
      <c r="D56" s="37">
        <v>45356.825930590276</v>
      </c>
      <c r="E56" s="36" t="s">
        <v>39</v>
      </c>
      <c r="F56" s="36" t="s">
        <v>185</v>
      </c>
      <c r="G56" s="36" t="s">
        <v>186</v>
      </c>
      <c r="H56" s="36" t="s">
        <v>187</v>
      </c>
      <c r="I56" s="36" t="s">
        <v>175</v>
      </c>
      <c r="J56" s="36" t="s">
        <v>188</v>
      </c>
      <c r="K56" s="36" t="s">
        <v>183</v>
      </c>
      <c r="L56" s="74">
        <f>VLOOKUP(E56,Diccionario!C$2:AC$150,22,0)</f>
        <v>4004446789</v>
      </c>
      <c r="M56" s="75">
        <f>VLOOKUP(E56,Diccionario!C$2:AC$150,24,0)</f>
        <v>45345</v>
      </c>
      <c r="N56" s="76">
        <f>VLOOKUP(E56,Diccionario!C$2:AC$150,25,0)</f>
        <v>45587</v>
      </c>
      <c r="O56" s="77">
        <f>VLOOKUP(E56,Diccionario!C$2:AC$150,26,0)</f>
        <v>7.97</v>
      </c>
      <c r="P56" s="77">
        <f t="shared" si="28"/>
        <v>-4.97</v>
      </c>
      <c r="Q56" s="78">
        <f t="shared" ref="Q56:Q61" si="33">Q55+1</f>
        <v>3</v>
      </c>
      <c r="R56" s="36">
        <v>8</v>
      </c>
      <c r="S56" s="86">
        <v>0.3</v>
      </c>
      <c r="T56" s="86">
        <v>0.3</v>
      </c>
      <c r="U56" s="82">
        <v>674339043</v>
      </c>
      <c r="V56" s="82">
        <v>674339043</v>
      </c>
      <c r="W56" s="82">
        <f t="shared" si="0"/>
        <v>1201334036.7</v>
      </c>
      <c r="X56" s="82">
        <f t="shared" si="29"/>
        <v>1201334036.7</v>
      </c>
      <c r="Y56" s="82">
        <f t="shared" si="2"/>
        <v>526994993.70000005</v>
      </c>
      <c r="Z56" s="82">
        <f t="shared" si="30"/>
        <v>0</v>
      </c>
      <c r="AA56" s="83">
        <f t="shared" si="11"/>
        <v>1.7814985639204641</v>
      </c>
      <c r="AB56" s="84" t="str">
        <f t="shared" si="31"/>
        <v>Costo eficiente: se está gastando menos de lo presupuestado</v>
      </c>
      <c r="AC56" s="84">
        <f t="shared" si="4"/>
        <v>1</v>
      </c>
      <c r="AD56" s="84" t="str">
        <f t="shared" si="32"/>
        <v>Proyecto a tiempo según lo planificado</v>
      </c>
      <c r="AE56" s="85">
        <f t="shared" si="6"/>
        <v>2247796810</v>
      </c>
      <c r="AF56" s="85">
        <f t="shared" si="7"/>
        <v>-1756649979</v>
      </c>
      <c r="AG56" s="40" t="str">
        <f>VLOOKUP(Indicador!E56,Diccionario!C$1:AC$150,27,0)</f>
        <v>https://growdatasas.sharepoint.com/:x:/r/sites/Gestiondocumental/Administrativa/GD/Financiera/_layouts/15/Doc.aspx?sourcedoc=%7B29DCF375-0847-4DAD-9B9A-9F9E84ABD4DE%7D&amp;file=322.%20MINTRANSPORTE.xlsx&amp;action=default&amp;mobileredirect=true</v>
      </c>
      <c r="AH56" s="40">
        <v>1</v>
      </c>
      <c r="AI56" s="40">
        <v>1</v>
      </c>
    </row>
    <row r="57" spans="1:35" ht="18.75" customHeight="1">
      <c r="A57" s="73">
        <v>2024</v>
      </c>
      <c r="B57" s="112" t="s">
        <v>13</v>
      </c>
      <c r="C57" s="36" t="s">
        <v>184</v>
      </c>
      <c r="D57" s="37">
        <v>45356.825930590276</v>
      </c>
      <c r="E57" s="36" t="s">
        <v>39</v>
      </c>
      <c r="F57" s="36" t="s">
        <v>185</v>
      </c>
      <c r="G57" s="36" t="s">
        <v>186</v>
      </c>
      <c r="H57" s="36" t="s">
        <v>187</v>
      </c>
      <c r="I57" s="36" t="s">
        <v>175</v>
      </c>
      <c r="J57" s="36" t="s">
        <v>188</v>
      </c>
      <c r="K57" s="36" t="s">
        <v>183</v>
      </c>
      <c r="L57" s="74">
        <f>VLOOKUP(E57,Diccionario!C$2:AC$150,22,0)</f>
        <v>4004446789</v>
      </c>
      <c r="M57" s="75">
        <f>VLOOKUP(E57,Diccionario!C$2:AC$150,24,0)</f>
        <v>45345</v>
      </c>
      <c r="N57" s="76">
        <f>VLOOKUP(E57,Diccionario!C$2:AC$150,25,0)</f>
        <v>45587</v>
      </c>
      <c r="O57" s="77">
        <f>VLOOKUP(E57,Diccionario!C$2:AC$150,26,0)</f>
        <v>7.97</v>
      </c>
      <c r="P57" s="77">
        <f t="shared" si="28"/>
        <v>-3.9699999999999998</v>
      </c>
      <c r="Q57" s="78">
        <f t="shared" si="33"/>
        <v>4</v>
      </c>
      <c r="R57" s="36">
        <v>8</v>
      </c>
      <c r="S57" s="86">
        <v>0.45</v>
      </c>
      <c r="T57" s="86">
        <v>0.42</v>
      </c>
      <c r="U57" s="82">
        <v>441657811</v>
      </c>
      <c r="V57" s="82">
        <v>441657811</v>
      </c>
      <c r="W57" s="82">
        <f t="shared" si="0"/>
        <v>1681867651.3799999</v>
      </c>
      <c r="X57" s="82">
        <f t="shared" si="29"/>
        <v>1802001055.05</v>
      </c>
      <c r="Y57" s="82">
        <f t="shared" si="2"/>
        <v>1240209840.3799999</v>
      </c>
      <c r="Z57" s="82">
        <f t="shared" si="30"/>
        <v>-120133403.67000008</v>
      </c>
      <c r="AA57" s="83">
        <f t="shared" si="11"/>
        <v>3.8080785836707411</v>
      </c>
      <c r="AB57" s="84" t="str">
        <f t="shared" si="31"/>
        <v>Costo eficiente: se está gastando menos de lo presupuestado</v>
      </c>
      <c r="AC57" s="84">
        <f t="shared" si="4"/>
        <v>0.93333333333333324</v>
      </c>
      <c r="AD57" s="84" t="str">
        <f t="shared" si="32"/>
        <v>Proyecto atrasado con respecto al cronograma</v>
      </c>
      <c r="AE57" s="85">
        <f t="shared" si="6"/>
        <v>1051566216.6666667</v>
      </c>
      <c r="AF57" s="85">
        <f t="shared" si="7"/>
        <v>-2952880572.333333</v>
      </c>
      <c r="AG57" s="40" t="str">
        <f>VLOOKUP(Indicador!E57,Diccionario!C$1:AC$150,27,0)</f>
        <v>https://growdatasas.sharepoint.com/:x:/r/sites/Gestiondocumental/Administrativa/GD/Financiera/_layouts/15/Doc.aspx?sourcedoc=%7B29DCF375-0847-4DAD-9B9A-9F9E84ABD4DE%7D&amp;file=322.%20MINTRANSPORTE.xlsx&amp;action=default&amp;mobileredirect=true</v>
      </c>
      <c r="AH57" s="40">
        <v>1</v>
      </c>
      <c r="AI57" s="40">
        <v>1</v>
      </c>
    </row>
    <row r="58" spans="1:35" ht="18.75" customHeight="1">
      <c r="A58" s="73">
        <v>2024</v>
      </c>
      <c r="B58" s="112" t="s">
        <v>21</v>
      </c>
      <c r="C58" s="36" t="s">
        <v>184</v>
      </c>
      <c r="D58" s="37">
        <v>45356.825930590276</v>
      </c>
      <c r="E58" s="36" t="s">
        <v>39</v>
      </c>
      <c r="F58" s="36" t="s">
        <v>185</v>
      </c>
      <c r="G58" s="36" t="s">
        <v>186</v>
      </c>
      <c r="H58" s="36" t="s">
        <v>187</v>
      </c>
      <c r="I58" s="36" t="s">
        <v>175</v>
      </c>
      <c r="J58" s="36" t="s">
        <v>188</v>
      </c>
      <c r="K58" s="36" t="s">
        <v>183</v>
      </c>
      <c r="L58" s="74">
        <f>VLOOKUP(E58,Diccionario!C$2:AC$150,22,0)</f>
        <v>4004446789</v>
      </c>
      <c r="M58" s="75">
        <f>VLOOKUP(E58,Diccionario!C$2:AC$150,24,0)</f>
        <v>45345</v>
      </c>
      <c r="N58" s="76">
        <f>VLOOKUP(E58,Diccionario!C$2:AC$150,25,0)</f>
        <v>45587</v>
      </c>
      <c r="O58" s="77">
        <f>VLOOKUP(E58,Diccionario!C$2:AC$150,26,0)</f>
        <v>7.97</v>
      </c>
      <c r="P58" s="77">
        <f t="shared" si="28"/>
        <v>-2.9699999999999998</v>
      </c>
      <c r="Q58" s="78">
        <f t="shared" si="33"/>
        <v>5</v>
      </c>
      <c r="R58" s="36">
        <v>8</v>
      </c>
      <c r="S58" s="86">
        <v>0.55000000000000004</v>
      </c>
      <c r="T58" s="86">
        <v>0.55000000000000004</v>
      </c>
      <c r="U58" s="82">
        <v>208976579</v>
      </c>
      <c r="V58" s="82">
        <v>208976579</v>
      </c>
      <c r="W58" s="82">
        <f t="shared" si="0"/>
        <v>2202445733.9500003</v>
      </c>
      <c r="X58" s="82">
        <f t="shared" si="29"/>
        <v>2202445733.9500003</v>
      </c>
      <c r="Y58" s="82">
        <f t="shared" si="2"/>
        <v>1993469154.9500003</v>
      </c>
      <c r="Z58" s="82">
        <f t="shared" si="30"/>
        <v>0</v>
      </c>
      <c r="AA58" s="83">
        <f t="shared" si="11"/>
        <v>10.539198911615834</v>
      </c>
      <c r="AB58" s="84" t="str">
        <f t="shared" si="31"/>
        <v>Costo eficiente: se está gastando menos de lo presupuestado</v>
      </c>
      <c r="AC58" s="84">
        <f t="shared" si="4"/>
        <v>1</v>
      </c>
      <c r="AD58" s="84" t="str">
        <f t="shared" si="32"/>
        <v>Proyecto a tiempo según lo planificado</v>
      </c>
      <c r="AE58" s="85">
        <f t="shared" si="6"/>
        <v>379957416.36363631</v>
      </c>
      <c r="AF58" s="85">
        <f t="shared" si="7"/>
        <v>-3624489372.6363635</v>
      </c>
      <c r="AG58" s="40" t="str">
        <f>VLOOKUP(Indicador!E58,Diccionario!C$1:AC$150,27,0)</f>
        <v>https://growdatasas.sharepoint.com/:x:/r/sites/Gestiondocumental/Administrativa/GD/Financiera/_layouts/15/Doc.aspx?sourcedoc=%7B29DCF375-0847-4DAD-9B9A-9F9E84ABD4DE%7D&amp;file=322.%20MINTRANSPORTE.xlsx&amp;action=default&amp;mobileredirect=true</v>
      </c>
      <c r="AH58" s="40">
        <v>1</v>
      </c>
      <c r="AI58" s="40">
        <v>1</v>
      </c>
    </row>
    <row r="59" spans="1:35" ht="18.75" customHeight="1">
      <c r="A59" s="73">
        <v>2024</v>
      </c>
      <c r="B59" s="112" t="s">
        <v>23</v>
      </c>
      <c r="C59" s="36" t="s">
        <v>184</v>
      </c>
      <c r="D59" s="37">
        <v>45356.825930590276</v>
      </c>
      <c r="E59" s="36" t="s">
        <v>39</v>
      </c>
      <c r="F59" s="36" t="s">
        <v>185</v>
      </c>
      <c r="G59" s="36" t="s">
        <v>186</v>
      </c>
      <c r="H59" s="36" t="s">
        <v>187</v>
      </c>
      <c r="I59" s="36" t="s">
        <v>175</v>
      </c>
      <c r="J59" s="36" t="s">
        <v>188</v>
      </c>
      <c r="K59" s="36" t="s">
        <v>183</v>
      </c>
      <c r="L59" s="74">
        <f>VLOOKUP(E59,Diccionario!C$2:AC$150,22,0)</f>
        <v>4004446789</v>
      </c>
      <c r="M59" s="75">
        <f>VLOOKUP(E59,Diccionario!C$2:AC$150,24,0)</f>
        <v>45345</v>
      </c>
      <c r="N59" s="76">
        <f>VLOOKUP(E59,Diccionario!C$2:AC$150,25,0)</f>
        <v>45587</v>
      </c>
      <c r="O59" s="77">
        <f>VLOOKUP(E59,Diccionario!C$2:AC$150,26,0)</f>
        <v>7.97</v>
      </c>
      <c r="P59" s="77">
        <f t="shared" si="28"/>
        <v>-1.9699999999999998</v>
      </c>
      <c r="Q59" s="78">
        <f t="shared" si="33"/>
        <v>6</v>
      </c>
      <c r="R59" s="36">
        <v>8</v>
      </c>
      <c r="S59" s="86">
        <v>0.65</v>
      </c>
      <c r="T59" s="86">
        <v>0.67</v>
      </c>
      <c r="U59" s="82">
        <v>208976579</v>
      </c>
      <c r="V59" s="82">
        <v>208976579</v>
      </c>
      <c r="W59" s="82">
        <f t="shared" si="0"/>
        <v>2682979348.6300001</v>
      </c>
      <c r="X59" s="82">
        <f t="shared" si="29"/>
        <v>2602890412.8499999</v>
      </c>
      <c r="Y59" s="82">
        <f t="shared" si="2"/>
        <v>2474002769.6300001</v>
      </c>
      <c r="Z59" s="82">
        <f t="shared" si="30"/>
        <v>80088935.78000021</v>
      </c>
      <c r="AA59" s="83">
        <f t="shared" si="11"/>
        <v>12.838660492332014</v>
      </c>
      <c r="AB59" s="84" t="str">
        <f t="shared" si="31"/>
        <v>Costo eficiente: se está gastando menos de lo presupuestado</v>
      </c>
      <c r="AC59" s="84">
        <f t="shared" si="4"/>
        <v>1.0307692307692309</v>
      </c>
      <c r="AD59" s="84" t="str">
        <f t="shared" si="32"/>
        <v>Proyecto adelantado respecto al cronograma</v>
      </c>
      <c r="AE59" s="85">
        <f t="shared" si="6"/>
        <v>311905341.79104477</v>
      </c>
      <c r="AF59" s="85">
        <f t="shared" si="7"/>
        <v>-3692541447.2089553</v>
      </c>
      <c r="AG59" s="40" t="str">
        <f>VLOOKUP(Indicador!E59,Diccionario!C$1:AC$150,27,0)</f>
        <v>https://growdatasas.sharepoint.com/:x:/r/sites/Gestiondocumental/Administrativa/GD/Financiera/_layouts/15/Doc.aspx?sourcedoc=%7B29DCF375-0847-4DAD-9B9A-9F9E84ABD4DE%7D&amp;file=322.%20MINTRANSPORTE.xlsx&amp;action=default&amp;mobileredirect=true</v>
      </c>
      <c r="AH59" s="40">
        <v>1</v>
      </c>
      <c r="AI59" s="40">
        <v>1</v>
      </c>
    </row>
    <row r="60" spans="1:35" ht="18.75" customHeight="1">
      <c r="A60" s="73">
        <v>2024</v>
      </c>
      <c r="B60" s="112" t="s">
        <v>26</v>
      </c>
      <c r="C60" s="36" t="s">
        <v>184</v>
      </c>
      <c r="D60" s="37">
        <v>45356.825930590276</v>
      </c>
      <c r="E60" s="36" t="s">
        <v>39</v>
      </c>
      <c r="F60" s="36" t="s">
        <v>185</v>
      </c>
      <c r="G60" s="36" t="s">
        <v>186</v>
      </c>
      <c r="H60" s="36" t="s">
        <v>187</v>
      </c>
      <c r="I60" s="36" t="s">
        <v>175</v>
      </c>
      <c r="J60" s="36" t="s">
        <v>188</v>
      </c>
      <c r="K60" s="36" t="s">
        <v>183</v>
      </c>
      <c r="L60" s="74">
        <f>VLOOKUP(E60,Diccionario!C$2:AC$150,22,0)</f>
        <v>4004446789</v>
      </c>
      <c r="M60" s="75">
        <f>VLOOKUP(E60,Diccionario!C$2:AC$150,24,0)</f>
        <v>45345</v>
      </c>
      <c r="N60" s="76">
        <f>VLOOKUP(E60,Diccionario!C$2:AC$150,25,0)</f>
        <v>45587</v>
      </c>
      <c r="O60" s="77">
        <f>VLOOKUP(E60,Diccionario!C$2:AC$150,26,0)</f>
        <v>7.97</v>
      </c>
      <c r="P60" s="77">
        <f t="shared" si="28"/>
        <v>-0.96999999999999975</v>
      </c>
      <c r="Q60" s="78">
        <f t="shared" si="33"/>
        <v>7</v>
      </c>
      <c r="R60" s="36">
        <v>8</v>
      </c>
      <c r="S60" s="86">
        <v>0.8</v>
      </c>
      <c r="T60" s="86">
        <v>0.85</v>
      </c>
      <c r="U60" s="82">
        <v>208976579</v>
      </c>
      <c r="V60" s="82">
        <v>208976579</v>
      </c>
      <c r="W60" s="82">
        <f t="shared" si="0"/>
        <v>3403779770.6500001</v>
      </c>
      <c r="X60" s="82">
        <f t="shared" si="29"/>
        <v>3203557431.2000003</v>
      </c>
      <c r="Y60" s="82">
        <f t="shared" si="2"/>
        <v>3194803191.6500001</v>
      </c>
      <c r="Z60" s="82">
        <f t="shared" si="30"/>
        <v>200222339.44999981</v>
      </c>
      <c r="AA60" s="83">
        <f t="shared" si="11"/>
        <v>16.287852863406286</v>
      </c>
      <c r="AB60" s="84" t="str">
        <f t="shared" si="31"/>
        <v>Costo eficiente: se está gastando menos de lo presupuestado</v>
      </c>
      <c r="AC60" s="84">
        <f t="shared" si="4"/>
        <v>1.0625</v>
      </c>
      <c r="AD60" s="84" t="str">
        <f t="shared" si="32"/>
        <v>Proyecto adelantado respecto al cronograma</v>
      </c>
      <c r="AE60" s="85">
        <f t="shared" si="6"/>
        <v>245854798.82352942</v>
      </c>
      <c r="AF60" s="85">
        <f t="shared" si="7"/>
        <v>-3758591990.1764708</v>
      </c>
      <c r="AG60" s="40" t="str">
        <f>VLOOKUP(Indicador!E60,Diccionario!C$1:AC$150,27,0)</f>
        <v>https://growdatasas.sharepoint.com/:x:/r/sites/Gestiondocumental/Administrativa/GD/Financiera/_layouts/15/Doc.aspx?sourcedoc=%7B29DCF375-0847-4DAD-9B9A-9F9E84ABD4DE%7D&amp;file=322.%20MINTRANSPORTE.xlsx&amp;action=default&amp;mobileredirect=true</v>
      </c>
      <c r="AH60" s="40">
        <v>1</v>
      </c>
      <c r="AI60" s="40">
        <v>1</v>
      </c>
    </row>
    <row r="61" spans="1:35" ht="18.75" customHeight="1">
      <c r="A61" s="73">
        <v>2024</v>
      </c>
      <c r="B61" s="112" t="s">
        <v>28</v>
      </c>
      <c r="C61" s="36" t="s">
        <v>184</v>
      </c>
      <c r="D61" s="37">
        <v>45356.825930590276</v>
      </c>
      <c r="E61" s="36" t="s">
        <v>39</v>
      </c>
      <c r="F61" s="36" t="s">
        <v>185</v>
      </c>
      <c r="G61" s="36" t="s">
        <v>186</v>
      </c>
      <c r="H61" s="36" t="s">
        <v>187</v>
      </c>
      <c r="I61" s="36" t="s">
        <v>175</v>
      </c>
      <c r="J61" s="36" t="s">
        <v>188</v>
      </c>
      <c r="K61" s="36" t="s">
        <v>183</v>
      </c>
      <c r="L61" s="74">
        <f>VLOOKUP(E61,Diccionario!C$2:AC$150,22,0)</f>
        <v>4004446789</v>
      </c>
      <c r="M61" s="75">
        <f>VLOOKUP(E61,Diccionario!C$2:AC$150,24,0)</f>
        <v>45345</v>
      </c>
      <c r="N61" s="76">
        <f>VLOOKUP(E61,Diccionario!C$2:AC$150,25,0)</f>
        <v>45587</v>
      </c>
      <c r="O61" s="77">
        <f>VLOOKUP(E61,Diccionario!C$2:AC$150,26,0)</f>
        <v>7.97</v>
      </c>
      <c r="P61" s="77">
        <f t="shared" si="28"/>
        <v>3.0000000000000249E-2</v>
      </c>
      <c r="Q61" s="78">
        <f t="shared" si="33"/>
        <v>8</v>
      </c>
      <c r="R61" s="36">
        <v>8</v>
      </c>
      <c r="S61" s="86">
        <v>0.9</v>
      </c>
      <c r="T61" s="86">
        <v>1</v>
      </c>
      <c r="U61" s="82">
        <v>208976579</v>
      </c>
      <c r="V61" s="82">
        <v>208976579</v>
      </c>
      <c r="W61" s="82">
        <f t="shared" si="0"/>
        <v>4004446789</v>
      </c>
      <c r="X61" s="82">
        <f t="shared" si="29"/>
        <v>3604002110.0999999</v>
      </c>
      <c r="Y61" s="82">
        <f t="shared" si="2"/>
        <v>3795470210</v>
      </c>
      <c r="Z61" s="82">
        <f t="shared" si="30"/>
        <v>400444678.9000001</v>
      </c>
      <c r="AA61" s="83">
        <f t="shared" si="11"/>
        <v>19.162179839301512</v>
      </c>
      <c r="AB61" s="84" t="str">
        <f t="shared" si="31"/>
        <v>Costo eficiente: se está gastando menos de lo presupuestado</v>
      </c>
      <c r="AC61" s="84">
        <f t="shared" si="4"/>
        <v>1.1111111111111112</v>
      </c>
      <c r="AD61" s="84" t="str">
        <f t="shared" si="32"/>
        <v>Proyecto adelantado respecto al cronograma</v>
      </c>
      <c r="AE61" s="85">
        <f t="shared" si="6"/>
        <v>208976579.00000003</v>
      </c>
      <c r="AF61" s="85">
        <f t="shared" si="7"/>
        <v>-3795470210</v>
      </c>
      <c r="AG61" s="40" t="str">
        <f>VLOOKUP(Indicador!E61,Diccionario!C$1:AC$150,27,0)</f>
        <v>https://growdatasas.sharepoint.com/:x:/r/sites/Gestiondocumental/Administrativa/GD/Financiera/_layouts/15/Doc.aspx?sourcedoc=%7B29DCF375-0847-4DAD-9B9A-9F9E84ABD4DE%7D&amp;file=322.%20MINTRANSPORTE.xlsx&amp;action=default&amp;mobileredirect=true</v>
      </c>
      <c r="AH61" s="40">
        <v>1</v>
      </c>
      <c r="AI61" s="40">
        <v>1</v>
      </c>
    </row>
    <row r="62" spans="1:35" ht="18.75" customHeight="1">
      <c r="A62" s="73">
        <v>2024</v>
      </c>
      <c r="B62" s="112" t="s">
        <v>24</v>
      </c>
      <c r="C62" s="36" t="s">
        <v>189</v>
      </c>
      <c r="D62" s="37">
        <v>45373.886505289352</v>
      </c>
      <c r="E62" s="36" t="s">
        <v>75</v>
      </c>
      <c r="F62" s="36" t="s">
        <v>190</v>
      </c>
      <c r="G62" s="36" t="s">
        <v>191</v>
      </c>
      <c r="H62" s="36" t="s">
        <v>192</v>
      </c>
      <c r="I62" s="36" t="s">
        <v>175</v>
      </c>
      <c r="J62" s="36" t="s">
        <v>193</v>
      </c>
      <c r="K62" s="36" t="s">
        <v>177</v>
      </c>
      <c r="L62" s="74">
        <f>VLOOKUP(E62,Diccionario!C$2:AC$150,22,0)</f>
        <v>372376516</v>
      </c>
      <c r="M62" s="75">
        <f>VLOOKUP(E62,Diccionario!C$2:AC$150,24,0)</f>
        <v>45352</v>
      </c>
      <c r="N62" s="76">
        <f>VLOOKUP(E62,Diccionario!C$2:AC$150,25,0)</f>
        <v>45534</v>
      </c>
      <c r="O62" s="77">
        <f>VLOOKUP(E62,Diccionario!C$2:AC$150,26,0)</f>
        <v>5.97</v>
      </c>
      <c r="P62" s="77">
        <f t="shared" si="28"/>
        <v>-4.97</v>
      </c>
      <c r="Q62" s="78">
        <v>1</v>
      </c>
      <c r="R62" s="36">
        <v>6</v>
      </c>
      <c r="S62" s="86">
        <v>0.2</v>
      </c>
      <c r="T62" s="86">
        <v>0.15</v>
      </c>
      <c r="U62" s="82">
        <v>110202191</v>
      </c>
      <c r="V62" s="82">
        <v>110202191</v>
      </c>
      <c r="W62" s="82">
        <f t="shared" si="0"/>
        <v>55856477.399999999</v>
      </c>
      <c r="X62" s="82">
        <f t="shared" si="29"/>
        <v>74475303.200000003</v>
      </c>
      <c r="Y62" s="82">
        <f t="shared" si="2"/>
        <v>-54345713.600000001</v>
      </c>
      <c r="Z62" s="82">
        <f t="shared" si="30"/>
        <v>-18618825.800000004</v>
      </c>
      <c r="AA62" s="83">
        <f t="shared" si="11"/>
        <v>0.50685450890899253</v>
      </c>
      <c r="AB62" s="84" t="str">
        <f t="shared" si="31"/>
        <v>Costo ineficiente: se está gastando más de lo presupuestado</v>
      </c>
      <c r="AC62" s="84">
        <f t="shared" si="4"/>
        <v>0.75</v>
      </c>
      <c r="AD62" s="84" t="str">
        <f t="shared" si="32"/>
        <v>Proyecto atrasado con respecto al cronograma</v>
      </c>
      <c r="AE62" s="85">
        <f t="shared" si="6"/>
        <v>734681273.33333337</v>
      </c>
      <c r="AF62" s="85">
        <f t="shared" si="7"/>
        <v>362304757.33333337</v>
      </c>
      <c r="AG62" s="40" t="str">
        <f>VLOOKUP(Indicador!E62,Diccionario!C$1:AC$150,27,0)</f>
        <v>https://growdatasas.sharepoint.com/:x:/r/sites/Gestiondocumental/Administrativa/GD/Financiera/_layouts/15/Doc.aspx?sourcedoc=%7B465AB503-754C-43E2-86C3-8E24183E3BBF%7D&amp;file=090424%20324.%20RUNT%202.0%20-%20RUNT%20MDM.xlsx&amp;action=default&amp;mobileredirect=true</v>
      </c>
      <c r="AH62" s="40">
        <v>1</v>
      </c>
      <c r="AI62" s="40">
        <v>1</v>
      </c>
    </row>
    <row r="63" spans="1:35" ht="18.75" customHeight="1">
      <c r="A63" s="73">
        <v>2024</v>
      </c>
      <c r="B63" s="112" t="s">
        <v>27</v>
      </c>
      <c r="C63" s="36" t="s">
        <v>189</v>
      </c>
      <c r="D63" s="37">
        <v>45373.886505289352</v>
      </c>
      <c r="E63" s="36" t="s">
        <v>75</v>
      </c>
      <c r="F63" s="36" t="s">
        <v>190</v>
      </c>
      <c r="G63" s="36" t="s">
        <v>191</v>
      </c>
      <c r="H63" s="36" t="s">
        <v>192</v>
      </c>
      <c r="I63" s="36" t="s">
        <v>175</v>
      </c>
      <c r="J63" s="36" t="s">
        <v>193</v>
      </c>
      <c r="K63" s="36" t="s">
        <v>177</v>
      </c>
      <c r="L63" s="74">
        <f>VLOOKUP(E63,Diccionario!C$2:AC$150,22,0)</f>
        <v>372376516</v>
      </c>
      <c r="M63" s="75">
        <f>VLOOKUP(E63,Diccionario!C$2:AC$150,24,0)</f>
        <v>45352</v>
      </c>
      <c r="N63" s="76">
        <f>VLOOKUP(E63,Diccionario!C$2:AC$150,25,0)</f>
        <v>45534</v>
      </c>
      <c r="O63" s="77">
        <f>VLOOKUP(E63,Diccionario!C$2:AC$150,26,0)</f>
        <v>5.97</v>
      </c>
      <c r="P63" s="77">
        <f t="shared" si="28"/>
        <v>-3.9699999999999998</v>
      </c>
      <c r="Q63" s="78">
        <v>2</v>
      </c>
      <c r="R63" s="36">
        <v>6</v>
      </c>
      <c r="S63" s="86">
        <v>0.3</v>
      </c>
      <c r="T63" s="86">
        <v>0.2</v>
      </c>
      <c r="U63" s="82">
        <v>13923314</v>
      </c>
      <c r="V63" s="82">
        <v>13923314</v>
      </c>
      <c r="W63" s="82">
        <f t="shared" si="0"/>
        <v>74475303.200000003</v>
      </c>
      <c r="X63" s="82">
        <f t="shared" si="29"/>
        <v>111712954.8</v>
      </c>
      <c r="Y63" s="82">
        <f t="shared" si="2"/>
        <v>60551989.200000003</v>
      </c>
      <c r="Z63" s="82">
        <f t="shared" si="30"/>
        <v>-37237651.599999994</v>
      </c>
      <c r="AA63" s="83">
        <f t="shared" si="11"/>
        <v>5.3489638458200401</v>
      </c>
      <c r="AB63" s="84" t="str">
        <f t="shared" si="31"/>
        <v>Costo eficiente: se está gastando menos de lo presupuestado</v>
      </c>
      <c r="AC63" s="84">
        <f t="shared" si="4"/>
        <v>0.66666666666666674</v>
      </c>
      <c r="AD63" s="84" t="str">
        <f t="shared" si="32"/>
        <v>Proyecto atrasado con respecto al cronograma</v>
      </c>
      <c r="AE63" s="85">
        <f t="shared" si="6"/>
        <v>69616570</v>
      </c>
      <c r="AF63" s="85">
        <f t="shared" si="7"/>
        <v>-302759946</v>
      </c>
      <c r="AG63" s="40" t="str">
        <f>VLOOKUP(Indicador!E63,Diccionario!C$1:AC$150,27,0)</f>
        <v>https://growdatasas.sharepoint.com/:x:/r/sites/Gestiondocumental/Administrativa/GD/Financiera/_layouts/15/Doc.aspx?sourcedoc=%7B465AB503-754C-43E2-86C3-8E24183E3BBF%7D&amp;file=090424%20324.%20RUNT%202.0%20-%20RUNT%20MDM.xlsx&amp;action=default&amp;mobileredirect=true</v>
      </c>
      <c r="AH63" s="40">
        <v>1</v>
      </c>
      <c r="AI63" s="40">
        <v>1</v>
      </c>
    </row>
    <row r="64" spans="1:35" ht="18.75" customHeight="1">
      <c r="A64" s="73">
        <v>2024</v>
      </c>
      <c r="B64" s="112" t="s">
        <v>13</v>
      </c>
      <c r="C64" s="36" t="s">
        <v>189</v>
      </c>
      <c r="D64" s="37">
        <v>45373.886505289352</v>
      </c>
      <c r="E64" s="36" t="s">
        <v>75</v>
      </c>
      <c r="F64" s="36" t="s">
        <v>190</v>
      </c>
      <c r="G64" s="36" t="s">
        <v>191</v>
      </c>
      <c r="H64" s="36" t="s">
        <v>192</v>
      </c>
      <c r="I64" s="36" t="s">
        <v>175</v>
      </c>
      <c r="J64" s="36" t="s">
        <v>193</v>
      </c>
      <c r="K64" s="36" t="s">
        <v>177</v>
      </c>
      <c r="L64" s="74">
        <f>VLOOKUP(E64,Diccionario!C$2:AC$150,22,0)</f>
        <v>372376516</v>
      </c>
      <c r="M64" s="75">
        <f>VLOOKUP(E64,Diccionario!C$2:AC$150,24,0)</f>
        <v>45352</v>
      </c>
      <c r="N64" s="76">
        <f>VLOOKUP(E64,Diccionario!C$2:AC$150,25,0)</f>
        <v>45534</v>
      </c>
      <c r="O64" s="77">
        <f>VLOOKUP(E64,Diccionario!C$2:AC$150,26,0)</f>
        <v>5.97</v>
      </c>
      <c r="P64" s="77">
        <f t="shared" si="28"/>
        <v>-2.9699999999999998</v>
      </c>
      <c r="Q64" s="78">
        <v>3</v>
      </c>
      <c r="R64" s="36">
        <v>6</v>
      </c>
      <c r="S64" s="86">
        <v>0.5</v>
      </c>
      <c r="T64" s="86">
        <v>0.4</v>
      </c>
      <c r="U64" s="82">
        <v>110202191</v>
      </c>
      <c r="V64" s="82">
        <v>110202191</v>
      </c>
      <c r="W64" s="82">
        <f t="shared" si="0"/>
        <v>148950606.40000001</v>
      </c>
      <c r="X64" s="82">
        <f t="shared" si="29"/>
        <v>186188258</v>
      </c>
      <c r="Y64" s="82">
        <f t="shared" si="2"/>
        <v>38748415.400000006</v>
      </c>
      <c r="Z64" s="82">
        <f t="shared" si="30"/>
        <v>-37237651.599999994</v>
      </c>
      <c r="AA64" s="83">
        <f t="shared" si="11"/>
        <v>1.3516120237573135</v>
      </c>
      <c r="AB64" s="84" t="str">
        <f t="shared" si="31"/>
        <v>Costo eficiente: se está gastando menos de lo presupuestado</v>
      </c>
      <c r="AC64" s="84">
        <f t="shared" si="4"/>
        <v>0.8</v>
      </c>
      <c r="AD64" s="84" t="str">
        <f t="shared" si="32"/>
        <v>Proyecto atrasado con respecto al cronograma</v>
      </c>
      <c r="AE64" s="85">
        <f t="shared" si="6"/>
        <v>275505477.5</v>
      </c>
      <c r="AF64" s="85">
        <f t="shared" si="7"/>
        <v>-96871038.5</v>
      </c>
      <c r="AG64" s="40" t="str">
        <f>VLOOKUP(Indicador!E64,Diccionario!C$1:AC$150,27,0)</f>
        <v>https://growdatasas.sharepoint.com/:x:/r/sites/Gestiondocumental/Administrativa/GD/Financiera/_layouts/15/Doc.aspx?sourcedoc=%7B465AB503-754C-43E2-86C3-8E24183E3BBF%7D&amp;file=090424%20324.%20RUNT%202.0%20-%20RUNT%20MDM.xlsx&amp;action=default&amp;mobileredirect=true</v>
      </c>
      <c r="AH64" s="40">
        <v>1</v>
      </c>
      <c r="AI64" s="40">
        <v>1</v>
      </c>
    </row>
    <row r="65" spans="1:35" ht="18.75" customHeight="1">
      <c r="A65" s="73">
        <v>2024</v>
      </c>
      <c r="B65" s="112" t="s">
        <v>21</v>
      </c>
      <c r="C65" s="36" t="s">
        <v>189</v>
      </c>
      <c r="D65" s="37">
        <v>45373.886505289352</v>
      </c>
      <c r="E65" s="36" t="s">
        <v>75</v>
      </c>
      <c r="F65" s="36" t="s">
        <v>190</v>
      </c>
      <c r="G65" s="36" t="s">
        <v>191</v>
      </c>
      <c r="H65" s="36" t="s">
        <v>192</v>
      </c>
      <c r="I65" s="36" t="s">
        <v>175</v>
      </c>
      <c r="J65" s="36" t="s">
        <v>193</v>
      </c>
      <c r="K65" s="36" t="s">
        <v>177</v>
      </c>
      <c r="L65" s="74">
        <f>VLOOKUP(E65,Diccionario!C$2:AC$150,22,0)</f>
        <v>372376516</v>
      </c>
      <c r="M65" s="75">
        <f>VLOOKUP(E65,Diccionario!C$2:AC$150,24,0)</f>
        <v>45352</v>
      </c>
      <c r="N65" s="76">
        <f>VLOOKUP(E65,Diccionario!C$2:AC$150,25,0)</f>
        <v>45534</v>
      </c>
      <c r="O65" s="77">
        <f>VLOOKUP(E65,Diccionario!C$2:AC$150,26,0)</f>
        <v>5.97</v>
      </c>
      <c r="P65" s="77">
        <f t="shared" si="28"/>
        <v>-1.9699999999999998</v>
      </c>
      <c r="Q65" s="78">
        <v>4</v>
      </c>
      <c r="R65" s="36">
        <v>6</v>
      </c>
      <c r="S65" s="86">
        <v>0.75</v>
      </c>
      <c r="T65" s="86">
        <v>0.7</v>
      </c>
      <c r="U65" s="82">
        <v>13923314</v>
      </c>
      <c r="V65" s="82">
        <v>13923314</v>
      </c>
      <c r="W65" s="82">
        <f t="shared" si="0"/>
        <v>260663561.19999999</v>
      </c>
      <c r="X65" s="82">
        <f t="shared" si="29"/>
        <v>279282387</v>
      </c>
      <c r="Y65" s="82">
        <f t="shared" si="2"/>
        <v>246740247.19999999</v>
      </c>
      <c r="Z65" s="82">
        <f t="shared" si="30"/>
        <v>-18618825.800000012</v>
      </c>
      <c r="AA65" s="83">
        <f t="shared" si="11"/>
        <v>18.721373460370138</v>
      </c>
      <c r="AB65" s="84" t="str">
        <f t="shared" si="31"/>
        <v>Costo eficiente: se está gastando menos de lo presupuestado</v>
      </c>
      <c r="AC65" s="84">
        <f t="shared" si="4"/>
        <v>0.93333333333333324</v>
      </c>
      <c r="AD65" s="84" t="str">
        <f t="shared" si="32"/>
        <v>Proyecto atrasado con respecto al cronograma</v>
      </c>
      <c r="AE65" s="85">
        <f t="shared" si="6"/>
        <v>19890448.571428571</v>
      </c>
      <c r="AF65" s="85">
        <f t="shared" si="7"/>
        <v>-352486067.4285714</v>
      </c>
      <c r="AG65" s="40" t="str">
        <f>VLOOKUP(Indicador!E65,Diccionario!C$1:AC$150,27,0)</f>
        <v>https://growdatasas.sharepoint.com/:x:/r/sites/Gestiondocumental/Administrativa/GD/Financiera/_layouts/15/Doc.aspx?sourcedoc=%7B465AB503-754C-43E2-86C3-8E24183E3BBF%7D&amp;file=090424%20324.%20RUNT%202.0%20-%20RUNT%20MDM.xlsx&amp;action=default&amp;mobileredirect=true</v>
      </c>
      <c r="AH65" s="40">
        <v>1</v>
      </c>
      <c r="AI65" s="40">
        <v>1</v>
      </c>
    </row>
    <row r="66" spans="1:35" ht="18.75" customHeight="1">
      <c r="A66" s="73">
        <v>2024</v>
      </c>
      <c r="B66" s="112" t="s">
        <v>23</v>
      </c>
      <c r="C66" s="36" t="s">
        <v>189</v>
      </c>
      <c r="D66" s="37">
        <v>45373.886505289352</v>
      </c>
      <c r="E66" s="36" t="s">
        <v>75</v>
      </c>
      <c r="F66" s="36" t="s">
        <v>190</v>
      </c>
      <c r="G66" s="36" t="s">
        <v>191</v>
      </c>
      <c r="H66" s="36" t="s">
        <v>192</v>
      </c>
      <c r="I66" s="36" t="s">
        <v>175</v>
      </c>
      <c r="J66" s="36" t="s">
        <v>193</v>
      </c>
      <c r="K66" s="36" t="s">
        <v>177</v>
      </c>
      <c r="L66" s="74">
        <f>VLOOKUP(E66,Diccionario!C$2:AC$150,22,0)</f>
        <v>372376516</v>
      </c>
      <c r="M66" s="75">
        <f>VLOOKUP(E66,Diccionario!C$2:AC$150,24,0)</f>
        <v>45352</v>
      </c>
      <c r="N66" s="76">
        <f>VLOOKUP(E66,Diccionario!C$2:AC$150,25,0)</f>
        <v>45534</v>
      </c>
      <c r="O66" s="77">
        <f>VLOOKUP(E66,Diccionario!C$2:AC$150,26,0)</f>
        <v>5.97</v>
      </c>
      <c r="P66" s="77">
        <f t="shared" si="28"/>
        <v>-0.96999999999999975</v>
      </c>
      <c r="Q66" s="78">
        <v>5</v>
      </c>
      <c r="R66" s="36">
        <v>6</v>
      </c>
      <c r="S66" s="86">
        <v>0.8</v>
      </c>
      <c r="T66" s="86">
        <v>0.79</v>
      </c>
      <c r="U66" s="82">
        <v>110202191</v>
      </c>
      <c r="V66" s="82">
        <v>110202191</v>
      </c>
      <c r="W66" s="82">
        <f t="shared" ref="W66:W129" si="34">IFERROR(T66*L66,0)</f>
        <v>294177447.63999999</v>
      </c>
      <c r="X66" s="82">
        <f t="shared" si="29"/>
        <v>297901212.80000001</v>
      </c>
      <c r="Y66" s="82">
        <f t="shared" ref="Y66:Y129" si="35">IFERROR(W66-U66,0)</f>
        <v>183975256.63999999</v>
      </c>
      <c r="Z66" s="82">
        <f t="shared" si="30"/>
        <v>-3723765.1600000262</v>
      </c>
      <c r="AA66" s="83">
        <f t="shared" si="11"/>
        <v>2.6694337469206939</v>
      </c>
      <c r="AB66" s="84" t="str">
        <f t="shared" si="31"/>
        <v>Costo eficiente: se está gastando menos de lo presupuestado</v>
      </c>
      <c r="AC66" s="84">
        <f t="shared" ref="AC66:AC129" si="36">IFERROR(W66/X66,0)</f>
        <v>0.98749999999999993</v>
      </c>
      <c r="AD66" s="84" t="str">
        <f t="shared" si="32"/>
        <v>Proyecto atrasado con respecto al cronograma</v>
      </c>
      <c r="AE66" s="85">
        <f t="shared" ref="AE66:AE129" si="37">IFERROR(L66/AA66,0)</f>
        <v>139496444.30379748</v>
      </c>
      <c r="AF66" s="85">
        <f t="shared" ref="AF66:AF129" si="38">IFERROR(AE66-L66,0)</f>
        <v>-232880071.69620252</v>
      </c>
      <c r="AG66" s="40" t="str">
        <f>VLOOKUP(Indicador!E66,Diccionario!C$1:AC$150,27,0)</f>
        <v>https://growdatasas.sharepoint.com/:x:/r/sites/Gestiondocumental/Administrativa/GD/Financiera/_layouts/15/Doc.aspx?sourcedoc=%7B465AB503-754C-43E2-86C3-8E24183E3BBF%7D&amp;file=090424%20324.%20RUNT%202.0%20-%20RUNT%20MDM.xlsx&amp;action=default&amp;mobileredirect=true</v>
      </c>
      <c r="AH66" s="40">
        <v>1</v>
      </c>
      <c r="AI66" s="40">
        <v>1</v>
      </c>
    </row>
    <row r="67" spans="1:35" ht="18.75" customHeight="1">
      <c r="A67" s="73">
        <v>2024</v>
      </c>
      <c r="B67" s="112" t="s">
        <v>26</v>
      </c>
      <c r="C67" s="36" t="s">
        <v>189</v>
      </c>
      <c r="D67" s="37">
        <v>45373.886505289352</v>
      </c>
      <c r="E67" s="36" t="s">
        <v>75</v>
      </c>
      <c r="F67" s="36" t="s">
        <v>190</v>
      </c>
      <c r="G67" s="36" t="s">
        <v>191</v>
      </c>
      <c r="H67" s="36" t="s">
        <v>192</v>
      </c>
      <c r="I67" s="36" t="s">
        <v>175</v>
      </c>
      <c r="J67" s="36" t="s">
        <v>193</v>
      </c>
      <c r="K67" s="36" t="s">
        <v>177</v>
      </c>
      <c r="L67" s="74">
        <f>VLOOKUP(E67,Diccionario!C$2:AC$150,22,0)</f>
        <v>372376516</v>
      </c>
      <c r="M67" s="75">
        <f>VLOOKUP(E67,Diccionario!C$2:AC$150,24,0)</f>
        <v>45352</v>
      </c>
      <c r="N67" s="76">
        <f>VLOOKUP(E67,Diccionario!C$2:AC$150,25,0)</f>
        <v>45534</v>
      </c>
      <c r="O67" s="77">
        <f>VLOOKUP(E67,Diccionario!C$2:AC$150,26,0)</f>
        <v>5.97</v>
      </c>
      <c r="P67" s="77">
        <f t="shared" si="28"/>
        <v>3.0000000000000249E-2</v>
      </c>
      <c r="Q67" s="78">
        <v>6</v>
      </c>
      <c r="R67" s="36">
        <v>6</v>
      </c>
      <c r="S67" s="86">
        <v>1</v>
      </c>
      <c r="T67" s="86">
        <v>1</v>
      </c>
      <c r="U67" s="82">
        <v>13923314</v>
      </c>
      <c r="V67" s="82">
        <v>13923314</v>
      </c>
      <c r="W67" s="82">
        <f t="shared" si="34"/>
        <v>372376516</v>
      </c>
      <c r="X67" s="82">
        <f t="shared" si="29"/>
        <v>372376516</v>
      </c>
      <c r="Y67" s="82">
        <f t="shared" si="35"/>
        <v>358453202</v>
      </c>
      <c r="Z67" s="82">
        <f t="shared" si="30"/>
        <v>0</v>
      </c>
      <c r="AA67" s="83">
        <f t="shared" ref="AA67:AA130" si="39">IFERROR(W67/U67,"No se realizó gasto en este corte")</f>
        <v>26.744819229100198</v>
      </c>
      <c r="AB67" s="84" t="str">
        <f t="shared" si="31"/>
        <v>Costo eficiente: se está gastando menos de lo presupuestado</v>
      </c>
      <c r="AC67" s="84">
        <f t="shared" si="36"/>
        <v>1</v>
      </c>
      <c r="AD67" s="84" t="str">
        <f t="shared" si="32"/>
        <v>Proyecto a tiempo según lo planificado</v>
      </c>
      <c r="AE67" s="85">
        <f t="shared" si="37"/>
        <v>13923314</v>
      </c>
      <c r="AF67" s="85">
        <f t="shared" si="38"/>
        <v>-358453202</v>
      </c>
      <c r="AG67" s="40" t="str">
        <f>VLOOKUP(Indicador!E67,Diccionario!C$1:AC$150,27,0)</f>
        <v>https://growdatasas.sharepoint.com/:x:/r/sites/Gestiondocumental/Administrativa/GD/Financiera/_layouts/15/Doc.aspx?sourcedoc=%7B465AB503-754C-43E2-86C3-8E24183E3BBF%7D&amp;file=090424%20324.%20RUNT%202.0%20-%20RUNT%20MDM.xlsx&amp;action=default&amp;mobileredirect=true</v>
      </c>
      <c r="AH67" s="40">
        <v>1</v>
      </c>
      <c r="AI67" s="40">
        <v>1</v>
      </c>
    </row>
    <row r="68" spans="1:35" ht="18.75" customHeight="1">
      <c r="A68" s="73">
        <v>2024</v>
      </c>
      <c r="B68" s="112" t="s">
        <v>24</v>
      </c>
      <c r="C68" s="36" t="s">
        <v>194</v>
      </c>
      <c r="D68" s="37">
        <v>45405.523599386572</v>
      </c>
      <c r="E68" s="36" t="s">
        <v>64</v>
      </c>
      <c r="F68" s="36" t="s">
        <v>195</v>
      </c>
      <c r="G68" s="36" t="s">
        <v>196</v>
      </c>
      <c r="H68" s="36" t="s">
        <v>197</v>
      </c>
      <c r="I68" s="36" t="s">
        <v>165</v>
      </c>
      <c r="J68" s="36" t="s">
        <v>198</v>
      </c>
      <c r="K68" s="36" t="s">
        <v>177</v>
      </c>
      <c r="L68" s="74">
        <f>VLOOKUP(E68,Diccionario!C$2:AC$150,22,0)</f>
        <v>1087776079</v>
      </c>
      <c r="M68" s="75">
        <f>VLOOKUP(E68,Diccionario!C$2:AC$150,24,0)</f>
        <v>45369</v>
      </c>
      <c r="N68" s="76">
        <f>VLOOKUP(E68,Diccionario!C$2:AC$150,25,0)</f>
        <v>45552</v>
      </c>
      <c r="O68" s="77">
        <f>VLOOKUP(E68,Diccionario!C$2:AC$150,26,0)</f>
        <v>5.97</v>
      </c>
      <c r="P68" s="77">
        <f t="shared" si="28"/>
        <v>-4.97</v>
      </c>
      <c r="Q68" s="78">
        <v>1</v>
      </c>
      <c r="R68" s="36">
        <v>6</v>
      </c>
      <c r="S68" s="86">
        <v>0.3</v>
      </c>
      <c r="T68" s="86">
        <v>0.25</v>
      </c>
      <c r="U68" s="82">
        <v>156296013</v>
      </c>
      <c r="V68" s="82">
        <v>156296013</v>
      </c>
      <c r="W68" s="82">
        <f t="shared" si="34"/>
        <v>271944019.75</v>
      </c>
      <c r="X68" s="82">
        <f t="shared" si="29"/>
        <v>326332823.69999999</v>
      </c>
      <c r="Y68" s="82">
        <f t="shared" si="35"/>
        <v>115648006.75</v>
      </c>
      <c r="Z68" s="82">
        <f t="shared" si="30"/>
        <v>-54388803.949999988</v>
      </c>
      <c r="AA68" s="83">
        <f t="shared" si="39"/>
        <v>1.739929346438287</v>
      </c>
      <c r="AB68" s="84" t="str">
        <f t="shared" si="31"/>
        <v>Costo eficiente: se está gastando menos de lo presupuestado</v>
      </c>
      <c r="AC68" s="84">
        <f t="shared" si="36"/>
        <v>0.83333333333333337</v>
      </c>
      <c r="AD68" s="84" t="str">
        <f t="shared" si="32"/>
        <v>Proyecto atrasado con respecto al cronograma</v>
      </c>
      <c r="AE68" s="85">
        <f t="shared" si="37"/>
        <v>625184052</v>
      </c>
      <c r="AF68" s="85">
        <f t="shared" si="38"/>
        <v>-462592027</v>
      </c>
      <c r="AG68" s="40" t="str">
        <f>VLOOKUP(Indicador!E68,Diccionario!C$1:AC$150,27,0)</f>
        <v>https://growdatasas.sharepoint.com/:x:/r/sites/Gestiondocumental/Administrativa/GD/Financiera/_layouts/15/Doc.aspx?sourcedoc=%7B293F42A2-5CA4-4376-950C-5CBFEA13F436%7D&amp;file=327.%20ALDESARROLLO%20-%20ICFES%20-%20SOSTENIBILIDAD.xlsx&amp;action=default&amp;mobileredirect=true</v>
      </c>
      <c r="AH68" s="40">
        <v>1</v>
      </c>
      <c r="AI68" s="40">
        <v>1</v>
      </c>
    </row>
    <row r="69" spans="1:35" ht="18.75" customHeight="1">
      <c r="A69" s="73">
        <v>2024</v>
      </c>
      <c r="B69" s="112" t="s">
        <v>27</v>
      </c>
      <c r="C69" s="36" t="s">
        <v>194</v>
      </c>
      <c r="D69" s="37">
        <v>45405.523599386572</v>
      </c>
      <c r="E69" s="36" t="s">
        <v>64</v>
      </c>
      <c r="F69" s="36" t="s">
        <v>195</v>
      </c>
      <c r="G69" s="36" t="s">
        <v>196</v>
      </c>
      <c r="H69" s="36" t="s">
        <v>197</v>
      </c>
      <c r="I69" s="36" t="s">
        <v>165</v>
      </c>
      <c r="J69" s="36" t="s">
        <v>198</v>
      </c>
      <c r="K69" s="36" t="s">
        <v>177</v>
      </c>
      <c r="L69" s="74">
        <f>VLOOKUP(E69,Diccionario!C$2:AC$150,22,0)</f>
        <v>1087776079</v>
      </c>
      <c r="M69" s="75">
        <f>VLOOKUP(E69,Diccionario!C$2:AC$150,24,0)</f>
        <v>45369</v>
      </c>
      <c r="N69" s="76">
        <f>VLOOKUP(E69,Diccionario!C$2:AC$150,25,0)</f>
        <v>45552</v>
      </c>
      <c r="O69" s="77">
        <f>VLOOKUP(E69,Diccionario!C$2:AC$150,26,0)</f>
        <v>5.97</v>
      </c>
      <c r="P69" s="77">
        <f t="shared" si="28"/>
        <v>-3.9699999999999998</v>
      </c>
      <c r="Q69" s="78">
        <v>2</v>
      </c>
      <c r="R69" s="36">
        <v>6</v>
      </c>
      <c r="S69" s="86">
        <v>0.45</v>
      </c>
      <c r="T69" s="86">
        <v>0.45</v>
      </c>
      <c r="U69" s="82">
        <v>231296013</v>
      </c>
      <c r="V69" s="82">
        <v>231296013</v>
      </c>
      <c r="W69" s="82">
        <f t="shared" si="34"/>
        <v>489499235.55000001</v>
      </c>
      <c r="X69" s="82">
        <f t="shared" si="29"/>
        <v>489499235.55000001</v>
      </c>
      <c r="Y69" s="82">
        <f t="shared" si="35"/>
        <v>258203222.55000001</v>
      </c>
      <c r="Z69" s="82">
        <f t="shared" si="30"/>
        <v>0</v>
      </c>
      <c r="AA69" s="83">
        <f t="shared" si="39"/>
        <v>2.1163323535109964</v>
      </c>
      <c r="AB69" s="84" t="str">
        <f t="shared" si="31"/>
        <v>Costo eficiente: se está gastando menos de lo presupuestado</v>
      </c>
      <c r="AC69" s="84">
        <f t="shared" si="36"/>
        <v>1</v>
      </c>
      <c r="AD69" s="84" t="str">
        <f t="shared" si="32"/>
        <v>Proyecto a tiempo según lo planificado</v>
      </c>
      <c r="AE69" s="85">
        <f t="shared" si="37"/>
        <v>513991140</v>
      </c>
      <c r="AF69" s="85">
        <f t="shared" si="38"/>
        <v>-573784939</v>
      </c>
      <c r="AG69" s="40" t="str">
        <f>VLOOKUP(Indicador!E69,Diccionario!C$1:AC$150,27,0)</f>
        <v>https://growdatasas.sharepoint.com/:x:/r/sites/Gestiondocumental/Administrativa/GD/Financiera/_layouts/15/Doc.aspx?sourcedoc=%7B293F42A2-5CA4-4376-950C-5CBFEA13F436%7D&amp;file=327.%20ALDESARROLLO%20-%20ICFES%20-%20SOSTENIBILIDAD.xlsx&amp;action=default&amp;mobileredirect=true</v>
      </c>
      <c r="AH69" s="40">
        <v>1</v>
      </c>
      <c r="AI69" s="40">
        <v>1</v>
      </c>
    </row>
    <row r="70" spans="1:35" ht="18.75" customHeight="1">
      <c r="A70" s="73">
        <v>2024</v>
      </c>
      <c r="B70" s="112" t="s">
        <v>13</v>
      </c>
      <c r="C70" s="36" t="s">
        <v>194</v>
      </c>
      <c r="D70" s="37">
        <v>45405.523599386572</v>
      </c>
      <c r="E70" s="36" t="s">
        <v>64</v>
      </c>
      <c r="F70" s="36" t="s">
        <v>195</v>
      </c>
      <c r="G70" s="36" t="s">
        <v>196</v>
      </c>
      <c r="H70" s="36" t="s">
        <v>197</v>
      </c>
      <c r="I70" s="36" t="s">
        <v>165</v>
      </c>
      <c r="J70" s="36" t="s">
        <v>198</v>
      </c>
      <c r="K70" s="36" t="s">
        <v>177</v>
      </c>
      <c r="L70" s="74">
        <f>VLOOKUP(E70,Diccionario!C$2:AC$150,22,0)</f>
        <v>1087776079</v>
      </c>
      <c r="M70" s="75">
        <f>VLOOKUP(E70,Diccionario!C$2:AC$150,24,0)</f>
        <v>45369</v>
      </c>
      <c r="N70" s="76">
        <f>VLOOKUP(E70,Diccionario!C$2:AC$150,25,0)</f>
        <v>45552</v>
      </c>
      <c r="O70" s="77">
        <f>VLOOKUP(E70,Diccionario!C$2:AC$150,26,0)</f>
        <v>5.97</v>
      </c>
      <c r="P70" s="77">
        <f t="shared" si="28"/>
        <v>-2.9699999999999998</v>
      </c>
      <c r="Q70" s="78">
        <v>3</v>
      </c>
      <c r="R70" s="36">
        <v>6</v>
      </c>
      <c r="S70" s="86">
        <v>0.5</v>
      </c>
      <c r="T70" s="86">
        <v>0.55000000000000004</v>
      </c>
      <c r="U70" s="82">
        <v>156296013</v>
      </c>
      <c r="V70" s="82">
        <v>156296013</v>
      </c>
      <c r="W70" s="82">
        <f t="shared" si="34"/>
        <v>598276843.45000005</v>
      </c>
      <c r="X70" s="82">
        <f t="shared" si="29"/>
        <v>543888039.5</v>
      </c>
      <c r="Y70" s="82">
        <f t="shared" si="35"/>
        <v>441980830.45000005</v>
      </c>
      <c r="Z70" s="82">
        <f t="shared" si="30"/>
        <v>54388803.950000048</v>
      </c>
      <c r="AA70" s="83">
        <f t="shared" si="39"/>
        <v>3.8278445621642314</v>
      </c>
      <c r="AB70" s="84" t="str">
        <f t="shared" si="31"/>
        <v>Costo eficiente: se está gastando menos de lo presupuestado</v>
      </c>
      <c r="AC70" s="84">
        <f t="shared" si="36"/>
        <v>1.1000000000000001</v>
      </c>
      <c r="AD70" s="84" t="str">
        <f t="shared" si="32"/>
        <v>Proyecto adelantado respecto al cronograma</v>
      </c>
      <c r="AE70" s="85">
        <f t="shared" si="37"/>
        <v>284174569.09090906</v>
      </c>
      <c r="AF70" s="85">
        <f t="shared" si="38"/>
        <v>-803601509.909091</v>
      </c>
      <c r="AG70" s="40" t="str">
        <f>VLOOKUP(Indicador!E70,Diccionario!C$1:AC$150,27,0)</f>
        <v>https://growdatasas.sharepoint.com/:x:/r/sites/Gestiondocumental/Administrativa/GD/Financiera/_layouts/15/Doc.aspx?sourcedoc=%7B293F42A2-5CA4-4376-950C-5CBFEA13F436%7D&amp;file=327.%20ALDESARROLLO%20-%20ICFES%20-%20SOSTENIBILIDAD.xlsx&amp;action=default&amp;mobileredirect=true</v>
      </c>
      <c r="AH70" s="40">
        <v>1</v>
      </c>
      <c r="AI70" s="40">
        <v>1</v>
      </c>
    </row>
    <row r="71" spans="1:35" ht="18.75" customHeight="1">
      <c r="A71" s="73">
        <v>2024</v>
      </c>
      <c r="B71" s="112" t="s">
        <v>21</v>
      </c>
      <c r="C71" s="36" t="s">
        <v>194</v>
      </c>
      <c r="D71" s="37">
        <v>45405.523599386572</v>
      </c>
      <c r="E71" s="36" t="s">
        <v>64</v>
      </c>
      <c r="F71" s="36" t="s">
        <v>195</v>
      </c>
      <c r="G71" s="36" t="s">
        <v>196</v>
      </c>
      <c r="H71" s="36" t="s">
        <v>197</v>
      </c>
      <c r="I71" s="36" t="s">
        <v>165</v>
      </c>
      <c r="J71" s="36" t="s">
        <v>198</v>
      </c>
      <c r="K71" s="36" t="s">
        <v>177</v>
      </c>
      <c r="L71" s="74">
        <f>VLOOKUP(E71,Diccionario!C$2:AC$150,22,0)</f>
        <v>1087776079</v>
      </c>
      <c r="M71" s="75">
        <f>VLOOKUP(E71,Diccionario!C$2:AC$150,24,0)</f>
        <v>45369</v>
      </c>
      <c r="N71" s="76">
        <f>VLOOKUP(E71,Diccionario!C$2:AC$150,25,0)</f>
        <v>45552</v>
      </c>
      <c r="O71" s="77">
        <f>VLOOKUP(E71,Diccionario!C$2:AC$150,26,0)</f>
        <v>5.97</v>
      </c>
      <c r="P71" s="77">
        <f t="shared" si="28"/>
        <v>-1.9699999999999998</v>
      </c>
      <c r="Q71" s="78">
        <v>4</v>
      </c>
      <c r="R71" s="36">
        <v>6</v>
      </c>
      <c r="S71" s="86">
        <v>0.75</v>
      </c>
      <c r="T71" s="86">
        <v>0.77</v>
      </c>
      <c r="U71" s="82">
        <v>156296013</v>
      </c>
      <c r="V71" s="82">
        <v>156296013</v>
      </c>
      <c r="W71" s="82">
        <f t="shared" si="34"/>
        <v>837587580.83000004</v>
      </c>
      <c r="X71" s="82">
        <f t="shared" si="29"/>
        <v>815832059.25</v>
      </c>
      <c r="Y71" s="82">
        <f t="shared" si="35"/>
        <v>681291567.83000004</v>
      </c>
      <c r="Z71" s="82">
        <f t="shared" si="30"/>
        <v>21755521.580000043</v>
      </c>
      <c r="AA71" s="83">
        <f t="shared" si="39"/>
        <v>5.3589823870299238</v>
      </c>
      <c r="AB71" s="84" t="str">
        <f t="shared" si="31"/>
        <v>Costo eficiente: se está gastando menos de lo presupuestado</v>
      </c>
      <c r="AC71" s="84">
        <f t="shared" si="36"/>
        <v>1.0266666666666666</v>
      </c>
      <c r="AD71" s="84" t="str">
        <f t="shared" si="32"/>
        <v>Proyecto adelantado respecto al cronograma</v>
      </c>
      <c r="AE71" s="85">
        <f t="shared" si="37"/>
        <v>202981835.06493506</v>
      </c>
      <c r="AF71" s="85">
        <f t="shared" si="38"/>
        <v>-884794243.93506491</v>
      </c>
      <c r="AG71" s="40" t="str">
        <f>VLOOKUP(Indicador!E71,Diccionario!C$1:AC$150,27,0)</f>
        <v>https://growdatasas.sharepoint.com/:x:/r/sites/Gestiondocumental/Administrativa/GD/Financiera/_layouts/15/Doc.aspx?sourcedoc=%7B293F42A2-5CA4-4376-950C-5CBFEA13F436%7D&amp;file=327.%20ALDESARROLLO%20-%20ICFES%20-%20SOSTENIBILIDAD.xlsx&amp;action=default&amp;mobileredirect=true</v>
      </c>
      <c r="AH71" s="40">
        <v>1</v>
      </c>
      <c r="AI71" s="40">
        <v>1</v>
      </c>
    </row>
    <row r="72" spans="1:35" ht="18.75" customHeight="1">
      <c r="A72" s="73">
        <v>2024</v>
      </c>
      <c r="B72" s="112" t="s">
        <v>23</v>
      </c>
      <c r="C72" s="36" t="s">
        <v>194</v>
      </c>
      <c r="D72" s="37">
        <v>45405.523599386572</v>
      </c>
      <c r="E72" s="36" t="s">
        <v>64</v>
      </c>
      <c r="F72" s="36" t="s">
        <v>195</v>
      </c>
      <c r="G72" s="36" t="s">
        <v>196</v>
      </c>
      <c r="H72" s="36" t="s">
        <v>197</v>
      </c>
      <c r="I72" s="36" t="s">
        <v>165</v>
      </c>
      <c r="J72" s="36" t="s">
        <v>198</v>
      </c>
      <c r="K72" s="36" t="s">
        <v>177</v>
      </c>
      <c r="L72" s="74">
        <f>VLOOKUP(E72,Diccionario!C$2:AC$150,22,0)</f>
        <v>1087776079</v>
      </c>
      <c r="M72" s="75">
        <f>VLOOKUP(E72,Diccionario!C$2:AC$150,24,0)</f>
        <v>45369</v>
      </c>
      <c r="N72" s="76">
        <f>VLOOKUP(E72,Diccionario!C$2:AC$150,25,0)</f>
        <v>45552</v>
      </c>
      <c r="O72" s="77">
        <f>VLOOKUP(E72,Diccionario!C$2:AC$150,26,0)</f>
        <v>5.97</v>
      </c>
      <c r="P72" s="77">
        <f t="shared" si="28"/>
        <v>-0.96999999999999975</v>
      </c>
      <c r="Q72" s="78">
        <v>5</v>
      </c>
      <c r="R72" s="36">
        <v>6</v>
      </c>
      <c r="S72" s="86">
        <v>0.8</v>
      </c>
      <c r="T72" s="86">
        <v>0.81</v>
      </c>
      <c r="U72" s="82">
        <v>231296013</v>
      </c>
      <c r="V72" s="82">
        <v>231296013</v>
      </c>
      <c r="W72" s="82">
        <f t="shared" si="34"/>
        <v>881098623.99000001</v>
      </c>
      <c r="X72" s="82">
        <f t="shared" si="29"/>
        <v>870220863.20000005</v>
      </c>
      <c r="Y72" s="82">
        <f t="shared" si="35"/>
        <v>649802610.99000001</v>
      </c>
      <c r="Z72" s="82">
        <f t="shared" si="30"/>
        <v>10877760.789999962</v>
      </c>
      <c r="AA72" s="83">
        <f t="shared" si="39"/>
        <v>3.8093982363197934</v>
      </c>
      <c r="AB72" s="84" t="str">
        <f t="shared" si="31"/>
        <v>Costo eficiente: se está gastando menos de lo presupuestado</v>
      </c>
      <c r="AC72" s="84">
        <f t="shared" si="36"/>
        <v>1.0125</v>
      </c>
      <c r="AD72" s="84" t="str">
        <f t="shared" si="32"/>
        <v>Proyecto adelantado respecto al cronograma</v>
      </c>
      <c r="AE72" s="85">
        <f t="shared" si="37"/>
        <v>285550633.33333331</v>
      </c>
      <c r="AF72" s="85">
        <f t="shared" si="38"/>
        <v>-802225445.66666675</v>
      </c>
      <c r="AG72" s="40" t="str">
        <f>VLOOKUP(Indicador!E72,Diccionario!C$1:AC$150,27,0)</f>
        <v>https://growdatasas.sharepoint.com/:x:/r/sites/Gestiondocumental/Administrativa/GD/Financiera/_layouts/15/Doc.aspx?sourcedoc=%7B293F42A2-5CA4-4376-950C-5CBFEA13F436%7D&amp;file=327.%20ALDESARROLLO%20-%20ICFES%20-%20SOSTENIBILIDAD.xlsx&amp;action=default&amp;mobileredirect=true</v>
      </c>
      <c r="AH72" s="40">
        <v>1</v>
      </c>
      <c r="AI72" s="40">
        <v>1</v>
      </c>
    </row>
    <row r="73" spans="1:35" ht="18.75" customHeight="1">
      <c r="A73" s="73">
        <v>2024</v>
      </c>
      <c r="B73" s="112" t="s">
        <v>26</v>
      </c>
      <c r="C73" s="36" t="s">
        <v>194</v>
      </c>
      <c r="D73" s="37">
        <v>45405.523599386572</v>
      </c>
      <c r="E73" s="36" t="s">
        <v>64</v>
      </c>
      <c r="F73" s="36" t="s">
        <v>195</v>
      </c>
      <c r="G73" s="36" t="s">
        <v>196</v>
      </c>
      <c r="H73" s="36" t="s">
        <v>197</v>
      </c>
      <c r="I73" s="36" t="s">
        <v>165</v>
      </c>
      <c r="J73" s="36" t="s">
        <v>198</v>
      </c>
      <c r="K73" s="36" t="s">
        <v>177</v>
      </c>
      <c r="L73" s="74">
        <f>VLOOKUP(E73,Diccionario!C$2:AC$150,22,0)</f>
        <v>1087776079</v>
      </c>
      <c r="M73" s="75">
        <f>VLOOKUP(E73,Diccionario!C$2:AC$150,24,0)</f>
        <v>45369</v>
      </c>
      <c r="N73" s="76">
        <f>VLOOKUP(E73,Diccionario!C$2:AC$150,25,0)</f>
        <v>45552</v>
      </c>
      <c r="O73" s="77">
        <f>VLOOKUP(E73,Diccionario!C$2:AC$150,26,0)</f>
        <v>5.97</v>
      </c>
      <c r="P73" s="77">
        <f t="shared" si="28"/>
        <v>3.0000000000000249E-2</v>
      </c>
      <c r="Q73" s="78">
        <v>6</v>
      </c>
      <c r="R73" s="36">
        <v>6</v>
      </c>
      <c r="S73" s="86">
        <v>1</v>
      </c>
      <c r="T73" s="86">
        <v>1</v>
      </c>
      <c r="U73" s="82">
        <v>156296013</v>
      </c>
      <c r="V73" s="82">
        <v>156296013</v>
      </c>
      <c r="W73" s="82">
        <f t="shared" si="34"/>
        <v>1087776079</v>
      </c>
      <c r="X73" s="82">
        <f t="shared" si="29"/>
        <v>1087776079</v>
      </c>
      <c r="Y73" s="82">
        <f t="shared" si="35"/>
        <v>931480066</v>
      </c>
      <c r="Z73" s="82">
        <f t="shared" si="30"/>
        <v>0</v>
      </c>
      <c r="AA73" s="83">
        <f t="shared" si="39"/>
        <v>6.959717385753148</v>
      </c>
      <c r="AB73" s="84" t="str">
        <f t="shared" si="31"/>
        <v>Costo eficiente: se está gastando menos de lo presupuestado</v>
      </c>
      <c r="AC73" s="84">
        <f t="shared" si="36"/>
        <v>1</v>
      </c>
      <c r="AD73" s="84" t="str">
        <f t="shared" si="32"/>
        <v>Proyecto a tiempo según lo planificado</v>
      </c>
      <c r="AE73" s="85">
        <f t="shared" si="37"/>
        <v>156296013</v>
      </c>
      <c r="AF73" s="85">
        <f t="shared" si="38"/>
        <v>-931480066</v>
      </c>
      <c r="AG73" s="40" t="str">
        <f>VLOOKUP(Indicador!E73,Diccionario!C$1:AC$150,27,0)</f>
        <v>https://growdatasas.sharepoint.com/:x:/r/sites/Gestiondocumental/Administrativa/GD/Financiera/_layouts/15/Doc.aspx?sourcedoc=%7B293F42A2-5CA4-4376-950C-5CBFEA13F436%7D&amp;file=327.%20ALDESARROLLO%20-%20ICFES%20-%20SOSTENIBILIDAD.xlsx&amp;action=default&amp;mobileredirect=true</v>
      </c>
      <c r="AH73" s="40">
        <v>1</v>
      </c>
      <c r="AI73" s="40">
        <v>1</v>
      </c>
    </row>
    <row r="74" spans="1:35" ht="18.75" customHeight="1">
      <c r="A74" s="73">
        <v>2024</v>
      </c>
      <c r="B74" s="112" t="s">
        <v>27</v>
      </c>
      <c r="C74" s="36" t="s">
        <v>199</v>
      </c>
      <c r="D74" s="37">
        <v>45492.722849189813</v>
      </c>
      <c r="E74" s="36" t="s">
        <v>61</v>
      </c>
      <c r="F74" s="36" t="s">
        <v>149</v>
      </c>
      <c r="G74" s="36" t="s">
        <v>200</v>
      </c>
      <c r="H74" s="36" t="s">
        <v>201</v>
      </c>
      <c r="I74" s="36" t="s">
        <v>152</v>
      </c>
      <c r="J74" s="36" t="s">
        <v>202</v>
      </c>
      <c r="K74" s="36" t="s">
        <v>203</v>
      </c>
      <c r="L74" s="74">
        <f>VLOOKUP(E74,Diccionario!C$2:AC$150,22,0)</f>
        <v>237007609</v>
      </c>
      <c r="M74" s="75">
        <f>VLOOKUP(E74,Diccionario!C$2:AC$150,24,0)</f>
        <v>45383</v>
      </c>
      <c r="N74" s="76">
        <f>VLOOKUP(E74,Diccionario!C$2:AC$150,25,0)</f>
        <v>45412</v>
      </c>
      <c r="O74" s="77">
        <f>VLOOKUP(E74,Diccionario!C$2:AC$150,26,0)</f>
        <v>0.97</v>
      </c>
      <c r="P74" s="77">
        <f t="shared" si="28"/>
        <v>3.0000000000000027E-2</v>
      </c>
      <c r="Q74" s="78">
        <v>1</v>
      </c>
      <c r="R74" s="36">
        <v>1</v>
      </c>
      <c r="S74" s="86">
        <v>1</v>
      </c>
      <c r="T74" s="86">
        <v>1</v>
      </c>
      <c r="U74" s="82">
        <v>237007609</v>
      </c>
      <c r="V74" s="82">
        <v>237007609</v>
      </c>
      <c r="W74" s="82">
        <f t="shared" si="34"/>
        <v>237007609</v>
      </c>
      <c r="X74" s="82">
        <f t="shared" si="29"/>
        <v>237007609</v>
      </c>
      <c r="Y74" s="82">
        <f t="shared" si="35"/>
        <v>0</v>
      </c>
      <c r="Z74" s="82">
        <f t="shared" si="30"/>
        <v>0</v>
      </c>
      <c r="AA74" s="83">
        <f t="shared" si="39"/>
        <v>1</v>
      </c>
      <c r="AB74" s="84" t="str">
        <f t="shared" si="31"/>
        <v>Costo según lo presupuestado</v>
      </c>
      <c r="AC74" s="84">
        <f t="shared" si="36"/>
        <v>1</v>
      </c>
      <c r="AD74" s="84" t="str">
        <f t="shared" si="32"/>
        <v>Proyecto a tiempo según lo planificado</v>
      </c>
      <c r="AE74" s="85">
        <f t="shared" si="37"/>
        <v>237007609</v>
      </c>
      <c r="AF74" s="85">
        <f t="shared" si="38"/>
        <v>0</v>
      </c>
      <c r="AG74" s="40" t="str">
        <f>VLOOKUP(Indicador!E74,Diccionario!C$1:AC$150,27,0)</f>
        <v>https://growdatasas.sharepoint.com/:x:/r/sites/Gestiondocumental/Administrativa/GD/Financiera/_layouts/15/Doc.aspx?sourcedoc=%7BE4604918-6887-44A1-B732-65186E485C0C%7D&amp;file=V7_UTPASTO_20240321%20-%20VERSION%202.xlsm&amp;action=default&amp;mobileredirect=true</v>
      </c>
      <c r="AH74" s="40">
        <v>1</v>
      </c>
      <c r="AI74" s="40">
        <v>1</v>
      </c>
    </row>
    <row r="75" spans="1:35" ht="18.75" customHeight="1">
      <c r="A75" s="73">
        <v>2024</v>
      </c>
      <c r="B75" s="112" t="s">
        <v>27</v>
      </c>
      <c r="C75" s="36" t="s">
        <v>204</v>
      </c>
      <c r="D75" s="37">
        <v>45405.824231944447</v>
      </c>
      <c r="E75" s="36" t="s">
        <v>38</v>
      </c>
      <c r="F75" s="36" t="s">
        <v>190</v>
      </c>
      <c r="G75" s="36" t="s">
        <v>205</v>
      </c>
      <c r="H75" s="36" t="s">
        <v>206</v>
      </c>
      <c r="I75" s="36" t="s">
        <v>175</v>
      </c>
      <c r="J75" s="36" t="s">
        <v>207</v>
      </c>
      <c r="K75" s="36" t="s">
        <v>154</v>
      </c>
      <c r="L75" s="74">
        <f>VLOOKUP(E75,Diccionario!C$2:AC$150,22,0)</f>
        <v>1566562163</v>
      </c>
      <c r="M75" s="75">
        <f>VLOOKUP(E75,Diccionario!C$2:AC$150,24,0)</f>
        <v>45402</v>
      </c>
      <c r="N75" s="76">
        <f>VLOOKUP(E75,Diccionario!C$2:AC$150,25,0)</f>
        <v>45656</v>
      </c>
      <c r="O75" s="77">
        <f>VLOOKUP(E75,Diccionario!C$2:AC$150,26,0)</f>
        <v>8.33</v>
      </c>
      <c r="P75" s="77">
        <f t="shared" si="28"/>
        <v>-7.33</v>
      </c>
      <c r="Q75" s="78">
        <v>1</v>
      </c>
      <c r="R75" s="36">
        <v>8</v>
      </c>
      <c r="S75" s="86">
        <v>0.1</v>
      </c>
      <c r="T75" s="86">
        <v>0.12</v>
      </c>
      <c r="U75" s="82">
        <v>195820270</v>
      </c>
      <c r="V75" s="82">
        <v>195820270</v>
      </c>
      <c r="W75" s="82">
        <f t="shared" si="34"/>
        <v>187987459.56</v>
      </c>
      <c r="X75" s="82">
        <f t="shared" si="29"/>
        <v>156656216.30000001</v>
      </c>
      <c r="Y75" s="82">
        <f t="shared" si="35"/>
        <v>-7832810.4399999976</v>
      </c>
      <c r="Z75" s="82">
        <f t="shared" si="30"/>
        <v>31331243.25999999</v>
      </c>
      <c r="AA75" s="83">
        <f t="shared" si="39"/>
        <v>0.96000000183842049</v>
      </c>
      <c r="AB75" s="84" t="str">
        <f t="shared" si="31"/>
        <v>Costo ineficiente: se está gastando más de lo presupuestado</v>
      </c>
      <c r="AC75" s="84">
        <f t="shared" si="36"/>
        <v>1.2</v>
      </c>
      <c r="AD75" s="84" t="str">
        <f t="shared" si="32"/>
        <v>Proyecto adelantado respecto al cronograma</v>
      </c>
      <c r="AE75" s="85">
        <f t="shared" si="37"/>
        <v>1631835583.3333333</v>
      </c>
      <c r="AF75" s="85">
        <f t="shared" si="38"/>
        <v>65273420.333333254</v>
      </c>
      <c r="AG75" s="40" t="str">
        <f>VLOOKUP(Indicador!E75,Diccionario!C$1:AC$150,27,0)</f>
        <v>https://growdatasas.sharepoint.com/:x:/r/sites/Gestiondocumental/Administrativa/GD/Financiera/_layouts/15/Doc.aspx?sourcedoc=%7BB89BD188-BEAD-4E84-BC3B-FF43B34DCCB0%7D&amp;file=326.%20ICFES%20-%20FABRICA%20DE%20SOFTWARE%20PRUEBAS.xlsx&amp;action=default&amp;mobileredirect=true</v>
      </c>
      <c r="AH75" s="40">
        <v>1</v>
      </c>
      <c r="AI75" s="40">
        <v>1</v>
      </c>
    </row>
    <row r="76" spans="1:35" ht="18.75" customHeight="1">
      <c r="A76" s="73">
        <v>2024</v>
      </c>
      <c r="B76" s="112" t="s">
        <v>13</v>
      </c>
      <c r="C76" s="36" t="s">
        <v>204</v>
      </c>
      <c r="D76" s="37">
        <v>45405.824231944447</v>
      </c>
      <c r="E76" s="36" t="s">
        <v>38</v>
      </c>
      <c r="F76" s="36" t="s">
        <v>190</v>
      </c>
      <c r="G76" s="36" t="s">
        <v>205</v>
      </c>
      <c r="H76" s="36" t="s">
        <v>206</v>
      </c>
      <c r="I76" s="36" t="s">
        <v>175</v>
      </c>
      <c r="J76" s="36" t="s">
        <v>207</v>
      </c>
      <c r="K76" s="36" t="s">
        <v>154</v>
      </c>
      <c r="L76" s="74">
        <f>VLOOKUP(E76,Diccionario!C$2:AC$150,22,0)</f>
        <v>1566562163</v>
      </c>
      <c r="M76" s="75">
        <f>VLOOKUP(E76,Diccionario!C$2:AC$150,24,0)</f>
        <v>45402</v>
      </c>
      <c r="N76" s="76">
        <f>VLOOKUP(E76,Diccionario!C$2:AC$150,25,0)</f>
        <v>45656</v>
      </c>
      <c r="O76" s="77">
        <f>VLOOKUP(E76,Diccionario!C$2:AC$150,26,0)</f>
        <v>8.33</v>
      </c>
      <c r="P76" s="77">
        <f t="shared" si="28"/>
        <v>-6.33</v>
      </c>
      <c r="Q76" s="78">
        <v>2</v>
      </c>
      <c r="R76" s="36">
        <v>8</v>
      </c>
      <c r="S76" s="86">
        <v>0.2</v>
      </c>
      <c r="T76" s="86">
        <v>0.25</v>
      </c>
      <c r="U76" s="82">
        <v>195820270</v>
      </c>
      <c r="V76" s="82">
        <v>195820270</v>
      </c>
      <c r="W76" s="82">
        <f t="shared" si="34"/>
        <v>391640540.75</v>
      </c>
      <c r="X76" s="82">
        <f t="shared" si="29"/>
        <v>313312432.60000002</v>
      </c>
      <c r="Y76" s="82">
        <f t="shared" si="35"/>
        <v>195820270.75</v>
      </c>
      <c r="Z76" s="82">
        <f t="shared" si="30"/>
        <v>78328108.149999976</v>
      </c>
      <c r="AA76" s="83">
        <f t="shared" si="39"/>
        <v>2.0000000038300425</v>
      </c>
      <c r="AB76" s="84" t="str">
        <f t="shared" si="31"/>
        <v>Costo eficiente: se está gastando menos de lo presupuestado</v>
      </c>
      <c r="AC76" s="84">
        <f t="shared" si="36"/>
        <v>1.25</v>
      </c>
      <c r="AD76" s="84" t="str">
        <f t="shared" si="32"/>
        <v>Proyecto adelantado respecto al cronograma</v>
      </c>
      <c r="AE76" s="85">
        <f t="shared" si="37"/>
        <v>783281080.00000012</v>
      </c>
      <c r="AF76" s="85">
        <f t="shared" si="38"/>
        <v>-783281082.99999988</v>
      </c>
      <c r="AG76" s="40" t="str">
        <f>VLOOKUP(Indicador!E76,Diccionario!C$1:AC$150,27,0)</f>
        <v>https://growdatasas.sharepoint.com/:x:/r/sites/Gestiondocumental/Administrativa/GD/Financiera/_layouts/15/Doc.aspx?sourcedoc=%7BB89BD188-BEAD-4E84-BC3B-FF43B34DCCB0%7D&amp;file=326.%20ICFES%20-%20FABRICA%20DE%20SOFTWARE%20PRUEBAS.xlsx&amp;action=default&amp;mobileredirect=true</v>
      </c>
      <c r="AH76" s="40">
        <v>1</v>
      </c>
      <c r="AI76" s="40">
        <v>1</v>
      </c>
    </row>
    <row r="77" spans="1:35" ht="18.75" customHeight="1">
      <c r="A77" s="73">
        <v>2024</v>
      </c>
      <c r="B77" s="112" t="s">
        <v>21</v>
      </c>
      <c r="C77" s="36" t="s">
        <v>204</v>
      </c>
      <c r="D77" s="37">
        <v>45405.824231944447</v>
      </c>
      <c r="E77" s="36" t="s">
        <v>38</v>
      </c>
      <c r="F77" s="36" t="s">
        <v>190</v>
      </c>
      <c r="G77" s="36" t="s">
        <v>205</v>
      </c>
      <c r="H77" s="36" t="s">
        <v>206</v>
      </c>
      <c r="I77" s="36" t="s">
        <v>175</v>
      </c>
      <c r="J77" s="36" t="s">
        <v>207</v>
      </c>
      <c r="K77" s="36" t="s">
        <v>154</v>
      </c>
      <c r="L77" s="74">
        <f>VLOOKUP(E77,Diccionario!C$2:AC$150,22,0)</f>
        <v>1566562163</v>
      </c>
      <c r="M77" s="75">
        <f>VLOOKUP(E77,Diccionario!C$2:AC$150,24,0)</f>
        <v>45402</v>
      </c>
      <c r="N77" s="76">
        <f>VLOOKUP(E77,Diccionario!C$2:AC$150,25,0)</f>
        <v>45656</v>
      </c>
      <c r="O77" s="77">
        <f>VLOOKUP(E77,Diccionario!C$2:AC$150,26,0)</f>
        <v>8.33</v>
      </c>
      <c r="P77" s="77">
        <f t="shared" si="28"/>
        <v>-5.33</v>
      </c>
      <c r="Q77" s="78">
        <v>3</v>
      </c>
      <c r="R77" s="36">
        <v>8</v>
      </c>
      <c r="S77" s="86">
        <v>0.3</v>
      </c>
      <c r="T77" s="86">
        <v>0.32</v>
      </c>
      <c r="U77" s="82">
        <v>195820270</v>
      </c>
      <c r="V77" s="82">
        <v>195820270</v>
      </c>
      <c r="W77" s="82">
        <f t="shared" si="34"/>
        <v>501299892.16000003</v>
      </c>
      <c r="X77" s="82">
        <f t="shared" si="29"/>
        <v>469968648.89999998</v>
      </c>
      <c r="Y77" s="82">
        <f t="shared" si="35"/>
        <v>305479622.16000003</v>
      </c>
      <c r="Z77" s="82">
        <f t="shared" si="30"/>
        <v>31331243.26000005</v>
      </c>
      <c r="AA77" s="83">
        <f t="shared" si="39"/>
        <v>2.5600000049024549</v>
      </c>
      <c r="AB77" s="84" t="str">
        <f t="shared" si="31"/>
        <v>Costo eficiente: se está gastando menos de lo presupuestado</v>
      </c>
      <c r="AC77" s="84">
        <f t="shared" si="36"/>
        <v>1.0666666666666669</v>
      </c>
      <c r="AD77" s="84" t="str">
        <f t="shared" si="32"/>
        <v>Proyecto adelantado respecto al cronograma</v>
      </c>
      <c r="AE77" s="85">
        <f t="shared" si="37"/>
        <v>611938343.74999988</v>
      </c>
      <c r="AF77" s="85">
        <f t="shared" si="38"/>
        <v>-954623819.25000012</v>
      </c>
      <c r="AG77" s="40" t="str">
        <f>VLOOKUP(Indicador!E77,Diccionario!C$1:AC$150,27,0)</f>
        <v>https://growdatasas.sharepoint.com/:x:/r/sites/Gestiondocumental/Administrativa/GD/Financiera/_layouts/15/Doc.aspx?sourcedoc=%7BB89BD188-BEAD-4E84-BC3B-FF43B34DCCB0%7D&amp;file=326.%20ICFES%20-%20FABRICA%20DE%20SOFTWARE%20PRUEBAS.xlsx&amp;action=default&amp;mobileredirect=true</v>
      </c>
      <c r="AH77" s="40">
        <v>1</v>
      </c>
      <c r="AI77" s="40">
        <v>1</v>
      </c>
    </row>
    <row r="78" spans="1:35" ht="18.75" customHeight="1">
      <c r="A78" s="73">
        <v>2024</v>
      </c>
      <c r="B78" s="112" t="s">
        <v>23</v>
      </c>
      <c r="C78" s="36" t="s">
        <v>204</v>
      </c>
      <c r="D78" s="37">
        <v>45405.824231944447</v>
      </c>
      <c r="E78" s="36" t="s">
        <v>38</v>
      </c>
      <c r="F78" s="36" t="s">
        <v>190</v>
      </c>
      <c r="G78" s="36" t="s">
        <v>205</v>
      </c>
      <c r="H78" s="36" t="s">
        <v>206</v>
      </c>
      <c r="I78" s="36" t="s">
        <v>175</v>
      </c>
      <c r="J78" s="36" t="s">
        <v>207</v>
      </c>
      <c r="K78" s="36" t="s">
        <v>154</v>
      </c>
      <c r="L78" s="74">
        <f>VLOOKUP(E78,Diccionario!C$2:AC$150,22,0)</f>
        <v>1566562163</v>
      </c>
      <c r="M78" s="75">
        <f>VLOOKUP(E78,Diccionario!C$2:AC$150,24,0)</f>
        <v>45402</v>
      </c>
      <c r="N78" s="76">
        <f>VLOOKUP(E78,Diccionario!C$2:AC$150,25,0)</f>
        <v>45656</v>
      </c>
      <c r="O78" s="77">
        <f>VLOOKUP(E78,Diccionario!C$2:AC$150,26,0)</f>
        <v>8.33</v>
      </c>
      <c r="P78" s="77">
        <f t="shared" si="28"/>
        <v>-4.33</v>
      </c>
      <c r="Q78" s="78">
        <v>4</v>
      </c>
      <c r="R78" s="36">
        <v>8</v>
      </c>
      <c r="S78" s="86">
        <v>0.45</v>
      </c>
      <c r="T78" s="86">
        <v>0.42</v>
      </c>
      <c r="U78" s="82">
        <v>195820270</v>
      </c>
      <c r="V78" s="82">
        <v>195820270</v>
      </c>
      <c r="W78" s="82">
        <f t="shared" si="34"/>
        <v>657956108.45999992</v>
      </c>
      <c r="X78" s="82">
        <f t="shared" si="29"/>
        <v>704952973.35000002</v>
      </c>
      <c r="Y78" s="82">
        <f t="shared" si="35"/>
        <v>462135838.45999992</v>
      </c>
      <c r="Z78" s="82">
        <f t="shared" si="30"/>
        <v>-46996864.890000105</v>
      </c>
      <c r="AA78" s="83">
        <f t="shared" si="39"/>
        <v>3.3600000064344715</v>
      </c>
      <c r="AB78" s="84" t="str">
        <f t="shared" si="31"/>
        <v>Costo eficiente: se está gastando menos de lo presupuestado</v>
      </c>
      <c r="AC78" s="84">
        <f t="shared" si="36"/>
        <v>0.93333333333333324</v>
      </c>
      <c r="AD78" s="84" t="str">
        <f t="shared" si="32"/>
        <v>Proyecto atrasado con respecto al cronograma</v>
      </c>
      <c r="AE78" s="85">
        <f t="shared" si="37"/>
        <v>466238738.09523815</v>
      </c>
      <c r="AF78" s="85">
        <f t="shared" si="38"/>
        <v>-1100323424.9047618</v>
      </c>
      <c r="AG78" s="40" t="str">
        <f>VLOOKUP(Indicador!E78,Diccionario!C$1:AC$150,27,0)</f>
        <v>https://growdatasas.sharepoint.com/:x:/r/sites/Gestiondocumental/Administrativa/GD/Financiera/_layouts/15/Doc.aspx?sourcedoc=%7BB89BD188-BEAD-4E84-BC3B-FF43B34DCCB0%7D&amp;file=326.%20ICFES%20-%20FABRICA%20DE%20SOFTWARE%20PRUEBAS.xlsx&amp;action=default&amp;mobileredirect=true</v>
      </c>
      <c r="AH78" s="40">
        <v>1</v>
      </c>
      <c r="AI78" s="40">
        <v>1</v>
      </c>
    </row>
    <row r="79" spans="1:35" ht="18.75" customHeight="1">
      <c r="A79" s="73">
        <v>2024</v>
      </c>
      <c r="B79" s="112" t="s">
        <v>26</v>
      </c>
      <c r="C79" s="36" t="s">
        <v>204</v>
      </c>
      <c r="D79" s="37">
        <v>45405.824231944447</v>
      </c>
      <c r="E79" s="36" t="s">
        <v>38</v>
      </c>
      <c r="F79" s="36" t="s">
        <v>190</v>
      </c>
      <c r="G79" s="36" t="s">
        <v>205</v>
      </c>
      <c r="H79" s="36" t="s">
        <v>206</v>
      </c>
      <c r="I79" s="36" t="s">
        <v>175</v>
      </c>
      <c r="J79" s="36" t="s">
        <v>207</v>
      </c>
      <c r="K79" s="36" t="s">
        <v>154</v>
      </c>
      <c r="L79" s="74">
        <f>VLOOKUP(E79,Diccionario!C$2:AC$150,22,0)</f>
        <v>1566562163</v>
      </c>
      <c r="M79" s="75">
        <f>VLOOKUP(E79,Diccionario!C$2:AC$150,24,0)</f>
        <v>45402</v>
      </c>
      <c r="N79" s="76">
        <f>VLOOKUP(E79,Diccionario!C$2:AC$150,25,0)</f>
        <v>45656</v>
      </c>
      <c r="O79" s="77">
        <f>VLOOKUP(E79,Diccionario!C$2:AC$150,26,0)</f>
        <v>8.33</v>
      </c>
      <c r="P79" s="77">
        <f t="shared" si="28"/>
        <v>-3.33</v>
      </c>
      <c r="Q79" s="78">
        <v>5</v>
      </c>
      <c r="R79" s="36">
        <v>8</v>
      </c>
      <c r="S79" s="86">
        <v>0.55000000000000004</v>
      </c>
      <c r="T79" s="86">
        <v>0.56000000000000005</v>
      </c>
      <c r="U79" s="82">
        <v>195820270</v>
      </c>
      <c r="V79" s="82">
        <v>195820270</v>
      </c>
      <c r="W79" s="82">
        <f t="shared" si="34"/>
        <v>877274811.28000009</v>
      </c>
      <c r="X79" s="82">
        <f t="shared" si="29"/>
        <v>861609189.6500001</v>
      </c>
      <c r="Y79" s="82">
        <f t="shared" si="35"/>
        <v>681454541.28000009</v>
      </c>
      <c r="Z79" s="82">
        <f t="shared" si="30"/>
        <v>15665621.629999995</v>
      </c>
      <c r="AA79" s="83">
        <f t="shared" si="39"/>
        <v>4.4800000085792959</v>
      </c>
      <c r="AB79" s="84" t="str">
        <f t="shared" si="31"/>
        <v>Costo eficiente: se está gastando menos de lo presupuestado</v>
      </c>
      <c r="AC79" s="84">
        <f t="shared" si="36"/>
        <v>1.0181818181818181</v>
      </c>
      <c r="AD79" s="84" t="str">
        <f t="shared" si="32"/>
        <v>Proyecto adelantado respecto al cronograma</v>
      </c>
      <c r="AE79" s="85">
        <f t="shared" si="37"/>
        <v>349679053.57142854</v>
      </c>
      <c r="AF79" s="85">
        <f t="shared" si="38"/>
        <v>-1216883109.4285715</v>
      </c>
      <c r="AG79" s="40" t="str">
        <f>VLOOKUP(Indicador!E79,Diccionario!C$1:AC$150,27,0)</f>
        <v>https://growdatasas.sharepoint.com/:x:/r/sites/Gestiondocumental/Administrativa/GD/Financiera/_layouts/15/Doc.aspx?sourcedoc=%7BB89BD188-BEAD-4E84-BC3B-FF43B34DCCB0%7D&amp;file=326.%20ICFES%20-%20FABRICA%20DE%20SOFTWARE%20PRUEBAS.xlsx&amp;action=default&amp;mobileredirect=true</v>
      </c>
      <c r="AH79" s="40">
        <v>1</v>
      </c>
      <c r="AI79" s="40">
        <v>1</v>
      </c>
    </row>
    <row r="80" spans="1:35" ht="18.75" customHeight="1">
      <c r="A80" s="73">
        <v>2024</v>
      </c>
      <c r="B80" s="112" t="s">
        <v>28</v>
      </c>
      <c r="C80" s="36" t="s">
        <v>204</v>
      </c>
      <c r="D80" s="37">
        <v>45405.824231944447</v>
      </c>
      <c r="E80" s="36" t="s">
        <v>38</v>
      </c>
      <c r="F80" s="36" t="s">
        <v>190</v>
      </c>
      <c r="G80" s="36" t="s">
        <v>205</v>
      </c>
      <c r="H80" s="36" t="s">
        <v>206</v>
      </c>
      <c r="I80" s="36" t="s">
        <v>175</v>
      </c>
      <c r="J80" s="36" t="s">
        <v>207</v>
      </c>
      <c r="K80" s="36" t="s">
        <v>154</v>
      </c>
      <c r="L80" s="74">
        <f>VLOOKUP(E80,Diccionario!C$2:AC$150,22,0)</f>
        <v>1566562163</v>
      </c>
      <c r="M80" s="75">
        <f>VLOOKUP(E80,Diccionario!C$2:AC$150,24,0)</f>
        <v>45402</v>
      </c>
      <c r="N80" s="76">
        <f>VLOOKUP(E80,Diccionario!C$2:AC$150,25,0)</f>
        <v>45656</v>
      </c>
      <c r="O80" s="77">
        <f>VLOOKUP(E80,Diccionario!C$2:AC$150,26,0)</f>
        <v>8.33</v>
      </c>
      <c r="P80" s="77">
        <f t="shared" si="28"/>
        <v>-2.33</v>
      </c>
      <c r="Q80" s="78">
        <v>6</v>
      </c>
      <c r="R80" s="36">
        <v>8</v>
      </c>
      <c r="S80" s="86">
        <v>0.65</v>
      </c>
      <c r="T80" s="86">
        <v>0.67</v>
      </c>
      <c r="U80" s="82">
        <v>195820270</v>
      </c>
      <c r="V80" s="82">
        <v>195820270</v>
      </c>
      <c r="W80" s="82">
        <f t="shared" si="34"/>
        <v>1049596649.21</v>
      </c>
      <c r="X80" s="82">
        <f t="shared" si="29"/>
        <v>1018265405.95</v>
      </c>
      <c r="Y80" s="82">
        <f t="shared" si="35"/>
        <v>853776379.21000004</v>
      </c>
      <c r="Z80" s="82">
        <f t="shared" si="30"/>
        <v>31331243.25999999</v>
      </c>
      <c r="AA80" s="83">
        <f t="shared" si="39"/>
        <v>5.3600000102645149</v>
      </c>
      <c r="AB80" s="84" t="str">
        <f t="shared" si="31"/>
        <v>Costo eficiente: se está gastando menos de lo presupuestado</v>
      </c>
      <c r="AC80" s="84">
        <f t="shared" si="36"/>
        <v>1.0307692307692307</v>
      </c>
      <c r="AD80" s="84" t="str">
        <f t="shared" si="32"/>
        <v>Proyecto adelantado respecto al cronograma</v>
      </c>
      <c r="AE80" s="85">
        <f t="shared" si="37"/>
        <v>292269059.70149249</v>
      </c>
      <c r="AF80" s="85">
        <f t="shared" si="38"/>
        <v>-1274293103.2985075</v>
      </c>
      <c r="AG80" s="40" t="str">
        <f>VLOOKUP(Indicador!E80,Diccionario!C$1:AC$150,27,0)</f>
        <v>https://growdatasas.sharepoint.com/:x:/r/sites/Gestiondocumental/Administrativa/GD/Financiera/_layouts/15/Doc.aspx?sourcedoc=%7BB89BD188-BEAD-4E84-BC3B-FF43B34DCCB0%7D&amp;file=326.%20ICFES%20-%20FABRICA%20DE%20SOFTWARE%20PRUEBAS.xlsx&amp;action=default&amp;mobileredirect=true</v>
      </c>
      <c r="AH80" s="40">
        <v>1</v>
      </c>
      <c r="AI80" s="40">
        <v>1</v>
      </c>
    </row>
    <row r="81" spans="1:35" ht="18.75" customHeight="1">
      <c r="A81" s="73">
        <v>2024</v>
      </c>
      <c r="B81" s="112" t="s">
        <v>30</v>
      </c>
      <c r="C81" s="36" t="s">
        <v>204</v>
      </c>
      <c r="D81" s="37">
        <v>45405.824231944447</v>
      </c>
      <c r="E81" s="36" t="s">
        <v>38</v>
      </c>
      <c r="F81" s="36" t="s">
        <v>190</v>
      </c>
      <c r="G81" s="36" t="s">
        <v>205</v>
      </c>
      <c r="H81" s="36" t="s">
        <v>206</v>
      </c>
      <c r="I81" s="36" t="s">
        <v>175</v>
      </c>
      <c r="J81" s="36" t="s">
        <v>207</v>
      </c>
      <c r="K81" s="36" t="s">
        <v>154</v>
      </c>
      <c r="L81" s="74">
        <f>VLOOKUP(E81,Diccionario!C$2:AC$150,22,0)</f>
        <v>1566562163</v>
      </c>
      <c r="M81" s="75">
        <f>VLOOKUP(E81,Diccionario!C$2:AC$150,24,0)</f>
        <v>45402</v>
      </c>
      <c r="N81" s="76">
        <f>VLOOKUP(E81,Diccionario!C$2:AC$150,25,0)</f>
        <v>45656</v>
      </c>
      <c r="O81" s="77">
        <f>VLOOKUP(E81,Diccionario!C$2:AC$150,26,0)</f>
        <v>8.33</v>
      </c>
      <c r="P81" s="77">
        <f t="shared" si="28"/>
        <v>-1.33</v>
      </c>
      <c r="Q81" s="78">
        <v>7</v>
      </c>
      <c r="R81" s="36">
        <v>8</v>
      </c>
      <c r="S81" s="86">
        <v>0.85</v>
      </c>
      <c r="T81" s="86">
        <v>0.85</v>
      </c>
      <c r="U81" s="82">
        <v>195820270</v>
      </c>
      <c r="V81" s="82">
        <v>195820270</v>
      </c>
      <c r="W81" s="82">
        <f t="shared" si="34"/>
        <v>1331577838.55</v>
      </c>
      <c r="X81" s="82">
        <f t="shared" si="29"/>
        <v>1331577838.55</v>
      </c>
      <c r="Y81" s="82">
        <f t="shared" si="35"/>
        <v>1135757568.55</v>
      </c>
      <c r="Z81" s="82">
        <f t="shared" si="30"/>
        <v>0</v>
      </c>
      <c r="AA81" s="83">
        <f t="shared" si="39"/>
        <v>6.800000013022145</v>
      </c>
      <c r="AB81" s="84" t="str">
        <f t="shared" si="31"/>
        <v>Costo eficiente: se está gastando menos de lo presupuestado</v>
      </c>
      <c r="AC81" s="84">
        <f t="shared" si="36"/>
        <v>1</v>
      </c>
      <c r="AD81" s="84" t="str">
        <f t="shared" si="32"/>
        <v>Proyecto a tiempo según lo planificado</v>
      </c>
      <c r="AE81" s="85">
        <f t="shared" si="37"/>
        <v>230376788.23529413</v>
      </c>
      <c r="AF81" s="85">
        <f t="shared" si="38"/>
        <v>-1336185374.7647059</v>
      </c>
      <c r="AG81" s="40" t="str">
        <f>VLOOKUP(Indicador!E81,Diccionario!C$1:AC$150,27,0)</f>
        <v>https://growdatasas.sharepoint.com/:x:/r/sites/Gestiondocumental/Administrativa/GD/Financiera/_layouts/15/Doc.aspx?sourcedoc=%7BB89BD188-BEAD-4E84-BC3B-FF43B34DCCB0%7D&amp;file=326.%20ICFES%20-%20FABRICA%20DE%20SOFTWARE%20PRUEBAS.xlsx&amp;action=default&amp;mobileredirect=true</v>
      </c>
      <c r="AH81" s="40">
        <v>1</v>
      </c>
      <c r="AI81" s="40">
        <v>1</v>
      </c>
    </row>
    <row r="82" spans="1:35" ht="18.75" customHeight="1">
      <c r="A82" s="73">
        <v>2024</v>
      </c>
      <c r="B82" s="112" t="s">
        <v>31</v>
      </c>
      <c r="C82" s="36" t="s">
        <v>204</v>
      </c>
      <c r="D82" s="37">
        <v>45405.824231944447</v>
      </c>
      <c r="E82" s="36" t="s">
        <v>38</v>
      </c>
      <c r="F82" s="36" t="s">
        <v>190</v>
      </c>
      <c r="G82" s="36" t="s">
        <v>205</v>
      </c>
      <c r="H82" s="36" t="s">
        <v>206</v>
      </c>
      <c r="I82" s="36" t="s">
        <v>175</v>
      </c>
      <c r="J82" s="36" t="s">
        <v>207</v>
      </c>
      <c r="K82" s="36" t="s">
        <v>154</v>
      </c>
      <c r="L82" s="74">
        <f>VLOOKUP(E82,Diccionario!C$2:AC$150,22,0)</f>
        <v>1566562163</v>
      </c>
      <c r="M82" s="75">
        <f>VLOOKUP(E82,Diccionario!C$2:AC$150,24,0)</f>
        <v>45402</v>
      </c>
      <c r="N82" s="76">
        <f>VLOOKUP(E82,Diccionario!C$2:AC$150,25,0)</f>
        <v>45656</v>
      </c>
      <c r="O82" s="77">
        <f>VLOOKUP(E82,Diccionario!C$2:AC$150,26,0)</f>
        <v>8.33</v>
      </c>
      <c r="P82" s="77">
        <f t="shared" si="28"/>
        <v>-0.33000000000000007</v>
      </c>
      <c r="Q82" s="78">
        <v>8</v>
      </c>
      <c r="R82" s="36">
        <v>8</v>
      </c>
      <c r="S82" s="86">
        <v>1</v>
      </c>
      <c r="T82" s="86">
        <v>1</v>
      </c>
      <c r="U82" s="82">
        <v>195820270</v>
      </c>
      <c r="V82" s="82">
        <v>195820270</v>
      </c>
      <c r="W82" s="82">
        <f t="shared" si="34"/>
        <v>1566562163</v>
      </c>
      <c r="X82" s="82">
        <f t="shared" si="29"/>
        <v>1566562163</v>
      </c>
      <c r="Y82" s="82">
        <f t="shared" si="35"/>
        <v>1370741893</v>
      </c>
      <c r="Z82" s="82">
        <f t="shared" si="30"/>
        <v>0</v>
      </c>
      <c r="AA82" s="83">
        <f t="shared" si="39"/>
        <v>8.00000001532017</v>
      </c>
      <c r="AB82" s="84" t="str">
        <f t="shared" si="31"/>
        <v>Costo eficiente: se está gastando menos de lo presupuestado</v>
      </c>
      <c r="AC82" s="84">
        <f t="shared" si="36"/>
        <v>1</v>
      </c>
      <c r="AD82" s="84" t="str">
        <f t="shared" si="32"/>
        <v>Proyecto a tiempo según lo planificado</v>
      </c>
      <c r="AE82" s="85">
        <f t="shared" si="37"/>
        <v>195820270.00000003</v>
      </c>
      <c r="AF82" s="85">
        <f t="shared" si="38"/>
        <v>-1370741893</v>
      </c>
      <c r="AG82" s="40" t="str">
        <f>VLOOKUP(Indicador!E82,Diccionario!C$1:AC$150,27,0)</f>
        <v>https://growdatasas.sharepoint.com/:x:/r/sites/Gestiondocumental/Administrativa/GD/Financiera/_layouts/15/Doc.aspx?sourcedoc=%7BB89BD188-BEAD-4E84-BC3B-FF43B34DCCB0%7D&amp;file=326.%20ICFES%20-%20FABRICA%20DE%20SOFTWARE%20PRUEBAS.xlsx&amp;action=default&amp;mobileredirect=true</v>
      </c>
      <c r="AH82" s="40">
        <v>1</v>
      </c>
      <c r="AI82" s="40">
        <v>1</v>
      </c>
    </row>
    <row r="83" spans="1:35" ht="18.75" customHeight="1">
      <c r="A83" s="73">
        <v>2024</v>
      </c>
      <c r="B83" s="112" t="s">
        <v>13</v>
      </c>
      <c r="C83" s="36" t="s">
        <v>208</v>
      </c>
      <c r="D83" s="37">
        <v>45481.740478935186</v>
      </c>
      <c r="E83" s="36" t="s">
        <v>70</v>
      </c>
      <c r="F83" s="36" t="s">
        <v>190</v>
      </c>
      <c r="G83" s="36" t="s">
        <v>209</v>
      </c>
      <c r="H83" s="36" t="s">
        <v>210</v>
      </c>
      <c r="I83" s="36" t="s">
        <v>165</v>
      </c>
      <c r="J83" s="36" t="s">
        <v>211</v>
      </c>
      <c r="K83" s="36" t="s">
        <v>177</v>
      </c>
      <c r="L83" s="74">
        <f>VLOOKUP(E83,Diccionario!C$2:AC$150,22,0)</f>
        <v>218649688</v>
      </c>
      <c r="M83" s="75">
        <f>VLOOKUP(E83,Diccionario!C$2:AC$150,24,0)</f>
        <v>45413</v>
      </c>
      <c r="N83" s="76">
        <f>VLOOKUP(E83,Diccionario!C$2:AC$150,25,0)</f>
        <v>45534</v>
      </c>
      <c r="O83" s="77">
        <f>VLOOKUP(E83,Diccionario!C$2:AC$150,26,0)</f>
        <v>3.97</v>
      </c>
      <c r="P83" s="77">
        <f t="shared" ca="1" si="28"/>
        <v>22.03</v>
      </c>
      <c r="Q83" s="78">
        <f t="shared" ref="Q83:Q88" ca="1" si="40">DATEDIF(M83,TODAY(),"m")</f>
        <v>26</v>
      </c>
      <c r="R83" s="36">
        <v>4</v>
      </c>
      <c r="S83" s="86">
        <v>0.2</v>
      </c>
      <c r="T83" s="86">
        <v>0.15</v>
      </c>
      <c r="U83" s="82">
        <v>43729938</v>
      </c>
      <c r="V83" s="82">
        <v>43729938</v>
      </c>
      <c r="W83" s="82">
        <f t="shared" si="34"/>
        <v>32797453.199999999</v>
      </c>
      <c r="X83" s="82">
        <f t="shared" si="29"/>
        <v>43729937.600000001</v>
      </c>
      <c r="Y83" s="82">
        <f t="shared" si="35"/>
        <v>-10932484.800000001</v>
      </c>
      <c r="Z83" s="82">
        <f t="shared" si="30"/>
        <v>-10932484.400000002</v>
      </c>
      <c r="AA83" s="83">
        <f t="shared" si="39"/>
        <v>0.74999999313971122</v>
      </c>
      <c r="AB83" s="84" t="str">
        <f t="shared" si="31"/>
        <v>Costo ineficiente: se está gastando más de lo presupuestado</v>
      </c>
      <c r="AC83" s="84">
        <f t="shared" si="36"/>
        <v>0.75</v>
      </c>
      <c r="AD83" s="84" t="str">
        <f t="shared" si="32"/>
        <v>Proyecto atrasado con respecto al cronograma</v>
      </c>
      <c r="AE83" s="85">
        <f t="shared" si="37"/>
        <v>291532920</v>
      </c>
      <c r="AF83" s="85">
        <f t="shared" si="38"/>
        <v>72883232</v>
      </c>
      <c r="AG83" s="40" t="str">
        <f>VLOOKUP(Indicador!E83,Diccionario!C$1:AC$150,27,0)</f>
        <v>https://growdatasas.sharepoint.com/:x:/r/sites/Gestiondocumental/Administrativa/GD/Financiera/_layouts/15/Doc.aspx?sourcedoc=%7B90300F8C-6F13-418B-97E4-626034BE9C0E%7D&amp;file=MODELO%20FINANCIERO%20REFERENCIA%20V7-INM_V1.0%20-%20500M.xlsm&amp;action=default&amp;mobileredirect=true</v>
      </c>
      <c r="AH83" s="40">
        <v>1</v>
      </c>
      <c r="AI83" s="40">
        <v>1</v>
      </c>
    </row>
    <row r="84" spans="1:35" ht="18.75" customHeight="1">
      <c r="A84" s="73">
        <v>2024</v>
      </c>
      <c r="B84" s="112" t="s">
        <v>21</v>
      </c>
      <c r="C84" s="36" t="s">
        <v>208</v>
      </c>
      <c r="D84" s="37">
        <v>45481.740478935186</v>
      </c>
      <c r="E84" s="36" t="s">
        <v>70</v>
      </c>
      <c r="F84" s="36" t="s">
        <v>190</v>
      </c>
      <c r="G84" s="36" t="s">
        <v>209</v>
      </c>
      <c r="H84" s="36" t="s">
        <v>210</v>
      </c>
      <c r="I84" s="36" t="s">
        <v>165</v>
      </c>
      <c r="J84" s="36" t="s">
        <v>211</v>
      </c>
      <c r="K84" s="36" t="s">
        <v>177</v>
      </c>
      <c r="L84" s="74">
        <f>VLOOKUP(E84,Diccionario!C$2:AC$150,22,0)</f>
        <v>218649688</v>
      </c>
      <c r="M84" s="75">
        <f>VLOOKUP(E84,Diccionario!C$2:AC$150,24,0)</f>
        <v>45413</v>
      </c>
      <c r="N84" s="76">
        <f>VLOOKUP(E84,Diccionario!C$2:AC$150,25,0)</f>
        <v>45534</v>
      </c>
      <c r="O84" s="77">
        <f>VLOOKUP(E84,Diccionario!C$2:AC$150,26,0)</f>
        <v>3.97</v>
      </c>
      <c r="P84" s="77">
        <f t="shared" ca="1" si="28"/>
        <v>22.03</v>
      </c>
      <c r="Q84" s="78">
        <f t="shared" ca="1" si="40"/>
        <v>26</v>
      </c>
      <c r="R84" s="36">
        <v>4</v>
      </c>
      <c r="S84" s="86">
        <v>0.5</v>
      </c>
      <c r="T84" s="86">
        <v>0.56000000000000005</v>
      </c>
      <c r="U84" s="82">
        <v>43729938</v>
      </c>
      <c r="V84" s="82">
        <v>43729938</v>
      </c>
      <c r="W84" s="82">
        <f t="shared" si="34"/>
        <v>122443825.28000002</v>
      </c>
      <c r="X84" s="82">
        <f t="shared" si="29"/>
        <v>109324844</v>
      </c>
      <c r="Y84" s="82">
        <f t="shared" si="35"/>
        <v>78713887.280000016</v>
      </c>
      <c r="Z84" s="82">
        <f t="shared" si="30"/>
        <v>13118981.280000016</v>
      </c>
      <c r="AA84" s="83">
        <f t="shared" si="39"/>
        <v>2.799999974388256</v>
      </c>
      <c r="AB84" s="84" t="str">
        <f t="shared" si="31"/>
        <v>Costo eficiente: se está gastando menos de lo presupuestado</v>
      </c>
      <c r="AC84" s="84">
        <f t="shared" si="36"/>
        <v>1.1200000000000001</v>
      </c>
      <c r="AD84" s="84" t="str">
        <f t="shared" si="32"/>
        <v>Proyecto adelantado respecto al cronograma</v>
      </c>
      <c r="AE84" s="85">
        <f t="shared" si="37"/>
        <v>78089174.999999985</v>
      </c>
      <c r="AF84" s="85">
        <f t="shared" si="38"/>
        <v>-140560513</v>
      </c>
      <c r="AG84" s="40" t="str">
        <f>VLOOKUP(Indicador!E84,Diccionario!C$1:AC$150,27,0)</f>
        <v>https://growdatasas.sharepoint.com/:x:/r/sites/Gestiondocumental/Administrativa/GD/Financiera/_layouts/15/Doc.aspx?sourcedoc=%7B90300F8C-6F13-418B-97E4-626034BE9C0E%7D&amp;file=MODELO%20FINANCIERO%20REFERENCIA%20V7-INM_V1.0%20-%20500M.xlsm&amp;action=default&amp;mobileredirect=true</v>
      </c>
      <c r="AH84" s="40">
        <v>1</v>
      </c>
      <c r="AI84" s="40">
        <v>1</v>
      </c>
    </row>
    <row r="85" spans="1:35" ht="18.75" customHeight="1">
      <c r="A85" s="73">
        <v>2024</v>
      </c>
      <c r="B85" s="112" t="s">
        <v>23</v>
      </c>
      <c r="C85" s="36" t="s">
        <v>208</v>
      </c>
      <c r="D85" s="37">
        <v>45481.740478935186</v>
      </c>
      <c r="E85" s="36" t="s">
        <v>70</v>
      </c>
      <c r="F85" s="36" t="s">
        <v>190</v>
      </c>
      <c r="G85" s="36" t="s">
        <v>209</v>
      </c>
      <c r="H85" s="36" t="s">
        <v>210</v>
      </c>
      <c r="I85" s="36" t="s">
        <v>165</v>
      </c>
      <c r="J85" s="36" t="s">
        <v>211</v>
      </c>
      <c r="K85" s="36" t="s">
        <v>177</v>
      </c>
      <c r="L85" s="74">
        <f>VLOOKUP(E85,Diccionario!C$2:AC$150,22,0)</f>
        <v>218649688</v>
      </c>
      <c r="M85" s="75">
        <f>VLOOKUP(E85,Diccionario!C$2:AC$150,24,0)</f>
        <v>45413</v>
      </c>
      <c r="N85" s="76">
        <f>VLOOKUP(E85,Diccionario!C$2:AC$150,25,0)</f>
        <v>45534</v>
      </c>
      <c r="O85" s="77">
        <f>VLOOKUP(E85,Diccionario!C$2:AC$150,26,0)</f>
        <v>3.97</v>
      </c>
      <c r="P85" s="77">
        <f t="shared" ca="1" si="28"/>
        <v>22.03</v>
      </c>
      <c r="Q85" s="78">
        <f t="shared" ca="1" si="40"/>
        <v>26</v>
      </c>
      <c r="R85" s="36">
        <v>4</v>
      </c>
      <c r="S85" s="86">
        <v>0.85</v>
      </c>
      <c r="T85" s="86">
        <v>0.67</v>
      </c>
      <c r="U85" s="82">
        <v>43729938</v>
      </c>
      <c r="V85" s="82">
        <v>43729938</v>
      </c>
      <c r="W85" s="82">
        <f t="shared" si="34"/>
        <v>146495290.96000001</v>
      </c>
      <c r="X85" s="82">
        <f t="shared" si="29"/>
        <v>185852234.79999998</v>
      </c>
      <c r="Y85" s="82">
        <f t="shared" si="35"/>
        <v>102765352.96000001</v>
      </c>
      <c r="Z85" s="82">
        <f t="shared" si="30"/>
        <v>-39356943.839999974</v>
      </c>
      <c r="AA85" s="83">
        <f t="shared" si="39"/>
        <v>3.3499999693573774</v>
      </c>
      <c r="AB85" s="84" t="str">
        <f t="shared" si="31"/>
        <v>Costo eficiente: se está gastando menos de lo presupuestado</v>
      </c>
      <c r="AC85" s="84">
        <f t="shared" si="36"/>
        <v>0.78823529411764715</v>
      </c>
      <c r="AD85" s="84" t="str">
        <f t="shared" si="32"/>
        <v>Proyecto atrasado con respecto al cronograma</v>
      </c>
      <c r="AE85" s="85">
        <f t="shared" si="37"/>
        <v>65268564.17910447</v>
      </c>
      <c r="AF85" s="85">
        <f t="shared" si="38"/>
        <v>-153381123.82089552</v>
      </c>
      <c r="AG85" s="40" t="str">
        <f>VLOOKUP(Indicador!E85,Diccionario!C$1:AC$150,27,0)</f>
        <v>https://growdatasas.sharepoint.com/:x:/r/sites/Gestiondocumental/Administrativa/GD/Financiera/_layouts/15/Doc.aspx?sourcedoc=%7B90300F8C-6F13-418B-97E4-626034BE9C0E%7D&amp;file=MODELO%20FINANCIERO%20REFERENCIA%20V7-INM_V1.0%20-%20500M.xlsm&amp;action=default&amp;mobileredirect=true</v>
      </c>
      <c r="AH85" s="40">
        <v>1</v>
      </c>
      <c r="AI85" s="40">
        <v>1</v>
      </c>
    </row>
    <row r="86" spans="1:35" ht="18.75" customHeight="1">
      <c r="A86" s="73">
        <v>2024</v>
      </c>
      <c r="B86" s="112" t="s">
        <v>26</v>
      </c>
      <c r="C86" s="36" t="s">
        <v>208</v>
      </c>
      <c r="D86" s="37">
        <v>45481.740478935186</v>
      </c>
      <c r="E86" s="36" t="s">
        <v>70</v>
      </c>
      <c r="F86" s="36" t="s">
        <v>190</v>
      </c>
      <c r="G86" s="36" t="s">
        <v>209</v>
      </c>
      <c r="H86" s="36" t="s">
        <v>210</v>
      </c>
      <c r="I86" s="36" t="s">
        <v>165</v>
      </c>
      <c r="J86" s="36" t="s">
        <v>211</v>
      </c>
      <c r="K86" s="36" t="s">
        <v>177</v>
      </c>
      <c r="L86" s="74">
        <f>VLOOKUP(E86,Diccionario!C$2:AC$150,22,0)</f>
        <v>218649688</v>
      </c>
      <c r="M86" s="75">
        <f>VLOOKUP(E86,Diccionario!C$2:AC$150,24,0)</f>
        <v>45413</v>
      </c>
      <c r="N86" s="76">
        <f>VLOOKUP(E86,Diccionario!C$2:AC$150,25,0)</f>
        <v>45534</v>
      </c>
      <c r="O86" s="77">
        <f>VLOOKUP(E86,Diccionario!C$2:AC$150,26,0)</f>
        <v>3.97</v>
      </c>
      <c r="P86" s="77">
        <f t="shared" ca="1" si="28"/>
        <v>22.03</v>
      </c>
      <c r="Q86" s="78">
        <f t="shared" ca="1" si="40"/>
        <v>26</v>
      </c>
      <c r="R86" s="36">
        <v>4</v>
      </c>
      <c r="S86" s="86">
        <v>1</v>
      </c>
      <c r="T86" s="86">
        <v>0.85</v>
      </c>
      <c r="U86" s="82">
        <v>43729938</v>
      </c>
      <c r="V86" s="82">
        <v>43729938</v>
      </c>
      <c r="W86" s="82">
        <f t="shared" si="34"/>
        <v>185852234.79999998</v>
      </c>
      <c r="X86" s="82">
        <f t="shared" si="29"/>
        <v>218649688</v>
      </c>
      <c r="Y86" s="82">
        <f t="shared" si="35"/>
        <v>142122296.79999998</v>
      </c>
      <c r="Z86" s="82">
        <f t="shared" si="30"/>
        <v>-32797453.200000018</v>
      </c>
      <c r="AA86" s="83">
        <f t="shared" si="39"/>
        <v>4.2499999611250301</v>
      </c>
      <c r="AB86" s="84" t="str">
        <f t="shared" si="31"/>
        <v>Costo eficiente: se está gastando menos de lo presupuestado</v>
      </c>
      <c r="AC86" s="84">
        <f t="shared" si="36"/>
        <v>0.84999999999999987</v>
      </c>
      <c r="AD86" s="84" t="str">
        <f t="shared" si="32"/>
        <v>Proyecto atrasado con respecto al cronograma</v>
      </c>
      <c r="AE86" s="85">
        <f t="shared" si="37"/>
        <v>51446985.882352948</v>
      </c>
      <c r="AF86" s="85">
        <f t="shared" si="38"/>
        <v>-167202702.11764705</v>
      </c>
      <c r="AG86" s="40" t="str">
        <f>VLOOKUP(Indicador!E86,Diccionario!C$1:AC$150,27,0)</f>
        <v>https://growdatasas.sharepoint.com/:x:/r/sites/Gestiondocumental/Administrativa/GD/Financiera/_layouts/15/Doc.aspx?sourcedoc=%7B90300F8C-6F13-418B-97E4-626034BE9C0E%7D&amp;file=MODELO%20FINANCIERO%20REFERENCIA%20V7-INM_V1.0%20-%20500M.xlsm&amp;action=default&amp;mobileredirect=true</v>
      </c>
      <c r="AH86" s="40">
        <v>1</v>
      </c>
      <c r="AI86" s="40">
        <v>1</v>
      </c>
    </row>
    <row r="87" spans="1:35" ht="18.75" customHeight="1">
      <c r="A87" s="73">
        <v>2024</v>
      </c>
      <c r="B87" s="112" t="s">
        <v>26</v>
      </c>
      <c r="C87" s="36" t="s">
        <v>208</v>
      </c>
      <c r="D87" s="37">
        <v>45481.740478935186</v>
      </c>
      <c r="E87" s="36" t="s">
        <v>70</v>
      </c>
      <c r="F87" s="36" t="s">
        <v>190</v>
      </c>
      <c r="G87" s="36" t="s">
        <v>209</v>
      </c>
      <c r="H87" s="36" t="s">
        <v>210</v>
      </c>
      <c r="I87" s="36" t="s">
        <v>165</v>
      </c>
      <c r="J87" s="36" t="s">
        <v>211</v>
      </c>
      <c r="K87" s="36" t="s">
        <v>177</v>
      </c>
      <c r="L87" s="74">
        <f>VLOOKUP(E87,Diccionario!C$2:AC$150,22,0)</f>
        <v>218649688</v>
      </c>
      <c r="M87" s="75">
        <f>VLOOKUP(E87,Diccionario!C$2:AC$150,24,0)</f>
        <v>45413</v>
      </c>
      <c r="N87" s="76">
        <f>VLOOKUP(E87,Diccionario!C$2:AC$150,25,0)</f>
        <v>45534</v>
      </c>
      <c r="O87" s="77">
        <f>VLOOKUP(E87,Diccionario!C$2:AC$150,26,0)</f>
        <v>3.97</v>
      </c>
      <c r="P87" s="77">
        <f t="shared" ca="1" si="28"/>
        <v>22.03</v>
      </c>
      <c r="Q87" s="78">
        <f t="shared" ca="1" si="40"/>
        <v>26</v>
      </c>
      <c r="R87" s="36">
        <v>4</v>
      </c>
      <c r="S87" s="86">
        <v>1</v>
      </c>
      <c r="T87" s="86">
        <v>1</v>
      </c>
      <c r="U87" s="82">
        <v>43729938</v>
      </c>
      <c r="V87" s="82">
        <v>43729938</v>
      </c>
      <c r="W87" s="82">
        <f t="shared" si="34"/>
        <v>218649688</v>
      </c>
      <c r="X87" s="82">
        <f t="shared" si="29"/>
        <v>218649688</v>
      </c>
      <c r="Y87" s="82">
        <f t="shared" si="35"/>
        <v>174919750</v>
      </c>
      <c r="Z87" s="82">
        <f t="shared" si="30"/>
        <v>0</v>
      </c>
      <c r="AA87" s="83">
        <f t="shared" si="39"/>
        <v>4.9999999542647418</v>
      </c>
      <c r="AB87" s="84" t="str">
        <f t="shared" si="31"/>
        <v>Costo eficiente: se está gastando menos de lo presupuestado</v>
      </c>
      <c r="AC87" s="84">
        <f t="shared" si="36"/>
        <v>1</v>
      </c>
      <c r="AD87" s="84" t="str">
        <f t="shared" si="32"/>
        <v>Proyecto a tiempo según lo planificado</v>
      </c>
      <c r="AE87" s="85">
        <f t="shared" si="37"/>
        <v>43729938</v>
      </c>
      <c r="AF87" s="85">
        <f t="shared" si="38"/>
        <v>-174919750</v>
      </c>
      <c r="AG87" s="40" t="str">
        <f>VLOOKUP(Indicador!E87,Diccionario!C$1:AC$150,27,0)</f>
        <v>https://growdatasas.sharepoint.com/:x:/r/sites/Gestiondocumental/Administrativa/GD/Financiera/_layouts/15/Doc.aspx?sourcedoc=%7B90300F8C-6F13-418B-97E4-626034BE9C0E%7D&amp;file=MODELO%20FINANCIERO%20REFERENCIA%20V7-INM_V1.0%20-%20500M.xlsm&amp;action=default&amp;mobileredirect=true</v>
      </c>
      <c r="AH87" s="40">
        <v>1</v>
      </c>
      <c r="AI87" s="40">
        <v>1</v>
      </c>
    </row>
    <row r="88" spans="1:35" ht="18.75" customHeight="1">
      <c r="A88" s="73">
        <v>2024</v>
      </c>
      <c r="B88" s="112" t="s">
        <v>13</v>
      </c>
      <c r="C88" s="36" t="s">
        <v>212</v>
      </c>
      <c r="D88" s="37">
        <v>45422.849828703707</v>
      </c>
      <c r="E88" s="36" t="s">
        <v>71</v>
      </c>
      <c r="F88" s="36" t="s">
        <v>168</v>
      </c>
      <c r="G88" s="36" t="s">
        <v>213</v>
      </c>
      <c r="H88" s="36" t="s">
        <v>214</v>
      </c>
      <c r="I88" s="36" t="s">
        <v>152</v>
      </c>
      <c r="J88" s="36" t="s">
        <v>215</v>
      </c>
      <c r="K88" s="36" t="s">
        <v>154</v>
      </c>
      <c r="L88" s="74">
        <f>VLOOKUP(E88,Diccionario!C$2:AC$150,22,0)</f>
        <v>830180856</v>
      </c>
      <c r="M88" s="75">
        <f>VLOOKUP(E88,Diccionario!C$2:AC$150,24,0)</f>
        <v>45414</v>
      </c>
      <c r="N88" s="76">
        <f>VLOOKUP(E88,Diccionario!C$2:AC$150,25,0)</f>
        <v>45596</v>
      </c>
      <c r="O88" s="77">
        <f>VLOOKUP(E88,Diccionario!C$2:AC$150,26,0)</f>
        <v>5.97</v>
      </c>
      <c r="P88" s="77">
        <f t="shared" ca="1" si="28"/>
        <v>20.03</v>
      </c>
      <c r="Q88" s="78">
        <f t="shared" ca="1" si="40"/>
        <v>26</v>
      </c>
      <c r="R88" s="36">
        <v>6</v>
      </c>
      <c r="S88" s="86">
        <v>0.2</v>
      </c>
      <c r="T88" s="86">
        <v>0.15</v>
      </c>
      <c r="U88" s="82">
        <v>311082365</v>
      </c>
      <c r="V88" s="82">
        <v>311082365</v>
      </c>
      <c r="W88" s="82">
        <f t="shared" si="34"/>
        <v>124527128.39999999</v>
      </c>
      <c r="X88" s="82">
        <f t="shared" si="29"/>
        <v>166036171.20000002</v>
      </c>
      <c r="Y88" s="82">
        <f t="shared" si="35"/>
        <v>-186555236.60000002</v>
      </c>
      <c r="Z88" s="82">
        <f t="shared" si="30"/>
        <v>-41509042.800000027</v>
      </c>
      <c r="AA88" s="83">
        <f t="shared" si="39"/>
        <v>0.40030275711707408</v>
      </c>
      <c r="AB88" s="84" t="str">
        <f t="shared" si="31"/>
        <v>Costo ineficiente: se está gastando más de lo presupuestado</v>
      </c>
      <c r="AC88" s="84">
        <f t="shared" si="36"/>
        <v>0.74999999999999989</v>
      </c>
      <c r="AD88" s="84" t="str">
        <f t="shared" si="32"/>
        <v>Proyecto atrasado con respecto al cronograma</v>
      </c>
      <c r="AE88" s="85">
        <f t="shared" si="37"/>
        <v>2073882433.3333335</v>
      </c>
      <c r="AF88" s="85">
        <f t="shared" si="38"/>
        <v>1243701577.3333335</v>
      </c>
      <c r="AG88" s="40" t="str">
        <f>VLOOKUP(Indicador!E88,Diccionario!C$1:AC$150,27,0)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88" s="40">
        <v>1</v>
      </c>
      <c r="AI88" s="40">
        <v>1</v>
      </c>
    </row>
    <row r="89" spans="1:35" ht="18.75" customHeight="1">
      <c r="A89" s="73">
        <v>2024</v>
      </c>
      <c r="B89" s="112" t="s">
        <v>21</v>
      </c>
      <c r="C89" s="36" t="s">
        <v>212</v>
      </c>
      <c r="D89" s="37">
        <v>45422.849828703707</v>
      </c>
      <c r="E89" s="36" t="s">
        <v>71</v>
      </c>
      <c r="F89" s="36" t="s">
        <v>168</v>
      </c>
      <c r="G89" s="36" t="s">
        <v>213</v>
      </c>
      <c r="H89" s="36" t="s">
        <v>214</v>
      </c>
      <c r="I89" s="36" t="s">
        <v>152</v>
      </c>
      <c r="J89" s="36" t="s">
        <v>215</v>
      </c>
      <c r="K89" s="36" t="s">
        <v>154</v>
      </c>
      <c r="L89" s="74">
        <f>VLOOKUP(E89,Diccionario!C$2:AC$150,22,0)</f>
        <v>830180856</v>
      </c>
      <c r="M89" s="75">
        <f>VLOOKUP(E89,Diccionario!C$2:AC$150,24,0)</f>
        <v>45414</v>
      </c>
      <c r="N89" s="76">
        <f>VLOOKUP(E89,Diccionario!C$2:AC$150,25,0)</f>
        <v>45596</v>
      </c>
      <c r="O89" s="77">
        <f>VLOOKUP(E89,Diccionario!C$2:AC$150,26,0)</f>
        <v>5.97</v>
      </c>
      <c r="P89" s="77">
        <f t="shared" ref="P89:P135" ca="1" si="41">Q89-O89</f>
        <v>20.03</v>
      </c>
      <c r="Q89" s="78">
        <f t="shared" ref="Q89:Q93" ca="1" si="42">DATEDIF(M89,TODAY(),"m")</f>
        <v>26</v>
      </c>
      <c r="R89" s="36">
        <v>6</v>
      </c>
      <c r="S89" s="86">
        <v>0.4</v>
      </c>
      <c r="T89" s="86">
        <v>0.35</v>
      </c>
      <c r="U89" s="82">
        <v>0</v>
      </c>
      <c r="V89" s="82">
        <v>0</v>
      </c>
      <c r="W89" s="82">
        <f t="shared" si="34"/>
        <v>290563299.59999996</v>
      </c>
      <c r="X89" s="82">
        <f t="shared" ref="X89:X135" si="43">S89*L89</f>
        <v>332072342.40000004</v>
      </c>
      <c r="Y89" s="82">
        <f t="shared" si="35"/>
        <v>290563299.59999996</v>
      </c>
      <c r="Z89" s="82">
        <f t="shared" ref="Z89:Z135" si="44">W89-X89</f>
        <v>-41509042.800000072</v>
      </c>
      <c r="AA89" s="83" t="str">
        <f t="shared" si="39"/>
        <v>No se realizó gasto en este corte</v>
      </c>
      <c r="AB89" s="84" t="str">
        <f t="shared" ref="AB89:AB135" si="45">IFERROR(
  IF(OR(AA89="",AA89=0),
    "No calculado",
    IF(AA89&gt;1,"Costo eficiente: se está gastando menos de lo presupuestado",
      IF(AA89=1,"Costo según lo presupuestado",
        "Costo ineficiente: se está gastando más de lo presupuestado"))),
"No calculado")</f>
        <v>Costo eficiente: se está gastando menos de lo presupuestado</v>
      </c>
      <c r="AC89" s="84">
        <f t="shared" si="36"/>
        <v>0.87499999999999978</v>
      </c>
      <c r="AD89" s="84" t="str">
        <f t="shared" ref="AD89:AD135" si="46">IF(OR(AC89="",AC89=0),"Sin Línea Base",
IF(AC89&gt;1,"Proyecto adelantado respecto al cronograma",
IF(AC89=1,"Proyecto a tiempo según lo planificado",
IF(AC89&lt;1,"Proyecto atrasado con respecto al cronograma",
"No calculado"))))</f>
        <v>Proyecto atrasado con respecto al cronograma</v>
      </c>
      <c r="AE89" s="85">
        <f t="shared" si="37"/>
        <v>0</v>
      </c>
      <c r="AF89" s="85">
        <f t="shared" si="38"/>
        <v>-830180856</v>
      </c>
      <c r="AG89" s="40" t="str">
        <f>VLOOKUP(Indicador!E89,Diccionario!C$1:AC$150,27,0)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89" s="40">
        <v>1</v>
      </c>
      <c r="AI89" s="40">
        <v>1</v>
      </c>
    </row>
    <row r="90" spans="1:35" ht="18.75" customHeight="1">
      <c r="A90" s="73">
        <v>2024</v>
      </c>
      <c r="B90" s="112" t="s">
        <v>23</v>
      </c>
      <c r="C90" s="36" t="s">
        <v>212</v>
      </c>
      <c r="D90" s="37">
        <v>45422.849828703707</v>
      </c>
      <c r="E90" s="36" t="s">
        <v>71</v>
      </c>
      <c r="F90" s="36" t="s">
        <v>168</v>
      </c>
      <c r="G90" s="36" t="s">
        <v>213</v>
      </c>
      <c r="H90" s="36" t="s">
        <v>214</v>
      </c>
      <c r="I90" s="36" t="s">
        <v>152</v>
      </c>
      <c r="J90" s="36" t="s">
        <v>215</v>
      </c>
      <c r="K90" s="36" t="s">
        <v>154</v>
      </c>
      <c r="L90" s="74">
        <f>VLOOKUP(E90,Diccionario!C$2:AC$150,22,0)</f>
        <v>830180856</v>
      </c>
      <c r="M90" s="75">
        <f>VLOOKUP(E90,Diccionario!C$2:AC$150,24,0)</f>
        <v>45414</v>
      </c>
      <c r="N90" s="76">
        <f>VLOOKUP(E90,Diccionario!C$2:AC$150,25,0)</f>
        <v>45596</v>
      </c>
      <c r="O90" s="77">
        <f>VLOOKUP(E90,Diccionario!C$2:AC$150,26,0)</f>
        <v>5.97</v>
      </c>
      <c r="P90" s="77">
        <f t="shared" ca="1" si="41"/>
        <v>20.03</v>
      </c>
      <c r="Q90" s="78">
        <f t="shared" ca="1" si="42"/>
        <v>26</v>
      </c>
      <c r="R90" s="36">
        <v>6</v>
      </c>
      <c r="S90" s="86">
        <v>0.6</v>
      </c>
      <c r="T90" s="86">
        <v>0.56000000000000005</v>
      </c>
      <c r="U90" s="82">
        <v>0</v>
      </c>
      <c r="V90" s="82">
        <v>0</v>
      </c>
      <c r="W90" s="82">
        <f t="shared" si="34"/>
        <v>464901279.36000007</v>
      </c>
      <c r="X90" s="82">
        <f t="shared" si="43"/>
        <v>498108513.59999996</v>
      </c>
      <c r="Y90" s="82">
        <f t="shared" si="35"/>
        <v>464901279.36000007</v>
      </c>
      <c r="Z90" s="82">
        <f t="shared" si="44"/>
        <v>-33207234.23999989</v>
      </c>
      <c r="AA90" s="83" t="str">
        <f t="shared" si="39"/>
        <v>No se realizó gasto en este corte</v>
      </c>
      <c r="AB90" s="84" t="str">
        <f t="shared" si="45"/>
        <v>Costo eficiente: se está gastando menos de lo presupuestado</v>
      </c>
      <c r="AC90" s="84">
        <f t="shared" si="36"/>
        <v>0.93333333333333357</v>
      </c>
      <c r="AD90" s="84" t="str">
        <f t="shared" si="46"/>
        <v>Proyecto atrasado con respecto al cronograma</v>
      </c>
      <c r="AE90" s="85">
        <f t="shared" si="37"/>
        <v>0</v>
      </c>
      <c r="AF90" s="85">
        <f t="shared" si="38"/>
        <v>-830180856</v>
      </c>
      <c r="AG90" s="40" t="str">
        <f>VLOOKUP(Indicador!E90,Diccionario!C$1:AC$150,27,0)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90" s="40">
        <v>1</v>
      </c>
      <c r="AI90" s="40">
        <v>1</v>
      </c>
    </row>
    <row r="91" spans="1:35" ht="18.75" customHeight="1">
      <c r="A91" s="73">
        <v>2024</v>
      </c>
      <c r="B91" s="112" t="s">
        <v>26</v>
      </c>
      <c r="C91" s="36" t="s">
        <v>212</v>
      </c>
      <c r="D91" s="37">
        <v>45422.849828703707</v>
      </c>
      <c r="E91" s="36" t="s">
        <v>71</v>
      </c>
      <c r="F91" s="36" t="s">
        <v>168</v>
      </c>
      <c r="G91" s="36" t="s">
        <v>213</v>
      </c>
      <c r="H91" s="36" t="s">
        <v>214</v>
      </c>
      <c r="I91" s="36" t="s">
        <v>152</v>
      </c>
      <c r="J91" s="36" t="s">
        <v>215</v>
      </c>
      <c r="K91" s="36" t="s">
        <v>154</v>
      </c>
      <c r="L91" s="74">
        <f>VLOOKUP(E91,Diccionario!C$2:AC$150,22,0)</f>
        <v>830180856</v>
      </c>
      <c r="M91" s="75">
        <f>VLOOKUP(E91,Diccionario!C$2:AC$150,24,0)</f>
        <v>45414</v>
      </c>
      <c r="N91" s="76">
        <f>VLOOKUP(E91,Diccionario!C$2:AC$150,25,0)</f>
        <v>45596</v>
      </c>
      <c r="O91" s="77">
        <f>VLOOKUP(E91,Diccionario!C$2:AC$150,26,0)</f>
        <v>5.97</v>
      </c>
      <c r="P91" s="77">
        <f t="shared" ca="1" si="41"/>
        <v>20.03</v>
      </c>
      <c r="Q91" s="78">
        <f t="shared" ca="1" si="42"/>
        <v>26</v>
      </c>
      <c r="R91" s="36">
        <v>6</v>
      </c>
      <c r="S91" s="86">
        <v>0.8</v>
      </c>
      <c r="T91" s="86">
        <v>0.67</v>
      </c>
      <c r="U91" s="82">
        <v>0</v>
      </c>
      <c r="V91" s="82">
        <v>0</v>
      </c>
      <c r="W91" s="82">
        <f t="shared" si="34"/>
        <v>556221173.51999998</v>
      </c>
      <c r="X91" s="82">
        <f t="shared" si="43"/>
        <v>664144684.80000007</v>
      </c>
      <c r="Y91" s="82">
        <f t="shared" si="35"/>
        <v>556221173.51999998</v>
      </c>
      <c r="Z91" s="82">
        <f t="shared" si="44"/>
        <v>-107923511.28000009</v>
      </c>
      <c r="AA91" s="83" t="str">
        <f t="shared" si="39"/>
        <v>No se realizó gasto en este corte</v>
      </c>
      <c r="AB91" s="84" t="str">
        <f t="shared" si="45"/>
        <v>Costo eficiente: se está gastando menos de lo presupuestado</v>
      </c>
      <c r="AC91" s="84">
        <f t="shared" si="36"/>
        <v>0.83749999999999991</v>
      </c>
      <c r="AD91" s="84" t="str">
        <f t="shared" si="46"/>
        <v>Proyecto atrasado con respecto al cronograma</v>
      </c>
      <c r="AE91" s="85">
        <f t="shared" si="37"/>
        <v>0</v>
      </c>
      <c r="AF91" s="85">
        <f t="shared" si="38"/>
        <v>-830180856</v>
      </c>
      <c r="AG91" s="40" t="str">
        <f>VLOOKUP(Indicador!E91,Diccionario!C$1:AC$150,27,0)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91" s="40">
        <v>1</v>
      </c>
      <c r="AI91" s="40">
        <v>1</v>
      </c>
    </row>
    <row r="92" spans="1:35" ht="18.75" customHeight="1">
      <c r="A92" s="73">
        <v>2024</v>
      </c>
      <c r="B92" s="112" t="s">
        <v>28</v>
      </c>
      <c r="C92" s="36" t="s">
        <v>212</v>
      </c>
      <c r="D92" s="37">
        <v>45422.849828703707</v>
      </c>
      <c r="E92" s="36" t="s">
        <v>71</v>
      </c>
      <c r="F92" s="36" t="s">
        <v>168</v>
      </c>
      <c r="G92" s="36" t="s">
        <v>213</v>
      </c>
      <c r="H92" s="36" t="s">
        <v>214</v>
      </c>
      <c r="I92" s="36" t="s">
        <v>152</v>
      </c>
      <c r="J92" s="36" t="s">
        <v>215</v>
      </c>
      <c r="K92" s="36" t="s">
        <v>154</v>
      </c>
      <c r="L92" s="74">
        <f>VLOOKUP(E92,Diccionario!C$2:AC$150,22,0)</f>
        <v>830180856</v>
      </c>
      <c r="M92" s="75">
        <f>VLOOKUP(E92,Diccionario!C$2:AC$150,24,0)</f>
        <v>45414</v>
      </c>
      <c r="N92" s="76">
        <f>VLOOKUP(E92,Diccionario!C$2:AC$150,25,0)</f>
        <v>45596</v>
      </c>
      <c r="O92" s="77">
        <f>VLOOKUP(E92,Diccionario!C$2:AC$150,26,0)</f>
        <v>5.97</v>
      </c>
      <c r="P92" s="77">
        <f t="shared" ca="1" si="41"/>
        <v>20.03</v>
      </c>
      <c r="Q92" s="78">
        <f t="shared" ca="1" si="42"/>
        <v>26</v>
      </c>
      <c r="R92" s="36">
        <v>6</v>
      </c>
      <c r="S92" s="86">
        <v>0.9</v>
      </c>
      <c r="T92" s="86">
        <v>0.85</v>
      </c>
      <c r="U92" s="82">
        <v>0</v>
      </c>
      <c r="V92" s="82">
        <v>0</v>
      </c>
      <c r="W92" s="82">
        <f t="shared" si="34"/>
        <v>705653727.60000002</v>
      </c>
      <c r="X92" s="82">
        <f t="shared" si="43"/>
        <v>747162770.39999998</v>
      </c>
      <c r="Y92" s="82">
        <f t="shared" si="35"/>
        <v>705653727.60000002</v>
      </c>
      <c r="Z92" s="82">
        <f t="shared" si="44"/>
        <v>-41509042.799999952</v>
      </c>
      <c r="AA92" s="83" t="str">
        <f t="shared" si="39"/>
        <v>No se realizó gasto en este corte</v>
      </c>
      <c r="AB92" s="84" t="str">
        <f t="shared" si="45"/>
        <v>Costo eficiente: se está gastando menos de lo presupuestado</v>
      </c>
      <c r="AC92" s="84">
        <f t="shared" si="36"/>
        <v>0.94444444444444453</v>
      </c>
      <c r="AD92" s="84" t="str">
        <f t="shared" si="46"/>
        <v>Proyecto atrasado con respecto al cronograma</v>
      </c>
      <c r="AE92" s="85">
        <f t="shared" si="37"/>
        <v>0</v>
      </c>
      <c r="AF92" s="85">
        <f t="shared" si="38"/>
        <v>-830180856</v>
      </c>
      <c r="AG92" s="40" t="str">
        <f>VLOOKUP(Indicador!E92,Diccionario!C$1:AC$150,27,0)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92" s="40">
        <v>1</v>
      </c>
      <c r="AI92" s="40">
        <v>1</v>
      </c>
    </row>
    <row r="93" spans="1:35" ht="18.75" customHeight="1">
      <c r="A93" s="73">
        <v>2024</v>
      </c>
      <c r="B93" s="112" t="s">
        <v>30</v>
      </c>
      <c r="C93" s="36" t="s">
        <v>212</v>
      </c>
      <c r="D93" s="37">
        <v>45422.849828703707</v>
      </c>
      <c r="E93" s="36" t="s">
        <v>71</v>
      </c>
      <c r="F93" s="36" t="s">
        <v>168</v>
      </c>
      <c r="G93" s="36" t="s">
        <v>213</v>
      </c>
      <c r="H93" s="36" t="s">
        <v>214</v>
      </c>
      <c r="I93" s="36" t="s">
        <v>152</v>
      </c>
      <c r="J93" s="36" t="s">
        <v>215</v>
      </c>
      <c r="K93" s="36" t="s">
        <v>154</v>
      </c>
      <c r="L93" s="74">
        <f>VLOOKUP(E93,Diccionario!C$2:AC$150,22,0)</f>
        <v>830180856</v>
      </c>
      <c r="M93" s="75">
        <f>VLOOKUP(E93,Diccionario!C$2:AC$150,24,0)</f>
        <v>45414</v>
      </c>
      <c r="N93" s="76">
        <f>VLOOKUP(E93,Diccionario!C$2:AC$150,25,0)</f>
        <v>45596</v>
      </c>
      <c r="O93" s="77">
        <f>VLOOKUP(E93,Diccionario!C$2:AC$150,26,0)</f>
        <v>5.97</v>
      </c>
      <c r="P93" s="77">
        <f t="shared" ca="1" si="41"/>
        <v>20.03</v>
      </c>
      <c r="Q93" s="78">
        <f t="shared" ca="1" si="42"/>
        <v>26</v>
      </c>
      <c r="R93" s="36">
        <v>6</v>
      </c>
      <c r="S93" s="86">
        <v>1</v>
      </c>
      <c r="T93" s="86">
        <v>1</v>
      </c>
      <c r="U93" s="82">
        <v>519098491</v>
      </c>
      <c r="V93" s="82">
        <v>519098491</v>
      </c>
      <c r="W93" s="82">
        <f t="shared" si="34"/>
        <v>830180856</v>
      </c>
      <c r="X93" s="82">
        <f t="shared" si="43"/>
        <v>830180856</v>
      </c>
      <c r="Y93" s="82">
        <f t="shared" si="35"/>
        <v>311082365</v>
      </c>
      <c r="Z93" s="82">
        <f t="shared" si="44"/>
        <v>0</v>
      </c>
      <c r="AA93" s="83">
        <f t="shared" si="39"/>
        <v>1.5992742618086324</v>
      </c>
      <c r="AB93" s="84" t="str">
        <f t="shared" si="45"/>
        <v>Costo eficiente: se está gastando menos de lo presupuestado</v>
      </c>
      <c r="AC93" s="84">
        <f t="shared" si="36"/>
        <v>1</v>
      </c>
      <c r="AD93" s="84" t="str">
        <f t="shared" si="46"/>
        <v>Proyecto a tiempo según lo planificado</v>
      </c>
      <c r="AE93" s="85">
        <f t="shared" si="37"/>
        <v>519098491</v>
      </c>
      <c r="AF93" s="85">
        <f t="shared" si="38"/>
        <v>-311082365</v>
      </c>
      <c r="AG93" s="40" t="str">
        <f>VLOOKUP(Indicador!E93,Diccionario!C$1:AC$150,27,0)</f>
        <v>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v>
      </c>
      <c r="AH93" s="40">
        <v>1</v>
      </c>
      <c r="AI93" s="40">
        <v>1</v>
      </c>
    </row>
    <row r="94" spans="1:35" ht="18.75" customHeight="1">
      <c r="A94" s="73">
        <v>2024</v>
      </c>
      <c r="B94" s="112" t="s">
        <v>13</v>
      </c>
      <c r="C94" s="36" t="s">
        <v>216</v>
      </c>
      <c r="D94" s="37">
        <v>45443.82223568287</v>
      </c>
      <c r="E94" s="36" t="s">
        <v>1</v>
      </c>
      <c r="F94" s="36" t="s">
        <v>156</v>
      </c>
      <c r="G94" s="36" t="s">
        <v>217</v>
      </c>
      <c r="H94" s="36" t="s">
        <v>218</v>
      </c>
      <c r="I94" s="36" t="s">
        <v>152</v>
      </c>
      <c r="J94" s="36" t="s">
        <v>219</v>
      </c>
      <c r="K94" s="36" t="s">
        <v>177</v>
      </c>
      <c r="L94" s="74">
        <f>VLOOKUP(E94,Diccionario!C$2:AC$150,22,0)</f>
        <v>4504425757</v>
      </c>
      <c r="M94" s="75">
        <f>VLOOKUP(E94,Diccionario!C$2:AC$150,24,0)</f>
        <v>45439</v>
      </c>
      <c r="N94" s="76">
        <f>VLOOKUP(E94,Diccionario!C$2:AC$150,25,0)</f>
        <v>46533</v>
      </c>
      <c r="O94" s="77">
        <f>VLOOKUP(E94,Diccionario!C$2:AC$150,26,0)</f>
        <v>35.97</v>
      </c>
      <c r="P94" s="77">
        <f t="shared" si="41"/>
        <v>-34.97</v>
      </c>
      <c r="Q94" s="78">
        <v>1</v>
      </c>
      <c r="R94" s="36">
        <v>36</v>
      </c>
      <c r="S94" s="86">
        <v>0.02</v>
      </c>
      <c r="T94" s="86">
        <v>0.05</v>
      </c>
      <c r="U94" s="82">
        <v>14689</v>
      </c>
      <c r="V94" s="82">
        <v>14689</v>
      </c>
      <c r="W94" s="82">
        <f t="shared" si="34"/>
        <v>225221287.85000002</v>
      </c>
      <c r="X94" s="82">
        <f t="shared" si="43"/>
        <v>90088515.140000001</v>
      </c>
      <c r="Y94" s="82">
        <f t="shared" si="35"/>
        <v>225206598.85000002</v>
      </c>
      <c r="Z94" s="82">
        <f t="shared" si="44"/>
        <v>135132772.71000004</v>
      </c>
      <c r="AA94" s="83">
        <f t="shared" si="39"/>
        <v>15332.649455374773</v>
      </c>
      <c r="AB94" s="84" t="str">
        <f t="shared" si="45"/>
        <v>Costo eficiente: se está gastando menos de lo presupuestado</v>
      </c>
      <c r="AC94" s="84">
        <f t="shared" si="36"/>
        <v>2.5000000000000004</v>
      </c>
      <c r="AD94" s="84" t="str">
        <f t="shared" si="46"/>
        <v>Proyecto adelantado respecto al cronograma</v>
      </c>
      <c r="AE94" s="85">
        <f t="shared" si="37"/>
        <v>293779.99999999994</v>
      </c>
      <c r="AF94" s="85">
        <f t="shared" si="38"/>
        <v>-4504131977</v>
      </c>
      <c r="AG94" s="40" t="str">
        <f>VLOOKUP(Indicador!E94,Diccionario!C$1:AC$150,27,0)</f>
        <v>https://growdatasas.sharepoint.com/:x:/r/sites/Gestiondocumental/Administrativa/GD/Financiera/_layouts/15/Doc.aspx?sourcedoc=%7B0974E3E6-B78B-4C29-8F8A-9CF11A235CF4%7D&amp;file=20240530%20UT%20ENTERRITORIO%202027%20(SERVICIO).xlsm&amp;action=default&amp;mobileredirect=true</v>
      </c>
      <c r="AH94" s="40">
        <v>1</v>
      </c>
      <c r="AI94" s="40">
        <v>1</v>
      </c>
    </row>
    <row r="95" spans="1:35" ht="18.75" customHeight="1">
      <c r="A95" s="73">
        <v>2024</v>
      </c>
      <c r="B95" s="112" t="s">
        <v>21</v>
      </c>
      <c r="C95" s="36" t="s">
        <v>216</v>
      </c>
      <c r="D95" s="37">
        <v>45443.82223568287</v>
      </c>
      <c r="E95" s="36" t="s">
        <v>1</v>
      </c>
      <c r="F95" s="36" t="s">
        <v>156</v>
      </c>
      <c r="G95" s="36" t="s">
        <v>217</v>
      </c>
      <c r="H95" s="36" t="s">
        <v>218</v>
      </c>
      <c r="I95" s="36" t="s">
        <v>152</v>
      </c>
      <c r="J95" s="36" t="s">
        <v>219</v>
      </c>
      <c r="K95" s="36" t="s">
        <v>177</v>
      </c>
      <c r="L95" s="74">
        <f>VLOOKUP(E95,Diccionario!C$2:AC$150,22,0)</f>
        <v>4504425757</v>
      </c>
      <c r="M95" s="75">
        <f>VLOOKUP(E95,Diccionario!C$2:AC$150,24,0)</f>
        <v>45439</v>
      </c>
      <c r="N95" s="76">
        <f>VLOOKUP(E95,Diccionario!C$2:AC$150,25,0)</f>
        <v>46533</v>
      </c>
      <c r="O95" s="77">
        <f>VLOOKUP(E95,Diccionario!C$2:AC$150,26,0)</f>
        <v>35.97</v>
      </c>
      <c r="P95" s="77">
        <f t="shared" si="41"/>
        <v>-33.97</v>
      </c>
      <c r="Q95" s="78">
        <f>Q94+1</f>
        <v>2</v>
      </c>
      <c r="R95" s="36">
        <v>36</v>
      </c>
      <c r="S95" s="86">
        <f>S94+0.03</f>
        <v>0.05</v>
      </c>
      <c r="T95" s="86">
        <v>7.0000000000000007E-2</v>
      </c>
      <c r="U95" s="82">
        <v>276012204</v>
      </c>
      <c r="V95" s="82">
        <v>276012204</v>
      </c>
      <c r="W95" s="82">
        <f t="shared" si="34"/>
        <v>315309802.99000001</v>
      </c>
      <c r="X95" s="82">
        <f t="shared" si="43"/>
        <v>225221287.85000002</v>
      </c>
      <c r="Y95" s="82">
        <f t="shared" si="35"/>
        <v>39297598.99000001</v>
      </c>
      <c r="Z95" s="82">
        <f t="shared" si="44"/>
        <v>90088515.139999986</v>
      </c>
      <c r="AA95" s="83">
        <f t="shared" si="39"/>
        <v>1.142376309527241</v>
      </c>
      <c r="AB95" s="84" t="str">
        <f t="shared" si="45"/>
        <v>Costo eficiente: se está gastando menos de lo presupuestado</v>
      </c>
      <c r="AC95" s="84">
        <f t="shared" si="36"/>
        <v>1.4</v>
      </c>
      <c r="AD95" s="84" t="str">
        <f t="shared" si="46"/>
        <v>Proyecto adelantado respecto al cronograma</v>
      </c>
      <c r="AE95" s="85">
        <f t="shared" si="37"/>
        <v>3943031485.7142859</v>
      </c>
      <c r="AF95" s="85">
        <f t="shared" si="38"/>
        <v>-561394271.28571415</v>
      </c>
      <c r="AG95" s="40" t="str">
        <f>VLOOKUP(Indicador!E95,Diccionario!C$1:AC$150,27,0)</f>
        <v>https://growdatasas.sharepoint.com/:x:/r/sites/Gestiondocumental/Administrativa/GD/Financiera/_layouts/15/Doc.aspx?sourcedoc=%7B0974E3E6-B78B-4C29-8F8A-9CF11A235CF4%7D&amp;file=20240530%20UT%20ENTERRITORIO%202027%20(SERVICIO).xlsm&amp;action=default&amp;mobileredirect=true</v>
      </c>
      <c r="AH95" s="40">
        <v>1</v>
      </c>
      <c r="AI95" s="40">
        <v>1</v>
      </c>
    </row>
    <row r="96" spans="1:35" ht="18.75" customHeight="1">
      <c r="A96" s="73">
        <v>2024</v>
      </c>
      <c r="B96" s="112" t="s">
        <v>23</v>
      </c>
      <c r="C96" s="36" t="s">
        <v>216</v>
      </c>
      <c r="D96" s="37">
        <v>45443.82223568287</v>
      </c>
      <c r="E96" s="36" t="s">
        <v>1</v>
      </c>
      <c r="F96" s="36" t="s">
        <v>156</v>
      </c>
      <c r="G96" s="36" t="s">
        <v>217</v>
      </c>
      <c r="H96" s="36" t="s">
        <v>218</v>
      </c>
      <c r="I96" s="36" t="s">
        <v>152</v>
      </c>
      <c r="J96" s="36" t="s">
        <v>219</v>
      </c>
      <c r="K96" s="36" t="s">
        <v>177</v>
      </c>
      <c r="L96" s="74">
        <f>VLOOKUP(E96,Diccionario!C$2:AC$150,22,0)</f>
        <v>4504425757</v>
      </c>
      <c r="M96" s="75">
        <f>VLOOKUP(E96,Diccionario!C$2:AC$150,24,0)</f>
        <v>45439</v>
      </c>
      <c r="N96" s="76">
        <f>VLOOKUP(E96,Diccionario!C$2:AC$150,25,0)</f>
        <v>46533</v>
      </c>
      <c r="O96" s="77">
        <f>VLOOKUP(E96,Diccionario!C$2:AC$150,26,0)</f>
        <v>35.97</v>
      </c>
      <c r="P96" s="77">
        <f t="shared" si="41"/>
        <v>-32.97</v>
      </c>
      <c r="Q96" s="78">
        <f t="shared" ref="Q96:Q130" si="47">Q95+1</f>
        <v>3</v>
      </c>
      <c r="R96" s="36">
        <v>36</v>
      </c>
      <c r="S96" s="86">
        <f t="shared" ref="S96:S122" si="48">S95+0.03</f>
        <v>0.08</v>
      </c>
      <c r="T96" s="86">
        <v>0.08</v>
      </c>
      <c r="U96" s="82">
        <v>120457490</v>
      </c>
      <c r="V96" s="82">
        <v>120457490</v>
      </c>
      <c r="W96" s="82">
        <f t="shared" si="34"/>
        <v>360354060.56</v>
      </c>
      <c r="X96" s="82">
        <f t="shared" si="43"/>
        <v>360354060.56</v>
      </c>
      <c r="Y96" s="82">
        <f t="shared" si="35"/>
        <v>239896570.56</v>
      </c>
      <c r="Z96" s="82">
        <f t="shared" si="44"/>
        <v>0</v>
      </c>
      <c r="AA96" s="83">
        <f t="shared" si="39"/>
        <v>2.991545486793723</v>
      </c>
      <c r="AB96" s="84" t="str">
        <f t="shared" si="45"/>
        <v>Costo eficiente: se está gastando menos de lo presupuestado</v>
      </c>
      <c r="AC96" s="84">
        <f t="shared" si="36"/>
        <v>1</v>
      </c>
      <c r="AD96" s="84" t="str">
        <f t="shared" si="46"/>
        <v>Proyecto a tiempo según lo planificado</v>
      </c>
      <c r="AE96" s="85">
        <f t="shared" si="37"/>
        <v>1505718625</v>
      </c>
      <c r="AF96" s="85">
        <f t="shared" si="38"/>
        <v>-2998707132</v>
      </c>
      <c r="AG96" s="40" t="str">
        <f>VLOOKUP(Indicador!E96,Diccionario!C$1:AC$150,27,0)</f>
        <v>https://growdatasas.sharepoint.com/:x:/r/sites/Gestiondocumental/Administrativa/GD/Financiera/_layouts/15/Doc.aspx?sourcedoc=%7B0974E3E6-B78B-4C29-8F8A-9CF11A235CF4%7D&amp;file=20240530%20UT%20ENTERRITORIO%202027%20(SERVICIO).xlsm&amp;action=default&amp;mobileredirect=true</v>
      </c>
      <c r="AH96" s="40">
        <v>1</v>
      </c>
      <c r="AI96" s="40">
        <v>1</v>
      </c>
    </row>
    <row r="97" spans="1:35" ht="18.75" customHeight="1">
      <c r="A97" s="73">
        <v>2024</v>
      </c>
      <c r="B97" s="112" t="s">
        <v>26</v>
      </c>
      <c r="C97" s="36" t="s">
        <v>216</v>
      </c>
      <c r="D97" s="37">
        <v>45443.82223568287</v>
      </c>
      <c r="E97" s="36" t="s">
        <v>1</v>
      </c>
      <c r="F97" s="36" t="s">
        <v>156</v>
      </c>
      <c r="G97" s="36" t="s">
        <v>217</v>
      </c>
      <c r="H97" s="36" t="s">
        <v>218</v>
      </c>
      <c r="I97" s="36" t="s">
        <v>152</v>
      </c>
      <c r="J97" s="36" t="s">
        <v>219</v>
      </c>
      <c r="K97" s="36" t="s">
        <v>177</v>
      </c>
      <c r="L97" s="74">
        <f>VLOOKUP(E97,Diccionario!C$2:AC$150,22,0)</f>
        <v>4504425757</v>
      </c>
      <c r="M97" s="75">
        <f>VLOOKUP(E97,Diccionario!C$2:AC$150,24,0)</f>
        <v>45439</v>
      </c>
      <c r="N97" s="76">
        <f>VLOOKUP(E97,Diccionario!C$2:AC$150,25,0)</f>
        <v>46533</v>
      </c>
      <c r="O97" s="77">
        <f>VLOOKUP(E97,Diccionario!C$2:AC$150,26,0)</f>
        <v>35.97</v>
      </c>
      <c r="P97" s="77">
        <f t="shared" si="41"/>
        <v>-31.97</v>
      </c>
      <c r="Q97" s="78">
        <f t="shared" si="47"/>
        <v>4</v>
      </c>
      <c r="R97" s="36">
        <v>36</v>
      </c>
      <c r="S97" s="86">
        <f t="shared" si="48"/>
        <v>0.11</v>
      </c>
      <c r="T97" s="86">
        <v>0.11</v>
      </c>
      <c r="U97" s="82">
        <v>110451020</v>
      </c>
      <c r="V97" s="82">
        <v>110451020</v>
      </c>
      <c r="W97" s="82">
        <f t="shared" si="34"/>
        <v>495486833.26999998</v>
      </c>
      <c r="X97" s="82">
        <f t="shared" si="43"/>
        <v>495486833.26999998</v>
      </c>
      <c r="Y97" s="82">
        <f t="shared" si="35"/>
        <v>385035813.26999998</v>
      </c>
      <c r="Z97" s="82">
        <f t="shared" si="44"/>
        <v>0</v>
      </c>
      <c r="AA97" s="83">
        <f t="shared" si="39"/>
        <v>4.4860322092996512</v>
      </c>
      <c r="AB97" s="84" t="str">
        <f t="shared" si="45"/>
        <v>Costo eficiente: se está gastando menos de lo presupuestado</v>
      </c>
      <c r="AC97" s="84">
        <f t="shared" si="36"/>
        <v>1</v>
      </c>
      <c r="AD97" s="84" t="str">
        <f t="shared" si="46"/>
        <v>Proyecto a tiempo según lo planificado</v>
      </c>
      <c r="AE97" s="85">
        <f t="shared" si="37"/>
        <v>1004100181.8181819</v>
      </c>
      <c r="AF97" s="85">
        <f t="shared" si="38"/>
        <v>-3500325575.181818</v>
      </c>
      <c r="AG97" s="40" t="str">
        <f>VLOOKUP(Indicador!E97,Diccionario!C$1:AC$150,27,0)</f>
        <v>https://growdatasas.sharepoint.com/:x:/r/sites/Gestiondocumental/Administrativa/GD/Financiera/_layouts/15/Doc.aspx?sourcedoc=%7B0974E3E6-B78B-4C29-8F8A-9CF11A235CF4%7D&amp;file=20240530%20UT%20ENTERRITORIO%202027%20(SERVICIO).xlsm&amp;action=default&amp;mobileredirect=true</v>
      </c>
      <c r="AH97" s="40">
        <v>1</v>
      </c>
      <c r="AI97" s="40">
        <v>1</v>
      </c>
    </row>
    <row r="98" spans="1:35" ht="18.75" customHeight="1">
      <c r="A98" s="73">
        <v>2024</v>
      </c>
      <c r="B98" s="112" t="s">
        <v>28</v>
      </c>
      <c r="C98" s="36" t="s">
        <v>216</v>
      </c>
      <c r="D98" s="37">
        <v>45443.82223568287</v>
      </c>
      <c r="E98" s="36" t="s">
        <v>1</v>
      </c>
      <c r="F98" s="36" t="s">
        <v>156</v>
      </c>
      <c r="G98" s="36" t="s">
        <v>217</v>
      </c>
      <c r="H98" s="36" t="s">
        <v>218</v>
      </c>
      <c r="I98" s="36" t="s">
        <v>152</v>
      </c>
      <c r="J98" s="36" t="s">
        <v>219</v>
      </c>
      <c r="K98" s="36" t="s">
        <v>177</v>
      </c>
      <c r="L98" s="74">
        <f>VLOOKUP(E98,Diccionario!C$2:AC$150,22,0)</f>
        <v>4504425757</v>
      </c>
      <c r="M98" s="75">
        <f>VLOOKUP(E98,Diccionario!C$2:AC$150,24,0)</f>
        <v>45439</v>
      </c>
      <c r="N98" s="76">
        <f>VLOOKUP(E98,Diccionario!C$2:AC$150,25,0)</f>
        <v>46533</v>
      </c>
      <c r="O98" s="77">
        <f>VLOOKUP(E98,Diccionario!C$2:AC$150,26,0)</f>
        <v>35.97</v>
      </c>
      <c r="P98" s="77">
        <f t="shared" si="41"/>
        <v>-30.97</v>
      </c>
      <c r="Q98" s="78">
        <f t="shared" si="47"/>
        <v>5</v>
      </c>
      <c r="R98" s="36">
        <v>36</v>
      </c>
      <c r="S98" s="86">
        <f t="shared" si="48"/>
        <v>0.14000000000000001</v>
      </c>
      <c r="T98" s="86">
        <v>0.13</v>
      </c>
      <c r="U98" s="82">
        <v>121118864</v>
      </c>
      <c r="V98" s="82">
        <v>121118864</v>
      </c>
      <c r="W98" s="82">
        <f t="shared" si="34"/>
        <v>585575348.40999997</v>
      </c>
      <c r="X98" s="82">
        <f t="shared" si="43"/>
        <v>630619605.98000002</v>
      </c>
      <c r="Y98" s="82">
        <f t="shared" si="35"/>
        <v>464456484.40999997</v>
      </c>
      <c r="Z98" s="82">
        <f t="shared" si="44"/>
        <v>-45044257.570000052</v>
      </c>
      <c r="AA98" s="83">
        <f t="shared" si="39"/>
        <v>4.8347163197468559</v>
      </c>
      <c r="AB98" s="84" t="str">
        <f t="shared" si="45"/>
        <v>Costo eficiente: se está gastando menos de lo presupuestado</v>
      </c>
      <c r="AC98" s="84">
        <f t="shared" si="36"/>
        <v>0.92857142857142849</v>
      </c>
      <c r="AD98" s="84" t="str">
        <f t="shared" si="46"/>
        <v>Proyecto atrasado con respecto al cronograma</v>
      </c>
      <c r="AE98" s="85">
        <f t="shared" si="37"/>
        <v>931683569.23076928</v>
      </c>
      <c r="AF98" s="85">
        <f t="shared" si="38"/>
        <v>-3572742187.7692308</v>
      </c>
      <c r="AG98" s="40" t="str">
        <f>VLOOKUP(Indicador!E98,Diccionario!C$1:AC$150,27,0)</f>
        <v>https://growdatasas.sharepoint.com/:x:/r/sites/Gestiondocumental/Administrativa/GD/Financiera/_layouts/15/Doc.aspx?sourcedoc=%7B0974E3E6-B78B-4C29-8F8A-9CF11A235CF4%7D&amp;file=20240530%20UT%20ENTERRITORIO%202027%20(SERVICIO).xlsm&amp;action=default&amp;mobileredirect=true</v>
      </c>
      <c r="AH98" s="40">
        <v>1</v>
      </c>
      <c r="AI98" s="40">
        <v>1</v>
      </c>
    </row>
    <row r="99" spans="1:35" ht="18.75" customHeight="1">
      <c r="A99" s="73">
        <v>2024</v>
      </c>
      <c r="B99" s="112" t="s">
        <v>30</v>
      </c>
      <c r="C99" s="36" t="s">
        <v>216</v>
      </c>
      <c r="D99" s="37">
        <v>45443.82223568287</v>
      </c>
      <c r="E99" s="36" t="s">
        <v>1</v>
      </c>
      <c r="F99" s="36" t="s">
        <v>156</v>
      </c>
      <c r="G99" s="36" t="s">
        <v>217</v>
      </c>
      <c r="H99" s="36" t="s">
        <v>218</v>
      </c>
      <c r="I99" s="36" t="s">
        <v>152</v>
      </c>
      <c r="J99" s="36" t="s">
        <v>219</v>
      </c>
      <c r="K99" s="36" t="s">
        <v>177</v>
      </c>
      <c r="L99" s="74">
        <f>VLOOKUP(E99,Diccionario!C$2:AC$150,22,0)</f>
        <v>4504425757</v>
      </c>
      <c r="M99" s="75">
        <f>VLOOKUP(E99,Diccionario!C$2:AC$150,24,0)</f>
        <v>45439</v>
      </c>
      <c r="N99" s="76">
        <f>VLOOKUP(E99,Diccionario!C$2:AC$150,25,0)</f>
        <v>46533</v>
      </c>
      <c r="O99" s="77">
        <f>VLOOKUP(E99,Diccionario!C$2:AC$150,26,0)</f>
        <v>35.97</v>
      </c>
      <c r="P99" s="77">
        <f t="shared" si="41"/>
        <v>-29.97</v>
      </c>
      <c r="Q99" s="78">
        <f t="shared" si="47"/>
        <v>6</v>
      </c>
      <c r="R99" s="36">
        <v>36</v>
      </c>
      <c r="S99" s="86">
        <f t="shared" si="48"/>
        <v>0.17</v>
      </c>
      <c r="T99" s="86">
        <v>0.18</v>
      </c>
      <c r="U99" s="82">
        <v>121118864</v>
      </c>
      <c r="V99" s="82">
        <v>121118864</v>
      </c>
      <c r="W99" s="82">
        <f t="shared" si="34"/>
        <v>810796636.25999999</v>
      </c>
      <c r="X99" s="82">
        <f t="shared" si="43"/>
        <v>765752378.69000006</v>
      </c>
      <c r="Y99" s="82">
        <f t="shared" si="35"/>
        <v>689677772.25999999</v>
      </c>
      <c r="Z99" s="82">
        <f t="shared" si="44"/>
        <v>45044257.569999933</v>
      </c>
      <c r="AA99" s="83">
        <f t="shared" si="39"/>
        <v>6.6942225965725699</v>
      </c>
      <c r="AB99" s="84" t="str">
        <f t="shared" si="45"/>
        <v>Costo eficiente: se está gastando menos de lo presupuestado</v>
      </c>
      <c r="AC99" s="84">
        <f t="shared" si="36"/>
        <v>1.0588235294117647</v>
      </c>
      <c r="AD99" s="84" t="str">
        <f t="shared" si="46"/>
        <v>Proyecto adelantado respecto al cronograma</v>
      </c>
      <c r="AE99" s="85">
        <f t="shared" si="37"/>
        <v>672882577.77777779</v>
      </c>
      <c r="AF99" s="85">
        <f t="shared" si="38"/>
        <v>-3831543179.2222223</v>
      </c>
      <c r="AG99" s="40" t="str">
        <f>VLOOKUP(Indicador!E99,Diccionario!C$1:AC$150,27,0)</f>
        <v>https://growdatasas.sharepoint.com/:x:/r/sites/Gestiondocumental/Administrativa/GD/Financiera/_layouts/15/Doc.aspx?sourcedoc=%7B0974E3E6-B78B-4C29-8F8A-9CF11A235CF4%7D&amp;file=20240530%20UT%20ENTERRITORIO%202027%20(SERVICIO).xlsm&amp;action=default&amp;mobileredirect=true</v>
      </c>
      <c r="AH99" s="40">
        <v>1</v>
      </c>
      <c r="AI99" s="40">
        <v>1</v>
      </c>
    </row>
    <row r="100" spans="1:35" ht="18.75" customHeight="1">
      <c r="A100" s="73">
        <v>2024</v>
      </c>
      <c r="B100" s="112" t="s">
        <v>31</v>
      </c>
      <c r="C100" s="36" t="s">
        <v>216</v>
      </c>
      <c r="D100" s="37">
        <v>45443.82223568287</v>
      </c>
      <c r="E100" s="36" t="s">
        <v>1</v>
      </c>
      <c r="F100" s="36" t="s">
        <v>156</v>
      </c>
      <c r="G100" s="36" t="s">
        <v>217</v>
      </c>
      <c r="H100" s="36" t="s">
        <v>218</v>
      </c>
      <c r="I100" s="36" t="s">
        <v>152</v>
      </c>
      <c r="J100" s="36" t="s">
        <v>219</v>
      </c>
      <c r="K100" s="36" t="s">
        <v>177</v>
      </c>
      <c r="L100" s="74">
        <f>VLOOKUP(E100,Diccionario!C$2:AC$150,22,0)</f>
        <v>4504425757</v>
      </c>
      <c r="M100" s="75">
        <f>VLOOKUP(E100,Diccionario!C$2:AC$150,24,0)</f>
        <v>45439</v>
      </c>
      <c r="N100" s="76">
        <f>VLOOKUP(E100,Diccionario!C$2:AC$150,25,0)</f>
        <v>46533</v>
      </c>
      <c r="O100" s="77">
        <f>VLOOKUP(E100,Diccionario!C$2:AC$150,26,0)</f>
        <v>35.97</v>
      </c>
      <c r="P100" s="77">
        <f t="shared" si="41"/>
        <v>-28.97</v>
      </c>
      <c r="Q100" s="78">
        <f t="shared" si="47"/>
        <v>7</v>
      </c>
      <c r="R100" s="36">
        <v>36</v>
      </c>
      <c r="S100" s="86">
        <f t="shared" si="48"/>
        <v>0.2</v>
      </c>
      <c r="T100" s="86">
        <v>0.21</v>
      </c>
      <c r="U100" s="82">
        <v>121118864</v>
      </c>
      <c r="V100" s="82">
        <v>121118864</v>
      </c>
      <c r="W100" s="82">
        <f t="shared" si="34"/>
        <v>945929408.96999991</v>
      </c>
      <c r="X100" s="82">
        <f t="shared" si="43"/>
        <v>900885151.4000001</v>
      </c>
      <c r="Y100" s="82">
        <f t="shared" si="35"/>
        <v>824810544.96999991</v>
      </c>
      <c r="Z100" s="82">
        <f t="shared" si="44"/>
        <v>45044257.569999814</v>
      </c>
      <c r="AA100" s="83">
        <f t="shared" si="39"/>
        <v>7.8099263626679978</v>
      </c>
      <c r="AB100" s="84" t="str">
        <f t="shared" si="45"/>
        <v>Costo eficiente: se está gastando menos de lo presupuestado</v>
      </c>
      <c r="AC100" s="84">
        <f t="shared" si="36"/>
        <v>1.0499999999999998</v>
      </c>
      <c r="AD100" s="84" t="str">
        <f t="shared" si="46"/>
        <v>Proyecto adelantado respecto al cronograma</v>
      </c>
      <c r="AE100" s="85">
        <f t="shared" si="37"/>
        <v>576756495.23809528</v>
      </c>
      <c r="AF100" s="85">
        <f t="shared" si="38"/>
        <v>-3927669261.7619047</v>
      </c>
      <c r="AG100" s="40" t="str">
        <f>VLOOKUP(Indicador!E100,Diccionario!C$1:AC$150,27,0)</f>
        <v>https://growdatasas.sharepoint.com/:x:/r/sites/Gestiondocumental/Administrativa/GD/Financiera/_layouts/15/Doc.aspx?sourcedoc=%7B0974E3E6-B78B-4C29-8F8A-9CF11A235CF4%7D&amp;file=20240530%20UT%20ENTERRITORIO%202027%20(SERVICIO).xlsm&amp;action=default&amp;mobileredirect=true</v>
      </c>
      <c r="AH100" s="40">
        <v>1</v>
      </c>
      <c r="AI100" s="40">
        <v>1</v>
      </c>
    </row>
    <row r="101" spans="1:35" ht="18.75" customHeight="1">
      <c r="A101" s="73">
        <v>2024</v>
      </c>
      <c r="B101" s="112" t="s">
        <v>32</v>
      </c>
      <c r="C101" s="36" t="s">
        <v>216</v>
      </c>
      <c r="D101" s="37">
        <v>45443.82223568287</v>
      </c>
      <c r="E101" s="36" t="s">
        <v>1</v>
      </c>
      <c r="F101" s="36" t="s">
        <v>156</v>
      </c>
      <c r="G101" s="36" t="s">
        <v>217</v>
      </c>
      <c r="H101" s="36" t="s">
        <v>218</v>
      </c>
      <c r="I101" s="36" t="s">
        <v>152</v>
      </c>
      <c r="J101" s="36" t="s">
        <v>219</v>
      </c>
      <c r="K101" s="36" t="s">
        <v>177</v>
      </c>
      <c r="L101" s="74">
        <f>VLOOKUP(E101,Diccionario!C$2:AC$150,22,0)</f>
        <v>4504425757</v>
      </c>
      <c r="M101" s="75">
        <f>VLOOKUP(E101,Diccionario!C$2:AC$150,24,0)</f>
        <v>45439</v>
      </c>
      <c r="N101" s="76">
        <f>VLOOKUP(E101,Diccionario!C$2:AC$150,25,0)</f>
        <v>46533</v>
      </c>
      <c r="O101" s="77">
        <f>VLOOKUP(E101,Diccionario!C$2:AC$150,26,0)</f>
        <v>35.97</v>
      </c>
      <c r="P101" s="77">
        <f t="shared" si="41"/>
        <v>-27.97</v>
      </c>
      <c r="Q101" s="78">
        <f t="shared" si="47"/>
        <v>8</v>
      </c>
      <c r="R101" s="36">
        <v>36</v>
      </c>
      <c r="S101" s="86">
        <f t="shared" si="48"/>
        <v>0.23</v>
      </c>
      <c r="T101" s="86">
        <v>0.23</v>
      </c>
      <c r="U101" s="82">
        <v>121118864</v>
      </c>
      <c r="V101" s="82">
        <v>121118864</v>
      </c>
      <c r="W101" s="82">
        <f t="shared" si="34"/>
        <v>1036017924.11</v>
      </c>
      <c r="X101" s="82">
        <f t="shared" si="43"/>
        <v>1036017924.11</v>
      </c>
      <c r="Y101" s="82">
        <f t="shared" si="35"/>
        <v>914899060.11000001</v>
      </c>
      <c r="Z101" s="82">
        <f t="shared" si="44"/>
        <v>0</v>
      </c>
      <c r="AA101" s="83">
        <f t="shared" si="39"/>
        <v>8.5537288733982848</v>
      </c>
      <c r="AB101" s="84" t="str">
        <f t="shared" si="45"/>
        <v>Costo eficiente: se está gastando menos de lo presupuestado</v>
      </c>
      <c r="AC101" s="84">
        <f t="shared" si="36"/>
        <v>1</v>
      </c>
      <c r="AD101" s="84" t="str">
        <f t="shared" si="46"/>
        <v>Proyecto a tiempo según lo planificado</v>
      </c>
      <c r="AE101" s="85">
        <f t="shared" si="37"/>
        <v>526603756.52173907</v>
      </c>
      <c r="AF101" s="85">
        <f t="shared" si="38"/>
        <v>-3977822000.478261</v>
      </c>
      <c r="AG101" s="40" t="str">
        <f>VLOOKUP(Indicador!E101,Diccionario!C$1:AC$150,27,0)</f>
        <v>https://growdatasas.sharepoint.com/:x:/r/sites/Gestiondocumental/Administrativa/GD/Financiera/_layouts/15/Doc.aspx?sourcedoc=%7B0974E3E6-B78B-4C29-8F8A-9CF11A235CF4%7D&amp;file=20240530%20UT%20ENTERRITORIO%202027%20(SERVICIO).xlsm&amp;action=default&amp;mobileredirect=true</v>
      </c>
      <c r="AH101" s="40">
        <v>1</v>
      </c>
      <c r="AI101" s="40">
        <v>1</v>
      </c>
    </row>
    <row r="102" spans="1:35" ht="18.75" customHeight="1">
      <c r="A102" s="73">
        <v>2025</v>
      </c>
      <c r="B102" s="112" t="s">
        <v>14</v>
      </c>
      <c r="C102" s="36" t="s">
        <v>216</v>
      </c>
      <c r="D102" s="37">
        <v>45443.82223568287</v>
      </c>
      <c r="E102" s="36" t="s">
        <v>1</v>
      </c>
      <c r="F102" s="36" t="s">
        <v>156</v>
      </c>
      <c r="G102" s="36" t="s">
        <v>217</v>
      </c>
      <c r="H102" s="36" t="s">
        <v>218</v>
      </c>
      <c r="I102" s="36" t="s">
        <v>152</v>
      </c>
      <c r="J102" s="36" t="s">
        <v>219</v>
      </c>
      <c r="K102" s="36" t="s">
        <v>177</v>
      </c>
      <c r="L102" s="74">
        <f>VLOOKUP(E102,Diccionario!C$2:AC$150,22,0)</f>
        <v>4504425757</v>
      </c>
      <c r="M102" s="75">
        <f>VLOOKUP(E102,Diccionario!C$2:AC$150,24,0)</f>
        <v>45439</v>
      </c>
      <c r="N102" s="76">
        <f>VLOOKUP(E102,Diccionario!C$2:AC$150,25,0)</f>
        <v>46533</v>
      </c>
      <c r="O102" s="77">
        <f>VLOOKUP(E102,Diccionario!C$2:AC$150,26,0)</f>
        <v>35.97</v>
      </c>
      <c r="P102" s="77">
        <f t="shared" si="41"/>
        <v>-26.97</v>
      </c>
      <c r="Q102" s="78">
        <f t="shared" si="47"/>
        <v>9</v>
      </c>
      <c r="R102" s="36">
        <v>36</v>
      </c>
      <c r="S102" s="86">
        <f t="shared" si="48"/>
        <v>0.26</v>
      </c>
      <c r="T102" s="86">
        <v>0.26</v>
      </c>
      <c r="U102" s="82">
        <v>121209264</v>
      </c>
      <c r="V102" s="82">
        <v>121209264</v>
      </c>
      <c r="W102" s="82">
        <f t="shared" si="34"/>
        <v>1171150696.8199999</v>
      </c>
      <c r="X102" s="82">
        <f t="shared" si="43"/>
        <v>1171150696.8199999</v>
      </c>
      <c r="Y102" s="82">
        <f t="shared" si="35"/>
        <v>1049941432.8199999</v>
      </c>
      <c r="Z102" s="82">
        <f t="shared" si="44"/>
        <v>0</v>
      </c>
      <c r="AA102" s="83">
        <f t="shared" si="39"/>
        <v>9.6622210066385676</v>
      </c>
      <c r="AB102" s="84" t="str">
        <f t="shared" si="45"/>
        <v>Costo eficiente: se está gastando menos de lo presupuestado</v>
      </c>
      <c r="AC102" s="84">
        <f t="shared" si="36"/>
        <v>1</v>
      </c>
      <c r="AD102" s="84" t="str">
        <f t="shared" si="46"/>
        <v>Proyecto a tiempo según lo planificado</v>
      </c>
      <c r="AE102" s="85">
        <f t="shared" si="37"/>
        <v>466189476.92307699</v>
      </c>
      <c r="AF102" s="85">
        <f t="shared" si="38"/>
        <v>-4038236280.0769229</v>
      </c>
      <c r="AG102" s="40" t="str">
        <f>VLOOKUP(Indicador!E102,Diccionario!C$1:AC$150,27,0)</f>
        <v>https://growdatasas.sharepoint.com/:x:/r/sites/Gestiondocumental/Administrativa/GD/Financiera/_layouts/15/Doc.aspx?sourcedoc=%7B0974E3E6-B78B-4C29-8F8A-9CF11A235CF4%7D&amp;file=20240530%20UT%20ENTERRITORIO%202027%20(SERVICIO).xlsm&amp;action=default&amp;mobileredirect=true</v>
      </c>
      <c r="AH102" s="40">
        <v>1</v>
      </c>
      <c r="AI102" s="40">
        <v>1</v>
      </c>
    </row>
    <row r="103" spans="1:35" ht="18.75" customHeight="1">
      <c r="A103" s="73">
        <v>2025</v>
      </c>
      <c r="B103" s="112" t="s">
        <v>22</v>
      </c>
      <c r="C103" s="36" t="s">
        <v>216</v>
      </c>
      <c r="D103" s="37">
        <v>45443.82223568287</v>
      </c>
      <c r="E103" s="36" t="s">
        <v>1</v>
      </c>
      <c r="F103" s="36" t="s">
        <v>156</v>
      </c>
      <c r="G103" s="36" t="s">
        <v>217</v>
      </c>
      <c r="H103" s="36" t="s">
        <v>218</v>
      </c>
      <c r="I103" s="36" t="s">
        <v>152</v>
      </c>
      <c r="J103" s="36" t="s">
        <v>219</v>
      </c>
      <c r="K103" s="36" t="s">
        <v>177</v>
      </c>
      <c r="L103" s="74">
        <f>VLOOKUP(E103,Diccionario!C$2:AC$150,22,0)</f>
        <v>4504425757</v>
      </c>
      <c r="M103" s="75">
        <f>VLOOKUP(E103,Diccionario!C$2:AC$150,24,0)</f>
        <v>45439</v>
      </c>
      <c r="N103" s="76">
        <f>VLOOKUP(E103,Diccionario!C$2:AC$150,25,0)</f>
        <v>46533</v>
      </c>
      <c r="O103" s="77">
        <f>VLOOKUP(E103,Diccionario!C$2:AC$150,26,0)</f>
        <v>35.97</v>
      </c>
      <c r="P103" s="77">
        <f t="shared" si="41"/>
        <v>-25.97</v>
      </c>
      <c r="Q103" s="78">
        <f t="shared" si="47"/>
        <v>10</v>
      </c>
      <c r="R103" s="36">
        <v>36</v>
      </c>
      <c r="S103" s="86">
        <f t="shared" si="48"/>
        <v>0.29000000000000004</v>
      </c>
      <c r="T103" s="86">
        <v>0.28999999999999998</v>
      </c>
      <c r="U103" s="82">
        <v>121209264</v>
      </c>
      <c r="V103" s="82">
        <v>121209264</v>
      </c>
      <c r="W103" s="82">
        <f t="shared" si="34"/>
        <v>1306283469.53</v>
      </c>
      <c r="X103" s="82">
        <f t="shared" si="43"/>
        <v>1306283469.5300002</v>
      </c>
      <c r="Y103" s="82">
        <f t="shared" si="35"/>
        <v>1185074205.53</v>
      </c>
      <c r="Z103" s="82">
        <f t="shared" si="44"/>
        <v>0</v>
      </c>
      <c r="AA103" s="83">
        <f t="shared" si="39"/>
        <v>10.777092661250711</v>
      </c>
      <c r="AB103" s="84" t="str">
        <f t="shared" si="45"/>
        <v>Costo eficiente: se está gastando menos de lo presupuestado</v>
      </c>
      <c r="AC103" s="84">
        <f t="shared" si="36"/>
        <v>0.99999999999999978</v>
      </c>
      <c r="AD103" s="84" t="str">
        <f t="shared" si="46"/>
        <v>Proyecto a tiempo según lo planificado</v>
      </c>
      <c r="AE103" s="85">
        <f t="shared" si="37"/>
        <v>417962979.31034482</v>
      </c>
      <c r="AF103" s="85">
        <f t="shared" si="38"/>
        <v>-4086462777.6896553</v>
      </c>
      <c r="AG103" s="40" t="str">
        <f>VLOOKUP(Indicador!E103,Diccionario!C$1:AC$150,27,0)</f>
        <v>https://growdatasas.sharepoint.com/:x:/r/sites/Gestiondocumental/Administrativa/GD/Financiera/_layouts/15/Doc.aspx?sourcedoc=%7B0974E3E6-B78B-4C29-8F8A-9CF11A235CF4%7D&amp;file=20240530%20UT%20ENTERRITORIO%202027%20(SERVICIO).xlsm&amp;action=default&amp;mobileredirect=true</v>
      </c>
      <c r="AH103" s="40">
        <v>1</v>
      </c>
      <c r="AI103" s="40">
        <v>1</v>
      </c>
    </row>
    <row r="104" spans="1:35" ht="18.75" customHeight="1">
      <c r="A104" s="73">
        <v>2025</v>
      </c>
      <c r="B104" s="112" t="s">
        <v>24</v>
      </c>
      <c r="C104" s="36" t="s">
        <v>216</v>
      </c>
      <c r="D104" s="37">
        <v>45443.82223568287</v>
      </c>
      <c r="E104" s="36" t="s">
        <v>1</v>
      </c>
      <c r="F104" s="36" t="s">
        <v>156</v>
      </c>
      <c r="G104" s="36" t="s">
        <v>217</v>
      </c>
      <c r="H104" s="36" t="s">
        <v>218</v>
      </c>
      <c r="I104" s="36" t="s">
        <v>152</v>
      </c>
      <c r="J104" s="36" t="s">
        <v>219</v>
      </c>
      <c r="K104" s="36" t="s">
        <v>177</v>
      </c>
      <c r="L104" s="74">
        <f>VLOOKUP(E104,Diccionario!C$2:AC$150,22,0)</f>
        <v>4504425757</v>
      </c>
      <c r="M104" s="75">
        <f>VLOOKUP(E104,Diccionario!C$2:AC$150,24,0)</f>
        <v>45439</v>
      </c>
      <c r="N104" s="76">
        <f>VLOOKUP(E104,Diccionario!C$2:AC$150,25,0)</f>
        <v>46533</v>
      </c>
      <c r="O104" s="77">
        <f>VLOOKUP(E104,Diccionario!C$2:AC$150,26,0)</f>
        <v>35.97</v>
      </c>
      <c r="P104" s="77">
        <f t="shared" si="41"/>
        <v>-24.97</v>
      </c>
      <c r="Q104" s="78">
        <f t="shared" si="47"/>
        <v>11</v>
      </c>
      <c r="R104" s="36">
        <v>36</v>
      </c>
      <c r="S104" s="86">
        <f t="shared" si="48"/>
        <v>0.32000000000000006</v>
      </c>
      <c r="T104" s="86">
        <v>0.32</v>
      </c>
      <c r="U104" s="82">
        <v>121209264</v>
      </c>
      <c r="V104" s="82">
        <v>121209264</v>
      </c>
      <c r="W104" s="82">
        <f t="shared" si="34"/>
        <v>1441416242.24</v>
      </c>
      <c r="X104" s="82">
        <f t="shared" si="43"/>
        <v>1441416242.2400002</v>
      </c>
      <c r="Y104" s="82">
        <f t="shared" si="35"/>
        <v>1320206978.24</v>
      </c>
      <c r="Z104" s="82">
        <f t="shared" si="44"/>
        <v>0</v>
      </c>
      <c r="AA104" s="83">
        <f t="shared" si="39"/>
        <v>11.891964315862854</v>
      </c>
      <c r="AB104" s="84" t="str">
        <f t="shared" si="45"/>
        <v>Costo eficiente: se está gastando menos de lo presupuestado</v>
      </c>
      <c r="AC104" s="84">
        <f t="shared" si="36"/>
        <v>0.99999999999999989</v>
      </c>
      <c r="AD104" s="84" t="str">
        <f t="shared" si="46"/>
        <v>Proyecto a tiempo según lo planificado</v>
      </c>
      <c r="AE104" s="85">
        <f t="shared" si="37"/>
        <v>378778950</v>
      </c>
      <c r="AF104" s="85">
        <f t="shared" si="38"/>
        <v>-4125646807</v>
      </c>
      <c r="AG104" s="40" t="str">
        <f>VLOOKUP(Indicador!E104,Diccionario!C$1:AC$150,27,0)</f>
        <v>https://growdatasas.sharepoint.com/:x:/r/sites/Gestiondocumental/Administrativa/GD/Financiera/_layouts/15/Doc.aspx?sourcedoc=%7B0974E3E6-B78B-4C29-8F8A-9CF11A235CF4%7D&amp;file=20240530%20UT%20ENTERRITORIO%202027%20(SERVICIO).xlsm&amp;action=default&amp;mobileredirect=true</v>
      </c>
      <c r="AH104" s="40">
        <v>1</v>
      </c>
      <c r="AI104" s="40">
        <v>1</v>
      </c>
    </row>
    <row r="105" spans="1:35" ht="18.75" customHeight="1">
      <c r="A105" s="73">
        <v>2025</v>
      </c>
      <c r="B105" s="112" t="s">
        <v>27</v>
      </c>
      <c r="C105" s="36" t="s">
        <v>216</v>
      </c>
      <c r="D105" s="37">
        <v>45443.82223568287</v>
      </c>
      <c r="E105" s="36" t="s">
        <v>1</v>
      </c>
      <c r="F105" s="36" t="s">
        <v>156</v>
      </c>
      <c r="G105" s="36" t="s">
        <v>217</v>
      </c>
      <c r="H105" s="36" t="s">
        <v>218</v>
      </c>
      <c r="I105" s="36" t="s">
        <v>152</v>
      </c>
      <c r="J105" s="36" t="s">
        <v>219</v>
      </c>
      <c r="K105" s="36" t="s">
        <v>177</v>
      </c>
      <c r="L105" s="74">
        <f>VLOOKUP(E105,Diccionario!C$2:AC$150,22,0)</f>
        <v>4504425757</v>
      </c>
      <c r="M105" s="75">
        <f>VLOOKUP(E105,Diccionario!C$2:AC$150,24,0)</f>
        <v>45439</v>
      </c>
      <c r="N105" s="76">
        <f>VLOOKUP(E105,Diccionario!C$2:AC$150,25,0)</f>
        <v>46533</v>
      </c>
      <c r="O105" s="77">
        <f>VLOOKUP(E105,Diccionario!C$2:AC$150,26,0)</f>
        <v>35.97</v>
      </c>
      <c r="P105" s="77">
        <f t="shared" si="41"/>
        <v>-23.97</v>
      </c>
      <c r="Q105" s="78">
        <f t="shared" si="47"/>
        <v>12</v>
      </c>
      <c r="R105" s="36">
        <v>36</v>
      </c>
      <c r="S105" s="86">
        <f t="shared" si="48"/>
        <v>0.35000000000000009</v>
      </c>
      <c r="T105" s="86">
        <v>0.35</v>
      </c>
      <c r="U105" s="82">
        <v>121209264</v>
      </c>
      <c r="V105" s="82">
        <v>121209264</v>
      </c>
      <c r="W105" s="82">
        <f t="shared" si="34"/>
        <v>1576549014.9499998</v>
      </c>
      <c r="X105" s="82">
        <f t="shared" si="43"/>
        <v>1576549014.9500003</v>
      </c>
      <c r="Y105" s="82">
        <f t="shared" si="35"/>
        <v>1455339750.9499998</v>
      </c>
      <c r="Z105" s="82">
        <f t="shared" si="44"/>
        <v>0</v>
      </c>
      <c r="AA105" s="83">
        <f t="shared" si="39"/>
        <v>13.006835970474995</v>
      </c>
      <c r="AB105" s="84" t="str">
        <f t="shared" si="45"/>
        <v>Costo eficiente: se está gastando menos de lo presupuestado</v>
      </c>
      <c r="AC105" s="84">
        <f t="shared" si="36"/>
        <v>0.99999999999999967</v>
      </c>
      <c r="AD105" s="84" t="str">
        <f t="shared" si="46"/>
        <v>Proyecto a tiempo según lo planificado</v>
      </c>
      <c r="AE105" s="85">
        <f t="shared" si="37"/>
        <v>346312182.85714287</v>
      </c>
      <c r="AF105" s="85">
        <f t="shared" si="38"/>
        <v>-4158113574.1428571</v>
      </c>
      <c r="AG105" s="40" t="str">
        <f>VLOOKUP(Indicador!E105,Diccionario!C$1:AC$150,27,0)</f>
        <v>https://growdatasas.sharepoint.com/:x:/r/sites/Gestiondocumental/Administrativa/GD/Financiera/_layouts/15/Doc.aspx?sourcedoc=%7B0974E3E6-B78B-4C29-8F8A-9CF11A235CF4%7D&amp;file=20240530%20UT%20ENTERRITORIO%202027%20(SERVICIO).xlsm&amp;action=default&amp;mobileredirect=true</v>
      </c>
      <c r="AH105" s="40">
        <v>1</v>
      </c>
      <c r="AI105" s="40">
        <v>1</v>
      </c>
    </row>
    <row r="106" spans="1:35" ht="18.75" customHeight="1">
      <c r="A106" s="73">
        <v>2025</v>
      </c>
      <c r="B106" s="112" t="s">
        <v>13</v>
      </c>
      <c r="C106" s="36" t="s">
        <v>216</v>
      </c>
      <c r="D106" s="37">
        <v>45443.82223568287</v>
      </c>
      <c r="E106" s="36" t="s">
        <v>1</v>
      </c>
      <c r="F106" s="36" t="s">
        <v>156</v>
      </c>
      <c r="G106" s="36" t="s">
        <v>217</v>
      </c>
      <c r="H106" s="36" t="s">
        <v>218</v>
      </c>
      <c r="I106" s="36" t="s">
        <v>152</v>
      </c>
      <c r="J106" s="36" t="s">
        <v>219</v>
      </c>
      <c r="K106" s="36" t="s">
        <v>177</v>
      </c>
      <c r="L106" s="74">
        <f>VLOOKUP(E106,Diccionario!C$2:AC$150,22,0)</f>
        <v>4504425757</v>
      </c>
      <c r="M106" s="75">
        <f>VLOOKUP(E106,Diccionario!C$2:AC$150,24,0)</f>
        <v>45439</v>
      </c>
      <c r="N106" s="76">
        <f>VLOOKUP(E106,Diccionario!C$2:AC$150,25,0)</f>
        <v>46533</v>
      </c>
      <c r="O106" s="77">
        <f>VLOOKUP(E106,Diccionario!C$2:AC$150,26,0)</f>
        <v>35.97</v>
      </c>
      <c r="P106" s="77">
        <f t="shared" si="41"/>
        <v>-22.97</v>
      </c>
      <c r="Q106" s="78">
        <f t="shared" si="47"/>
        <v>13</v>
      </c>
      <c r="R106" s="36">
        <v>36</v>
      </c>
      <c r="S106" s="86">
        <f t="shared" si="48"/>
        <v>0.38000000000000012</v>
      </c>
      <c r="T106" s="86">
        <v>0.38</v>
      </c>
      <c r="U106" s="82">
        <v>121209264</v>
      </c>
      <c r="V106" s="82">
        <v>121209264</v>
      </c>
      <c r="W106" s="82">
        <f t="shared" si="34"/>
        <v>1711681787.6600001</v>
      </c>
      <c r="X106" s="82">
        <f t="shared" si="43"/>
        <v>1711681787.6600006</v>
      </c>
      <c r="Y106" s="82">
        <f t="shared" si="35"/>
        <v>1590472523.6600001</v>
      </c>
      <c r="Z106" s="82">
        <f t="shared" si="44"/>
        <v>0</v>
      </c>
      <c r="AA106" s="83">
        <f t="shared" si="39"/>
        <v>14.12170762508714</v>
      </c>
      <c r="AB106" s="84" t="str">
        <f t="shared" si="45"/>
        <v>Costo eficiente: se está gastando menos de lo presupuestado</v>
      </c>
      <c r="AC106" s="84">
        <f t="shared" si="36"/>
        <v>0.99999999999999967</v>
      </c>
      <c r="AD106" s="84" t="str">
        <f t="shared" si="46"/>
        <v>Proyecto a tiempo según lo planificado</v>
      </c>
      <c r="AE106" s="85">
        <f t="shared" si="37"/>
        <v>318971747.36842102</v>
      </c>
      <c r="AF106" s="85">
        <f t="shared" si="38"/>
        <v>-4185454009.6315789</v>
      </c>
      <c r="AG106" s="40" t="str">
        <f>VLOOKUP(Indicador!E106,Diccionario!C$1:AC$150,27,0)</f>
        <v>https://growdatasas.sharepoint.com/:x:/r/sites/Gestiondocumental/Administrativa/GD/Financiera/_layouts/15/Doc.aspx?sourcedoc=%7B0974E3E6-B78B-4C29-8F8A-9CF11A235CF4%7D&amp;file=20240530%20UT%20ENTERRITORIO%202027%20(SERVICIO).xlsm&amp;action=default&amp;mobileredirect=true</v>
      </c>
      <c r="AH106" s="40">
        <v>1</v>
      </c>
      <c r="AI106" s="40">
        <v>1</v>
      </c>
    </row>
    <row r="107" spans="1:35" ht="18.75" customHeight="1">
      <c r="A107" s="73">
        <v>2025</v>
      </c>
      <c r="B107" s="112" t="s">
        <v>21</v>
      </c>
      <c r="C107" s="36" t="s">
        <v>216</v>
      </c>
      <c r="D107" s="37">
        <v>45443.82223568287</v>
      </c>
      <c r="E107" s="36" t="s">
        <v>1</v>
      </c>
      <c r="F107" s="36" t="s">
        <v>156</v>
      </c>
      <c r="G107" s="36" t="s">
        <v>217</v>
      </c>
      <c r="H107" s="36" t="s">
        <v>218</v>
      </c>
      <c r="I107" s="36" t="s">
        <v>152</v>
      </c>
      <c r="J107" s="36" t="s">
        <v>219</v>
      </c>
      <c r="K107" s="36" t="s">
        <v>177</v>
      </c>
      <c r="L107" s="74">
        <f>VLOOKUP(E107,Diccionario!C$2:AC$150,22,0)</f>
        <v>4504425757</v>
      </c>
      <c r="M107" s="75">
        <f>VLOOKUP(E107,Diccionario!C$2:AC$150,24,0)</f>
        <v>45439</v>
      </c>
      <c r="N107" s="76">
        <f>VLOOKUP(E107,Diccionario!C$2:AC$150,25,0)</f>
        <v>46533</v>
      </c>
      <c r="O107" s="77">
        <f>VLOOKUP(E107,Diccionario!C$2:AC$150,26,0)</f>
        <v>35.97</v>
      </c>
      <c r="P107" s="77">
        <f t="shared" si="41"/>
        <v>-21.97</v>
      </c>
      <c r="Q107" s="78">
        <f t="shared" si="47"/>
        <v>14</v>
      </c>
      <c r="R107" s="36">
        <v>36</v>
      </c>
      <c r="S107" s="86">
        <f t="shared" si="48"/>
        <v>0.41000000000000014</v>
      </c>
      <c r="T107" s="86">
        <v>0.42</v>
      </c>
      <c r="U107" s="82">
        <v>121209264</v>
      </c>
      <c r="V107" s="82">
        <v>121209264</v>
      </c>
      <c r="W107" s="82">
        <f t="shared" si="34"/>
        <v>1891858817.9399998</v>
      </c>
      <c r="X107" s="82">
        <f t="shared" si="43"/>
        <v>1846814560.3700006</v>
      </c>
      <c r="Y107" s="82">
        <f t="shared" si="35"/>
        <v>1770649553.9399998</v>
      </c>
      <c r="Z107" s="82">
        <f t="shared" si="44"/>
        <v>45044257.569999218</v>
      </c>
      <c r="AA107" s="83">
        <f t="shared" si="39"/>
        <v>15.608203164569995</v>
      </c>
      <c r="AB107" s="84" t="str">
        <f t="shared" si="45"/>
        <v>Costo eficiente: se está gastando menos de lo presupuestado</v>
      </c>
      <c r="AC107" s="84">
        <f t="shared" si="36"/>
        <v>1.0243902439024386</v>
      </c>
      <c r="AD107" s="84" t="str">
        <f t="shared" si="46"/>
        <v>Proyecto adelantado respecto al cronograma</v>
      </c>
      <c r="AE107" s="85">
        <f t="shared" si="37"/>
        <v>288593485.71428573</v>
      </c>
      <c r="AF107" s="85">
        <f t="shared" si="38"/>
        <v>-4215832271.2857141</v>
      </c>
      <c r="AG107" s="40" t="str">
        <f>VLOOKUP(Indicador!E107,Diccionario!C$1:AC$150,27,0)</f>
        <v>https://growdatasas.sharepoint.com/:x:/r/sites/Gestiondocumental/Administrativa/GD/Financiera/_layouts/15/Doc.aspx?sourcedoc=%7B0974E3E6-B78B-4C29-8F8A-9CF11A235CF4%7D&amp;file=20240530%20UT%20ENTERRITORIO%202027%20(SERVICIO).xlsm&amp;action=default&amp;mobileredirect=true</v>
      </c>
      <c r="AH107" s="40">
        <v>1</v>
      </c>
      <c r="AI107" s="40">
        <v>1</v>
      </c>
    </row>
    <row r="108" spans="1:35" ht="18.75" customHeight="1">
      <c r="A108" s="73">
        <v>2025</v>
      </c>
      <c r="B108" s="112" t="s">
        <v>23</v>
      </c>
      <c r="C108" s="36" t="s">
        <v>216</v>
      </c>
      <c r="D108" s="37">
        <v>45443.82223568287</v>
      </c>
      <c r="E108" s="36" t="s">
        <v>1</v>
      </c>
      <c r="F108" s="36" t="s">
        <v>156</v>
      </c>
      <c r="G108" s="36" t="s">
        <v>217</v>
      </c>
      <c r="H108" s="36" t="s">
        <v>218</v>
      </c>
      <c r="I108" s="36" t="s">
        <v>152</v>
      </c>
      <c r="J108" s="36" t="s">
        <v>219</v>
      </c>
      <c r="K108" s="36" t="s">
        <v>177</v>
      </c>
      <c r="L108" s="74">
        <f>VLOOKUP(E108,Diccionario!C$2:AC$150,22,0)</f>
        <v>4504425757</v>
      </c>
      <c r="M108" s="75">
        <f>VLOOKUP(E108,Diccionario!C$2:AC$150,24,0)</f>
        <v>45439</v>
      </c>
      <c r="N108" s="76">
        <f>VLOOKUP(E108,Diccionario!C$2:AC$150,25,0)</f>
        <v>46533</v>
      </c>
      <c r="O108" s="77">
        <f>VLOOKUP(E108,Diccionario!C$2:AC$150,26,0)</f>
        <v>35.97</v>
      </c>
      <c r="P108" s="77">
        <f t="shared" si="41"/>
        <v>-20.97</v>
      </c>
      <c r="Q108" s="78">
        <f t="shared" si="47"/>
        <v>15</v>
      </c>
      <c r="R108" s="36">
        <v>36</v>
      </c>
      <c r="S108" s="86">
        <f t="shared" si="48"/>
        <v>0.44000000000000017</v>
      </c>
      <c r="T108" s="86">
        <v>0.45</v>
      </c>
      <c r="U108" s="82">
        <v>121209264</v>
      </c>
      <c r="V108" s="82">
        <v>121209264</v>
      </c>
      <c r="W108" s="82">
        <f t="shared" si="34"/>
        <v>2026991590.6500001</v>
      </c>
      <c r="X108" s="82">
        <f t="shared" si="43"/>
        <v>1981947333.0800009</v>
      </c>
      <c r="Y108" s="82">
        <f t="shared" si="35"/>
        <v>1905782326.6500001</v>
      </c>
      <c r="Z108" s="82">
        <f t="shared" si="44"/>
        <v>45044257.569999218</v>
      </c>
      <c r="AA108" s="83">
        <f t="shared" si="39"/>
        <v>16.723074819182138</v>
      </c>
      <c r="AB108" s="84" t="str">
        <f t="shared" si="45"/>
        <v>Costo eficiente: se está gastando menos de lo presupuestado</v>
      </c>
      <c r="AC108" s="84">
        <f t="shared" si="36"/>
        <v>1.0227272727272723</v>
      </c>
      <c r="AD108" s="84" t="str">
        <f t="shared" si="46"/>
        <v>Proyecto adelantado respecto al cronograma</v>
      </c>
      <c r="AE108" s="85">
        <f t="shared" si="37"/>
        <v>269353920</v>
      </c>
      <c r="AF108" s="85">
        <f t="shared" si="38"/>
        <v>-4235071837</v>
      </c>
      <c r="AG108" s="40" t="str">
        <f>VLOOKUP(Indicador!E108,Diccionario!C$1:AC$150,27,0)</f>
        <v>https://growdatasas.sharepoint.com/:x:/r/sites/Gestiondocumental/Administrativa/GD/Financiera/_layouts/15/Doc.aspx?sourcedoc=%7B0974E3E6-B78B-4C29-8F8A-9CF11A235CF4%7D&amp;file=20240530%20UT%20ENTERRITORIO%202027%20(SERVICIO).xlsm&amp;action=default&amp;mobileredirect=true</v>
      </c>
      <c r="AH108" s="40">
        <v>1</v>
      </c>
      <c r="AI108" s="40">
        <v>1</v>
      </c>
    </row>
    <row r="109" spans="1:35" ht="18.75" customHeight="1">
      <c r="A109" s="73">
        <v>2025</v>
      </c>
      <c r="B109" s="112" t="s">
        <v>26</v>
      </c>
      <c r="C109" s="36" t="s">
        <v>216</v>
      </c>
      <c r="D109" s="37">
        <v>45443.82223568287</v>
      </c>
      <c r="E109" s="36" t="s">
        <v>1</v>
      </c>
      <c r="F109" s="36" t="s">
        <v>156</v>
      </c>
      <c r="G109" s="36" t="s">
        <v>217</v>
      </c>
      <c r="H109" s="36" t="s">
        <v>218</v>
      </c>
      <c r="I109" s="36" t="s">
        <v>152</v>
      </c>
      <c r="J109" s="36" t="s">
        <v>219</v>
      </c>
      <c r="K109" s="36" t="s">
        <v>177</v>
      </c>
      <c r="L109" s="74">
        <f>VLOOKUP(E109,Diccionario!C$2:AC$150,22,0)</f>
        <v>4504425757</v>
      </c>
      <c r="M109" s="75">
        <f>VLOOKUP(E109,Diccionario!C$2:AC$150,24,0)</f>
        <v>45439</v>
      </c>
      <c r="N109" s="76">
        <f>VLOOKUP(E109,Diccionario!C$2:AC$150,25,0)</f>
        <v>46533</v>
      </c>
      <c r="O109" s="77">
        <f>VLOOKUP(E109,Diccionario!C$2:AC$150,26,0)</f>
        <v>35.97</v>
      </c>
      <c r="P109" s="77">
        <f t="shared" si="41"/>
        <v>-19.97</v>
      </c>
      <c r="Q109" s="78">
        <f t="shared" si="47"/>
        <v>16</v>
      </c>
      <c r="R109" s="36">
        <v>36</v>
      </c>
      <c r="S109" s="86">
        <f t="shared" si="48"/>
        <v>0.4700000000000002</v>
      </c>
      <c r="T109" s="86">
        <v>0.48</v>
      </c>
      <c r="U109" s="82">
        <v>121209264</v>
      </c>
      <c r="V109" s="82">
        <v>121209264</v>
      </c>
      <c r="W109" s="82">
        <f t="shared" si="34"/>
        <v>2162124363.3600001</v>
      </c>
      <c r="X109" s="82">
        <f t="shared" si="43"/>
        <v>2117080105.7900009</v>
      </c>
      <c r="Y109" s="82">
        <f t="shared" si="35"/>
        <v>2040915099.3600001</v>
      </c>
      <c r="Z109" s="82">
        <f t="shared" si="44"/>
        <v>45044257.569999218</v>
      </c>
      <c r="AA109" s="83">
        <f t="shared" si="39"/>
        <v>17.837946473794283</v>
      </c>
      <c r="AB109" s="84" t="str">
        <f t="shared" si="45"/>
        <v>Costo eficiente: se está gastando menos de lo presupuestado</v>
      </c>
      <c r="AC109" s="84">
        <f t="shared" si="36"/>
        <v>1.0212765957446805</v>
      </c>
      <c r="AD109" s="84" t="str">
        <f t="shared" si="46"/>
        <v>Proyecto adelantado respecto al cronograma</v>
      </c>
      <c r="AE109" s="85">
        <f t="shared" si="37"/>
        <v>252519299.99999997</v>
      </c>
      <c r="AF109" s="85">
        <f t="shared" si="38"/>
        <v>-4251906457</v>
      </c>
      <c r="AG109" s="40" t="str">
        <f>VLOOKUP(Indicador!E109,Diccionario!C$1:AC$150,27,0)</f>
        <v>https://growdatasas.sharepoint.com/:x:/r/sites/Gestiondocumental/Administrativa/GD/Financiera/_layouts/15/Doc.aspx?sourcedoc=%7B0974E3E6-B78B-4C29-8F8A-9CF11A235CF4%7D&amp;file=20240530%20UT%20ENTERRITORIO%202027%20(SERVICIO).xlsm&amp;action=default&amp;mobileredirect=true</v>
      </c>
      <c r="AH109" s="40">
        <v>1</v>
      </c>
      <c r="AI109" s="40">
        <v>1</v>
      </c>
    </row>
    <row r="110" spans="1:35" ht="18.75" customHeight="1">
      <c r="A110" s="73">
        <v>2025</v>
      </c>
      <c r="B110" s="112" t="s">
        <v>28</v>
      </c>
      <c r="C110" s="36" t="s">
        <v>216</v>
      </c>
      <c r="D110" s="37">
        <v>45443.82223568287</v>
      </c>
      <c r="E110" s="36" t="s">
        <v>1</v>
      </c>
      <c r="F110" s="36" t="s">
        <v>156</v>
      </c>
      <c r="G110" s="36" t="s">
        <v>217</v>
      </c>
      <c r="H110" s="36" t="s">
        <v>218</v>
      </c>
      <c r="I110" s="36" t="s">
        <v>152</v>
      </c>
      <c r="J110" s="36" t="s">
        <v>219</v>
      </c>
      <c r="K110" s="36" t="s">
        <v>177</v>
      </c>
      <c r="L110" s="74">
        <f>VLOOKUP(E110,Diccionario!C$2:AC$150,22,0)</f>
        <v>4504425757</v>
      </c>
      <c r="M110" s="75">
        <f>VLOOKUP(E110,Diccionario!C$2:AC$150,24,0)</f>
        <v>45439</v>
      </c>
      <c r="N110" s="76">
        <f>VLOOKUP(E110,Diccionario!C$2:AC$150,25,0)</f>
        <v>46533</v>
      </c>
      <c r="O110" s="77">
        <f>VLOOKUP(E110,Diccionario!C$2:AC$150,26,0)</f>
        <v>35.97</v>
      </c>
      <c r="P110" s="77">
        <f t="shared" si="41"/>
        <v>-18.97</v>
      </c>
      <c r="Q110" s="78">
        <f t="shared" si="47"/>
        <v>17</v>
      </c>
      <c r="R110" s="36">
        <v>36</v>
      </c>
      <c r="S110" s="86">
        <f t="shared" si="48"/>
        <v>0.50000000000000022</v>
      </c>
      <c r="T110" s="86">
        <v>0.5</v>
      </c>
      <c r="U110" s="82">
        <v>121209264</v>
      </c>
      <c r="V110" s="82">
        <v>121209264</v>
      </c>
      <c r="W110" s="82">
        <f t="shared" si="34"/>
        <v>2252212878.5</v>
      </c>
      <c r="X110" s="82">
        <f t="shared" si="43"/>
        <v>2252212878.500001</v>
      </c>
      <c r="Y110" s="82">
        <f t="shared" si="35"/>
        <v>2131003614.5</v>
      </c>
      <c r="Z110" s="82">
        <f t="shared" si="44"/>
        <v>0</v>
      </c>
      <c r="AA110" s="83">
        <f t="shared" si="39"/>
        <v>18.581194243535709</v>
      </c>
      <c r="AB110" s="84" t="str">
        <f t="shared" si="45"/>
        <v>Costo eficiente: se está gastando menos de lo presupuestado</v>
      </c>
      <c r="AC110" s="84">
        <f t="shared" si="36"/>
        <v>0.99999999999999956</v>
      </c>
      <c r="AD110" s="84" t="str">
        <f t="shared" si="46"/>
        <v>Proyecto a tiempo según lo planificado</v>
      </c>
      <c r="AE110" s="85">
        <f t="shared" si="37"/>
        <v>242418528</v>
      </c>
      <c r="AF110" s="85">
        <f t="shared" si="38"/>
        <v>-4262007229</v>
      </c>
      <c r="AG110" s="40" t="str">
        <f>VLOOKUP(Indicador!E110,Diccionario!C$1:AC$150,27,0)</f>
        <v>https://growdatasas.sharepoint.com/:x:/r/sites/Gestiondocumental/Administrativa/GD/Financiera/_layouts/15/Doc.aspx?sourcedoc=%7B0974E3E6-B78B-4C29-8F8A-9CF11A235CF4%7D&amp;file=20240530%20UT%20ENTERRITORIO%202027%20(SERVICIO).xlsm&amp;action=default&amp;mobileredirect=true</v>
      </c>
      <c r="AH110" s="40">
        <v>1</v>
      </c>
      <c r="AI110" s="40">
        <v>1</v>
      </c>
    </row>
    <row r="111" spans="1:35" ht="18.75" customHeight="1">
      <c r="A111" s="73">
        <v>2025</v>
      </c>
      <c r="B111" s="112" t="s">
        <v>30</v>
      </c>
      <c r="C111" s="36" t="s">
        <v>216</v>
      </c>
      <c r="D111" s="37">
        <v>45443.82223568287</v>
      </c>
      <c r="E111" s="36" t="s">
        <v>1</v>
      </c>
      <c r="F111" s="36" t="s">
        <v>156</v>
      </c>
      <c r="G111" s="36" t="s">
        <v>217</v>
      </c>
      <c r="H111" s="36" t="s">
        <v>218</v>
      </c>
      <c r="I111" s="36" t="s">
        <v>152</v>
      </c>
      <c r="J111" s="36" t="s">
        <v>219</v>
      </c>
      <c r="K111" s="36" t="s">
        <v>177</v>
      </c>
      <c r="L111" s="74">
        <f>VLOOKUP(E111,Diccionario!C$2:AC$150,22,0)</f>
        <v>4504425757</v>
      </c>
      <c r="M111" s="75">
        <f>VLOOKUP(E111,Diccionario!C$2:AC$150,24,0)</f>
        <v>45439</v>
      </c>
      <c r="N111" s="76">
        <f>VLOOKUP(E111,Diccionario!C$2:AC$150,25,0)</f>
        <v>46533</v>
      </c>
      <c r="O111" s="77">
        <f>VLOOKUP(E111,Diccionario!C$2:AC$150,26,0)</f>
        <v>35.97</v>
      </c>
      <c r="P111" s="77">
        <f t="shared" si="41"/>
        <v>-17.97</v>
      </c>
      <c r="Q111" s="78">
        <f t="shared" si="47"/>
        <v>18</v>
      </c>
      <c r="R111" s="36">
        <v>36</v>
      </c>
      <c r="S111" s="86">
        <f t="shared" si="48"/>
        <v>0.53000000000000025</v>
      </c>
      <c r="T111" s="86">
        <v>0.53</v>
      </c>
      <c r="U111" s="82">
        <v>121209264</v>
      </c>
      <c r="V111" s="82">
        <v>121209264</v>
      </c>
      <c r="W111" s="82">
        <f t="shared" si="34"/>
        <v>2387345651.21</v>
      </c>
      <c r="X111" s="82">
        <f t="shared" si="43"/>
        <v>2387345651.210001</v>
      </c>
      <c r="Y111" s="82">
        <f t="shared" si="35"/>
        <v>2266136387.21</v>
      </c>
      <c r="Z111" s="82">
        <f t="shared" si="44"/>
        <v>0</v>
      </c>
      <c r="AA111" s="83">
        <f t="shared" si="39"/>
        <v>19.69606589814785</v>
      </c>
      <c r="AB111" s="84" t="str">
        <f t="shared" si="45"/>
        <v>Costo eficiente: se está gastando menos de lo presupuestado</v>
      </c>
      <c r="AC111" s="84">
        <f t="shared" si="36"/>
        <v>0.99999999999999956</v>
      </c>
      <c r="AD111" s="84" t="str">
        <f t="shared" si="46"/>
        <v>Proyecto a tiempo según lo planificado</v>
      </c>
      <c r="AE111" s="85">
        <f t="shared" si="37"/>
        <v>228696724.52830189</v>
      </c>
      <c r="AF111" s="85">
        <f t="shared" si="38"/>
        <v>-4275729032.4716983</v>
      </c>
      <c r="AG111" s="40" t="str">
        <f>VLOOKUP(Indicador!E111,Diccionario!C$1:AC$150,27,0)</f>
        <v>https://growdatasas.sharepoint.com/:x:/r/sites/Gestiondocumental/Administrativa/GD/Financiera/_layouts/15/Doc.aspx?sourcedoc=%7B0974E3E6-B78B-4C29-8F8A-9CF11A235CF4%7D&amp;file=20240530%20UT%20ENTERRITORIO%202027%20(SERVICIO).xlsm&amp;action=default&amp;mobileredirect=true</v>
      </c>
      <c r="AH111" s="40">
        <v>1</v>
      </c>
      <c r="AI111" s="40">
        <v>1</v>
      </c>
    </row>
    <row r="112" spans="1:35" ht="18.75" customHeight="1">
      <c r="A112" s="73">
        <v>2025</v>
      </c>
      <c r="B112" s="112" t="s">
        <v>31</v>
      </c>
      <c r="C112" s="36" t="s">
        <v>216</v>
      </c>
      <c r="D112" s="37">
        <v>45443.82223568287</v>
      </c>
      <c r="E112" s="36" t="s">
        <v>1</v>
      </c>
      <c r="F112" s="36" t="s">
        <v>156</v>
      </c>
      <c r="G112" s="36" t="s">
        <v>217</v>
      </c>
      <c r="H112" s="36" t="s">
        <v>218</v>
      </c>
      <c r="I112" s="36" t="s">
        <v>152</v>
      </c>
      <c r="J112" s="36" t="s">
        <v>219</v>
      </c>
      <c r="K112" s="36" t="s">
        <v>177</v>
      </c>
      <c r="L112" s="74">
        <f>VLOOKUP(E112,Diccionario!C$2:AC$150,22,0)</f>
        <v>4504425757</v>
      </c>
      <c r="M112" s="75">
        <f>VLOOKUP(E112,Diccionario!C$2:AC$150,24,0)</f>
        <v>45439</v>
      </c>
      <c r="N112" s="76">
        <f>VLOOKUP(E112,Diccionario!C$2:AC$150,25,0)</f>
        <v>46533</v>
      </c>
      <c r="O112" s="77">
        <f>VLOOKUP(E112,Diccionario!C$2:AC$150,26,0)</f>
        <v>35.97</v>
      </c>
      <c r="P112" s="77">
        <f t="shared" si="41"/>
        <v>-16.97</v>
      </c>
      <c r="Q112" s="78">
        <f t="shared" si="47"/>
        <v>19</v>
      </c>
      <c r="R112" s="36">
        <v>36</v>
      </c>
      <c r="S112" s="86">
        <f t="shared" si="48"/>
        <v>0.56000000000000028</v>
      </c>
      <c r="T112" s="86">
        <v>0.56000000000000005</v>
      </c>
      <c r="U112" s="82">
        <v>121209264</v>
      </c>
      <c r="V112" s="82">
        <v>121209264</v>
      </c>
      <c r="W112" s="82">
        <f t="shared" si="34"/>
        <v>2522478423.9200001</v>
      </c>
      <c r="X112" s="82">
        <f t="shared" si="43"/>
        <v>2522478423.920001</v>
      </c>
      <c r="Y112" s="82">
        <f t="shared" si="35"/>
        <v>2401269159.9200001</v>
      </c>
      <c r="Z112" s="82">
        <f t="shared" si="44"/>
        <v>0</v>
      </c>
      <c r="AA112" s="83">
        <f t="shared" si="39"/>
        <v>20.810937552759995</v>
      </c>
      <c r="AB112" s="84" t="str">
        <f t="shared" si="45"/>
        <v>Costo eficiente: se está gastando menos de lo presupuestado</v>
      </c>
      <c r="AC112" s="84">
        <f t="shared" si="36"/>
        <v>0.99999999999999967</v>
      </c>
      <c r="AD112" s="84" t="str">
        <f t="shared" si="46"/>
        <v>Proyecto a tiempo según lo planificado</v>
      </c>
      <c r="AE112" s="85">
        <f t="shared" si="37"/>
        <v>216445114.28571427</v>
      </c>
      <c r="AF112" s="85">
        <f t="shared" si="38"/>
        <v>-4287980642.7142859</v>
      </c>
      <c r="AG112" s="40" t="str">
        <f>VLOOKUP(Indicador!E112,Diccionario!C$1:AC$150,27,0)</f>
        <v>https://growdatasas.sharepoint.com/:x:/r/sites/Gestiondocumental/Administrativa/GD/Financiera/_layouts/15/Doc.aspx?sourcedoc=%7B0974E3E6-B78B-4C29-8F8A-9CF11A235CF4%7D&amp;file=20240530%20UT%20ENTERRITORIO%202027%20(SERVICIO).xlsm&amp;action=default&amp;mobileredirect=true</v>
      </c>
      <c r="AH112" s="40">
        <v>1</v>
      </c>
      <c r="AI112" s="40">
        <v>1</v>
      </c>
    </row>
    <row r="113" spans="1:35" ht="18.75" customHeight="1">
      <c r="A113" s="73">
        <v>2025</v>
      </c>
      <c r="B113" s="112" t="s">
        <v>32</v>
      </c>
      <c r="C113" s="36" t="s">
        <v>216</v>
      </c>
      <c r="D113" s="37">
        <v>45443.82223568287</v>
      </c>
      <c r="E113" s="36" t="s">
        <v>1</v>
      </c>
      <c r="F113" s="36" t="s">
        <v>156</v>
      </c>
      <c r="G113" s="36" t="s">
        <v>217</v>
      </c>
      <c r="H113" s="36" t="s">
        <v>218</v>
      </c>
      <c r="I113" s="36" t="s">
        <v>152</v>
      </c>
      <c r="J113" s="36" t="s">
        <v>219</v>
      </c>
      <c r="K113" s="36" t="s">
        <v>177</v>
      </c>
      <c r="L113" s="74">
        <f>VLOOKUP(E113,Diccionario!C$2:AC$150,22,0)</f>
        <v>4504425757</v>
      </c>
      <c r="M113" s="75">
        <f>VLOOKUP(E113,Diccionario!C$2:AC$150,24,0)</f>
        <v>45439</v>
      </c>
      <c r="N113" s="76">
        <f>VLOOKUP(E113,Diccionario!C$2:AC$150,25,0)</f>
        <v>46533</v>
      </c>
      <c r="O113" s="77">
        <f>VLOOKUP(E113,Diccionario!C$2:AC$150,26,0)</f>
        <v>35.97</v>
      </c>
      <c r="P113" s="77">
        <f t="shared" si="41"/>
        <v>-15.969999999999999</v>
      </c>
      <c r="Q113" s="78">
        <f t="shared" si="47"/>
        <v>20</v>
      </c>
      <c r="R113" s="36">
        <v>36</v>
      </c>
      <c r="S113" s="86">
        <f t="shared" si="48"/>
        <v>0.5900000000000003</v>
      </c>
      <c r="T113" s="86">
        <v>0.59</v>
      </c>
      <c r="U113" s="82">
        <v>121209264</v>
      </c>
      <c r="V113" s="82">
        <v>121209264</v>
      </c>
      <c r="W113" s="82">
        <f t="shared" si="34"/>
        <v>2657611196.6299996</v>
      </c>
      <c r="X113" s="82">
        <f t="shared" si="43"/>
        <v>2657611196.6300015</v>
      </c>
      <c r="Y113" s="82">
        <f t="shared" si="35"/>
        <v>2536401932.6299996</v>
      </c>
      <c r="Z113" s="82">
        <f t="shared" si="44"/>
        <v>0</v>
      </c>
      <c r="AA113" s="83">
        <f t="shared" si="39"/>
        <v>21.925809207372133</v>
      </c>
      <c r="AB113" s="84" t="str">
        <f t="shared" si="45"/>
        <v>Costo eficiente: se está gastando menos de lo presupuestado</v>
      </c>
      <c r="AC113" s="84">
        <f t="shared" si="36"/>
        <v>0.99999999999999933</v>
      </c>
      <c r="AD113" s="84" t="str">
        <f t="shared" si="46"/>
        <v>Proyecto atrasado con respecto al cronograma</v>
      </c>
      <c r="AE113" s="85">
        <f t="shared" si="37"/>
        <v>205439430.50847462</v>
      </c>
      <c r="AF113" s="85">
        <f t="shared" si="38"/>
        <v>-4298986326.4915257</v>
      </c>
      <c r="AG113" s="40" t="str">
        <f>VLOOKUP(Indicador!E113,Diccionario!C$1:AC$150,27,0)</f>
        <v>https://growdatasas.sharepoint.com/:x:/r/sites/Gestiondocumental/Administrativa/GD/Financiera/_layouts/15/Doc.aspx?sourcedoc=%7B0974E3E6-B78B-4C29-8F8A-9CF11A235CF4%7D&amp;file=20240530%20UT%20ENTERRITORIO%202027%20(SERVICIO).xlsm&amp;action=default&amp;mobileredirect=true</v>
      </c>
      <c r="AH113" s="40">
        <v>1</v>
      </c>
      <c r="AI113" s="40">
        <v>1</v>
      </c>
    </row>
    <row r="114" spans="1:35" ht="18.75" customHeight="1">
      <c r="A114" s="73">
        <v>2026</v>
      </c>
      <c r="B114" s="112" t="s">
        <v>14</v>
      </c>
      <c r="C114" s="36" t="s">
        <v>216</v>
      </c>
      <c r="D114" s="37">
        <v>45443.82223568287</v>
      </c>
      <c r="E114" s="36" t="s">
        <v>1</v>
      </c>
      <c r="F114" s="36" t="s">
        <v>156</v>
      </c>
      <c r="G114" s="36" t="s">
        <v>217</v>
      </c>
      <c r="H114" s="36" t="s">
        <v>218</v>
      </c>
      <c r="I114" s="36" t="s">
        <v>152</v>
      </c>
      <c r="J114" s="36" t="s">
        <v>219</v>
      </c>
      <c r="K114" s="36" t="s">
        <v>177</v>
      </c>
      <c r="L114" s="74">
        <f>VLOOKUP(E114,Diccionario!C$2:AC$150,22,0)</f>
        <v>4504425757</v>
      </c>
      <c r="M114" s="75">
        <f>VLOOKUP(E114,Diccionario!C$2:AC$150,24,0)</f>
        <v>45439</v>
      </c>
      <c r="N114" s="76">
        <f>VLOOKUP(E114,Diccionario!C$2:AC$150,25,0)</f>
        <v>46533</v>
      </c>
      <c r="O114" s="77">
        <f>VLOOKUP(E114,Diccionario!C$2:AC$150,26,0)</f>
        <v>35.97</v>
      </c>
      <c r="P114" s="77">
        <f t="shared" si="41"/>
        <v>-14.969999999999999</v>
      </c>
      <c r="Q114" s="78">
        <f t="shared" si="47"/>
        <v>21</v>
      </c>
      <c r="R114" s="36">
        <v>36</v>
      </c>
      <c r="S114" s="86">
        <f t="shared" si="48"/>
        <v>0.62000000000000033</v>
      </c>
      <c r="T114" s="86">
        <v>0.61</v>
      </c>
      <c r="U114" s="82">
        <v>121209264</v>
      </c>
      <c r="V114" s="82">
        <v>121209264</v>
      </c>
      <c r="W114" s="82">
        <f t="shared" si="34"/>
        <v>2747699711.77</v>
      </c>
      <c r="X114" s="82">
        <f t="shared" si="43"/>
        <v>2792743969.3400016</v>
      </c>
      <c r="Y114" s="82">
        <f t="shared" si="35"/>
        <v>2626490447.77</v>
      </c>
      <c r="Z114" s="82">
        <f t="shared" si="44"/>
        <v>-45044257.570001602</v>
      </c>
      <c r="AA114" s="83">
        <f t="shared" si="39"/>
        <v>22.669056977113563</v>
      </c>
      <c r="AB114" s="84" t="str">
        <f t="shared" si="45"/>
        <v>Costo eficiente: se está gastando menos de lo presupuestado</v>
      </c>
      <c r="AC114" s="84">
        <f t="shared" si="36"/>
        <v>0.98387096774193494</v>
      </c>
      <c r="AD114" s="84" t="str">
        <f t="shared" si="46"/>
        <v>Proyecto atrasado con respecto al cronograma</v>
      </c>
      <c r="AE114" s="85">
        <f t="shared" si="37"/>
        <v>198703711.47540987</v>
      </c>
      <c r="AF114" s="85">
        <f t="shared" si="38"/>
        <v>-4305722045.5245905</v>
      </c>
      <c r="AG114" s="40" t="str">
        <f>VLOOKUP(Indicador!E114,Diccionario!C$1:AC$150,27,0)</f>
        <v>https://growdatasas.sharepoint.com/:x:/r/sites/Gestiondocumental/Administrativa/GD/Financiera/_layouts/15/Doc.aspx?sourcedoc=%7B0974E3E6-B78B-4C29-8F8A-9CF11A235CF4%7D&amp;file=20240530%20UT%20ENTERRITORIO%202027%20(SERVICIO).xlsm&amp;action=default&amp;mobileredirect=true</v>
      </c>
      <c r="AH114" s="40">
        <v>1</v>
      </c>
      <c r="AI114" s="40">
        <v>1</v>
      </c>
    </row>
    <row r="115" spans="1:35" ht="18.75" customHeight="1">
      <c r="A115" s="73">
        <v>2026</v>
      </c>
      <c r="B115" s="112" t="s">
        <v>22</v>
      </c>
      <c r="C115" s="36" t="s">
        <v>216</v>
      </c>
      <c r="D115" s="37">
        <v>45443.82223568287</v>
      </c>
      <c r="E115" s="36" t="s">
        <v>1</v>
      </c>
      <c r="F115" s="36" t="s">
        <v>156</v>
      </c>
      <c r="G115" s="36" t="s">
        <v>217</v>
      </c>
      <c r="H115" s="36" t="s">
        <v>218</v>
      </c>
      <c r="I115" s="36" t="s">
        <v>152</v>
      </c>
      <c r="J115" s="36" t="s">
        <v>219</v>
      </c>
      <c r="K115" s="36" t="s">
        <v>177</v>
      </c>
      <c r="L115" s="74">
        <f>VLOOKUP(E115,Diccionario!C$2:AC$150,22,0)</f>
        <v>4504425757</v>
      </c>
      <c r="M115" s="75">
        <f>VLOOKUP(E115,Diccionario!C$2:AC$150,24,0)</f>
        <v>45439</v>
      </c>
      <c r="N115" s="76">
        <f>VLOOKUP(E115,Diccionario!C$2:AC$150,25,0)</f>
        <v>46533</v>
      </c>
      <c r="O115" s="77">
        <f>VLOOKUP(E115,Diccionario!C$2:AC$150,26,0)</f>
        <v>35.97</v>
      </c>
      <c r="P115" s="77">
        <f t="shared" si="41"/>
        <v>-13.969999999999999</v>
      </c>
      <c r="Q115" s="78">
        <f t="shared" si="47"/>
        <v>22</v>
      </c>
      <c r="R115" s="36">
        <v>36</v>
      </c>
      <c r="S115" s="86">
        <f t="shared" si="48"/>
        <v>0.65000000000000036</v>
      </c>
      <c r="T115" s="86">
        <v>0.67</v>
      </c>
      <c r="U115" s="82">
        <v>121209264</v>
      </c>
      <c r="V115" s="82">
        <v>121209264</v>
      </c>
      <c r="W115" s="82">
        <f t="shared" si="34"/>
        <v>3017965257.1900001</v>
      </c>
      <c r="X115" s="82">
        <f t="shared" si="43"/>
        <v>2927876742.0500016</v>
      </c>
      <c r="Y115" s="82">
        <f t="shared" si="35"/>
        <v>2896755993.1900001</v>
      </c>
      <c r="Z115" s="82">
        <f t="shared" si="44"/>
        <v>90088515.139998436</v>
      </c>
      <c r="AA115" s="83">
        <f t="shared" si="39"/>
        <v>24.898800286337849</v>
      </c>
      <c r="AB115" s="84" t="str">
        <f t="shared" si="45"/>
        <v>Costo eficiente: se está gastando menos de lo presupuestado</v>
      </c>
      <c r="AC115" s="84">
        <f t="shared" si="36"/>
        <v>1.0307692307692302</v>
      </c>
      <c r="AD115" s="84" t="str">
        <f t="shared" si="46"/>
        <v>Proyecto adelantado respecto al cronograma</v>
      </c>
      <c r="AE115" s="85">
        <f t="shared" si="37"/>
        <v>180909349.25373134</v>
      </c>
      <c r="AF115" s="85">
        <f t="shared" si="38"/>
        <v>-4323516407.7462683</v>
      </c>
      <c r="AG115" s="40" t="str">
        <f>VLOOKUP(Indicador!E115,Diccionario!C$1:AC$150,27,0)</f>
        <v>https://growdatasas.sharepoint.com/:x:/r/sites/Gestiondocumental/Administrativa/GD/Financiera/_layouts/15/Doc.aspx?sourcedoc=%7B0974E3E6-B78B-4C29-8F8A-9CF11A235CF4%7D&amp;file=20240530%20UT%20ENTERRITORIO%202027%20(SERVICIO).xlsm&amp;action=default&amp;mobileredirect=true</v>
      </c>
      <c r="AH115" s="40">
        <v>1</v>
      </c>
      <c r="AI115" s="40">
        <v>1</v>
      </c>
    </row>
    <row r="116" spans="1:35" ht="18.75" customHeight="1">
      <c r="A116" s="73">
        <v>2026</v>
      </c>
      <c r="B116" s="112" t="s">
        <v>24</v>
      </c>
      <c r="C116" s="36" t="s">
        <v>216</v>
      </c>
      <c r="D116" s="37">
        <v>45443.82223568287</v>
      </c>
      <c r="E116" s="36" t="s">
        <v>1</v>
      </c>
      <c r="F116" s="36" t="s">
        <v>156</v>
      </c>
      <c r="G116" s="36" t="s">
        <v>217</v>
      </c>
      <c r="H116" s="36" t="s">
        <v>218</v>
      </c>
      <c r="I116" s="36" t="s">
        <v>152</v>
      </c>
      <c r="J116" s="36" t="s">
        <v>219</v>
      </c>
      <c r="K116" s="36" t="s">
        <v>177</v>
      </c>
      <c r="L116" s="74">
        <f>VLOOKUP(E116,Diccionario!C$2:AC$150,22,0)</f>
        <v>4504425757</v>
      </c>
      <c r="M116" s="75">
        <f>VLOOKUP(E116,Diccionario!C$2:AC$150,24,0)</f>
        <v>45439</v>
      </c>
      <c r="N116" s="76">
        <f>VLOOKUP(E116,Diccionario!C$2:AC$150,25,0)</f>
        <v>46533</v>
      </c>
      <c r="O116" s="77">
        <f>VLOOKUP(E116,Diccionario!C$2:AC$150,26,0)</f>
        <v>35.97</v>
      </c>
      <c r="P116" s="77">
        <f t="shared" si="41"/>
        <v>-12.969999999999999</v>
      </c>
      <c r="Q116" s="78">
        <f t="shared" si="47"/>
        <v>23</v>
      </c>
      <c r="R116" s="36">
        <v>36</v>
      </c>
      <c r="S116" s="86">
        <f t="shared" si="48"/>
        <v>0.68000000000000038</v>
      </c>
      <c r="T116" s="86"/>
      <c r="U116" s="82"/>
      <c r="V116" s="82"/>
      <c r="W116" s="82">
        <f t="shared" si="34"/>
        <v>0</v>
      </c>
      <c r="X116" s="82">
        <f t="shared" si="43"/>
        <v>3063009514.7600017</v>
      </c>
      <c r="Y116" s="82">
        <f t="shared" si="35"/>
        <v>0</v>
      </c>
      <c r="Z116" s="82">
        <f t="shared" si="44"/>
        <v>-3063009514.7600017</v>
      </c>
      <c r="AA116" s="83" t="str">
        <f t="shared" si="39"/>
        <v>No se realizó gasto en este corte</v>
      </c>
      <c r="AB116" s="84" t="str">
        <f t="shared" si="45"/>
        <v>Costo eficiente: se está gastando menos de lo presupuestado</v>
      </c>
      <c r="AC116" s="84">
        <f t="shared" si="36"/>
        <v>0</v>
      </c>
      <c r="AD116" s="84" t="str">
        <f t="shared" si="46"/>
        <v>Sin Línea Base</v>
      </c>
      <c r="AE116" s="85">
        <f t="shared" si="37"/>
        <v>0</v>
      </c>
      <c r="AF116" s="85">
        <f t="shared" si="38"/>
        <v>-4504425757</v>
      </c>
      <c r="AG116" s="40" t="str">
        <f>VLOOKUP(Indicador!E116,Diccionario!C$1:AC$150,27,0)</f>
        <v>https://growdatasas.sharepoint.com/:x:/r/sites/Gestiondocumental/Administrativa/GD/Financiera/_layouts/15/Doc.aspx?sourcedoc=%7B0974E3E6-B78B-4C29-8F8A-9CF11A235CF4%7D&amp;file=20240530%20UT%20ENTERRITORIO%202027%20(SERVICIO).xlsm&amp;action=default&amp;mobileredirect=true</v>
      </c>
      <c r="AH116" s="40">
        <v>1</v>
      </c>
      <c r="AI116" s="40">
        <v>1</v>
      </c>
    </row>
    <row r="117" spans="1:35" ht="18.75" customHeight="1">
      <c r="A117" s="73">
        <v>2026</v>
      </c>
      <c r="B117" s="112" t="s">
        <v>27</v>
      </c>
      <c r="C117" s="36" t="s">
        <v>216</v>
      </c>
      <c r="D117" s="37">
        <v>45443.82223568287</v>
      </c>
      <c r="E117" s="36" t="s">
        <v>1</v>
      </c>
      <c r="F117" s="36" t="s">
        <v>156</v>
      </c>
      <c r="G117" s="36" t="s">
        <v>217</v>
      </c>
      <c r="H117" s="36" t="s">
        <v>218</v>
      </c>
      <c r="I117" s="36" t="s">
        <v>152</v>
      </c>
      <c r="J117" s="36" t="s">
        <v>219</v>
      </c>
      <c r="K117" s="36" t="s">
        <v>177</v>
      </c>
      <c r="L117" s="74">
        <f>VLOOKUP(E117,Diccionario!C$2:AC$150,22,0)</f>
        <v>4504425757</v>
      </c>
      <c r="M117" s="75">
        <f>VLOOKUP(E117,Diccionario!C$2:AC$150,24,0)</f>
        <v>45439</v>
      </c>
      <c r="N117" s="76">
        <f>VLOOKUP(E117,Diccionario!C$2:AC$150,25,0)</f>
        <v>46533</v>
      </c>
      <c r="O117" s="77">
        <f>VLOOKUP(E117,Diccionario!C$2:AC$150,26,0)</f>
        <v>35.97</v>
      </c>
      <c r="P117" s="77">
        <f t="shared" si="41"/>
        <v>-11.969999999999999</v>
      </c>
      <c r="Q117" s="78">
        <f t="shared" si="47"/>
        <v>24</v>
      </c>
      <c r="R117" s="36">
        <v>36</v>
      </c>
      <c r="S117" s="86">
        <f t="shared" si="48"/>
        <v>0.71000000000000041</v>
      </c>
      <c r="T117" s="86"/>
      <c r="U117" s="82"/>
      <c r="V117" s="82"/>
      <c r="W117" s="82">
        <f t="shared" si="34"/>
        <v>0</v>
      </c>
      <c r="X117" s="82">
        <f t="shared" si="43"/>
        <v>3198142287.4700017</v>
      </c>
      <c r="Y117" s="82">
        <f t="shared" si="35"/>
        <v>0</v>
      </c>
      <c r="Z117" s="82">
        <f t="shared" si="44"/>
        <v>-3198142287.4700017</v>
      </c>
      <c r="AA117" s="83" t="str">
        <f t="shared" si="39"/>
        <v>No se realizó gasto en este corte</v>
      </c>
      <c r="AB117" s="84" t="str">
        <f t="shared" si="45"/>
        <v>Costo eficiente: se está gastando menos de lo presupuestado</v>
      </c>
      <c r="AC117" s="84">
        <f t="shared" si="36"/>
        <v>0</v>
      </c>
      <c r="AD117" s="84" t="str">
        <f t="shared" si="46"/>
        <v>Sin Línea Base</v>
      </c>
      <c r="AE117" s="85">
        <f t="shared" si="37"/>
        <v>0</v>
      </c>
      <c r="AF117" s="85">
        <f t="shared" si="38"/>
        <v>-4504425757</v>
      </c>
      <c r="AG117" s="40" t="str">
        <f>VLOOKUP(Indicador!E117,Diccionario!C$1:AC$150,27,0)</f>
        <v>https://growdatasas.sharepoint.com/:x:/r/sites/Gestiondocumental/Administrativa/GD/Financiera/_layouts/15/Doc.aspx?sourcedoc=%7B0974E3E6-B78B-4C29-8F8A-9CF11A235CF4%7D&amp;file=20240530%20UT%20ENTERRITORIO%202027%20(SERVICIO).xlsm&amp;action=default&amp;mobileredirect=true</v>
      </c>
      <c r="AH117" s="40">
        <v>1</v>
      </c>
      <c r="AI117" s="40">
        <v>1</v>
      </c>
    </row>
    <row r="118" spans="1:35" ht="18.75" customHeight="1">
      <c r="A118" s="73">
        <v>2026</v>
      </c>
      <c r="B118" s="112" t="s">
        <v>13</v>
      </c>
      <c r="C118" s="36" t="s">
        <v>216</v>
      </c>
      <c r="D118" s="37">
        <v>45443.82223568287</v>
      </c>
      <c r="E118" s="36" t="s">
        <v>1</v>
      </c>
      <c r="F118" s="36" t="s">
        <v>156</v>
      </c>
      <c r="G118" s="36" t="s">
        <v>217</v>
      </c>
      <c r="H118" s="36" t="s">
        <v>218</v>
      </c>
      <c r="I118" s="36" t="s">
        <v>152</v>
      </c>
      <c r="J118" s="36" t="s">
        <v>219</v>
      </c>
      <c r="K118" s="36" t="s">
        <v>177</v>
      </c>
      <c r="L118" s="74">
        <f>VLOOKUP(E118,Diccionario!C$2:AC$150,22,0)</f>
        <v>4504425757</v>
      </c>
      <c r="M118" s="75">
        <f>VLOOKUP(E118,Diccionario!C$2:AC$150,24,0)</f>
        <v>45439</v>
      </c>
      <c r="N118" s="76">
        <f>VLOOKUP(E118,Diccionario!C$2:AC$150,25,0)</f>
        <v>46533</v>
      </c>
      <c r="O118" s="77">
        <f>VLOOKUP(E118,Diccionario!C$2:AC$150,26,0)</f>
        <v>35.97</v>
      </c>
      <c r="P118" s="77">
        <f t="shared" si="41"/>
        <v>-10.969999999999999</v>
      </c>
      <c r="Q118" s="78">
        <f t="shared" si="47"/>
        <v>25</v>
      </c>
      <c r="R118" s="36">
        <v>36</v>
      </c>
      <c r="S118" s="86">
        <f t="shared" si="48"/>
        <v>0.74000000000000044</v>
      </c>
      <c r="T118" s="86"/>
      <c r="U118" s="82"/>
      <c r="V118" s="82"/>
      <c r="W118" s="82">
        <f t="shared" si="34"/>
        <v>0</v>
      </c>
      <c r="X118" s="82">
        <f t="shared" si="43"/>
        <v>3333275060.1800017</v>
      </c>
      <c r="Y118" s="82">
        <f t="shared" si="35"/>
        <v>0</v>
      </c>
      <c r="Z118" s="82">
        <f t="shared" si="44"/>
        <v>-3333275060.1800017</v>
      </c>
      <c r="AA118" s="83" t="str">
        <f t="shared" si="39"/>
        <v>No se realizó gasto en este corte</v>
      </c>
      <c r="AB118" s="84" t="str">
        <f t="shared" si="45"/>
        <v>Costo eficiente: se está gastando menos de lo presupuestado</v>
      </c>
      <c r="AC118" s="84">
        <f t="shared" si="36"/>
        <v>0</v>
      </c>
      <c r="AD118" s="84" t="str">
        <f t="shared" si="46"/>
        <v>Sin Línea Base</v>
      </c>
      <c r="AE118" s="85">
        <f t="shared" si="37"/>
        <v>0</v>
      </c>
      <c r="AF118" s="85">
        <f t="shared" si="38"/>
        <v>-4504425757</v>
      </c>
      <c r="AG118" s="40" t="str">
        <f>VLOOKUP(Indicador!E118,Diccionario!C$1:AC$150,27,0)</f>
        <v>https://growdatasas.sharepoint.com/:x:/r/sites/Gestiondocumental/Administrativa/GD/Financiera/_layouts/15/Doc.aspx?sourcedoc=%7B0974E3E6-B78B-4C29-8F8A-9CF11A235CF4%7D&amp;file=20240530%20UT%20ENTERRITORIO%202027%20(SERVICIO).xlsm&amp;action=default&amp;mobileredirect=true</v>
      </c>
      <c r="AH118" s="40">
        <v>1</v>
      </c>
      <c r="AI118" s="40">
        <v>1</v>
      </c>
    </row>
    <row r="119" spans="1:35" ht="18.75" customHeight="1">
      <c r="A119" s="73">
        <v>2026</v>
      </c>
      <c r="B119" s="112" t="s">
        <v>21</v>
      </c>
      <c r="C119" s="36" t="s">
        <v>216</v>
      </c>
      <c r="D119" s="37">
        <v>45443.82223568287</v>
      </c>
      <c r="E119" s="36" t="s">
        <v>1</v>
      </c>
      <c r="F119" s="36" t="s">
        <v>156</v>
      </c>
      <c r="G119" s="36" t="s">
        <v>217</v>
      </c>
      <c r="H119" s="36" t="s">
        <v>218</v>
      </c>
      <c r="I119" s="36" t="s">
        <v>152</v>
      </c>
      <c r="J119" s="36" t="s">
        <v>219</v>
      </c>
      <c r="K119" s="36" t="s">
        <v>177</v>
      </c>
      <c r="L119" s="74">
        <f>VLOOKUP(E119,Diccionario!C$2:AC$150,22,0)</f>
        <v>4504425757</v>
      </c>
      <c r="M119" s="75">
        <f>VLOOKUP(E119,Diccionario!C$2:AC$150,24,0)</f>
        <v>45439</v>
      </c>
      <c r="N119" s="76">
        <f>VLOOKUP(E119,Diccionario!C$2:AC$150,25,0)</f>
        <v>46533</v>
      </c>
      <c r="O119" s="77">
        <f>VLOOKUP(E119,Diccionario!C$2:AC$150,26,0)</f>
        <v>35.97</v>
      </c>
      <c r="P119" s="77">
        <f t="shared" si="41"/>
        <v>-9.9699999999999989</v>
      </c>
      <c r="Q119" s="78">
        <f t="shared" si="47"/>
        <v>26</v>
      </c>
      <c r="R119" s="36">
        <v>36</v>
      </c>
      <c r="S119" s="86">
        <f t="shared" si="48"/>
        <v>0.77000000000000046</v>
      </c>
      <c r="T119" s="86"/>
      <c r="U119" s="82"/>
      <c r="V119" s="82"/>
      <c r="W119" s="82">
        <f t="shared" si="34"/>
        <v>0</v>
      </c>
      <c r="X119" s="82">
        <f t="shared" si="43"/>
        <v>3468407832.8900023</v>
      </c>
      <c r="Y119" s="82">
        <f t="shared" si="35"/>
        <v>0</v>
      </c>
      <c r="Z119" s="82">
        <f t="shared" si="44"/>
        <v>-3468407832.8900023</v>
      </c>
      <c r="AA119" s="83" t="str">
        <f t="shared" si="39"/>
        <v>No se realizó gasto en este corte</v>
      </c>
      <c r="AB119" s="84" t="str">
        <f t="shared" si="45"/>
        <v>Costo eficiente: se está gastando menos de lo presupuestado</v>
      </c>
      <c r="AC119" s="84">
        <f t="shared" si="36"/>
        <v>0</v>
      </c>
      <c r="AD119" s="84" t="str">
        <f t="shared" si="46"/>
        <v>Sin Línea Base</v>
      </c>
      <c r="AE119" s="85">
        <f t="shared" si="37"/>
        <v>0</v>
      </c>
      <c r="AF119" s="85">
        <f t="shared" si="38"/>
        <v>-4504425757</v>
      </c>
      <c r="AG119" s="40" t="str">
        <f>VLOOKUP(Indicador!E119,Diccionario!C$1:AC$150,27,0)</f>
        <v>https://growdatasas.sharepoint.com/:x:/r/sites/Gestiondocumental/Administrativa/GD/Financiera/_layouts/15/Doc.aspx?sourcedoc=%7B0974E3E6-B78B-4C29-8F8A-9CF11A235CF4%7D&amp;file=20240530%20UT%20ENTERRITORIO%202027%20(SERVICIO).xlsm&amp;action=default&amp;mobileredirect=true</v>
      </c>
      <c r="AH119" s="40">
        <v>1</v>
      </c>
      <c r="AI119" s="40">
        <v>1</v>
      </c>
    </row>
    <row r="120" spans="1:35" ht="18.75" customHeight="1">
      <c r="A120" s="73">
        <v>2026</v>
      </c>
      <c r="B120" s="112" t="s">
        <v>23</v>
      </c>
      <c r="C120" s="36" t="s">
        <v>216</v>
      </c>
      <c r="D120" s="37">
        <v>45443.82223568287</v>
      </c>
      <c r="E120" s="36" t="s">
        <v>1</v>
      </c>
      <c r="F120" s="36" t="s">
        <v>156</v>
      </c>
      <c r="G120" s="36" t="s">
        <v>217</v>
      </c>
      <c r="H120" s="36" t="s">
        <v>218</v>
      </c>
      <c r="I120" s="36" t="s">
        <v>152</v>
      </c>
      <c r="J120" s="36" t="s">
        <v>219</v>
      </c>
      <c r="K120" s="36" t="s">
        <v>177</v>
      </c>
      <c r="L120" s="74">
        <f>VLOOKUP(E120,Diccionario!C$2:AC$150,22,0)</f>
        <v>4504425757</v>
      </c>
      <c r="M120" s="75">
        <f>VLOOKUP(E120,Diccionario!C$2:AC$150,24,0)</f>
        <v>45439</v>
      </c>
      <c r="N120" s="76">
        <f>VLOOKUP(E120,Diccionario!C$2:AC$150,25,0)</f>
        <v>46533</v>
      </c>
      <c r="O120" s="77">
        <f>VLOOKUP(E120,Diccionario!C$2:AC$150,26,0)</f>
        <v>35.97</v>
      </c>
      <c r="P120" s="77">
        <f t="shared" si="41"/>
        <v>-8.9699999999999989</v>
      </c>
      <c r="Q120" s="78">
        <f t="shared" si="47"/>
        <v>27</v>
      </c>
      <c r="R120" s="36">
        <v>36</v>
      </c>
      <c r="S120" s="86">
        <f t="shared" si="48"/>
        <v>0.80000000000000049</v>
      </c>
      <c r="T120" s="86"/>
      <c r="U120" s="82"/>
      <c r="V120" s="82"/>
      <c r="W120" s="82">
        <f t="shared" si="34"/>
        <v>0</v>
      </c>
      <c r="X120" s="82">
        <f t="shared" si="43"/>
        <v>3603540605.6000023</v>
      </c>
      <c r="Y120" s="82">
        <f t="shared" si="35"/>
        <v>0</v>
      </c>
      <c r="Z120" s="82">
        <f t="shared" si="44"/>
        <v>-3603540605.6000023</v>
      </c>
      <c r="AA120" s="83" t="str">
        <f t="shared" si="39"/>
        <v>No se realizó gasto en este corte</v>
      </c>
      <c r="AB120" s="84" t="str">
        <f t="shared" si="45"/>
        <v>Costo eficiente: se está gastando menos de lo presupuestado</v>
      </c>
      <c r="AC120" s="84">
        <f t="shared" si="36"/>
        <v>0</v>
      </c>
      <c r="AD120" s="84" t="str">
        <f t="shared" si="46"/>
        <v>Sin Línea Base</v>
      </c>
      <c r="AE120" s="85">
        <f t="shared" si="37"/>
        <v>0</v>
      </c>
      <c r="AF120" s="85">
        <f t="shared" si="38"/>
        <v>-4504425757</v>
      </c>
      <c r="AG120" s="40" t="str">
        <f>VLOOKUP(Indicador!E120,Diccionario!C$1:AC$150,27,0)</f>
        <v>https://growdatasas.sharepoint.com/:x:/r/sites/Gestiondocumental/Administrativa/GD/Financiera/_layouts/15/Doc.aspx?sourcedoc=%7B0974E3E6-B78B-4C29-8F8A-9CF11A235CF4%7D&amp;file=20240530%20UT%20ENTERRITORIO%202027%20(SERVICIO).xlsm&amp;action=default&amp;mobileredirect=true</v>
      </c>
      <c r="AH120" s="40">
        <v>1</v>
      </c>
      <c r="AI120" s="40">
        <v>1</v>
      </c>
    </row>
    <row r="121" spans="1:35" ht="18.75" customHeight="1">
      <c r="A121" s="73">
        <v>2026</v>
      </c>
      <c r="B121" s="112" t="s">
        <v>26</v>
      </c>
      <c r="C121" s="36" t="s">
        <v>216</v>
      </c>
      <c r="D121" s="37">
        <v>45443.82223568287</v>
      </c>
      <c r="E121" s="36" t="s">
        <v>1</v>
      </c>
      <c r="F121" s="36" t="s">
        <v>156</v>
      </c>
      <c r="G121" s="36" t="s">
        <v>217</v>
      </c>
      <c r="H121" s="36" t="s">
        <v>218</v>
      </c>
      <c r="I121" s="36" t="s">
        <v>152</v>
      </c>
      <c r="J121" s="36" t="s">
        <v>219</v>
      </c>
      <c r="K121" s="36" t="s">
        <v>177</v>
      </c>
      <c r="L121" s="74">
        <f>VLOOKUP(E121,Diccionario!C$2:AC$150,22,0)</f>
        <v>4504425757</v>
      </c>
      <c r="M121" s="75">
        <f>VLOOKUP(E121,Diccionario!C$2:AC$150,24,0)</f>
        <v>45439</v>
      </c>
      <c r="N121" s="76">
        <f>VLOOKUP(E121,Diccionario!C$2:AC$150,25,0)</f>
        <v>46533</v>
      </c>
      <c r="O121" s="77">
        <f>VLOOKUP(E121,Diccionario!C$2:AC$150,26,0)</f>
        <v>35.97</v>
      </c>
      <c r="P121" s="77">
        <f t="shared" si="41"/>
        <v>-7.9699999999999989</v>
      </c>
      <c r="Q121" s="78">
        <f t="shared" si="47"/>
        <v>28</v>
      </c>
      <c r="R121" s="36">
        <v>36</v>
      </c>
      <c r="S121" s="86">
        <f>S120+0.02</f>
        <v>0.82000000000000051</v>
      </c>
      <c r="T121" s="86"/>
      <c r="U121" s="82"/>
      <c r="V121" s="82"/>
      <c r="W121" s="82">
        <f t="shared" si="34"/>
        <v>0</v>
      </c>
      <c r="X121" s="82">
        <f t="shared" si="43"/>
        <v>3693629120.7400022</v>
      </c>
      <c r="Y121" s="82">
        <f t="shared" si="35"/>
        <v>0</v>
      </c>
      <c r="Z121" s="82">
        <f t="shared" si="44"/>
        <v>-3693629120.7400022</v>
      </c>
      <c r="AA121" s="83" t="str">
        <f t="shared" si="39"/>
        <v>No se realizó gasto en este corte</v>
      </c>
      <c r="AB121" s="84" t="str">
        <f t="shared" si="45"/>
        <v>Costo eficiente: se está gastando menos de lo presupuestado</v>
      </c>
      <c r="AC121" s="84">
        <f t="shared" si="36"/>
        <v>0</v>
      </c>
      <c r="AD121" s="84" t="str">
        <f t="shared" si="46"/>
        <v>Sin Línea Base</v>
      </c>
      <c r="AE121" s="85">
        <f t="shared" si="37"/>
        <v>0</v>
      </c>
      <c r="AF121" s="85">
        <f t="shared" si="38"/>
        <v>-4504425757</v>
      </c>
      <c r="AG121" s="40" t="str">
        <f>VLOOKUP(Indicador!E121,Diccionario!C$1:AC$150,27,0)</f>
        <v>https://growdatasas.sharepoint.com/:x:/r/sites/Gestiondocumental/Administrativa/GD/Financiera/_layouts/15/Doc.aspx?sourcedoc=%7B0974E3E6-B78B-4C29-8F8A-9CF11A235CF4%7D&amp;file=20240530%20UT%20ENTERRITORIO%202027%20(SERVICIO).xlsm&amp;action=default&amp;mobileredirect=true</v>
      </c>
      <c r="AH121" s="40">
        <v>1</v>
      </c>
      <c r="AI121" s="40">
        <v>1</v>
      </c>
    </row>
    <row r="122" spans="1:35" ht="18.75" customHeight="1">
      <c r="A122" s="73">
        <v>2026</v>
      </c>
      <c r="B122" s="112" t="s">
        <v>28</v>
      </c>
      <c r="C122" s="36" t="s">
        <v>216</v>
      </c>
      <c r="D122" s="37">
        <v>45443.82223568287</v>
      </c>
      <c r="E122" s="36" t="s">
        <v>1</v>
      </c>
      <c r="F122" s="36" t="s">
        <v>156</v>
      </c>
      <c r="G122" s="36" t="s">
        <v>217</v>
      </c>
      <c r="H122" s="36" t="s">
        <v>218</v>
      </c>
      <c r="I122" s="36" t="s">
        <v>152</v>
      </c>
      <c r="J122" s="36" t="s">
        <v>219</v>
      </c>
      <c r="K122" s="36" t="s">
        <v>177</v>
      </c>
      <c r="L122" s="74">
        <f>VLOOKUP(E122,Diccionario!C$2:AC$150,22,0)</f>
        <v>4504425757</v>
      </c>
      <c r="M122" s="75">
        <f>VLOOKUP(E122,Diccionario!C$2:AC$150,24,0)</f>
        <v>45439</v>
      </c>
      <c r="N122" s="76">
        <f>VLOOKUP(E122,Diccionario!C$2:AC$150,25,0)</f>
        <v>46533</v>
      </c>
      <c r="O122" s="77">
        <f>VLOOKUP(E122,Diccionario!C$2:AC$150,26,0)</f>
        <v>35.97</v>
      </c>
      <c r="P122" s="77">
        <f t="shared" si="41"/>
        <v>-6.9699999999999989</v>
      </c>
      <c r="Q122" s="78">
        <f t="shared" si="47"/>
        <v>29</v>
      </c>
      <c r="R122" s="36">
        <v>36</v>
      </c>
      <c r="S122" s="86">
        <f t="shared" si="48"/>
        <v>0.85000000000000053</v>
      </c>
      <c r="T122" s="86"/>
      <c r="U122" s="82"/>
      <c r="V122" s="82"/>
      <c r="W122" s="82">
        <f t="shared" si="34"/>
        <v>0</v>
      </c>
      <c r="X122" s="82">
        <f t="shared" si="43"/>
        <v>3828761893.4500022</v>
      </c>
      <c r="Y122" s="82">
        <f t="shared" si="35"/>
        <v>0</v>
      </c>
      <c r="Z122" s="82">
        <f t="shared" si="44"/>
        <v>-3828761893.4500022</v>
      </c>
      <c r="AA122" s="83" t="str">
        <f t="shared" si="39"/>
        <v>No se realizó gasto en este corte</v>
      </c>
      <c r="AB122" s="84" t="str">
        <f t="shared" si="45"/>
        <v>Costo eficiente: se está gastando menos de lo presupuestado</v>
      </c>
      <c r="AC122" s="84">
        <f t="shared" si="36"/>
        <v>0</v>
      </c>
      <c r="AD122" s="84" t="str">
        <f t="shared" si="46"/>
        <v>Sin Línea Base</v>
      </c>
      <c r="AE122" s="85">
        <f t="shared" si="37"/>
        <v>0</v>
      </c>
      <c r="AF122" s="85">
        <f t="shared" si="38"/>
        <v>-4504425757</v>
      </c>
      <c r="AG122" s="40" t="str">
        <f>VLOOKUP(Indicador!E122,Diccionario!C$1:AC$150,27,0)</f>
        <v>https://growdatasas.sharepoint.com/:x:/r/sites/Gestiondocumental/Administrativa/GD/Financiera/_layouts/15/Doc.aspx?sourcedoc=%7B0974E3E6-B78B-4C29-8F8A-9CF11A235CF4%7D&amp;file=20240530%20UT%20ENTERRITORIO%202027%20(SERVICIO).xlsm&amp;action=default&amp;mobileredirect=true</v>
      </c>
      <c r="AH122" s="40">
        <v>1</v>
      </c>
      <c r="AI122" s="40">
        <v>1</v>
      </c>
    </row>
    <row r="123" spans="1:35" ht="18.75" customHeight="1">
      <c r="A123" s="73">
        <v>2026</v>
      </c>
      <c r="B123" s="112" t="s">
        <v>30</v>
      </c>
      <c r="C123" s="36" t="s">
        <v>216</v>
      </c>
      <c r="D123" s="37">
        <v>45443.82223568287</v>
      </c>
      <c r="E123" s="36" t="s">
        <v>1</v>
      </c>
      <c r="F123" s="36" t="s">
        <v>156</v>
      </c>
      <c r="G123" s="36" t="s">
        <v>217</v>
      </c>
      <c r="H123" s="36" t="s">
        <v>218</v>
      </c>
      <c r="I123" s="36" t="s">
        <v>152</v>
      </c>
      <c r="J123" s="36" t="s">
        <v>219</v>
      </c>
      <c r="K123" s="36" t="s">
        <v>177</v>
      </c>
      <c r="L123" s="74">
        <f>VLOOKUP(E123,Diccionario!C$2:AC$150,22,0)</f>
        <v>4504425757</v>
      </c>
      <c r="M123" s="75">
        <f>VLOOKUP(E123,Diccionario!C$2:AC$150,24,0)</f>
        <v>45439</v>
      </c>
      <c r="N123" s="76">
        <f>VLOOKUP(E123,Diccionario!C$2:AC$150,25,0)</f>
        <v>46533</v>
      </c>
      <c r="O123" s="77">
        <f>VLOOKUP(E123,Diccionario!C$2:AC$150,26,0)</f>
        <v>35.97</v>
      </c>
      <c r="P123" s="77">
        <f t="shared" si="41"/>
        <v>-5.9699999999999989</v>
      </c>
      <c r="Q123" s="78">
        <f t="shared" si="47"/>
        <v>30</v>
      </c>
      <c r="R123" s="36">
        <v>36</v>
      </c>
      <c r="S123" s="86">
        <f>S122+0.01</f>
        <v>0.86000000000000054</v>
      </c>
      <c r="T123" s="86"/>
      <c r="U123" s="82"/>
      <c r="V123" s="82"/>
      <c r="W123" s="82">
        <f t="shared" si="34"/>
        <v>0</v>
      </c>
      <c r="X123" s="82">
        <f t="shared" si="43"/>
        <v>3873806151.0200024</v>
      </c>
      <c r="Y123" s="82">
        <f t="shared" si="35"/>
        <v>0</v>
      </c>
      <c r="Z123" s="82">
        <f t="shared" si="44"/>
        <v>-3873806151.0200024</v>
      </c>
      <c r="AA123" s="83" t="str">
        <f t="shared" si="39"/>
        <v>No se realizó gasto en este corte</v>
      </c>
      <c r="AB123" s="84" t="str">
        <f t="shared" si="45"/>
        <v>Costo eficiente: se está gastando menos de lo presupuestado</v>
      </c>
      <c r="AC123" s="84">
        <f t="shared" si="36"/>
        <v>0</v>
      </c>
      <c r="AD123" s="84" t="str">
        <f t="shared" si="46"/>
        <v>Sin Línea Base</v>
      </c>
      <c r="AE123" s="85">
        <f t="shared" si="37"/>
        <v>0</v>
      </c>
      <c r="AF123" s="85">
        <f t="shared" si="38"/>
        <v>-4504425757</v>
      </c>
      <c r="AG123" s="40" t="str">
        <f>VLOOKUP(Indicador!E123,Diccionario!C$1:AC$150,27,0)</f>
        <v>https://growdatasas.sharepoint.com/:x:/r/sites/Gestiondocumental/Administrativa/GD/Financiera/_layouts/15/Doc.aspx?sourcedoc=%7B0974E3E6-B78B-4C29-8F8A-9CF11A235CF4%7D&amp;file=20240530%20UT%20ENTERRITORIO%202027%20(SERVICIO).xlsm&amp;action=default&amp;mobileredirect=true</v>
      </c>
      <c r="AH123" s="40">
        <v>1</v>
      </c>
      <c r="AI123" s="40">
        <v>1</v>
      </c>
    </row>
    <row r="124" spans="1:35" ht="18.75" customHeight="1">
      <c r="A124" s="73">
        <v>2026</v>
      </c>
      <c r="B124" s="112" t="s">
        <v>31</v>
      </c>
      <c r="C124" s="36" t="s">
        <v>216</v>
      </c>
      <c r="D124" s="37">
        <v>45443.82223568287</v>
      </c>
      <c r="E124" s="36" t="s">
        <v>1</v>
      </c>
      <c r="F124" s="36" t="s">
        <v>156</v>
      </c>
      <c r="G124" s="36" t="s">
        <v>217</v>
      </c>
      <c r="H124" s="36" t="s">
        <v>218</v>
      </c>
      <c r="I124" s="36" t="s">
        <v>152</v>
      </c>
      <c r="J124" s="36" t="s">
        <v>219</v>
      </c>
      <c r="K124" s="36" t="s">
        <v>177</v>
      </c>
      <c r="L124" s="74">
        <f>VLOOKUP(E124,Diccionario!C$2:AC$150,22,0)</f>
        <v>4504425757</v>
      </c>
      <c r="M124" s="75">
        <f>VLOOKUP(E124,Diccionario!C$2:AC$150,24,0)</f>
        <v>45439</v>
      </c>
      <c r="N124" s="76">
        <f>VLOOKUP(E124,Diccionario!C$2:AC$150,25,0)</f>
        <v>46533</v>
      </c>
      <c r="O124" s="77">
        <f>VLOOKUP(E124,Diccionario!C$2:AC$150,26,0)</f>
        <v>35.97</v>
      </c>
      <c r="P124" s="77">
        <f t="shared" si="41"/>
        <v>-4.9699999999999989</v>
      </c>
      <c r="Q124" s="78">
        <f t="shared" si="47"/>
        <v>31</v>
      </c>
      <c r="R124" s="36">
        <v>36</v>
      </c>
      <c r="S124" s="86">
        <f t="shared" ref="S124:S127" si="49">S123+0.01</f>
        <v>0.87000000000000055</v>
      </c>
      <c r="T124" s="86"/>
      <c r="U124" s="82"/>
      <c r="V124" s="82"/>
      <c r="W124" s="82">
        <f t="shared" si="34"/>
        <v>0</v>
      </c>
      <c r="X124" s="82">
        <f t="shared" si="43"/>
        <v>3918850408.5900025</v>
      </c>
      <c r="Y124" s="82">
        <f t="shared" si="35"/>
        <v>0</v>
      </c>
      <c r="Z124" s="82">
        <f t="shared" si="44"/>
        <v>-3918850408.5900025</v>
      </c>
      <c r="AA124" s="83" t="str">
        <f t="shared" si="39"/>
        <v>No se realizó gasto en este corte</v>
      </c>
      <c r="AB124" s="84" t="str">
        <f t="shared" si="45"/>
        <v>Costo eficiente: se está gastando menos de lo presupuestado</v>
      </c>
      <c r="AC124" s="84">
        <f t="shared" si="36"/>
        <v>0</v>
      </c>
      <c r="AD124" s="84" t="str">
        <f t="shared" si="46"/>
        <v>Sin Línea Base</v>
      </c>
      <c r="AE124" s="85">
        <f t="shared" si="37"/>
        <v>0</v>
      </c>
      <c r="AF124" s="85">
        <f t="shared" si="38"/>
        <v>-4504425757</v>
      </c>
      <c r="AG124" s="40" t="str">
        <f>VLOOKUP(Indicador!E124,Diccionario!C$1:AC$150,27,0)</f>
        <v>https://growdatasas.sharepoint.com/:x:/r/sites/Gestiondocumental/Administrativa/GD/Financiera/_layouts/15/Doc.aspx?sourcedoc=%7B0974E3E6-B78B-4C29-8F8A-9CF11A235CF4%7D&amp;file=20240530%20UT%20ENTERRITORIO%202027%20(SERVICIO).xlsm&amp;action=default&amp;mobileredirect=true</v>
      </c>
      <c r="AH124" s="40">
        <v>1</v>
      </c>
      <c r="AI124" s="40">
        <v>1</v>
      </c>
    </row>
    <row r="125" spans="1:35" ht="18.75" customHeight="1">
      <c r="A125" s="73">
        <v>2026</v>
      </c>
      <c r="B125" s="112" t="s">
        <v>32</v>
      </c>
      <c r="C125" s="36" t="s">
        <v>216</v>
      </c>
      <c r="D125" s="37">
        <v>45443.82223568287</v>
      </c>
      <c r="E125" s="36" t="s">
        <v>1</v>
      </c>
      <c r="F125" s="36" t="s">
        <v>156</v>
      </c>
      <c r="G125" s="36" t="s">
        <v>217</v>
      </c>
      <c r="H125" s="36" t="s">
        <v>218</v>
      </c>
      <c r="I125" s="36" t="s">
        <v>152</v>
      </c>
      <c r="J125" s="36" t="s">
        <v>219</v>
      </c>
      <c r="K125" s="36" t="s">
        <v>177</v>
      </c>
      <c r="L125" s="74">
        <f>VLOOKUP(E125,Diccionario!C$2:AC$150,22,0)</f>
        <v>4504425757</v>
      </c>
      <c r="M125" s="75">
        <f>VLOOKUP(E125,Diccionario!C$2:AC$150,24,0)</f>
        <v>45439</v>
      </c>
      <c r="N125" s="76">
        <f>VLOOKUP(E125,Diccionario!C$2:AC$150,25,0)</f>
        <v>46533</v>
      </c>
      <c r="O125" s="77">
        <f>VLOOKUP(E125,Diccionario!C$2:AC$150,26,0)</f>
        <v>35.97</v>
      </c>
      <c r="P125" s="77">
        <f t="shared" si="41"/>
        <v>-3.9699999999999989</v>
      </c>
      <c r="Q125" s="78">
        <f t="shared" si="47"/>
        <v>32</v>
      </c>
      <c r="R125" s="36">
        <v>36</v>
      </c>
      <c r="S125" s="86">
        <f t="shared" si="49"/>
        <v>0.88000000000000056</v>
      </c>
      <c r="T125" s="86"/>
      <c r="U125" s="82"/>
      <c r="V125" s="82"/>
      <c r="W125" s="82">
        <f t="shared" si="34"/>
        <v>0</v>
      </c>
      <c r="X125" s="82">
        <f t="shared" si="43"/>
        <v>3963894666.1600027</v>
      </c>
      <c r="Y125" s="82">
        <f t="shared" si="35"/>
        <v>0</v>
      </c>
      <c r="Z125" s="82">
        <f t="shared" si="44"/>
        <v>-3963894666.1600027</v>
      </c>
      <c r="AA125" s="83" t="str">
        <f t="shared" si="39"/>
        <v>No se realizó gasto en este corte</v>
      </c>
      <c r="AB125" s="84" t="str">
        <f t="shared" si="45"/>
        <v>Costo eficiente: se está gastando menos de lo presupuestado</v>
      </c>
      <c r="AC125" s="84">
        <f t="shared" si="36"/>
        <v>0</v>
      </c>
      <c r="AD125" s="84" t="str">
        <f t="shared" si="46"/>
        <v>Sin Línea Base</v>
      </c>
      <c r="AE125" s="85">
        <f t="shared" si="37"/>
        <v>0</v>
      </c>
      <c r="AF125" s="85">
        <f t="shared" si="38"/>
        <v>-4504425757</v>
      </c>
      <c r="AG125" s="40" t="str">
        <f>VLOOKUP(Indicador!E125,Diccionario!C$1:AC$150,27,0)</f>
        <v>https://growdatasas.sharepoint.com/:x:/r/sites/Gestiondocumental/Administrativa/GD/Financiera/_layouts/15/Doc.aspx?sourcedoc=%7B0974E3E6-B78B-4C29-8F8A-9CF11A235CF4%7D&amp;file=20240530%20UT%20ENTERRITORIO%202027%20(SERVICIO).xlsm&amp;action=default&amp;mobileredirect=true</v>
      </c>
      <c r="AH125" s="40">
        <v>1</v>
      </c>
      <c r="AI125" s="40">
        <v>1</v>
      </c>
    </row>
    <row r="126" spans="1:35" ht="18.75" customHeight="1">
      <c r="A126" s="73">
        <v>2027</v>
      </c>
      <c r="B126" s="112" t="s">
        <v>14</v>
      </c>
      <c r="C126" s="36" t="s">
        <v>216</v>
      </c>
      <c r="D126" s="37">
        <v>45443.82223568287</v>
      </c>
      <c r="E126" s="36" t="s">
        <v>1</v>
      </c>
      <c r="F126" s="36" t="s">
        <v>156</v>
      </c>
      <c r="G126" s="36" t="s">
        <v>217</v>
      </c>
      <c r="H126" s="36" t="s">
        <v>218</v>
      </c>
      <c r="I126" s="36" t="s">
        <v>152</v>
      </c>
      <c r="J126" s="36" t="s">
        <v>219</v>
      </c>
      <c r="K126" s="36" t="s">
        <v>177</v>
      </c>
      <c r="L126" s="74">
        <f>VLOOKUP(E126,Diccionario!C$2:AC$150,22,0)</f>
        <v>4504425757</v>
      </c>
      <c r="M126" s="75">
        <f>VLOOKUP(E126,Diccionario!C$2:AC$150,24,0)</f>
        <v>45439</v>
      </c>
      <c r="N126" s="76">
        <f>VLOOKUP(E126,Diccionario!C$2:AC$150,25,0)</f>
        <v>46533</v>
      </c>
      <c r="O126" s="77">
        <f>VLOOKUP(E126,Diccionario!C$2:AC$150,26,0)</f>
        <v>35.97</v>
      </c>
      <c r="P126" s="77">
        <f t="shared" si="41"/>
        <v>-2.9699999999999989</v>
      </c>
      <c r="Q126" s="78">
        <f t="shared" si="47"/>
        <v>33</v>
      </c>
      <c r="R126" s="36">
        <v>36</v>
      </c>
      <c r="S126" s="86">
        <f t="shared" si="49"/>
        <v>0.89000000000000057</v>
      </c>
      <c r="T126" s="86"/>
      <c r="U126" s="82"/>
      <c r="V126" s="82"/>
      <c r="W126" s="82">
        <f t="shared" si="34"/>
        <v>0</v>
      </c>
      <c r="X126" s="82">
        <f t="shared" si="43"/>
        <v>4008938923.7300024</v>
      </c>
      <c r="Y126" s="82">
        <f t="shared" si="35"/>
        <v>0</v>
      </c>
      <c r="Z126" s="82">
        <f t="shared" si="44"/>
        <v>-4008938923.7300024</v>
      </c>
      <c r="AA126" s="83" t="str">
        <f t="shared" si="39"/>
        <v>No se realizó gasto en este corte</v>
      </c>
      <c r="AB126" s="84" t="str">
        <f t="shared" si="45"/>
        <v>Costo eficiente: se está gastando menos de lo presupuestado</v>
      </c>
      <c r="AC126" s="84">
        <f t="shared" si="36"/>
        <v>0</v>
      </c>
      <c r="AD126" s="84" t="str">
        <f t="shared" si="46"/>
        <v>Sin Línea Base</v>
      </c>
      <c r="AE126" s="85">
        <f t="shared" si="37"/>
        <v>0</v>
      </c>
      <c r="AF126" s="85">
        <f t="shared" si="38"/>
        <v>-4504425757</v>
      </c>
      <c r="AG126" s="40" t="str">
        <f>VLOOKUP(Indicador!E126,Diccionario!C$1:AC$150,27,0)</f>
        <v>https://growdatasas.sharepoint.com/:x:/r/sites/Gestiondocumental/Administrativa/GD/Financiera/_layouts/15/Doc.aspx?sourcedoc=%7B0974E3E6-B78B-4C29-8F8A-9CF11A235CF4%7D&amp;file=20240530%20UT%20ENTERRITORIO%202027%20(SERVICIO).xlsm&amp;action=default&amp;mobileredirect=true</v>
      </c>
      <c r="AH126" s="40">
        <v>1</v>
      </c>
      <c r="AI126" s="40">
        <v>1</v>
      </c>
    </row>
    <row r="127" spans="1:35" ht="18.75" customHeight="1">
      <c r="A127" s="73">
        <v>2027</v>
      </c>
      <c r="B127" s="112" t="s">
        <v>22</v>
      </c>
      <c r="C127" s="36" t="s">
        <v>216</v>
      </c>
      <c r="D127" s="37">
        <v>45443.82223568287</v>
      </c>
      <c r="E127" s="36" t="s">
        <v>1</v>
      </c>
      <c r="F127" s="36" t="s">
        <v>156</v>
      </c>
      <c r="G127" s="36" t="s">
        <v>217</v>
      </c>
      <c r="H127" s="36" t="s">
        <v>218</v>
      </c>
      <c r="I127" s="36" t="s">
        <v>152</v>
      </c>
      <c r="J127" s="36" t="s">
        <v>219</v>
      </c>
      <c r="K127" s="36" t="s">
        <v>177</v>
      </c>
      <c r="L127" s="74">
        <f>VLOOKUP(E127,Diccionario!C$2:AC$150,22,0)</f>
        <v>4504425757</v>
      </c>
      <c r="M127" s="75">
        <f>VLOOKUP(E127,Diccionario!C$2:AC$150,24,0)</f>
        <v>45439</v>
      </c>
      <c r="N127" s="76">
        <f>VLOOKUP(E127,Diccionario!C$2:AC$150,25,0)</f>
        <v>46533</v>
      </c>
      <c r="O127" s="77">
        <f>VLOOKUP(E127,Diccionario!C$2:AC$150,26,0)</f>
        <v>35.97</v>
      </c>
      <c r="P127" s="77">
        <f t="shared" si="41"/>
        <v>-1.9699999999999989</v>
      </c>
      <c r="Q127" s="78">
        <f t="shared" si="47"/>
        <v>34</v>
      </c>
      <c r="R127" s="36">
        <v>36</v>
      </c>
      <c r="S127" s="86">
        <f t="shared" si="49"/>
        <v>0.90000000000000058</v>
      </c>
      <c r="T127" s="86"/>
      <c r="U127" s="82"/>
      <c r="V127" s="82"/>
      <c r="W127" s="82">
        <f t="shared" si="34"/>
        <v>0</v>
      </c>
      <c r="X127" s="82">
        <f t="shared" si="43"/>
        <v>4053983181.3000026</v>
      </c>
      <c r="Y127" s="82">
        <f t="shared" si="35"/>
        <v>0</v>
      </c>
      <c r="Z127" s="82">
        <f t="shared" si="44"/>
        <v>-4053983181.3000026</v>
      </c>
      <c r="AA127" s="83" t="str">
        <f t="shared" si="39"/>
        <v>No se realizó gasto en este corte</v>
      </c>
      <c r="AB127" s="84" t="str">
        <f t="shared" si="45"/>
        <v>Costo eficiente: se está gastando menos de lo presupuestado</v>
      </c>
      <c r="AC127" s="84">
        <f t="shared" si="36"/>
        <v>0</v>
      </c>
      <c r="AD127" s="84" t="str">
        <f t="shared" si="46"/>
        <v>Sin Línea Base</v>
      </c>
      <c r="AE127" s="85">
        <f t="shared" si="37"/>
        <v>0</v>
      </c>
      <c r="AF127" s="85">
        <f t="shared" si="38"/>
        <v>-4504425757</v>
      </c>
      <c r="AG127" s="40" t="str">
        <f>VLOOKUP(Indicador!E127,Diccionario!C$1:AC$150,27,0)</f>
        <v>https://growdatasas.sharepoint.com/:x:/r/sites/Gestiondocumental/Administrativa/GD/Financiera/_layouts/15/Doc.aspx?sourcedoc=%7B0974E3E6-B78B-4C29-8F8A-9CF11A235CF4%7D&amp;file=20240530%20UT%20ENTERRITORIO%202027%20(SERVICIO).xlsm&amp;action=default&amp;mobileredirect=true</v>
      </c>
      <c r="AH127" s="40">
        <v>1</v>
      </c>
      <c r="AI127" s="40">
        <v>1</v>
      </c>
    </row>
    <row r="128" spans="1:35" ht="18.75" customHeight="1">
      <c r="A128" s="73">
        <v>2027</v>
      </c>
      <c r="B128" s="112" t="s">
        <v>24</v>
      </c>
      <c r="C128" s="36" t="s">
        <v>216</v>
      </c>
      <c r="D128" s="37">
        <v>45443.82223568287</v>
      </c>
      <c r="E128" s="36" t="s">
        <v>1</v>
      </c>
      <c r="F128" s="36" t="s">
        <v>156</v>
      </c>
      <c r="G128" s="36" t="s">
        <v>217</v>
      </c>
      <c r="H128" s="36" t="s">
        <v>218</v>
      </c>
      <c r="I128" s="36" t="s">
        <v>152</v>
      </c>
      <c r="J128" s="36" t="s">
        <v>219</v>
      </c>
      <c r="K128" s="36" t="s">
        <v>177</v>
      </c>
      <c r="L128" s="74">
        <f>VLOOKUP(E128,Diccionario!C$2:AC$150,22,0)</f>
        <v>4504425757</v>
      </c>
      <c r="M128" s="75">
        <f>VLOOKUP(E128,Diccionario!C$2:AC$150,24,0)</f>
        <v>45439</v>
      </c>
      <c r="N128" s="76">
        <f>VLOOKUP(E128,Diccionario!C$2:AC$150,25,0)</f>
        <v>46533</v>
      </c>
      <c r="O128" s="77">
        <f>VLOOKUP(E128,Diccionario!C$2:AC$150,26,0)</f>
        <v>35.97</v>
      </c>
      <c r="P128" s="77">
        <f t="shared" si="41"/>
        <v>-0.96999999999999886</v>
      </c>
      <c r="Q128" s="78">
        <f t="shared" si="47"/>
        <v>35</v>
      </c>
      <c r="R128" s="36">
        <v>36</v>
      </c>
      <c r="S128" s="86">
        <v>0.95</v>
      </c>
      <c r="T128" s="86"/>
      <c r="U128" s="82"/>
      <c r="V128" s="82"/>
      <c r="W128" s="82">
        <f t="shared" si="34"/>
        <v>0</v>
      </c>
      <c r="X128" s="82">
        <f t="shared" si="43"/>
        <v>4279204469.1499996</v>
      </c>
      <c r="Y128" s="82">
        <f t="shared" si="35"/>
        <v>0</v>
      </c>
      <c r="Z128" s="82">
        <f t="shared" si="44"/>
        <v>-4279204469.1499996</v>
      </c>
      <c r="AA128" s="83" t="str">
        <f t="shared" si="39"/>
        <v>No se realizó gasto en este corte</v>
      </c>
      <c r="AB128" s="84" t="str">
        <f t="shared" si="45"/>
        <v>Costo eficiente: se está gastando menos de lo presupuestado</v>
      </c>
      <c r="AC128" s="84">
        <f t="shared" si="36"/>
        <v>0</v>
      </c>
      <c r="AD128" s="84" t="str">
        <f t="shared" si="46"/>
        <v>Sin Línea Base</v>
      </c>
      <c r="AE128" s="85">
        <f t="shared" si="37"/>
        <v>0</v>
      </c>
      <c r="AF128" s="85">
        <f t="shared" si="38"/>
        <v>-4504425757</v>
      </c>
      <c r="AG128" s="40" t="str">
        <f>VLOOKUP(Indicador!E128,Diccionario!C$1:AC$150,27,0)</f>
        <v>https://growdatasas.sharepoint.com/:x:/r/sites/Gestiondocumental/Administrativa/GD/Financiera/_layouts/15/Doc.aspx?sourcedoc=%7B0974E3E6-B78B-4C29-8F8A-9CF11A235CF4%7D&amp;file=20240530%20UT%20ENTERRITORIO%202027%20(SERVICIO).xlsm&amp;action=default&amp;mobileredirect=true</v>
      </c>
      <c r="AH128" s="40">
        <v>1</v>
      </c>
      <c r="AI128" s="40">
        <v>1</v>
      </c>
    </row>
    <row r="129" spans="1:35" ht="18.75" customHeight="1">
      <c r="A129" s="73">
        <v>2027</v>
      </c>
      <c r="B129" s="112" t="s">
        <v>27</v>
      </c>
      <c r="C129" s="36" t="s">
        <v>216</v>
      </c>
      <c r="D129" s="37">
        <v>45443.82223568287</v>
      </c>
      <c r="E129" s="36" t="s">
        <v>1</v>
      </c>
      <c r="F129" s="36" t="s">
        <v>156</v>
      </c>
      <c r="G129" s="36" t="s">
        <v>217</v>
      </c>
      <c r="H129" s="36" t="s">
        <v>218</v>
      </c>
      <c r="I129" s="36" t="s">
        <v>152</v>
      </c>
      <c r="J129" s="36" t="s">
        <v>219</v>
      </c>
      <c r="K129" s="36" t="s">
        <v>177</v>
      </c>
      <c r="L129" s="74">
        <f>VLOOKUP(E129,Diccionario!C$2:AC$150,22,0)</f>
        <v>4504425757</v>
      </c>
      <c r="M129" s="75">
        <f>VLOOKUP(E129,Diccionario!C$2:AC$150,24,0)</f>
        <v>45439</v>
      </c>
      <c r="N129" s="76">
        <f>VLOOKUP(E129,Diccionario!C$2:AC$150,25,0)</f>
        <v>46533</v>
      </c>
      <c r="O129" s="77">
        <f>VLOOKUP(E129,Diccionario!C$2:AC$150,26,0)</f>
        <v>35.97</v>
      </c>
      <c r="P129" s="77">
        <f t="shared" si="41"/>
        <v>3.0000000000001137E-2</v>
      </c>
      <c r="Q129" s="78">
        <f t="shared" si="47"/>
        <v>36</v>
      </c>
      <c r="R129" s="36">
        <v>36</v>
      </c>
      <c r="S129" s="86">
        <v>0.98</v>
      </c>
      <c r="T129" s="86"/>
      <c r="U129" s="82"/>
      <c r="V129" s="82"/>
      <c r="W129" s="82">
        <f t="shared" si="34"/>
        <v>0</v>
      </c>
      <c r="X129" s="82">
        <f t="shared" si="43"/>
        <v>4414337241.8599997</v>
      </c>
      <c r="Y129" s="82">
        <f t="shared" si="35"/>
        <v>0</v>
      </c>
      <c r="Z129" s="82">
        <f t="shared" si="44"/>
        <v>-4414337241.8599997</v>
      </c>
      <c r="AA129" s="83" t="str">
        <f t="shared" si="39"/>
        <v>No se realizó gasto en este corte</v>
      </c>
      <c r="AB129" s="84" t="str">
        <f t="shared" si="45"/>
        <v>Costo eficiente: se está gastando menos de lo presupuestado</v>
      </c>
      <c r="AC129" s="84">
        <f t="shared" si="36"/>
        <v>0</v>
      </c>
      <c r="AD129" s="84" t="str">
        <f t="shared" si="46"/>
        <v>Sin Línea Base</v>
      </c>
      <c r="AE129" s="85">
        <f t="shared" si="37"/>
        <v>0</v>
      </c>
      <c r="AF129" s="85">
        <f t="shared" si="38"/>
        <v>-4504425757</v>
      </c>
      <c r="AG129" s="40" t="str">
        <f>VLOOKUP(Indicador!E129,Diccionario!C$1:AC$150,27,0)</f>
        <v>https://growdatasas.sharepoint.com/:x:/r/sites/Gestiondocumental/Administrativa/GD/Financiera/_layouts/15/Doc.aspx?sourcedoc=%7B0974E3E6-B78B-4C29-8F8A-9CF11A235CF4%7D&amp;file=20240530%20UT%20ENTERRITORIO%202027%20(SERVICIO).xlsm&amp;action=default&amp;mobileredirect=true</v>
      </c>
      <c r="AH129" s="40">
        <v>1</v>
      </c>
      <c r="AI129" s="40">
        <v>1</v>
      </c>
    </row>
    <row r="130" spans="1:35" ht="18.75" customHeight="1">
      <c r="A130" s="73">
        <v>2027</v>
      </c>
      <c r="B130" s="112" t="s">
        <v>13</v>
      </c>
      <c r="C130" s="36" t="s">
        <v>216</v>
      </c>
      <c r="D130" s="37">
        <v>45443.82223568287</v>
      </c>
      <c r="E130" s="36" t="s">
        <v>1</v>
      </c>
      <c r="F130" s="36" t="s">
        <v>156</v>
      </c>
      <c r="G130" s="36" t="s">
        <v>217</v>
      </c>
      <c r="H130" s="36" t="s">
        <v>218</v>
      </c>
      <c r="I130" s="36" t="s">
        <v>152</v>
      </c>
      <c r="J130" s="36" t="s">
        <v>219</v>
      </c>
      <c r="K130" s="36" t="s">
        <v>177</v>
      </c>
      <c r="L130" s="74">
        <f>VLOOKUP(E130,Diccionario!C$2:AC$150,22,0)</f>
        <v>4504425757</v>
      </c>
      <c r="M130" s="75">
        <f>VLOOKUP(E130,Diccionario!C$2:AC$150,24,0)</f>
        <v>45439</v>
      </c>
      <c r="N130" s="76">
        <f>VLOOKUP(E130,Diccionario!C$2:AC$150,25,0)</f>
        <v>46533</v>
      </c>
      <c r="O130" s="77">
        <f>VLOOKUP(E130,Diccionario!C$2:AC$150,26,0)</f>
        <v>35.97</v>
      </c>
      <c r="P130" s="77">
        <f t="shared" si="41"/>
        <v>1.0300000000000011</v>
      </c>
      <c r="Q130" s="78">
        <f t="shared" si="47"/>
        <v>37</v>
      </c>
      <c r="R130" s="36">
        <v>36</v>
      </c>
      <c r="S130" s="86">
        <v>1</v>
      </c>
      <c r="T130" s="86"/>
      <c r="U130" s="82"/>
      <c r="V130" s="82"/>
      <c r="W130" s="82">
        <f t="shared" ref="W130:W193" si="50">IFERROR(T130*L130,0)</f>
        <v>0</v>
      </c>
      <c r="X130" s="82">
        <f t="shared" si="43"/>
        <v>4504425757</v>
      </c>
      <c r="Y130" s="82">
        <f t="shared" ref="Y130:Y193" si="51">IFERROR(W130-U130,0)</f>
        <v>0</v>
      </c>
      <c r="Z130" s="82">
        <f t="shared" si="44"/>
        <v>-4504425757</v>
      </c>
      <c r="AA130" s="83" t="str">
        <f t="shared" si="39"/>
        <v>No se realizó gasto en este corte</v>
      </c>
      <c r="AB130" s="84" t="str">
        <f t="shared" si="45"/>
        <v>Costo eficiente: se está gastando menos de lo presupuestado</v>
      </c>
      <c r="AC130" s="84">
        <f t="shared" ref="AC130:AC193" si="52">IFERROR(W130/X130,0)</f>
        <v>0</v>
      </c>
      <c r="AD130" s="84" t="str">
        <f t="shared" si="46"/>
        <v>Sin Línea Base</v>
      </c>
      <c r="AE130" s="85">
        <f t="shared" ref="AE130:AE193" si="53">IFERROR(L130/AA130,0)</f>
        <v>0</v>
      </c>
      <c r="AF130" s="85">
        <f t="shared" ref="AF130:AF193" si="54">IFERROR(AE130-L130,0)</f>
        <v>-4504425757</v>
      </c>
      <c r="AG130" s="40" t="str">
        <f>VLOOKUP(Indicador!E130,Diccionario!C$1:AC$150,27,0)</f>
        <v>https://growdatasas.sharepoint.com/:x:/r/sites/Gestiondocumental/Administrativa/GD/Financiera/_layouts/15/Doc.aspx?sourcedoc=%7B0974E3E6-B78B-4C29-8F8A-9CF11A235CF4%7D&amp;file=20240530%20UT%20ENTERRITORIO%202027%20(SERVICIO).xlsm&amp;action=default&amp;mobileredirect=true</v>
      </c>
      <c r="AH130" s="40">
        <v>1</v>
      </c>
      <c r="AI130" s="40">
        <v>1</v>
      </c>
    </row>
    <row r="131" spans="1:35" ht="18.75" customHeight="1">
      <c r="A131" s="73">
        <v>2024</v>
      </c>
      <c r="B131" s="112" t="s">
        <v>21</v>
      </c>
      <c r="C131" s="36" t="s">
        <v>220</v>
      </c>
      <c r="D131" s="37">
        <v>45481.703359687497</v>
      </c>
      <c r="E131" s="36" t="s">
        <v>72</v>
      </c>
      <c r="F131" s="36" t="s">
        <v>221</v>
      </c>
      <c r="G131" s="36" t="s">
        <v>222</v>
      </c>
      <c r="H131" s="36" t="s">
        <v>223</v>
      </c>
      <c r="I131" s="36" t="s">
        <v>165</v>
      </c>
      <c r="J131" s="36" t="s">
        <v>224</v>
      </c>
      <c r="K131" s="36" t="s">
        <v>154</v>
      </c>
      <c r="L131" s="74">
        <f>VLOOKUP(E131,Diccionario!C$2:AC$150,22,0)</f>
        <v>81162217</v>
      </c>
      <c r="M131" s="75">
        <f>VLOOKUP(E131,Diccionario!C$2:AC$150,24,0)</f>
        <v>45444</v>
      </c>
      <c r="N131" s="76">
        <f>VLOOKUP(E131,Diccionario!C$2:AC$150,25,0)</f>
        <v>45595</v>
      </c>
      <c r="O131" s="77">
        <f>VLOOKUP(E131,Diccionario!C$2:AC$150,26,0)</f>
        <v>4.97</v>
      </c>
      <c r="P131" s="77">
        <f t="shared" si="41"/>
        <v>-3.9699999999999998</v>
      </c>
      <c r="Q131" s="78">
        <v>1</v>
      </c>
      <c r="R131" s="36">
        <v>5</v>
      </c>
      <c r="S131" s="86">
        <v>0.1</v>
      </c>
      <c r="T131" s="86">
        <v>0.1</v>
      </c>
      <c r="U131" s="82">
        <v>16232443</v>
      </c>
      <c r="V131" s="82">
        <v>16232443</v>
      </c>
      <c r="W131" s="82">
        <f t="shared" si="50"/>
        <v>8116221.7000000002</v>
      </c>
      <c r="X131" s="82">
        <f t="shared" si="43"/>
        <v>8116221.7000000002</v>
      </c>
      <c r="Y131" s="82">
        <f t="shared" si="51"/>
        <v>-8116221.2999999998</v>
      </c>
      <c r="Z131" s="82">
        <f t="shared" si="44"/>
        <v>0</v>
      </c>
      <c r="AA131" s="83">
        <f t="shared" ref="AA131:AA135" si="55">IFERROR(W131/U131,"No se realizó gasto en este corte")</f>
        <v>0.50000001232100433</v>
      </c>
      <c r="AB131" s="84" t="str">
        <f t="shared" si="45"/>
        <v>Costo ineficiente: se está gastando más de lo presupuestado</v>
      </c>
      <c r="AC131" s="84">
        <f t="shared" si="52"/>
        <v>1</v>
      </c>
      <c r="AD131" s="84" t="str">
        <f t="shared" si="46"/>
        <v>Proyecto a tiempo según lo planificado</v>
      </c>
      <c r="AE131" s="85">
        <f t="shared" si="53"/>
        <v>162324430</v>
      </c>
      <c r="AF131" s="85">
        <f t="shared" si="54"/>
        <v>81162213</v>
      </c>
      <c r="AG131" s="40" t="str">
        <f>VLOOKUP(Indicador!E131,Diccionario!C$1:AC$150,27,0)</f>
        <v>https://growdatasas.sharepoint.com/:x:/r/sites/Gestiondocumental/Administrativa/GD/Financiera/_layouts/15/Doc.aspx?sourcedoc=%7B3ECBF673-32CF-4911-B729-AC56604B4A34%7D&amp;file=25062024%20MODELO%20FINANCIERO%20REFERENCIA%20V7_RUNT.xlsm&amp;action=default&amp;mobileredirect=true</v>
      </c>
      <c r="AH131" s="40">
        <v>1</v>
      </c>
      <c r="AI131" s="40">
        <v>1</v>
      </c>
    </row>
    <row r="132" spans="1:35" ht="18.75" customHeight="1">
      <c r="A132" s="73">
        <v>2024</v>
      </c>
      <c r="B132" s="112" t="s">
        <v>23</v>
      </c>
      <c r="C132" s="36" t="s">
        <v>220</v>
      </c>
      <c r="D132" s="37">
        <v>45481.703359687497</v>
      </c>
      <c r="E132" s="36" t="s">
        <v>72</v>
      </c>
      <c r="F132" s="36" t="s">
        <v>221</v>
      </c>
      <c r="G132" s="36" t="s">
        <v>222</v>
      </c>
      <c r="H132" s="36" t="s">
        <v>223</v>
      </c>
      <c r="I132" s="36" t="s">
        <v>165</v>
      </c>
      <c r="J132" s="36" t="s">
        <v>224</v>
      </c>
      <c r="K132" s="36" t="s">
        <v>154</v>
      </c>
      <c r="L132" s="74">
        <f>VLOOKUP(E132,Diccionario!C$2:AC$150,22,0)</f>
        <v>81162217</v>
      </c>
      <c r="M132" s="75">
        <f>VLOOKUP(E132,Diccionario!C$2:AC$150,24,0)</f>
        <v>45444</v>
      </c>
      <c r="N132" s="76">
        <f>VLOOKUP(E132,Diccionario!C$2:AC$150,25,0)</f>
        <v>45595</v>
      </c>
      <c r="O132" s="77">
        <f>VLOOKUP(E132,Diccionario!C$2:AC$150,26,0)</f>
        <v>4.97</v>
      </c>
      <c r="P132" s="77">
        <f t="shared" si="41"/>
        <v>-2.9699999999999998</v>
      </c>
      <c r="Q132" s="78">
        <v>2</v>
      </c>
      <c r="R132" s="36">
        <v>5</v>
      </c>
      <c r="S132" s="86">
        <v>0.25</v>
      </c>
      <c r="T132" s="86">
        <v>0.2</v>
      </c>
      <c r="U132" s="82">
        <v>13712443</v>
      </c>
      <c r="V132" s="82">
        <v>13712443</v>
      </c>
      <c r="W132" s="82">
        <f t="shared" si="50"/>
        <v>16232443.4</v>
      </c>
      <c r="X132" s="82">
        <f t="shared" si="43"/>
        <v>20290554.25</v>
      </c>
      <c r="Y132" s="82">
        <f t="shared" si="51"/>
        <v>2520000.4000000004</v>
      </c>
      <c r="Z132" s="82">
        <f t="shared" si="44"/>
        <v>-4058110.8499999996</v>
      </c>
      <c r="AA132" s="83">
        <f t="shared" si="55"/>
        <v>1.1837747219806127</v>
      </c>
      <c r="AB132" s="84" t="str">
        <f t="shared" si="45"/>
        <v>Costo eficiente: se está gastando menos de lo presupuestado</v>
      </c>
      <c r="AC132" s="84">
        <f t="shared" si="52"/>
        <v>0.8</v>
      </c>
      <c r="AD132" s="84" t="str">
        <f t="shared" si="46"/>
        <v>Proyecto atrasado con respecto al cronograma</v>
      </c>
      <c r="AE132" s="85">
        <f t="shared" si="53"/>
        <v>68562215</v>
      </c>
      <c r="AF132" s="85">
        <f t="shared" si="54"/>
        <v>-12600002</v>
      </c>
      <c r="AG132" s="40" t="str">
        <f>VLOOKUP(Indicador!E132,Diccionario!C$1:AC$150,27,0)</f>
        <v>https://growdatasas.sharepoint.com/:x:/r/sites/Gestiondocumental/Administrativa/GD/Financiera/_layouts/15/Doc.aspx?sourcedoc=%7B3ECBF673-32CF-4911-B729-AC56604B4A34%7D&amp;file=25062024%20MODELO%20FINANCIERO%20REFERENCIA%20V7_RUNT.xlsm&amp;action=default&amp;mobileredirect=true</v>
      </c>
      <c r="AH132" s="40">
        <v>1</v>
      </c>
      <c r="AI132" s="40">
        <v>1</v>
      </c>
    </row>
    <row r="133" spans="1:35" ht="18.75" customHeight="1">
      <c r="A133" s="73">
        <v>2024</v>
      </c>
      <c r="B133" s="112" t="s">
        <v>26</v>
      </c>
      <c r="C133" s="36" t="s">
        <v>220</v>
      </c>
      <c r="D133" s="37">
        <v>45481.703359687497</v>
      </c>
      <c r="E133" s="36" t="s">
        <v>72</v>
      </c>
      <c r="F133" s="36" t="s">
        <v>221</v>
      </c>
      <c r="G133" s="36" t="s">
        <v>222</v>
      </c>
      <c r="H133" s="36" t="s">
        <v>223</v>
      </c>
      <c r="I133" s="36" t="s">
        <v>165</v>
      </c>
      <c r="J133" s="36" t="s">
        <v>224</v>
      </c>
      <c r="K133" s="36" t="s">
        <v>154</v>
      </c>
      <c r="L133" s="74">
        <f>VLOOKUP(E133,Diccionario!C$2:AC$150,22,0)</f>
        <v>81162217</v>
      </c>
      <c r="M133" s="75">
        <f>VLOOKUP(E133,Diccionario!C$2:AC$150,24,0)</f>
        <v>45444</v>
      </c>
      <c r="N133" s="76">
        <f>VLOOKUP(E133,Diccionario!C$2:AC$150,25,0)</f>
        <v>45595</v>
      </c>
      <c r="O133" s="77">
        <f>VLOOKUP(E133,Diccionario!C$2:AC$150,26,0)</f>
        <v>4.97</v>
      </c>
      <c r="P133" s="77">
        <f t="shared" si="41"/>
        <v>-1.9699999999999998</v>
      </c>
      <c r="Q133" s="78">
        <v>3</v>
      </c>
      <c r="R133" s="36">
        <v>5</v>
      </c>
      <c r="S133" s="86">
        <v>0.5</v>
      </c>
      <c r="T133" s="86">
        <v>0.4</v>
      </c>
      <c r="U133" s="82">
        <v>13712443</v>
      </c>
      <c r="V133" s="82">
        <v>13712443</v>
      </c>
      <c r="W133" s="82">
        <f t="shared" si="50"/>
        <v>32464886.800000001</v>
      </c>
      <c r="X133" s="82">
        <f t="shared" si="43"/>
        <v>40581108.5</v>
      </c>
      <c r="Y133" s="82">
        <f t="shared" si="51"/>
        <v>18752443.800000001</v>
      </c>
      <c r="Z133" s="82">
        <f t="shared" si="44"/>
        <v>-8116221.6999999993</v>
      </c>
      <c r="AA133" s="83">
        <f t="shared" si="55"/>
        <v>2.3675494439612255</v>
      </c>
      <c r="AB133" s="84" t="str">
        <f t="shared" si="45"/>
        <v>Costo eficiente: se está gastando menos de lo presupuestado</v>
      </c>
      <c r="AC133" s="84">
        <f t="shared" si="52"/>
        <v>0.8</v>
      </c>
      <c r="AD133" s="84" t="str">
        <f t="shared" si="46"/>
        <v>Proyecto atrasado con respecto al cronograma</v>
      </c>
      <c r="AE133" s="85">
        <f t="shared" si="53"/>
        <v>34281107.5</v>
      </c>
      <c r="AF133" s="85">
        <f t="shared" si="54"/>
        <v>-46881109.5</v>
      </c>
      <c r="AG133" s="40" t="str">
        <f>VLOOKUP(Indicador!E133,Diccionario!C$1:AC$150,27,0)</f>
        <v>https://growdatasas.sharepoint.com/:x:/r/sites/Gestiondocumental/Administrativa/GD/Financiera/_layouts/15/Doc.aspx?sourcedoc=%7B3ECBF673-32CF-4911-B729-AC56604B4A34%7D&amp;file=25062024%20MODELO%20FINANCIERO%20REFERENCIA%20V7_RUNT.xlsm&amp;action=default&amp;mobileredirect=true</v>
      </c>
      <c r="AH133" s="40">
        <v>1</v>
      </c>
      <c r="AI133" s="40">
        <v>1</v>
      </c>
    </row>
    <row r="134" spans="1:35" ht="18.75" customHeight="1">
      <c r="A134" s="73">
        <v>2024</v>
      </c>
      <c r="B134" s="112" t="s">
        <v>28</v>
      </c>
      <c r="C134" s="36" t="s">
        <v>220</v>
      </c>
      <c r="D134" s="37">
        <v>45481.703359687497</v>
      </c>
      <c r="E134" s="36" t="s">
        <v>72</v>
      </c>
      <c r="F134" s="36" t="s">
        <v>221</v>
      </c>
      <c r="G134" s="36" t="s">
        <v>222</v>
      </c>
      <c r="H134" s="36" t="s">
        <v>223</v>
      </c>
      <c r="I134" s="36" t="s">
        <v>165</v>
      </c>
      <c r="J134" s="36" t="s">
        <v>224</v>
      </c>
      <c r="K134" s="36" t="s">
        <v>154</v>
      </c>
      <c r="L134" s="74">
        <f>VLOOKUP(E134,Diccionario!C$2:AC$150,22,0)</f>
        <v>81162217</v>
      </c>
      <c r="M134" s="75">
        <f>VLOOKUP(E134,Diccionario!C$2:AC$150,24,0)</f>
        <v>45444</v>
      </c>
      <c r="N134" s="76">
        <f>VLOOKUP(E134,Diccionario!C$2:AC$150,25,0)</f>
        <v>45595</v>
      </c>
      <c r="O134" s="77">
        <f>VLOOKUP(E134,Diccionario!C$2:AC$150,26,0)</f>
        <v>4.97</v>
      </c>
      <c r="P134" s="77">
        <f t="shared" si="41"/>
        <v>-0.96999999999999975</v>
      </c>
      <c r="Q134" s="78">
        <v>4</v>
      </c>
      <c r="R134" s="36">
        <v>5</v>
      </c>
      <c r="S134" s="86">
        <v>0.75</v>
      </c>
      <c r="T134" s="86">
        <v>0.65</v>
      </c>
      <c r="U134" s="82">
        <v>13712443</v>
      </c>
      <c r="V134" s="82">
        <v>13712443</v>
      </c>
      <c r="W134" s="82">
        <f t="shared" si="50"/>
        <v>52755441.050000004</v>
      </c>
      <c r="X134" s="82">
        <f t="shared" si="43"/>
        <v>60871662.75</v>
      </c>
      <c r="Y134" s="82">
        <f t="shared" si="51"/>
        <v>39042998.050000004</v>
      </c>
      <c r="Z134" s="82">
        <f t="shared" si="44"/>
        <v>-8116221.6999999955</v>
      </c>
      <c r="AA134" s="83">
        <f t="shared" si="55"/>
        <v>3.847267846436992</v>
      </c>
      <c r="AB134" s="84" t="str">
        <f t="shared" si="45"/>
        <v>Costo eficiente: se está gastando menos de lo presupuestado</v>
      </c>
      <c r="AC134" s="84">
        <f t="shared" si="52"/>
        <v>0.8666666666666667</v>
      </c>
      <c r="AD134" s="84" t="str">
        <f t="shared" si="46"/>
        <v>Proyecto atrasado con respecto al cronograma</v>
      </c>
      <c r="AE134" s="85">
        <f t="shared" si="53"/>
        <v>21096066.153846152</v>
      </c>
      <c r="AF134" s="85">
        <f t="shared" si="54"/>
        <v>-60066150.846153848</v>
      </c>
      <c r="AG134" s="40" t="str">
        <f>VLOOKUP(Indicador!E134,Diccionario!C$1:AC$150,27,0)</f>
        <v>https://growdatasas.sharepoint.com/:x:/r/sites/Gestiondocumental/Administrativa/GD/Financiera/_layouts/15/Doc.aspx?sourcedoc=%7B3ECBF673-32CF-4911-B729-AC56604B4A34%7D&amp;file=25062024%20MODELO%20FINANCIERO%20REFERENCIA%20V7_RUNT.xlsm&amp;action=default&amp;mobileredirect=true</v>
      </c>
      <c r="AH134" s="40">
        <v>1</v>
      </c>
      <c r="AI134" s="40">
        <v>1</v>
      </c>
    </row>
    <row r="135" spans="1:35" ht="18.75" customHeight="1">
      <c r="A135" s="73">
        <v>2024</v>
      </c>
      <c r="B135" s="112" t="s">
        <v>30</v>
      </c>
      <c r="C135" s="36" t="s">
        <v>220</v>
      </c>
      <c r="D135" s="37">
        <v>45481.703359687497</v>
      </c>
      <c r="E135" s="36" t="s">
        <v>72</v>
      </c>
      <c r="F135" s="36" t="s">
        <v>221</v>
      </c>
      <c r="G135" s="36" t="s">
        <v>222</v>
      </c>
      <c r="H135" s="36" t="s">
        <v>223</v>
      </c>
      <c r="I135" s="36" t="s">
        <v>165</v>
      </c>
      <c r="J135" s="36" t="s">
        <v>224</v>
      </c>
      <c r="K135" s="36" t="s">
        <v>154</v>
      </c>
      <c r="L135" s="74">
        <f>VLOOKUP(E135,Diccionario!C$2:AC$150,22,0)</f>
        <v>81162217</v>
      </c>
      <c r="M135" s="75">
        <f>VLOOKUP(E135,Diccionario!C$2:AC$150,24,0)</f>
        <v>45444</v>
      </c>
      <c r="N135" s="76">
        <f>VLOOKUP(E135,Diccionario!C$2:AC$150,25,0)</f>
        <v>45595</v>
      </c>
      <c r="O135" s="77">
        <f>VLOOKUP(E135,Diccionario!C$2:AC$150,26,0)</f>
        <v>4.97</v>
      </c>
      <c r="P135" s="77">
        <f t="shared" si="41"/>
        <v>3.0000000000000249E-2</v>
      </c>
      <c r="Q135" s="78">
        <v>5</v>
      </c>
      <c r="R135" s="36">
        <v>5</v>
      </c>
      <c r="S135" s="86">
        <v>1</v>
      </c>
      <c r="T135" s="86">
        <v>0.85</v>
      </c>
      <c r="U135" s="82">
        <v>13712443</v>
      </c>
      <c r="V135" s="82">
        <v>13712443</v>
      </c>
      <c r="W135" s="82">
        <f t="shared" si="50"/>
        <v>68987884.450000003</v>
      </c>
      <c r="X135" s="82">
        <f t="shared" si="43"/>
        <v>81162217</v>
      </c>
      <c r="Y135" s="82">
        <f t="shared" si="51"/>
        <v>55275441.450000003</v>
      </c>
      <c r="Z135" s="82">
        <f t="shared" si="44"/>
        <v>-12174332.549999997</v>
      </c>
      <c r="AA135" s="83">
        <f t="shared" si="55"/>
        <v>5.0310425684176048</v>
      </c>
      <c r="AB135" s="84" t="str">
        <f t="shared" si="45"/>
        <v>Costo eficiente: se está gastando menos de lo presupuestado</v>
      </c>
      <c r="AC135" s="84">
        <f t="shared" si="52"/>
        <v>0.85000000000000009</v>
      </c>
      <c r="AD135" s="84" t="str">
        <f t="shared" si="46"/>
        <v>Proyecto atrasado con respecto al cronograma</v>
      </c>
      <c r="AE135" s="85">
        <f t="shared" si="53"/>
        <v>16132285.882352941</v>
      </c>
      <c r="AF135" s="85">
        <f t="shared" si="54"/>
        <v>-65029931.117647059</v>
      </c>
      <c r="AG135" s="40" t="str">
        <f>VLOOKUP(Indicador!E135,Diccionario!C$1:AC$150,27,0)</f>
        <v>https://growdatasas.sharepoint.com/:x:/r/sites/Gestiondocumental/Administrativa/GD/Financiera/_layouts/15/Doc.aspx?sourcedoc=%7B3ECBF673-32CF-4911-B729-AC56604B4A34%7D&amp;file=25062024%20MODELO%20FINANCIERO%20REFERENCIA%20V7_RUNT.xlsm&amp;action=default&amp;mobileredirect=true</v>
      </c>
      <c r="AH135" s="40">
        <v>1</v>
      </c>
      <c r="AI135" s="40">
        <v>1</v>
      </c>
    </row>
    <row r="136" spans="1:35" ht="18.75" customHeight="1">
      <c r="A136" s="73">
        <v>2024</v>
      </c>
      <c r="B136" s="112" t="s">
        <v>30</v>
      </c>
      <c r="C136" s="36" t="s">
        <v>220</v>
      </c>
      <c r="D136" s="37">
        <v>45481.703359687497</v>
      </c>
      <c r="E136" s="36" t="s">
        <v>72</v>
      </c>
      <c r="F136" s="36" t="s">
        <v>221</v>
      </c>
      <c r="G136" s="36" t="s">
        <v>222</v>
      </c>
      <c r="H136" s="36" t="s">
        <v>223</v>
      </c>
      <c r="I136" s="36" t="s">
        <v>165</v>
      </c>
      <c r="J136" s="36" t="s">
        <v>224</v>
      </c>
      <c r="K136" s="36" t="s">
        <v>154</v>
      </c>
      <c r="L136" s="74">
        <f>VLOOKUP(E136,Diccionario!C$2:AC$150,22,0)</f>
        <v>81162217</v>
      </c>
      <c r="M136" s="75">
        <f>VLOOKUP(E136,Diccionario!C$2:AC$150,24,0)</f>
        <v>45444</v>
      </c>
      <c r="N136" s="76">
        <f>VLOOKUP(E136,Diccionario!C$2:AC$150,25,0)</f>
        <v>45595</v>
      </c>
      <c r="O136" s="77">
        <f>VLOOKUP(E136,Diccionario!C$2:AC$150,26,0)</f>
        <v>4.97</v>
      </c>
      <c r="P136" s="77">
        <f t="shared" ref="P136" si="56">Q136-O136</f>
        <v>1.0300000000000002</v>
      </c>
      <c r="Q136" s="78">
        <v>6</v>
      </c>
      <c r="R136" s="36">
        <v>5</v>
      </c>
      <c r="S136" s="86">
        <v>1</v>
      </c>
      <c r="T136" s="86">
        <v>1</v>
      </c>
      <c r="U136" s="82">
        <v>10080000</v>
      </c>
      <c r="V136" s="82">
        <v>10080000</v>
      </c>
      <c r="W136" s="82">
        <f t="shared" si="50"/>
        <v>81162217</v>
      </c>
      <c r="X136" s="82">
        <f t="shared" ref="X136" si="57">S136*L136</f>
        <v>81162217</v>
      </c>
      <c r="Y136" s="82">
        <f t="shared" si="51"/>
        <v>71082217</v>
      </c>
      <c r="Z136" s="82">
        <f t="shared" ref="Z136" si="58">W136-X136</f>
        <v>0</v>
      </c>
      <c r="AA136" s="83">
        <f t="shared" ref="AA136" si="59">IFERROR(W136/U136,"No se realizó gasto en este corte")</f>
        <v>8.0518072420634912</v>
      </c>
      <c r="AB136" s="84" t="str">
        <f t="shared" ref="AB136" si="60">IFERROR(
  IF(OR(AA136="",AA136=0),
    "No calculado",
    IF(AA136&gt;1,"Costo eficiente: se está gastando menos de lo presupuestado",
      IF(AA136=1,"Costo según lo presupuestado",
        "Costo ineficiente: se está gastando más de lo presupuestado"))),
"No calculado")</f>
        <v>Costo eficiente: se está gastando menos de lo presupuestado</v>
      </c>
      <c r="AC136" s="84">
        <f t="shared" si="52"/>
        <v>1</v>
      </c>
      <c r="AD136" s="84" t="str">
        <f t="shared" ref="AD136" si="61">IF(OR(AC136="",AC136=0),"Sin Línea Base",
IF(AC136&gt;1,"Proyecto adelantado respecto al cronograma",
IF(AC136=1,"Proyecto a tiempo según lo planificado",
IF(AC136&lt;1,"Proyecto atrasado con respecto al cronograma",
"No calculado"))))</f>
        <v>Proyecto a tiempo según lo planificado</v>
      </c>
      <c r="AE136" s="85">
        <f t="shared" si="53"/>
        <v>10080000.000000002</v>
      </c>
      <c r="AF136" s="85">
        <f t="shared" si="54"/>
        <v>-71082217</v>
      </c>
      <c r="AG136" s="40" t="str">
        <f>VLOOKUP(Indicador!E136,Diccionario!C$1:AC$150,27,0)</f>
        <v>https://growdatasas.sharepoint.com/:x:/r/sites/Gestiondocumental/Administrativa/GD/Financiera/_layouts/15/Doc.aspx?sourcedoc=%7B3ECBF673-32CF-4911-B729-AC56604B4A34%7D&amp;file=25062024%20MODELO%20FINANCIERO%20REFERENCIA%20V7_RUNT.xlsm&amp;action=default&amp;mobileredirect=true</v>
      </c>
      <c r="AH136" s="40">
        <v>1</v>
      </c>
      <c r="AI136" s="40">
        <v>1</v>
      </c>
    </row>
    <row r="137" spans="1:35" ht="18.75" customHeight="1">
      <c r="A137" s="73">
        <v>2024</v>
      </c>
      <c r="B137" s="112" t="s">
        <v>21</v>
      </c>
      <c r="C137" s="36" t="s">
        <v>225</v>
      </c>
      <c r="D137" s="37">
        <v>45447.56342175926</v>
      </c>
      <c r="E137" s="36" t="s">
        <v>63</v>
      </c>
      <c r="F137" s="36" t="s">
        <v>226</v>
      </c>
      <c r="G137" s="36" t="s">
        <v>227</v>
      </c>
      <c r="H137" s="36" t="s">
        <v>228</v>
      </c>
      <c r="I137" s="36" t="s">
        <v>165</v>
      </c>
      <c r="J137" s="36" t="s">
        <v>229</v>
      </c>
      <c r="K137" s="36" t="s">
        <v>203</v>
      </c>
      <c r="L137" s="74">
        <f>VLOOKUP(E137,Diccionario!C$2:AC$150,22,0)</f>
        <v>50362370</v>
      </c>
      <c r="M137" s="75">
        <f>VLOOKUP(E137,Diccionario!C$2:AC$150,24,0)</f>
        <v>45444</v>
      </c>
      <c r="N137" s="76">
        <f>VLOOKUP(E137,Diccionario!C$2:AC$150,25,0)</f>
        <v>45503</v>
      </c>
      <c r="O137" s="77">
        <f>VLOOKUP(E137,Diccionario!C$2:AC$150,26,0)</f>
        <v>1.97</v>
      </c>
      <c r="P137" s="77">
        <f t="shared" ref="P137:P153" si="62">Q137-O137</f>
        <v>-0.97</v>
      </c>
      <c r="Q137" s="78">
        <v>1</v>
      </c>
      <c r="R137" s="36">
        <v>2</v>
      </c>
      <c r="S137" s="86">
        <v>0.5</v>
      </c>
      <c r="T137" s="86">
        <v>0.5</v>
      </c>
      <c r="U137" s="82">
        <v>25181185</v>
      </c>
      <c r="V137" s="82">
        <v>25181185</v>
      </c>
      <c r="W137" s="82">
        <f t="shared" si="50"/>
        <v>25181185</v>
      </c>
      <c r="X137" s="82">
        <f t="shared" ref="X137:X155" si="63">S137*L137</f>
        <v>25181185</v>
      </c>
      <c r="Y137" s="82">
        <f t="shared" si="51"/>
        <v>0</v>
      </c>
      <c r="Z137" s="82">
        <f t="shared" ref="Z137:Z155" si="64">W137-X137</f>
        <v>0</v>
      </c>
      <c r="AA137" s="83">
        <f t="shared" ref="AA137:AA168" si="65">IFERROR(W137/U137,"No se realizó gasto en este corte")</f>
        <v>1</v>
      </c>
      <c r="AB137" s="84" t="str">
        <f t="shared" ref="AB137:AB155" si="66">IFERROR(
  IF(OR(AA137="",AA137=0),
    "No calculado",
    IF(AA137&gt;1,"Costo eficiente: se está gastando menos de lo presupuestado",
      IF(AA137=1,"Costo según lo presupuestado",
        "Costo ineficiente: se está gastando más de lo presupuestado"))),
"No calculado")</f>
        <v>Costo según lo presupuestado</v>
      </c>
      <c r="AC137" s="84">
        <f t="shared" si="52"/>
        <v>1</v>
      </c>
      <c r="AD137" s="84" t="str">
        <f t="shared" ref="AD137:AD155" si="67">IF(OR(AC137="",AC137=0),"Sin Línea Base",
IF(AC137&gt;1,"Proyecto adelantado respecto al cronograma",
IF(AC137=1,"Proyecto a tiempo según lo planificado",
IF(AC137&lt;1,"Proyecto atrasado con respecto al cronograma",
"No calculado"))))</f>
        <v>Proyecto a tiempo según lo planificado</v>
      </c>
      <c r="AE137" s="85">
        <f t="shared" si="53"/>
        <v>50362370</v>
      </c>
      <c r="AF137" s="85">
        <f t="shared" si="54"/>
        <v>0</v>
      </c>
      <c r="AG137" s="40" t="str">
        <f>VLOOKUP(Indicador!E137,Diccionario!C$1:AC$150,27,0)</f>
        <v>https://growdatasas.sharepoint.com/:x:/r/sites/Gestiondocumental/Administrativa/GD/Financiera/_layouts/15/Doc.aspx?sourcedoc=%7B7CA5727E-8CD9-4225-BEF4-3B8118646894%7D&amp;file=20240530%20MODELO%20FINANCIERO%20REFERENCIA%20V7_472.xlsm&amp;action=default&amp;mobileredirect=true</v>
      </c>
      <c r="AH137" s="40">
        <v>1</v>
      </c>
      <c r="AI137" s="40">
        <v>1</v>
      </c>
    </row>
    <row r="138" spans="1:35" ht="18.75" customHeight="1">
      <c r="A138" s="73">
        <v>2024</v>
      </c>
      <c r="B138" s="112" t="s">
        <v>23</v>
      </c>
      <c r="C138" s="36" t="s">
        <v>225</v>
      </c>
      <c r="D138" s="37">
        <v>45447.56342175926</v>
      </c>
      <c r="E138" s="36" t="s">
        <v>63</v>
      </c>
      <c r="F138" s="36" t="s">
        <v>226</v>
      </c>
      <c r="G138" s="36" t="s">
        <v>227</v>
      </c>
      <c r="H138" s="36" t="s">
        <v>228</v>
      </c>
      <c r="I138" s="36" t="s">
        <v>165</v>
      </c>
      <c r="J138" s="36" t="s">
        <v>229</v>
      </c>
      <c r="K138" s="36" t="s">
        <v>203</v>
      </c>
      <c r="L138" s="74">
        <f>VLOOKUP(E138,Diccionario!C$2:AC$150,22,0)</f>
        <v>50362370</v>
      </c>
      <c r="M138" s="75">
        <f>VLOOKUP(E138,Diccionario!C$2:AC$150,24,0)</f>
        <v>45444</v>
      </c>
      <c r="N138" s="76">
        <f>VLOOKUP(E138,Diccionario!C$2:AC$150,25,0)</f>
        <v>45503</v>
      </c>
      <c r="O138" s="77">
        <f>VLOOKUP(E138,Diccionario!C$2:AC$150,26,0)</f>
        <v>1.97</v>
      </c>
      <c r="P138" s="77">
        <f t="shared" si="62"/>
        <v>3.0000000000000027E-2</v>
      </c>
      <c r="Q138" s="78">
        <v>2</v>
      </c>
      <c r="R138" s="36">
        <v>2</v>
      </c>
      <c r="S138" s="86">
        <v>1</v>
      </c>
      <c r="T138" s="86">
        <v>1</v>
      </c>
      <c r="U138" s="82">
        <v>25181185</v>
      </c>
      <c r="V138" s="82">
        <v>25181185</v>
      </c>
      <c r="W138" s="82">
        <f t="shared" si="50"/>
        <v>50362370</v>
      </c>
      <c r="X138" s="82">
        <f t="shared" si="63"/>
        <v>50362370</v>
      </c>
      <c r="Y138" s="82">
        <f t="shared" si="51"/>
        <v>25181185</v>
      </c>
      <c r="Z138" s="82">
        <f t="shared" si="64"/>
        <v>0</v>
      </c>
      <c r="AA138" s="83">
        <f t="shared" si="65"/>
        <v>2</v>
      </c>
      <c r="AB138" s="84" t="str">
        <f t="shared" si="66"/>
        <v>Costo eficiente: se está gastando menos de lo presupuestado</v>
      </c>
      <c r="AC138" s="84">
        <f t="shared" si="52"/>
        <v>1</v>
      </c>
      <c r="AD138" s="84" t="str">
        <f t="shared" si="67"/>
        <v>Proyecto a tiempo según lo planificado</v>
      </c>
      <c r="AE138" s="85">
        <f t="shared" si="53"/>
        <v>25181185</v>
      </c>
      <c r="AF138" s="85">
        <f t="shared" si="54"/>
        <v>-25181185</v>
      </c>
      <c r="AG138" s="40" t="str">
        <f>VLOOKUP(Indicador!E138,Diccionario!C$1:AC$150,27,0)</f>
        <v>https://growdatasas.sharepoint.com/:x:/r/sites/Gestiondocumental/Administrativa/GD/Financiera/_layouts/15/Doc.aspx?sourcedoc=%7B7CA5727E-8CD9-4225-BEF4-3B8118646894%7D&amp;file=20240530%20MODELO%20FINANCIERO%20REFERENCIA%20V7_472.xlsm&amp;action=default&amp;mobileredirect=true</v>
      </c>
      <c r="AH138" s="40">
        <v>1</v>
      </c>
      <c r="AI138" s="40">
        <v>1</v>
      </c>
    </row>
    <row r="139" spans="1:35" ht="18.75" customHeight="1">
      <c r="A139" s="73">
        <v>2024</v>
      </c>
      <c r="B139" s="112" t="s">
        <v>21</v>
      </c>
      <c r="C139" s="36" t="s">
        <v>230</v>
      </c>
      <c r="D139" s="37">
        <v>45462.979481215276</v>
      </c>
      <c r="E139" s="36" t="s">
        <v>36</v>
      </c>
      <c r="F139" s="36" t="s">
        <v>179</v>
      </c>
      <c r="G139" s="36" t="s">
        <v>231</v>
      </c>
      <c r="H139" s="36" t="s">
        <v>232</v>
      </c>
      <c r="I139" s="36" t="s">
        <v>175</v>
      </c>
      <c r="J139" s="36" t="s">
        <v>233</v>
      </c>
      <c r="K139" s="36" t="s">
        <v>154</v>
      </c>
      <c r="L139" s="74">
        <f>VLOOKUP(E139,Diccionario!C$2:AC$150,22,0)</f>
        <v>63538000</v>
      </c>
      <c r="M139" s="75">
        <f>VLOOKUP(E139,Diccionario!C$2:AC$150,24,0)</f>
        <v>45450</v>
      </c>
      <c r="N139" s="76">
        <f>VLOOKUP(E139,Diccionario!C$2:AC$150,25,0)</f>
        <v>45510</v>
      </c>
      <c r="O139" s="77">
        <f>VLOOKUP(E139,Diccionario!C$2:AC$150,26,0)</f>
        <v>1.97</v>
      </c>
      <c r="P139" s="77">
        <f t="shared" si="62"/>
        <v>-0.97</v>
      </c>
      <c r="Q139" s="78">
        <v>1</v>
      </c>
      <c r="R139" s="36">
        <v>3</v>
      </c>
      <c r="S139" s="86">
        <v>0.25</v>
      </c>
      <c r="T139" s="86">
        <v>0.3</v>
      </c>
      <c r="U139" s="82">
        <v>-31769000</v>
      </c>
      <c r="V139" s="82">
        <v>-31769000</v>
      </c>
      <c r="W139" s="82">
        <f t="shared" si="50"/>
        <v>19061400</v>
      </c>
      <c r="X139" s="82">
        <f t="shared" si="63"/>
        <v>15884500</v>
      </c>
      <c r="Y139" s="82">
        <f t="shared" si="51"/>
        <v>50830400</v>
      </c>
      <c r="Z139" s="82">
        <f t="shared" si="64"/>
        <v>3176900</v>
      </c>
      <c r="AA139" s="83">
        <f t="shared" si="65"/>
        <v>-0.6</v>
      </c>
      <c r="AB139" s="84" t="str">
        <f t="shared" si="66"/>
        <v>Costo ineficiente: se está gastando más de lo presupuestado</v>
      </c>
      <c r="AC139" s="84">
        <f t="shared" si="52"/>
        <v>1.2</v>
      </c>
      <c r="AD139" s="84" t="str">
        <f t="shared" si="67"/>
        <v>Proyecto adelantado respecto al cronograma</v>
      </c>
      <c r="AE139" s="85">
        <f t="shared" si="53"/>
        <v>-105896666.66666667</v>
      </c>
      <c r="AF139" s="85">
        <f t="shared" si="54"/>
        <v>-169434666.66666669</v>
      </c>
      <c r="AG139" s="40" t="str">
        <f>VLOOKUP(Indicador!E139,Diccionario!C$1:AC$150,27,0)</f>
        <v>https://growdatasas.sharepoint.com/:x:/r/sites/Gestiondocumental/Administrativa/GD/Financiera/_layouts/15/Doc.aspx?sourcedoc=%7B753ECAFE-B168-40EE-B86E-63C339FE122B%7D&amp;file=20240607%20FONDO%20ACCION%20MEJORAS%20APLICATIVO%20ASEC%20V5.xlsm&amp;action=default&amp;mobileredirect=true</v>
      </c>
      <c r="AH139" s="40">
        <v>1</v>
      </c>
      <c r="AI139" s="40">
        <v>1</v>
      </c>
    </row>
    <row r="140" spans="1:35" ht="18.75" customHeight="1">
      <c r="A140" s="73">
        <v>2024</v>
      </c>
      <c r="B140" s="112" t="s">
        <v>23</v>
      </c>
      <c r="C140" s="36" t="s">
        <v>230</v>
      </c>
      <c r="D140" s="37">
        <v>45462.979481215276</v>
      </c>
      <c r="E140" s="36" t="s">
        <v>36</v>
      </c>
      <c r="F140" s="36" t="s">
        <v>179</v>
      </c>
      <c r="G140" s="36" t="s">
        <v>231</v>
      </c>
      <c r="H140" s="36" t="s">
        <v>232</v>
      </c>
      <c r="I140" s="36" t="s">
        <v>175</v>
      </c>
      <c r="J140" s="36" t="s">
        <v>233</v>
      </c>
      <c r="K140" s="36" t="s">
        <v>154</v>
      </c>
      <c r="L140" s="74">
        <f>VLOOKUP(E140,Diccionario!C$2:AC$150,22,0)</f>
        <v>63538000</v>
      </c>
      <c r="M140" s="75">
        <f>VLOOKUP(E140,Diccionario!C$2:AC$150,24,0)</f>
        <v>45450</v>
      </c>
      <c r="N140" s="76">
        <f>VLOOKUP(E140,Diccionario!C$2:AC$150,25,0)</f>
        <v>45510</v>
      </c>
      <c r="O140" s="77">
        <f>VLOOKUP(E140,Diccionario!C$2:AC$150,26,0)</f>
        <v>1.97</v>
      </c>
      <c r="P140" s="77">
        <f t="shared" si="62"/>
        <v>3.0000000000000027E-2</v>
      </c>
      <c r="Q140" s="78">
        <v>2</v>
      </c>
      <c r="R140" s="36">
        <v>3</v>
      </c>
      <c r="S140" s="86">
        <v>0.5</v>
      </c>
      <c r="T140" s="86">
        <v>0.6</v>
      </c>
      <c r="U140" s="82">
        <v>-31769000</v>
      </c>
      <c r="V140" s="82">
        <v>-31769000</v>
      </c>
      <c r="W140" s="82">
        <f t="shared" si="50"/>
        <v>38122800</v>
      </c>
      <c r="X140" s="82">
        <f t="shared" si="63"/>
        <v>31769000</v>
      </c>
      <c r="Y140" s="82">
        <f t="shared" si="51"/>
        <v>69891800</v>
      </c>
      <c r="Z140" s="82">
        <f t="shared" si="64"/>
        <v>6353800</v>
      </c>
      <c r="AA140" s="83">
        <f t="shared" si="65"/>
        <v>-1.2</v>
      </c>
      <c r="AB140" s="84" t="str">
        <f t="shared" si="66"/>
        <v>Costo ineficiente: se está gastando más de lo presupuestado</v>
      </c>
      <c r="AC140" s="84">
        <f t="shared" si="52"/>
        <v>1.2</v>
      </c>
      <c r="AD140" s="84" t="str">
        <f t="shared" si="67"/>
        <v>Proyecto adelantado respecto al cronograma</v>
      </c>
      <c r="AE140" s="85">
        <f t="shared" si="53"/>
        <v>-52948333.333333336</v>
      </c>
      <c r="AF140" s="85">
        <f t="shared" si="54"/>
        <v>-116486333.33333334</v>
      </c>
      <c r="AG140" s="40" t="str">
        <f>VLOOKUP(Indicador!E140,Diccionario!C$1:AC$150,27,0)</f>
        <v>https://growdatasas.sharepoint.com/:x:/r/sites/Gestiondocumental/Administrativa/GD/Financiera/_layouts/15/Doc.aspx?sourcedoc=%7B753ECAFE-B168-40EE-B86E-63C339FE122B%7D&amp;file=20240607%20FONDO%20ACCION%20MEJORAS%20APLICATIVO%20ASEC%20V5.xlsm&amp;action=default&amp;mobileredirect=true</v>
      </c>
      <c r="AH140" s="40">
        <v>1</v>
      </c>
      <c r="AI140" s="40">
        <v>1</v>
      </c>
    </row>
    <row r="141" spans="1:35" ht="18.75" customHeight="1">
      <c r="A141" s="73">
        <v>2024</v>
      </c>
      <c r="B141" s="112" t="s">
        <v>26</v>
      </c>
      <c r="C141" s="36" t="s">
        <v>230</v>
      </c>
      <c r="D141" s="37">
        <v>45462.979481215276</v>
      </c>
      <c r="E141" s="36" t="s">
        <v>36</v>
      </c>
      <c r="F141" s="36" t="s">
        <v>179</v>
      </c>
      <c r="G141" s="36" t="s">
        <v>231</v>
      </c>
      <c r="H141" s="36" t="s">
        <v>232</v>
      </c>
      <c r="I141" s="36" t="s">
        <v>175</v>
      </c>
      <c r="J141" s="36" t="s">
        <v>233</v>
      </c>
      <c r="K141" s="36" t="s">
        <v>154</v>
      </c>
      <c r="L141" s="74">
        <f>VLOOKUP(E141,Diccionario!C$2:AC$150,22,0)</f>
        <v>63538000</v>
      </c>
      <c r="M141" s="75">
        <f>VLOOKUP(E141,Diccionario!C$2:AC$150,24,0)</f>
        <v>45450</v>
      </c>
      <c r="N141" s="76">
        <f>VLOOKUP(E141,Diccionario!C$2:AC$150,25,0)</f>
        <v>45510</v>
      </c>
      <c r="O141" s="77">
        <f>VLOOKUP(E141,Diccionario!C$2:AC$150,26,0)</f>
        <v>1.97</v>
      </c>
      <c r="P141" s="77">
        <f t="shared" si="62"/>
        <v>1.03</v>
      </c>
      <c r="Q141" s="78">
        <v>3</v>
      </c>
      <c r="R141" s="36">
        <v>3</v>
      </c>
      <c r="S141" s="86">
        <v>1</v>
      </c>
      <c r="T141" s="86">
        <v>1</v>
      </c>
      <c r="U141" s="82">
        <v>102600000</v>
      </c>
      <c r="V141" s="82">
        <v>102600000</v>
      </c>
      <c r="W141" s="82">
        <f t="shared" si="50"/>
        <v>63538000</v>
      </c>
      <c r="X141" s="82">
        <f t="shared" si="63"/>
        <v>63538000</v>
      </c>
      <c r="Y141" s="82">
        <f t="shared" si="51"/>
        <v>-39062000</v>
      </c>
      <c r="Z141" s="82">
        <f t="shared" si="64"/>
        <v>0</v>
      </c>
      <c r="AA141" s="83">
        <f t="shared" si="65"/>
        <v>0.61927875243664721</v>
      </c>
      <c r="AB141" s="84" t="str">
        <f t="shared" si="66"/>
        <v>Costo ineficiente: se está gastando más de lo presupuestado</v>
      </c>
      <c r="AC141" s="84">
        <f t="shared" si="52"/>
        <v>1</v>
      </c>
      <c r="AD141" s="84" t="str">
        <f t="shared" si="67"/>
        <v>Proyecto a tiempo según lo planificado</v>
      </c>
      <c r="AE141" s="85">
        <f t="shared" si="53"/>
        <v>102600000</v>
      </c>
      <c r="AF141" s="85">
        <f t="shared" si="54"/>
        <v>39062000</v>
      </c>
      <c r="AG141" s="40" t="str">
        <f>VLOOKUP(Indicador!E141,Diccionario!C$1:AC$150,27,0)</f>
        <v>https://growdatasas.sharepoint.com/:x:/r/sites/Gestiondocumental/Administrativa/GD/Financiera/_layouts/15/Doc.aspx?sourcedoc=%7B753ECAFE-B168-40EE-B86E-63C339FE122B%7D&amp;file=20240607%20FONDO%20ACCION%20MEJORAS%20APLICATIVO%20ASEC%20V5.xlsm&amp;action=default&amp;mobileredirect=true</v>
      </c>
      <c r="AH141" s="40">
        <v>1</v>
      </c>
      <c r="AI141" s="40">
        <v>1</v>
      </c>
    </row>
    <row r="142" spans="1:35" ht="18.75" customHeight="1">
      <c r="A142" s="73">
        <v>2024</v>
      </c>
      <c r="B142" s="112" t="s">
        <v>21</v>
      </c>
      <c r="C142" s="36" t="s">
        <v>234</v>
      </c>
      <c r="D142" s="37">
        <v>45481.633806909726</v>
      </c>
      <c r="E142" s="36" t="s">
        <v>84</v>
      </c>
      <c r="F142" s="36" t="s">
        <v>235</v>
      </c>
      <c r="G142" s="36" t="s">
        <v>236</v>
      </c>
      <c r="H142" s="36" t="s">
        <v>237</v>
      </c>
      <c r="I142" s="36" t="s">
        <v>175</v>
      </c>
      <c r="J142" s="36" t="s">
        <v>238</v>
      </c>
      <c r="K142" s="36" t="s">
        <v>154</v>
      </c>
      <c r="L142" s="74">
        <f>VLOOKUP(E142,Diccionario!C$2:AC$150,22,0)</f>
        <v>234252949</v>
      </c>
      <c r="M142" s="75">
        <f>VLOOKUP(E142,Diccionario!C$2:AC$150,24,0)</f>
        <v>45456</v>
      </c>
      <c r="N142" s="76">
        <f>VLOOKUP(E142,Diccionario!C$2:AC$150,25,0)</f>
        <v>45503</v>
      </c>
      <c r="O142" s="77">
        <f>VLOOKUP(E142,Diccionario!C$2:AC$150,26,0)</f>
        <v>1.57</v>
      </c>
      <c r="P142" s="77">
        <f t="shared" si="62"/>
        <v>-0.57000000000000006</v>
      </c>
      <c r="Q142" s="78">
        <v>1</v>
      </c>
      <c r="R142" s="36">
        <v>2</v>
      </c>
      <c r="S142" s="86">
        <v>0.5</v>
      </c>
      <c r="T142" s="86">
        <v>0.25</v>
      </c>
      <c r="U142" s="82">
        <v>96976475</v>
      </c>
      <c r="V142" s="82">
        <v>96976475</v>
      </c>
      <c r="W142" s="82">
        <f t="shared" si="50"/>
        <v>58563237.25</v>
      </c>
      <c r="X142" s="82">
        <f t="shared" si="63"/>
        <v>117126474.5</v>
      </c>
      <c r="Y142" s="82">
        <f t="shared" si="51"/>
        <v>-38413237.75</v>
      </c>
      <c r="Z142" s="82">
        <f t="shared" si="64"/>
        <v>-58563237.25</v>
      </c>
      <c r="AA142" s="83">
        <f t="shared" si="65"/>
        <v>0.60389117309120588</v>
      </c>
      <c r="AB142" s="84" t="str">
        <f t="shared" si="66"/>
        <v>Costo ineficiente: se está gastando más de lo presupuestado</v>
      </c>
      <c r="AC142" s="84">
        <f t="shared" si="52"/>
        <v>0.5</v>
      </c>
      <c r="AD142" s="84" t="str">
        <f t="shared" si="67"/>
        <v>Proyecto atrasado con respecto al cronograma</v>
      </c>
      <c r="AE142" s="85">
        <f t="shared" si="53"/>
        <v>387905900</v>
      </c>
      <c r="AF142" s="85">
        <f t="shared" si="54"/>
        <v>153652951</v>
      </c>
      <c r="AG142" s="40" t="str">
        <f>VLOOKUP(Indicador!E142,Diccionario!C$1:AC$150,27,0)</f>
        <v>https://growdatasas.sharepoint.com/:x:/r/sites/Gestiondocumental/Administrativa/GD/Financiera/_layouts/15/Doc.aspx?sourcedoc=%7B9AED4F39-5D53-43D6-BACC-397FDB920633%7D&amp;file=20240613%20RUNT_DATAWAREHOUSE_23024V5%20P.xlsm&amp;action=default&amp;mobileredirect=true</v>
      </c>
      <c r="AH142" s="40">
        <v>1</v>
      </c>
      <c r="AI142" s="40">
        <v>1</v>
      </c>
    </row>
    <row r="143" spans="1:35" ht="18.75" customHeight="1">
      <c r="A143" s="73">
        <v>2024</v>
      </c>
      <c r="B143" s="112" t="s">
        <v>23</v>
      </c>
      <c r="C143" s="36" t="s">
        <v>234</v>
      </c>
      <c r="D143" s="37">
        <v>45481.633806909726</v>
      </c>
      <c r="E143" s="36" t="s">
        <v>84</v>
      </c>
      <c r="F143" s="36" t="s">
        <v>235</v>
      </c>
      <c r="G143" s="36" t="s">
        <v>236</v>
      </c>
      <c r="H143" s="36" t="s">
        <v>237</v>
      </c>
      <c r="I143" s="36" t="s">
        <v>175</v>
      </c>
      <c r="J143" s="36" t="s">
        <v>238</v>
      </c>
      <c r="K143" s="36" t="s">
        <v>154</v>
      </c>
      <c r="L143" s="74">
        <f>VLOOKUP(E143,Diccionario!C$2:AC$150,22,0)</f>
        <v>234252949</v>
      </c>
      <c r="M143" s="75">
        <f>VLOOKUP(E143,Diccionario!C$2:AC$150,24,0)</f>
        <v>45456</v>
      </c>
      <c r="N143" s="76">
        <f>VLOOKUP(E143,Diccionario!C$2:AC$150,25,0)</f>
        <v>45503</v>
      </c>
      <c r="O143" s="77">
        <f>VLOOKUP(E143,Diccionario!C$2:AC$150,26,0)</f>
        <v>1.57</v>
      </c>
      <c r="P143" s="77">
        <f t="shared" si="62"/>
        <v>0.42999999999999994</v>
      </c>
      <c r="Q143" s="78">
        <v>2</v>
      </c>
      <c r="R143" s="36">
        <v>2</v>
      </c>
      <c r="S143" s="86">
        <v>1</v>
      </c>
      <c r="T143" s="86">
        <v>0.5</v>
      </c>
      <c r="U143" s="82">
        <v>96976475</v>
      </c>
      <c r="V143" s="82">
        <v>96976475</v>
      </c>
      <c r="W143" s="82">
        <f t="shared" si="50"/>
        <v>117126474.5</v>
      </c>
      <c r="X143" s="82">
        <f t="shared" si="63"/>
        <v>234252949</v>
      </c>
      <c r="Y143" s="82">
        <f t="shared" si="51"/>
        <v>20149999.5</v>
      </c>
      <c r="Z143" s="82">
        <f t="shared" si="64"/>
        <v>-117126474.5</v>
      </c>
      <c r="AA143" s="83">
        <f t="shared" si="65"/>
        <v>1.2077823461824118</v>
      </c>
      <c r="AB143" s="84" t="str">
        <f t="shared" si="66"/>
        <v>Costo eficiente: se está gastando menos de lo presupuestado</v>
      </c>
      <c r="AC143" s="84">
        <f t="shared" si="52"/>
        <v>0.5</v>
      </c>
      <c r="AD143" s="84" t="str">
        <f t="shared" si="67"/>
        <v>Proyecto atrasado con respecto al cronograma</v>
      </c>
      <c r="AE143" s="85">
        <f t="shared" si="53"/>
        <v>193952950</v>
      </c>
      <c r="AF143" s="85">
        <f t="shared" si="54"/>
        <v>-40299999</v>
      </c>
      <c r="AG143" s="40" t="str">
        <f>VLOOKUP(Indicador!E143,Diccionario!C$1:AC$150,27,0)</f>
        <v>https://growdatasas.sharepoint.com/:x:/r/sites/Gestiondocumental/Administrativa/GD/Financiera/_layouts/15/Doc.aspx?sourcedoc=%7B9AED4F39-5D53-43D6-BACC-397FDB920633%7D&amp;file=20240613%20RUNT_DATAWAREHOUSE_23024V5%20P.xlsm&amp;action=default&amp;mobileredirect=true</v>
      </c>
      <c r="AH143" s="40">
        <v>1</v>
      </c>
      <c r="AI143" s="40">
        <v>1</v>
      </c>
    </row>
    <row r="144" spans="1:35" ht="18.75" customHeight="1">
      <c r="A144" s="73">
        <v>2024</v>
      </c>
      <c r="B144" s="112" t="s">
        <v>23</v>
      </c>
      <c r="C144" s="36" t="s">
        <v>234</v>
      </c>
      <c r="D144" s="37">
        <v>45481.633806909726</v>
      </c>
      <c r="E144" s="36" t="s">
        <v>84</v>
      </c>
      <c r="F144" s="36" t="s">
        <v>235</v>
      </c>
      <c r="G144" s="36" t="s">
        <v>236</v>
      </c>
      <c r="H144" s="36" t="s">
        <v>237</v>
      </c>
      <c r="I144" s="36" t="s">
        <v>175</v>
      </c>
      <c r="J144" s="36" t="s">
        <v>238</v>
      </c>
      <c r="K144" s="36" t="s">
        <v>154</v>
      </c>
      <c r="L144" s="74">
        <f>VLOOKUP(E144,Diccionario!C$2:AC$150,22,0)</f>
        <v>234252949</v>
      </c>
      <c r="M144" s="75">
        <f>VLOOKUP(E144,Diccionario!C$2:AC$150,24,0)</f>
        <v>45456</v>
      </c>
      <c r="N144" s="76">
        <f>VLOOKUP(E144,Diccionario!C$2:AC$150,25,0)</f>
        <v>45503</v>
      </c>
      <c r="O144" s="77">
        <f>VLOOKUP(E144,Diccionario!C$2:AC$150,26,0)</f>
        <v>1.57</v>
      </c>
      <c r="P144" s="77">
        <f t="shared" si="62"/>
        <v>1.43</v>
      </c>
      <c r="Q144" s="78">
        <v>3</v>
      </c>
      <c r="R144" s="36">
        <v>2</v>
      </c>
      <c r="S144" s="86">
        <v>1</v>
      </c>
      <c r="T144" s="86">
        <v>0.75</v>
      </c>
      <c r="U144" s="82">
        <v>0</v>
      </c>
      <c r="V144" s="82">
        <v>0</v>
      </c>
      <c r="W144" s="82">
        <f t="shared" si="50"/>
        <v>175689711.75</v>
      </c>
      <c r="X144" s="82">
        <f t="shared" si="63"/>
        <v>234252949</v>
      </c>
      <c r="Y144" s="82">
        <f t="shared" si="51"/>
        <v>175689711.75</v>
      </c>
      <c r="Z144" s="82">
        <f t="shared" si="64"/>
        <v>-58563237.25</v>
      </c>
      <c r="AA144" s="83" t="str">
        <f t="shared" si="65"/>
        <v>No se realizó gasto en este corte</v>
      </c>
      <c r="AB144" s="84" t="str">
        <f t="shared" si="66"/>
        <v>Costo eficiente: se está gastando menos de lo presupuestado</v>
      </c>
      <c r="AC144" s="84">
        <f t="shared" si="52"/>
        <v>0.75</v>
      </c>
      <c r="AD144" s="84" t="str">
        <f t="shared" si="67"/>
        <v>Proyecto atrasado con respecto al cronograma</v>
      </c>
      <c r="AE144" s="85">
        <f t="shared" si="53"/>
        <v>0</v>
      </c>
      <c r="AF144" s="85">
        <f t="shared" si="54"/>
        <v>-234252949</v>
      </c>
      <c r="AG144" s="40" t="str">
        <f>VLOOKUP(Indicador!E144,Diccionario!C$1:AC$150,27,0)</f>
        <v>https://growdatasas.sharepoint.com/:x:/r/sites/Gestiondocumental/Administrativa/GD/Financiera/_layouts/15/Doc.aspx?sourcedoc=%7B9AED4F39-5D53-43D6-BACC-397FDB920633%7D&amp;file=20240613%20RUNT_DATAWAREHOUSE_23024V5%20P.xlsm&amp;action=default&amp;mobileredirect=true</v>
      </c>
      <c r="AH144" s="40">
        <v>1</v>
      </c>
      <c r="AI144" s="40">
        <v>1</v>
      </c>
    </row>
    <row r="145" spans="1:35" ht="18.75" customHeight="1">
      <c r="A145" s="73">
        <v>2024</v>
      </c>
      <c r="B145" s="112" t="s">
        <v>23</v>
      </c>
      <c r="C145" s="36" t="s">
        <v>234</v>
      </c>
      <c r="D145" s="37">
        <v>45481.633806909726</v>
      </c>
      <c r="E145" s="36" t="s">
        <v>84</v>
      </c>
      <c r="F145" s="36" t="s">
        <v>235</v>
      </c>
      <c r="G145" s="36" t="s">
        <v>236</v>
      </c>
      <c r="H145" s="36" t="s">
        <v>237</v>
      </c>
      <c r="I145" s="36" t="s">
        <v>175</v>
      </c>
      <c r="J145" s="36" t="s">
        <v>238</v>
      </c>
      <c r="K145" s="36" t="s">
        <v>154</v>
      </c>
      <c r="L145" s="74">
        <f>VLOOKUP(E145,Diccionario!C$2:AC$150,22,0)</f>
        <v>234252949</v>
      </c>
      <c r="M145" s="75">
        <f>VLOOKUP(E145,Diccionario!C$2:AC$150,24,0)</f>
        <v>45456</v>
      </c>
      <c r="N145" s="76">
        <f>VLOOKUP(E145,Diccionario!C$2:AC$150,25,0)</f>
        <v>45503</v>
      </c>
      <c r="O145" s="77">
        <f>VLOOKUP(E145,Diccionario!C$2:AC$150,26,0)</f>
        <v>1.57</v>
      </c>
      <c r="P145" s="77">
        <f t="shared" si="62"/>
        <v>2.4299999999999997</v>
      </c>
      <c r="Q145" s="78">
        <v>4</v>
      </c>
      <c r="R145" s="36">
        <v>2</v>
      </c>
      <c r="S145" s="86">
        <v>1</v>
      </c>
      <c r="T145" s="86">
        <v>1</v>
      </c>
      <c r="U145" s="82">
        <v>40300000</v>
      </c>
      <c r="V145" s="82">
        <v>40300000</v>
      </c>
      <c r="W145" s="82">
        <f t="shared" si="50"/>
        <v>234252949</v>
      </c>
      <c r="X145" s="82">
        <f t="shared" si="63"/>
        <v>234252949</v>
      </c>
      <c r="Y145" s="82">
        <f t="shared" si="51"/>
        <v>193952949</v>
      </c>
      <c r="Z145" s="82">
        <f t="shared" si="64"/>
        <v>0</v>
      </c>
      <c r="AA145" s="83">
        <f t="shared" si="65"/>
        <v>5.812728263027295</v>
      </c>
      <c r="AB145" s="84" t="str">
        <f t="shared" si="66"/>
        <v>Costo eficiente: se está gastando menos de lo presupuestado</v>
      </c>
      <c r="AC145" s="84">
        <f t="shared" si="52"/>
        <v>1</v>
      </c>
      <c r="AD145" s="84" t="str">
        <f t="shared" si="67"/>
        <v>Proyecto a tiempo según lo planificado</v>
      </c>
      <c r="AE145" s="85">
        <f t="shared" si="53"/>
        <v>40300000</v>
      </c>
      <c r="AF145" s="85">
        <f t="shared" si="54"/>
        <v>-193952949</v>
      </c>
      <c r="AG145" s="40" t="str">
        <f>VLOOKUP(Indicador!E145,Diccionario!C$1:AC$150,27,0)</f>
        <v>https://growdatasas.sharepoint.com/:x:/r/sites/Gestiondocumental/Administrativa/GD/Financiera/_layouts/15/Doc.aspx?sourcedoc=%7B9AED4F39-5D53-43D6-BACC-397FDB920633%7D&amp;file=20240613%20RUNT_DATAWAREHOUSE_23024V5%20P.xlsm&amp;action=default&amp;mobileredirect=true</v>
      </c>
      <c r="AH145" s="40">
        <v>1</v>
      </c>
      <c r="AI145" s="40">
        <v>1</v>
      </c>
    </row>
    <row r="146" spans="1:35" ht="18.75" customHeight="1">
      <c r="A146" s="73">
        <v>2024</v>
      </c>
      <c r="B146" s="112" t="s">
        <v>21</v>
      </c>
      <c r="C146" s="36" t="s">
        <v>239</v>
      </c>
      <c r="D146" s="37">
        <v>45518.816397303242</v>
      </c>
      <c r="E146" s="36" t="s">
        <v>40</v>
      </c>
      <c r="F146" s="36" t="s">
        <v>185</v>
      </c>
      <c r="G146" s="36" t="s">
        <v>240</v>
      </c>
      <c r="H146" s="36" t="s">
        <v>241</v>
      </c>
      <c r="I146" s="36" t="s">
        <v>175</v>
      </c>
      <c r="J146" s="36" t="s">
        <v>242</v>
      </c>
      <c r="K146" s="36" t="s">
        <v>154</v>
      </c>
      <c r="L146" s="74">
        <f>VLOOKUP(E146,Diccionario!C$2:AC$150,22,0)</f>
        <v>1821030084</v>
      </c>
      <c r="M146" s="75">
        <f>VLOOKUP(E146,Diccionario!C$2:AC$150,24,0)</f>
        <v>45473</v>
      </c>
      <c r="N146" s="76">
        <f>VLOOKUP(E146,Diccionario!C$2:AC$150,25,0)</f>
        <v>45655</v>
      </c>
      <c r="O146" s="77">
        <f>VLOOKUP(E146,Diccionario!C$2:AC$150,26,0)</f>
        <v>5.97</v>
      </c>
      <c r="P146" s="77">
        <f t="shared" si="62"/>
        <v>-4.97</v>
      </c>
      <c r="Q146" s="78">
        <v>1</v>
      </c>
      <c r="R146" s="36">
        <v>7</v>
      </c>
      <c r="S146" s="86">
        <v>0.15</v>
      </c>
      <c r="T146" s="86">
        <v>0.15</v>
      </c>
      <c r="U146" s="82">
        <v>303505014</v>
      </c>
      <c r="V146" s="82">
        <v>303505014</v>
      </c>
      <c r="W146" s="82">
        <f t="shared" si="50"/>
        <v>273154512.59999996</v>
      </c>
      <c r="X146" s="82">
        <f t="shared" si="63"/>
        <v>273154512.59999996</v>
      </c>
      <c r="Y146" s="82">
        <f t="shared" si="51"/>
        <v>-30350501.400000036</v>
      </c>
      <c r="Z146" s="82">
        <f t="shared" si="64"/>
        <v>0</v>
      </c>
      <c r="AA146" s="83">
        <f t="shared" si="65"/>
        <v>0.89999999999999991</v>
      </c>
      <c r="AB146" s="84" t="str">
        <f t="shared" si="66"/>
        <v>Costo ineficiente: se está gastando más de lo presupuestado</v>
      </c>
      <c r="AC146" s="84">
        <f t="shared" si="52"/>
        <v>1</v>
      </c>
      <c r="AD146" s="84" t="str">
        <f t="shared" si="67"/>
        <v>Proyecto a tiempo según lo planificado</v>
      </c>
      <c r="AE146" s="85">
        <f t="shared" si="53"/>
        <v>2023366760.0000002</v>
      </c>
      <c r="AF146" s="85">
        <f t="shared" si="54"/>
        <v>202336676.00000024</v>
      </c>
      <c r="AG146" s="40" t="str">
        <f>VLOOKUP(Indicador!E146,Diccionario!C$1:AC$150,27,0)</f>
        <v>https://growdatasas.sharepoint.com/:x:/r/sites/Gestiondocumental/Administrativa/GD/Financiera/_layouts/15/Doc.aspx?sourcedoc=%7BE27BC622-4961-4BA4-8FF2-7949D6CE364A%7D&amp;file=20062024%20SNR%20MIGRACION.xlsm&amp;action=default&amp;mobileredirect=true</v>
      </c>
      <c r="AH146" s="40">
        <v>1</v>
      </c>
      <c r="AI146" s="40">
        <v>1</v>
      </c>
    </row>
    <row r="147" spans="1:35" ht="18.75" customHeight="1">
      <c r="A147" s="73">
        <v>2024</v>
      </c>
      <c r="B147" s="112" t="s">
        <v>23</v>
      </c>
      <c r="C147" s="36" t="s">
        <v>239</v>
      </c>
      <c r="D147" s="37">
        <v>45518.816397303242</v>
      </c>
      <c r="E147" s="36" t="s">
        <v>40</v>
      </c>
      <c r="F147" s="36" t="s">
        <v>185</v>
      </c>
      <c r="G147" s="36" t="s">
        <v>240</v>
      </c>
      <c r="H147" s="36" t="s">
        <v>241</v>
      </c>
      <c r="I147" s="36" t="s">
        <v>175</v>
      </c>
      <c r="J147" s="36" t="s">
        <v>242</v>
      </c>
      <c r="K147" s="36" t="s">
        <v>154</v>
      </c>
      <c r="L147" s="74">
        <f>VLOOKUP(E147,Diccionario!C$2:AC$150,22,0)</f>
        <v>1821030084</v>
      </c>
      <c r="M147" s="75">
        <f>VLOOKUP(E147,Diccionario!C$2:AC$150,24,0)</f>
        <v>45473</v>
      </c>
      <c r="N147" s="76">
        <f>VLOOKUP(E147,Diccionario!C$2:AC$150,25,0)</f>
        <v>45655</v>
      </c>
      <c r="O147" s="77">
        <f>VLOOKUP(E147,Diccionario!C$2:AC$150,26,0)</f>
        <v>5.97</v>
      </c>
      <c r="P147" s="77">
        <f t="shared" si="62"/>
        <v>-3.9699999999999998</v>
      </c>
      <c r="Q147" s="78">
        <v>2</v>
      </c>
      <c r="R147" s="36">
        <v>7</v>
      </c>
      <c r="S147" s="86">
        <v>0.2</v>
      </c>
      <c r="T147" s="86">
        <v>0.2</v>
      </c>
      <c r="U147" s="82">
        <v>303505014</v>
      </c>
      <c r="V147" s="82">
        <v>303505014</v>
      </c>
      <c r="W147" s="82">
        <f t="shared" si="50"/>
        <v>364206016.80000001</v>
      </c>
      <c r="X147" s="82">
        <f t="shared" si="63"/>
        <v>364206016.80000001</v>
      </c>
      <c r="Y147" s="82">
        <f t="shared" si="51"/>
        <v>60701002.800000012</v>
      </c>
      <c r="Z147" s="82">
        <f t="shared" si="64"/>
        <v>0</v>
      </c>
      <c r="AA147" s="83">
        <f t="shared" si="65"/>
        <v>1.2</v>
      </c>
      <c r="AB147" s="84" t="str">
        <f t="shared" si="66"/>
        <v>Costo eficiente: se está gastando menos de lo presupuestado</v>
      </c>
      <c r="AC147" s="84">
        <f t="shared" si="52"/>
        <v>1</v>
      </c>
      <c r="AD147" s="84" t="str">
        <f t="shared" si="67"/>
        <v>Proyecto a tiempo según lo planificado</v>
      </c>
      <c r="AE147" s="85">
        <f t="shared" si="53"/>
        <v>1517525070</v>
      </c>
      <c r="AF147" s="85">
        <f t="shared" si="54"/>
        <v>-303505014</v>
      </c>
      <c r="AG147" s="40" t="str">
        <f>VLOOKUP(Indicador!E147,Diccionario!C$1:AC$150,27,0)</f>
        <v>https://growdatasas.sharepoint.com/:x:/r/sites/Gestiondocumental/Administrativa/GD/Financiera/_layouts/15/Doc.aspx?sourcedoc=%7BE27BC622-4961-4BA4-8FF2-7949D6CE364A%7D&amp;file=20062024%20SNR%20MIGRACION.xlsm&amp;action=default&amp;mobileredirect=true</v>
      </c>
      <c r="AH147" s="40">
        <v>1</v>
      </c>
      <c r="AI147" s="40">
        <v>1</v>
      </c>
    </row>
    <row r="148" spans="1:35" ht="18.75" customHeight="1">
      <c r="A148" s="73">
        <v>2024</v>
      </c>
      <c r="B148" s="112" t="s">
        <v>26</v>
      </c>
      <c r="C148" s="36" t="s">
        <v>239</v>
      </c>
      <c r="D148" s="37">
        <v>45518.816397303242</v>
      </c>
      <c r="E148" s="36" t="s">
        <v>40</v>
      </c>
      <c r="F148" s="36" t="s">
        <v>185</v>
      </c>
      <c r="G148" s="36" t="s">
        <v>240</v>
      </c>
      <c r="H148" s="36" t="s">
        <v>241</v>
      </c>
      <c r="I148" s="36" t="s">
        <v>175</v>
      </c>
      <c r="J148" s="36" t="s">
        <v>242</v>
      </c>
      <c r="K148" s="36" t="s">
        <v>154</v>
      </c>
      <c r="L148" s="74">
        <f>VLOOKUP(E148,Diccionario!C$2:AC$150,22,0)</f>
        <v>1821030084</v>
      </c>
      <c r="M148" s="75">
        <f>VLOOKUP(E148,Diccionario!C$2:AC$150,24,0)</f>
        <v>45473</v>
      </c>
      <c r="N148" s="76">
        <f>VLOOKUP(E148,Diccionario!C$2:AC$150,25,0)</f>
        <v>45655</v>
      </c>
      <c r="O148" s="77">
        <f>VLOOKUP(E148,Diccionario!C$2:AC$150,26,0)</f>
        <v>5.97</v>
      </c>
      <c r="P148" s="77">
        <f t="shared" si="62"/>
        <v>-2.9699999999999998</v>
      </c>
      <c r="Q148" s="78">
        <v>3</v>
      </c>
      <c r="R148" s="36">
        <v>7</v>
      </c>
      <c r="S148" s="86">
        <v>0.4</v>
      </c>
      <c r="T148" s="86">
        <v>0.45</v>
      </c>
      <c r="U148" s="82">
        <v>303505014</v>
      </c>
      <c r="V148" s="82">
        <v>303505014</v>
      </c>
      <c r="W148" s="82">
        <f t="shared" si="50"/>
        <v>819463537.80000007</v>
      </c>
      <c r="X148" s="82">
        <f t="shared" si="63"/>
        <v>728412033.60000002</v>
      </c>
      <c r="Y148" s="82">
        <f t="shared" si="51"/>
        <v>515958523.80000007</v>
      </c>
      <c r="Z148" s="82">
        <f t="shared" si="64"/>
        <v>91051504.200000048</v>
      </c>
      <c r="AA148" s="83">
        <f t="shared" si="65"/>
        <v>2.7</v>
      </c>
      <c r="AB148" s="84" t="str">
        <f t="shared" si="66"/>
        <v>Costo eficiente: se está gastando menos de lo presupuestado</v>
      </c>
      <c r="AC148" s="84">
        <f t="shared" si="52"/>
        <v>1.125</v>
      </c>
      <c r="AD148" s="84" t="str">
        <f t="shared" si="67"/>
        <v>Proyecto adelantado respecto al cronograma</v>
      </c>
      <c r="AE148" s="85">
        <f t="shared" si="53"/>
        <v>674455586.66666663</v>
      </c>
      <c r="AF148" s="85">
        <f t="shared" si="54"/>
        <v>-1146574497.3333335</v>
      </c>
      <c r="AG148" s="40" t="str">
        <f>VLOOKUP(Indicador!E148,Diccionario!C$1:AC$150,27,0)</f>
        <v>https://growdatasas.sharepoint.com/:x:/r/sites/Gestiondocumental/Administrativa/GD/Financiera/_layouts/15/Doc.aspx?sourcedoc=%7BE27BC622-4961-4BA4-8FF2-7949D6CE364A%7D&amp;file=20062024%20SNR%20MIGRACION.xlsm&amp;action=default&amp;mobileredirect=true</v>
      </c>
      <c r="AH148" s="40">
        <v>1</v>
      </c>
      <c r="AI148" s="40">
        <v>1</v>
      </c>
    </row>
    <row r="149" spans="1:35" ht="18.75" customHeight="1">
      <c r="A149" s="73">
        <v>2024</v>
      </c>
      <c r="B149" s="112" t="s">
        <v>28</v>
      </c>
      <c r="C149" s="36" t="s">
        <v>239</v>
      </c>
      <c r="D149" s="37">
        <v>45518.816397303242</v>
      </c>
      <c r="E149" s="36" t="s">
        <v>40</v>
      </c>
      <c r="F149" s="36" t="s">
        <v>185</v>
      </c>
      <c r="G149" s="36" t="s">
        <v>240</v>
      </c>
      <c r="H149" s="36" t="s">
        <v>241</v>
      </c>
      <c r="I149" s="36" t="s">
        <v>175</v>
      </c>
      <c r="J149" s="36" t="s">
        <v>242</v>
      </c>
      <c r="K149" s="36" t="s">
        <v>154</v>
      </c>
      <c r="L149" s="74">
        <f>VLOOKUP(E149,Diccionario!C$2:AC$150,22,0)</f>
        <v>1821030084</v>
      </c>
      <c r="M149" s="75">
        <f>VLOOKUP(E149,Diccionario!C$2:AC$150,24,0)</f>
        <v>45473</v>
      </c>
      <c r="N149" s="76">
        <f>VLOOKUP(E149,Diccionario!C$2:AC$150,25,0)</f>
        <v>45655</v>
      </c>
      <c r="O149" s="77">
        <f>VLOOKUP(E149,Diccionario!C$2:AC$150,26,0)</f>
        <v>5.97</v>
      </c>
      <c r="P149" s="77">
        <f t="shared" si="62"/>
        <v>-1.9699999999999998</v>
      </c>
      <c r="Q149" s="78">
        <v>4</v>
      </c>
      <c r="R149" s="36">
        <v>7</v>
      </c>
      <c r="S149" s="86">
        <v>0.5</v>
      </c>
      <c r="T149" s="86">
        <v>0.5</v>
      </c>
      <c r="U149" s="82">
        <v>303505014</v>
      </c>
      <c r="V149" s="82">
        <v>303505014</v>
      </c>
      <c r="W149" s="82">
        <f t="shared" si="50"/>
        <v>910515042</v>
      </c>
      <c r="X149" s="82">
        <f t="shared" si="63"/>
        <v>910515042</v>
      </c>
      <c r="Y149" s="82">
        <f t="shared" si="51"/>
        <v>607010028</v>
      </c>
      <c r="Z149" s="82">
        <f t="shared" si="64"/>
        <v>0</v>
      </c>
      <c r="AA149" s="83">
        <f t="shared" si="65"/>
        <v>3</v>
      </c>
      <c r="AB149" s="84" t="str">
        <f t="shared" si="66"/>
        <v>Costo eficiente: se está gastando menos de lo presupuestado</v>
      </c>
      <c r="AC149" s="84">
        <f t="shared" si="52"/>
        <v>1</v>
      </c>
      <c r="AD149" s="84" t="str">
        <f t="shared" si="67"/>
        <v>Proyecto a tiempo según lo planificado</v>
      </c>
      <c r="AE149" s="85">
        <f t="shared" si="53"/>
        <v>607010028</v>
      </c>
      <c r="AF149" s="85">
        <f t="shared" si="54"/>
        <v>-1214020056</v>
      </c>
      <c r="AG149" s="40" t="str">
        <f>VLOOKUP(Indicador!E149,Diccionario!C$1:AC$150,27,0)</f>
        <v>https://growdatasas.sharepoint.com/:x:/r/sites/Gestiondocumental/Administrativa/GD/Financiera/_layouts/15/Doc.aspx?sourcedoc=%7BE27BC622-4961-4BA4-8FF2-7949D6CE364A%7D&amp;file=20062024%20SNR%20MIGRACION.xlsm&amp;action=default&amp;mobileredirect=true</v>
      </c>
      <c r="AH149" s="40">
        <v>1</v>
      </c>
      <c r="AI149" s="40">
        <v>1</v>
      </c>
    </row>
    <row r="150" spans="1:35" ht="18.75" customHeight="1">
      <c r="A150" s="73">
        <v>2024</v>
      </c>
      <c r="B150" s="112" t="s">
        <v>30</v>
      </c>
      <c r="C150" s="36" t="s">
        <v>239</v>
      </c>
      <c r="D150" s="37">
        <v>45518.816397303242</v>
      </c>
      <c r="E150" s="36" t="s">
        <v>40</v>
      </c>
      <c r="F150" s="36" t="s">
        <v>185</v>
      </c>
      <c r="G150" s="36" t="s">
        <v>240</v>
      </c>
      <c r="H150" s="36" t="s">
        <v>241</v>
      </c>
      <c r="I150" s="36" t="s">
        <v>175</v>
      </c>
      <c r="J150" s="36" t="s">
        <v>242</v>
      </c>
      <c r="K150" s="36" t="s">
        <v>154</v>
      </c>
      <c r="L150" s="74">
        <f>VLOOKUP(E150,Diccionario!C$2:AC$150,22,0)</f>
        <v>1821030084</v>
      </c>
      <c r="M150" s="75">
        <f>VLOOKUP(E150,Diccionario!C$2:AC$150,24,0)</f>
        <v>45473</v>
      </c>
      <c r="N150" s="76">
        <f>VLOOKUP(E150,Diccionario!C$2:AC$150,25,0)</f>
        <v>45655</v>
      </c>
      <c r="O150" s="77">
        <f>VLOOKUP(E150,Diccionario!C$2:AC$150,26,0)</f>
        <v>5.97</v>
      </c>
      <c r="P150" s="77">
        <f t="shared" si="62"/>
        <v>-0.96999999999999975</v>
      </c>
      <c r="Q150" s="78">
        <v>5</v>
      </c>
      <c r="R150" s="36">
        <v>7</v>
      </c>
      <c r="S150" s="86">
        <v>0.75</v>
      </c>
      <c r="T150" s="86">
        <v>0.8</v>
      </c>
      <c r="U150" s="82">
        <v>303505014</v>
      </c>
      <c r="V150" s="82">
        <v>303505014</v>
      </c>
      <c r="W150" s="82">
        <f t="shared" si="50"/>
        <v>1456824067.2</v>
      </c>
      <c r="X150" s="82">
        <f t="shared" si="63"/>
        <v>1365772563</v>
      </c>
      <c r="Y150" s="82">
        <f t="shared" si="51"/>
        <v>1153319053.2</v>
      </c>
      <c r="Z150" s="82">
        <f t="shared" si="64"/>
        <v>91051504.200000048</v>
      </c>
      <c r="AA150" s="83">
        <f t="shared" si="65"/>
        <v>4.8</v>
      </c>
      <c r="AB150" s="84" t="str">
        <f t="shared" si="66"/>
        <v>Costo eficiente: se está gastando menos de lo presupuestado</v>
      </c>
      <c r="AC150" s="84">
        <f t="shared" si="52"/>
        <v>1.0666666666666667</v>
      </c>
      <c r="AD150" s="84" t="str">
        <f t="shared" si="67"/>
        <v>Proyecto adelantado respecto al cronograma</v>
      </c>
      <c r="AE150" s="85">
        <f t="shared" si="53"/>
        <v>379381267.5</v>
      </c>
      <c r="AF150" s="85">
        <f t="shared" si="54"/>
        <v>-1441648816.5</v>
      </c>
      <c r="AG150" s="40" t="str">
        <f>VLOOKUP(Indicador!E150,Diccionario!C$1:AC$150,27,0)</f>
        <v>https://growdatasas.sharepoint.com/:x:/r/sites/Gestiondocumental/Administrativa/GD/Financiera/_layouts/15/Doc.aspx?sourcedoc=%7BE27BC622-4961-4BA4-8FF2-7949D6CE364A%7D&amp;file=20062024%20SNR%20MIGRACION.xlsm&amp;action=default&amp;mobileredirect=true</v>
      </c>
      <c r="AH150" s="40">
        <v>1</v>
      </c>
      <c r="AI150" s="40">
        <v>1</v>
      </c>
    </row>
    <row r="151" spans="1:35" ht="18.75" customHeight="1">
      <c r="A151" s="73">
        <v>2024</v>
      </c>
      <c r="B151" s="112" t="s">
        <v>31</v>
      </c>
      <c r="C151" s="36" t="s">
        <v>239</v>
      </c>
      <c r="D151" s="37">
        <v>45518.816397303242</v>
      </c>
      <c r="E151" s="36" t="s">
        <v>40</v>
      </c>
      <c r="F151" s="36" t="s">
        <v>185</v>
      </c>
      <c r="G151" s="36" t="s">
        <v>240</v>
      </c>
      <c r="H151" s="36" t="s">
        <v>241</v>
      </c>
      <c r="I151" s="36" t="s">
        <v>175</v>
      </c>
      <c r="J151" s="36" t="s">
        <v>242</v>
      </c>
      <c r="K151" s="36" t="s">
        <v>154</v>
      </c>
      <c r="L151" s="74">
        <f>VLOOKUP(E151,Diccionario!C$2:AC$150,22,0)</f>
        <v>1821030084</v>
      </c>
      <c r="M151" s="75">
        <f>VLOOKUP(E151,Diccionario!C$2:AC$150,24,0)</f>
        <v>45473</v>
      </c>
      <c r="N151" s="76">
        <f>VLOOKUP(E151,Diccionario!C$2:AC$150,25,0)</f>
        <v>45655</v>
      </c>
      <c r="O151" s="77">
        <f>VLOOKUP(E151,Diccionario!C$2:AC$150,26,0)</f>
        <v>5.97</v>
      </c>
      <c r="P151" s="77">
        <f t="shared" si="62"/>
        <v>3.0000000000000249E-2</v>
      </c>
      <c r="Q151" s="78">
        <v>6</v>
      </c>
      <c r="R151" s="36">
        <v>7</v>
      </c>
      <c r="S151" s="86">
        <v>0.85</v>
      </c>
      <c r="T151" s="86">
        <v>0.9</v>
      </c>
      <c r="U151" s="82">
        <v>303505014</v>
      </c>
      <c r="V151" s="82">
        <v>303505014</v>
      </c>
      <c r="W151" s="82">
        <f t="shared" si="50"/>
        <v>1638927075.6000001</v>
      </c>
      <c r="X151" s="82">
        <f t="shared" si="63"/>
        <v>1547875571.3999999</v>
      </c>
      <c r="Y151" s="82">
        <f t="shared" si="51"/>
        <v>1335422061.6000001</v>
      </c>
      <c r="Z151" s="82">
        <f t="shared" si="64"/>
        <v>91051504.200000286</v>
      </c>
      <c r="AA151" s="83">
        <f t="shared" si="65"/>
        <v>5.4</v>
      </c>
      <c r="AB151" s="84" t="str">
        <f t="shared" si="66"/>
        <v>Costo eficiente: se está gastando menos de lo presupuestado</v>
      </c>
      <c r="AC151" s="84">
        <f t="shared" si="52"/>
        <v>1.0588235294117649</v>
      </c>
      <c r="AD151" s="84" t="str">
        <f t="shared" si="67"/>
        <v>Proyecto adelantado respecto al cronograma</v>
      </c>
      <c r="AE151" s="85">
        <f t="shared" si="53"/>
        <v>337227793.33333331</v>
      </c>
      <c r="AF151" s="85">
        <f t="shared" si="54"/>
        <v>-1483802290.6666667</v>
      </c>
      <c r="AG151" s="40" t="str">
        <f>VLOOKUP(Indicador!E151,Diccionario!C$1:AC$150,27,0)</f>
        <v>https://growdatasas.sharepoint.com/:x:/r/sites/Gestiondocumental/Administrativa/GD/Financiera/_layouts/15/Doc.aspx?sourcedoc=%7BE27BC622-4961-4BA4-8FF2-7949D6CE364A%7D&amp;file=20062024%20SNR%20MIGRACION.xlsm&amp;action=default&amp;mobileredirect=true</v>
      </c>
      <c r="AH151" s="40">
        <v>1</v>
      </c>
      <c r="AI151" s="40">
        <v>1</v>
      </c>
    </row>
    <row r="152" spans="1:35" ht="18.75" customHeight="1">
      <c r="A152" s="73">
        <v>2024</v>
      </c>
      <c r="B152" s="112" t="s">
        <v>32</v>
      </c>
      <c r="C152" s="36" t="s">
        <v>239</v>
      </c>
      <c r="D152" s="37">
        <v>45518.816397303242</v>
      </c>
      <c r="E152" s="36" t="s">
        <v>40</v>
      </c>
      <c r="F152" s="36" t="s">
        <v>185</v>
      </c>
      <c r="G152" s="36" t="s">
        <v>240</v>
      </c>
      <c r="H152" s="36" t="s">
        <v>241</v>
      </c>
      <c r="I152" s="36" t="s">
        <v>175</v>
      </c>
      <c r="J152" s="36" t="s">
        <v>242</v>
      </c>
      <c r="K152" s="36" t="s">
        <v>154</v>
      </c>
      <c r="L152" s="74">
        <f>VLOOKUP(E152,Diccionario!C$2:AC$150,22,0)</f>
        <v>1821030084</v>
      </c>
      <c r="M152" s="75">
        <f>VLOOKUP(E152,Diccionario!C$2:AC$150,24,0)</f>
        <v>45473</v>
      </c>
      <c r="N152" s="76">
        <f>VLOOKUP(E152,Diccionario!C$2:AC$150,25,0)</f>
        <v>45655</v>
      </c>
      <c r="O152" s="77">
        <f>VLOOKUP(E152,Diccionario!C$2:AC$150,26,0)</f>
        <v>5.97</v>
      </c>
      <c r="P152" s="77">
        <f t="shared" si="62"/>
        <v>1.0300000000000002</v>
      </c>
      <c r="Q152" s="78">
        <v>7</v>
      </c>
      <c r="R152" s="36">
        <v>7</v>
      </c>
      <c r="S152" s="86">
        <v>1</v>
      </c>
      <c r="T152" s="86">
        <v>1</v>
      </c>
      <c r="U152" s="82">
        <v>0</v>
      </c>
      <c r="V152" s="82">
        <v>0</v>
      </c>
      <c r="W152" s="82">
        <f t="shared" si="50"/>
        <v>1821030084</v>
      </c>
      <c r="X152" s="82">
        <f t="shared" si="63"/>
        <v>1821030084</v>
      </c>
      <c r="Y152" s="82">
        <f t="shared" si="51"/>
        <v>1821030084</v>
      </c>
      <c r="Z152" s="82">
        <f t="shared" si="64"/>
        <v>0</v>
      </c>
      <c r="AA152" s="83" t="str">
        <f t="shared" si="65"/>
        <v>No se realizó gasto en este corte</v>
      </c>
      <c r="AB152" s="84" t="str">
        <f t="shared" si="66"/>
        <v>Costo eficiente: se está gastando menos de lo presupuestado</v>
      </c>
      <c r="AC152" s="84">
        <f t="shared" si="52"/>
        <v>1</v>
      </c>
      <c r="AD152" s="84" t="str">
        <f t="shared" si="67"/>
        <v>Proyecto a tiempo según lo planificado</v>
      </c>
      <c r="AE152" s="85">
        <f t="shared" si="53"/>
        <v>0</v>
      </c>
      <c r="AF152" s="85">
        <f t="shared" si="54"/>
        <v>-1821030084</v>
      </c>
      <c r="AG152" s="40" t="str">
        <f>VLOOKUP(Indicador!E152,Diccionario!C$1:AC$150,27,0)</f>
        <v>https://growdatasas.sharepoint.com/:x:/r/sites/Gestiondocumental/Administrativa/GD/Financiera/_layouts/15/Doc.aspx?sourcedoc=%7BE27BC622-4961-4BA4-8FF2-7949D6CE364A%7D&amp;file=20062024%20SNR%20MIGRACION.xlsm&amp;action=default&amp;mobileredirect=true</v>
      </c>
      <c r="AH152" s="40">
        <v>1</v>
      </c>
      <c r="AI152" s="40">
        <v>1</v>
      </c>
    </row>
    <row r="153" spans="1:35" ht="18.75" customHeight="1">
      <c r="A153" s="73">
        <v>2024</v>
      </c>
      <c r="B153" s="112" t="s">
        <v>26</v>
      </c>
      <c r="C153" s="36" t="s">
        <v>243</v>
      </c>
      <c r="D153" s="37">
        <v>45569.574707060186</v>
      </c>
      <c r="E153" s="36" t="s">
        <v>41</v>
      </c>
      <c r="F153" s="36" t="s">
        <v>190</v>
      </c>
      <c r="G153" s="36" t="s">
        <v>244</v>
      </c>
      <c r="H153" s="36" t="s">
        <v>245</v>
      </c>
      <c r="I153" s="36" t="s">
        <v>165</v>
      </c>
      <c r="J153" s="36" t="s">
        <v>246</v>
      </c>
      <c r="K153" s="36" t="s">
        <v>154</v>
      </c>
      <c r="L153" s="74">
        <f>VLOOKUP(E153,Diccionario!C$2:AC$150,22,0)</f>
        <v>45928592</v>
      </c>
      <c r="M153" s="75">
        <f>VLOOKUP(E153,Diccionario!C$2:AC$150,24,0)</f>
        <v>45505</v>
      </c>
      <c r="N153" s="76">
        <f>VLOOKUP(E153,Diccionario!C$2:AC$150,25,0)</f>
        <v>45536</v>
      </c>
      <c r="O153" s="77">
        <f>VLOOKUP(E153,Diccionario!C$2:AC$150,26,0)</f>
        <v>1</v>
      </c>
      <c r="P153" s="77">
        <f t="shared" si="62"/>
        <v>0</v>
      </c>
      <c r="Q153" s="78">
        <v>1</v>
      </c>
      <c r="R153" s="36">
        <v>2</v>
      </c>
      <c r="S153" s="86">
        <v>0.5</v>
      </c>
      <c r="T153" s="86">
        <v>0.5</v>
      </c>
      <c r="U153" s="82">
        <v>27147059</v>
      </c>
      <c r="V153" s="82">
        <v>27147059</v>
      </c>
      <c r="W153" s="82">
        <f t="shared" si="50"/>
        <v>22964296</v>
      </c>
      <c r="X153" s="82">
        <f t="shared" si="63"/>
        <v>22964296</v>
      </c>
      <c r="Y153" s="82">
        <f t="shared" si="51"/>
        <v>-4182763</v>
      </c>
      <c r="Z153" s="82">
        <f t="shared" si="64"/>
        <v>0</v>
      </c>
      <c r="AA153" s="83">
        <f t="shared" si="65"/>
        <v>0.84592205733961823</v>
      </c>
      <c r="AB153" s="84" t="str">
        <f t="shared" si="66"/>
        <v>Costo ineficiente: se está gastando más de lo presupuestado</v>
      </c>
      <c r="AC153" s="84">
        <f t="shared" si="52"/>
        <v>1</v>
      </c>
      <c r="AD153" s="84" t="str">
        <f t="shared" si="67"/>
        <v>Proyecto a tiempo según lo planificado</v>
      </c>
      <c r="AE153" s="85">
        <f t="shared" si="53"/>
        <v>54294118</v>
      </c>
      <c r="AF153" s="85">
        <f t="shared" si="54"/>
        <v>8365526</v>
      </c>
      <c r="AG153" s="40" t="str">
        <f>VLOOKUP(Indicador!E153,Diccionario!C$1:AC$150,27,0)</f>
        <v>https://growdatasas.sharepoint.com/:x:/r/sites/Gestiondocumental/Administrativa/GD/Financiera/_layouts/15/Doc.aspx?sourcedoc=%7B8B953C7E-D0F5-422E-BC36-C51DAEC457DB%7D&amp;file=28082024%20MODELO%20FINANCIERO%20V7.1_DEFENSORIA_RENOVACION.xlsm&amp;action=default&amp;mobileredirect=true</v>
      </c>
      <c r="AH153" s="40">
        <v>1</v>
      </c>
      <c r="AI153" s="40">
        <v>1</v>
      </c>
    </row>
    <row r="154" spans="1:35" ht="18.75" customHeight="1">
      <c r="A154" s="73">
        <v>2024</v>
      </c>
      <c r="B154" s="112" t="s">
        <v>28</v>
      </c>
      <c r="C154" s="36" t="s">
        <v>243</v>
      </c>
      <c r="D154" s="37">
        <v>45569.574707060186</v>
      </c>
      <c r="E154" s="36" t="s">
        <v>41</v>
      </c>
      <c r="F154" s="36" t="s">
        <v>190</v>
      </c>
      <c r="G154" s="36" t="s">
        <v>244</v>
      </c>
      <c r="H154" s="36" t="s">
        <v>245</v>
      </c>
      <c r="I154" s="36" t="s">
        <v>165</v>
      </c>
      <c r="J154" s="36" t="s">
        <v>246</v>
      </c>
      <c r="K154" s="36" t="s">
        <v>154</v>
      </c>
      <c r="L154" s="74">
        <f>VLOOKUP(E154,Diccionario!C$2:AC$150,22,0)</f>
        <v>45928592</v>
      </c>
      <c r="M154" s="75">
        <f>VLOOKUP(E154,Diccionario!C$2:AC$150,24,0)</f>
        <v>45505</v>
      </c>
      <c r="N154" s="76">
        <f>VLOOKUP(E154,Diccionario!C$2:AC$150,25,0)</f>
        <v>45536</v>
      </c>
      <c r="O154" s="77">
        <f>VLOOKUP(E154,Diccionario!C$2:AC$150,26,0)</f>
        <v>1</v>
      </c>
      <c r="P154" s="77">
        <f t="shared" ref="P154:P169" si="68">Q154-O154</f>
        <v>1</v>
      </c>
      <c r="Q154" s="78">
        <v>2</v>
      </c>
      <c r="R154" s="36">
        <v>2</v>
      </c>
      <c r="S154" s="86">
        <v>1</v>
      </c>
      <c r="T154" s="86">
        <v>1</v>
      </c>
      <c r="U154" s="82">
        <v>-18781533</v>
      </c>
      <c r="V154" s="82">
        <v>-18781533</v>
      </c>
      <c r="W154" s="82">
        <f t="shared" si="50"/>
        <v>45928592</v>
      </c>
      <c r="X154" s="82">
        <f t="shared" si="63"/>
        <v>45928592</v>
      </c>
      <c r="Y154" s="82">
        <f t="shared" si="51"/>
        <v>64710125</v>
      </c>
      <c r="Z154" s="82">
        <f t="shared" si="64"/>
        <v>0</v>
      </c>
      <c r="AA154" s="83">
        <f t="shared" si="65"/>
        <v>-2.4454123100601</v>
      </c>
      <c r="AB154" s="84" t="str">
        <f t="shared" si="66"/>
        <v>Costo ineficiente: se está gastando más de lo presupuestado</v>
      </c>
      <c r="AC154" s="84">
        <f t="shared" si="52"/>
        <v>1</v>
      </c>
      <c r="AD154" s="84" t="str">
        <f t="shared" si="67"/>
        <v>Proyecto a tiempo según lo planificado</v>
      </c>
      <c r="AE154" s="85">
        <f t="shared" si="53"/>
        <v>-18781533</v>
      </c>
      <c r="AF154" s="85">
        <f t="shared" si="54"/>
        <v>-64710125</v>
      </c>
      <c r="AG154" s="40" t="str">
        <f>VLOOKUP(Indicador!E154,Diccionario!C$1:AC$150,27,0)</f>
        <v>https://growdatasas.sharepoint.com/:x:/r/sites/Gestiondocumental/Administrativa/GD/Financiera/_layouts/15/Doc.aspx?sourcedoc=%7B8B953C7E-D0F5-422E-BC36-C51DAEC457DB%7D&amp;file=28082024%20MODELO%20FINANCIERO%20V7.1_DEFENSORIA_RENOVACION.xlsm&amp;action=default&amp;mobileredirect=true</v>
      </c>
      <c r="AH154" s="40">
        <v>1</v>
      </c>
      <c r="AI154" s="40">
        <v>1</v>
      </c>
    </row>
    <row r="155" spans="1:35" ht="18.75" customHeight="1">
      <c r="A155" s="73">
        <v>2024</v>
      </c>
      <c r="B155" s="112" t="s">
        <v>26</v>
      </c>
      <c r="C155" s="36" t="s">
        <v>247</v>
      </c>
      <c r="D155" s="37">
        <v>45531.972959953702</v>
      </c>
      <c r="E155" s="36" t="s">
        <v>67</v>
      </c>
      <c r="F155" s="36" t="s">
        <v>185</v>
      </c>
      <c r="G155" s="36" t="s">
        <v>248</v>
      </c>
      <c r="H155" s="36" t="s">
        <v>249</v>
      </c>
      <c r="I155" s="36" t="s">
        <v>152</v>
      </c>
      <c r="J155" s="36" t="s">
        <v>250</v>
      </c>
      <c r="K155" s="36" t="s">
        <v>177</v>
      </c>
      <c r="L155" s="74">
        <f>VLOOKUP(E155,Diccionario!C$2:AC$150,22,0)</f>
        <v>7397230574</v>
      </c>
      <c r="M155" s="75">
        <f>VLOOKUP(E155,Diccionario!C$2:AC$150,24,0)</f>
        <v>45505</v>
      </c>
      <c r="N155" s="76">
        <f>VLOOKUP(E155,Diccionario!C$2:AC$150,25,0)</f>
        <v>45807</v>
      </c>
      <c r="O155" s="77">
        <f>VLOOKUP(E155,Diccionario!C$2:AC$150,26,0)</f>
        <v>9.9700000000000006</v>
      </c>
      <c r="P155" s="77">
        <f t="shared" si="68"/>
        <v>-8.9700000000000006</v>
      </c>
      <c r="Q155" s="78">
        <v>1</v>
      </c>
      <c r="R155" s="36">
        <v>10</v>
      </c>
      <c r="S155" s="86">
        <v>0.1</v>
      </c>
      <c r="T155" s="86">
        <v>0.1</v>
      </c>
      <c r="U155" s="82">
        <v>646096114</v>
      </c>
      <c r="V155" s="82">
        <v>646096114</v>
      </c>
      <c r="W155" s="82">
        <f t="shared" si="50"/>
        <v>739723057.4000001</v>
      </c>
      <c r="X155" s="82">
        <f t="shared" si="63"/>
        <v>739723057.4000001</v>
      </c>
      <c r="Y155" s="82">
        <f t="shared" si="51"/>
        <v>93626943.400000095</v>
      </c>
      <c r="Z155" s="82">
        <f t="shared" si="64"/>
        <v>0</v>
      </c>
      <c r="AA155" s="83">
        <f t="shared" si="65"/>
        <v>1.1449117884649591</v>
      </c>
      <c r="AB155" s="84" t="str">
        <f t="shared" si="66"/>
        <v>Costo eficiente: se está gastando menos de lo presupuestado</v>
      </c>
      <c r="AC155" s="84">
        <f t="shared" si="52"/>
        <v>1</v>
      </c>
      <c r="AD155" s="84" t="str">
        <f t="shared" si="67"/>
        <v>Proyecto a tiempo según lo planificado</v>
      </c>
      <c r="AE155" s="85">
        <f t="shared" si="53"/>
        <v>6460961139.999999</v>
      </c>
      <c r="AF155" s="85">
        <f t="shared" si="54"/>
        <v>-936269434.00000095</v>
      </c>
      <c r="AG155" s="40" t="str">
        <f>VLOOKUP(Indicador!E155,Diccionario!C$1:AC$150,27,0)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5" s="40">
        <v>1</v>
      </c>
      <c r="AI155" s="40">
        <v>1</v>
      </c>
    </row>
    <row r="156" spans="1:35" ht="18.75" customHeight="1">
      <c r="A156" s="73">
        <v>2024</v>
      </c>
      <c r="B156" s="112" t="s">
        <v>28</v>
      </c>
      <c r="C156" s="36" t="s">
        <v>247</v>
      </c>
      <c r="D156" s="37">
        <v>45531.972959953702</v>
      </c>
      <c r="E156" s="36" t="s">
        <v>67</v>
      </c>
      <c r="F156" s="36" t="s">
        <v>185</v>
      </c>
      <c r="G156" s="36" t="s">
        <v>248</v>
      </c>
      <c r="H156" s="36" t="s">
        <v>249</v>
      </c>
      <c r="I156" s="36" t="s">
        <v>152</v>
      </c>
      <c r="J156" s="36" t="s">
        <v>250</v>
      </c>
      <c r="K156" s="36" t="s">
        <v>177</v>
      </c>
      <c r="L156" s="74">
        <f>VLOOKUP(E156,Diccionario!C$2:AC$150,22,0)</f>
        <v>7397230574</v>
      </c>
      <c r="M156" s="75">
        <f>VLOOKUP(E156,Diccionario!C$2:AC$150,24,0)</f>
        <v>45505</v>
      </c>
      <c r="N156" s="76">
        <f>VLOOKUP(E156,Diccionario!C$2:AC$150,25,0)</f>
        <v>45807</v>
      </c>
      <c r="O156" s="77">
        <f>VLOOKUP(E156,Diccionario!C$2:AC$150,26,0)</f>
        <v>9.9700000000000006</v>
      </c>
      <c r="P156" s="77">
        <f t="shared" si="68"/>
        <v>-7.9700000000000006</v>
      </c>
      <c r="Q156" s="78">
        <v>2</v>
      </c>
      <c r="R156" s="36">
        <v>10</v>
      </c>
      <c r="S156" s="86">
        <v>0.2</v>
      </c>
      <c r="T156" s="86">
        <v>0.2</v>
      </c>
      <c r="U156" s="82">
        <v>728741519</v>
      </c>
      <c r="V156" s="82">
        <v>728741519</v>
      </c>
      <c r="W156" s="82">
        <f t="shared" si="50"/>
        <v>1479446114.8000002</v>
      </c>
      <c r="X156" s="82">
        <f t="shared" ref="X156:X164" si="69">S156*L156</f>
        <v>1479446114.8000002</v>
      </c>
      <c r="Y156" s="82">
        <f t="shared" si="51"/>
        <v>750704595.80000019</v>
      </c>
      <c r="Z156" s="82">
        <f t="shared" ref="Z156:Z164" si="70">W156-X156</f>
        <v>0</v>
      </c>
      <c r="AA156" s="83">
        <f t="shared" si="65"/>
        <v>2.0301383635038919</v>
      </c>
      <c r="AB156" s="84" t="str">
        <f t="shared" ref="AB156:AB164" si="71">IFERROR(
  IF(OR(AA156="",AA156=0),
    "No calculado",
    IF(AA156&gt;1,"Costo eficiente: se está gastando menos de lo presupuestado",
      IF(AA156=1,"Costo según lo presupuestado",
        "Costo ineficiente: se está gastando más de lo presupuestado"))),
"No calculado")</f>
        <v>Costo eficiente: se está gastando menos de lo presupuestado</v>
      </c>
      <c r="AC156" s="84">
        <f t="shared" si="52"/>
        <v>1</v>
      </c>
      <c r="AD156" s="84" t="str">
        <f t="shared" ref="AD156:AD164" si="72">IF(OR(AC156="",AC156=0),"Sin Línea Base",
IF(AC156&gt;1,"Proyecto adelantado respecto al cronograma",
IF(AC156=1,"Proyecto a tiempo según lo planificado",
IF(AC156&lt;1,"Proyecto atrasado con respecto al cronograma",
"No calculado"))))</f>
        <v>Proyecto a tiempo según lo planificado</v>
      </c>
      <c r="AE156" s="85">
        <f t="shared" si="53"/>
        <v>3643707594.999999</v>
      </c>
      <c r="AF156" s="85">
        <f t="shared" si="54"/>
        <v>-3753522979.000001</v>
      </c>
      <c r="AG156" s="40" t="str">
        <f>VLOOKUP(Indicador!E156,Diccionario!C$1:AC$150,27,0)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6" s="40">
        <v>1</v>
      </c>
      <c r="AI156" s="40">
        <v>1</v>
      </c>
    </row>
    <row r="157" spans="1:35" ht="18.75" customHeight="1">
      <c r="A157" s="73">
        <v>2024</v>
      </c>
      <c r="B157" s="112" t="s">
        <v>30</v>
      </c>
      <c r="C157" s="36" t="s">
        <v>247</v>
      </c>
      <c r="D157" s="37">
        <v>45531.972959953702</v>
      </c>
      <c r="E157" s="36" t="s">
        <v>67</v>
      </c>
      <c r="F157" s="36" t="s">
        <v>185</v>
      </c>
      <c r="G157" s="36" t="s">
        <v>248</v>
      </c>
      <c r="H157" s="36" t="s">
        <v>249</v>
      </c>
      <c r="I157" s="36" t="s">
        <v>152</v>
      </c>
      <c r="J157" s="36" t="s">
        <v>250</v>
      </c>
      <c r="K157" s="36" t="s">
        <v>177</v>
      </c>
      <c r="L157" s="74">
        <f>VLOOKUP(E157,Diccionario!C$2:AC$150,22,0)</f>
        <v>7397230574</v>
      </c>
      <c r="M157" s="75">
        <f>VLOOKUP(E157,Diccionario!C$2:AC$150,24,0)</f>
        <v>45505</v>
      </c>
      <c r="N157" s="76">
        <f>VLOOKUP(E157,Diccionario!C$2:AC$150,25,0)</f>
        <v>45807</v>
      </c>
      <c r="O157" s="77">
        <f>VLOOKUP(E157,Diccionario!C$2:AC$150,26,0)</f>
        <v>9.9700000000000006</v>
      </c>
      <c r="P157" s="77">
        <f t="shared" si="68"/>
        <v>-6.9700000000000006</v>
      </c>
      <c r="Q157" s="78">
        <v>3</v>
      </c>
      <c r="R157" s="36">
        <v>10</v>
      </c>
      <c r="S157" s="86">
        <v>0.3</v>
      </c>
      <c r="T157" s="86">
        <v>0.25</v>
      </c>
      <c r="U157" s="82">
        <v>728741519</v>
      </c>
      <c r="V157" s="82">
        <v>728741519</v>
      </c>
      <c r="W157" s="82">
        <f t="shared" si="50"/>
        <v>1849307643.5</v>
      </c>
      <c r="X157" s="82">
        <f t="shared" si="69"/>
        <v>2219169172.1999998</v>
      </c>
      <c r="Y157" s="82">
        <f t="shared" si="51"/>
        <v>1120566124.5</v>
      </c>
      <c r="Z157" s="82">
        <f t="shared" si="70"/>
        <v>-369861528.69999981</v>
      </c>
      <c r="AA157" s="83">
        <f t="shared" si="65"/>
        <v>2.5376729543798642</v>
      </c>
      <c r="AB157" s="84" t="str">
        <f t="shared" si="71"/>
        <v>Costo eficiente: se está gastando menos de lo presupuestado</v>
      </c>
      <c r="AC157" s="84">
        <f t="shared" si="52"/>
        <v>0.83333333333333337</v>
      </c>
      <c r="AD157" s="84" t="str">
        <f t="shared" si="72"/>
        <v>Proyecto atrasado con respecto al cronograma</v>
      </c>
      <c r="AE157" s="85">
        <f t="shared" si="53"/>
        <v>2914966076</v>
      </c>
      <c r="AF157" s="85">
        <f t="shared" si="54"/>
        <v>-4482264498</v>
      </c>
      <c r="AG157" s="40" t="str">
        <f>VLOOKUP(Indicador!E157,Diccionario!C$1:AC$150,27,0)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7" s="40">
        <v>1</v>
      </c>
      <c r="AI157" s="40">
        <v>1</v>
      </c>
    </row>
    <row r="158" spans="1:35" ht="18.75" customHeight="1">
      <c r="A158" s="73">
        <v>2024</v>
      </c>
      <c r="B158" s="112" t="s">
        <v>31</v>
      </c>
      <c r="C158" s="36" t="s">
        <v>247</v>
      </c>
      <c r="D158" s="37">
        <v>45531.972959953702</v>
      </c>
      <c r="E158" s="36" t="s">
        <v>67</v>
      </c>
      <c r="F158" s="36" t="s">
        <v>185</v>
      </c>
      <c r="G158" s="36" t="s">
        <v>248</v>
      </c>
      <c r="H158" s="36" t="s">
        <v>249</v>
      </c>
      <c r="I158" s="36" t="s">
        <v>152</v>
      </c>
      <c r="J158" s="36" t="s">
        <v>250</v>
      </c>
      <c r="K158" s="36" t="s">
        <v>177</v>
      </c>
      <c r="L158" s="74">
        <f>VLOOKUP(E158,Diccionario!C$2:AC$150,22,0)</f>
        <v>7397230574</v>
      </c>
      <c r="M158" s="75">
        <f>VLOOKUP(E158,Diccionario!C$2:AC$150,24,0)</f>
        <v>45505</v>
      </c>
      <c r="N158" s="76">
        <f>VLOOKUP(E158,Diccionario!C$2:AC$150,25,0)</f>
        <v>45807</v>
      </c>
      <c r="O158" s="77">
        <f>VLOOKUP(E158,Diccionario!C$2:AC$150,26,0)</f>
        <v>9.9700000000000006</v>
      </c>
      <c r="P158" s="77">
        <f t="shared" si="68"/>
        <v>-5.9700000000000006</v>
      </c>
      <c r="Q158" s="78">
        <v>4</v>
      </c>
      <c r="R158" s="36">
        <v>10</v>
      </c>
      <c r="S158" s="86">
        <v>0.4</v>
      </c>
      <c r="T158" s="86">
        <v>0.35</v>
      </c>
      <c r="U158" s="82">
        <v>728741519</v>
      </c>
      <c r="V158" s="82">
        <v>728741519</v>
      </c>
      <c r="W158" s="82">
        <f t="shared" si="50"/>
        <v>2589030700.8999996</v>
      </c>
      <c r="X158" s="82">
        <f t="shared" si="69"/>
        <v>2958892229.6000004</v>
      </c>
      <c r="Y158" s="82">
        <f t="shared" si="51"/>
        <v>1860289181.8999996</v>
      </c>
      <c r="Z158" s="82">
        <f t="shared" si="70"/>
        <v>-369861528.70000076</v>
      </c>
      <c r="AA158" s="83">
        <f t="shared" si="65"/>
        <v>3.5527421361318097</v>
      </c>
      <c r="AB158" s="84" t="str">
        <f t="shared" si="71"/>
        <v>Costo eficiente: se está gastando menos de lo presupuestado</v>
      </c>
      <c r="AC158" s="84">
        <f t="shared" si="52"/>
        <v>0.87499999999999978</v>
      </c>
      <c r="AD158" s="84" t="str">
        <f t="shared" si="72"/>
        <v>Proyecto atrasado con respecto al cronograma</v>
      </c>
      <c r="AE158" s="85">
        <f t="shared" si="53"/>
        <v>2082118625.7142859</v>
      </c>
      <c r="AF158" s="85">
        <f t="shared" si="54"/>
        <v>-5315111948.2857141</v>
      </c>
      <c r="AG158" s="40" t="str">
        <f>VLOOKUP(Indicador!E158,Diccionario!C$1:AC$150,27,0)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8" s="40">
        <v>1</v>
      </c>
      <c r="AI158" s="40">
        <v>1</v>
      </c>
    </row>
    <row r="159" spans="1:35" ht="18.75" customHeight="1">
      <c r="A159" s="73">
        <v>2024</v>
      </c>
      <c r="B159" s="112" t="s">
        <v>32</v>
      </c>
      <c r="C159" s="36" t="s">
        <v>247</v>
      </c>
      <c r="D159" s="37">
        <v>45531.972959953702</v>
      </c>
      <c r="E159" s="36" t="s">
        <v>67</v>
      </c>
      <c r="F159" s="36" t="s">
        <v>185</v>
      </c>
      <c r="G159" s="36" t="s">
        <v>248</v>
      </c>
      <c r="H159" s="36" t="s">
        <v>249</v>
      </c>
      <c r="I159" s="36" t="s">
        <v>152</v>
      </c>
      <c r="J159" s="36" t="s">
        <v>250</v>
      </c>
      <c r="K159" s="36" t="s">
        <v>177</v>
      </c>
      <c r="L159" s="74">
        <f>VLOOKUP(E159,Diccionario!C$2:AC$150,22,0)</f>
        <v>7397230574</v>
      </c>
      <c r="M159" s="75">
        <f>VLOOKUP(E159,Diccionario!C$2:AC$150,24,0)</f>
        <v>45505</v>
      </c>
      <c r="N159" s="76">
        <f>VLOOKUP(E159,Diccionario!C$2:AC$150,25,0)</f>
        <v>45807</v>
      </c>
      <c r="O159" s="77">
        <f>VLOOKUP(E159,Diccionario!C$2:AC$150,26,0)</f>
        <v>9.9700000000000006</v>
      </c>
      <c r="P159" s="77">
        <f t="shared" si="68"/>
        <v>-4.9700000000000006</v>
      </c>
      <c r="Q159" s="78">
        <v>5</v>
      </c>
      <c r="R159" s="36">
        <v>10</v>
      </c>
      <c r="S159" s="86">
        <v>0.5</v>
      </c>
      <c r="T159" s="86">
        <v>0.45</v>
      </c>
      <c r="U159" s="82">
        <v>728741519</v>
      </c>
      <c r="V159" s="82">
        <v>728741519</v>
      </c>
      <c r="W159" s="82">
        <f t="shared" si="50"/>
        <v>3328753758.3000002</v>
      </c>
      <c r="X159" s="82">
        <f t="shared" si="69"/>
        <v>3698615287</v>
      </c>
      <c r="Y159" s="82">
        <f t="shared" si="51"/>
        <v>2600012239.3000002</v>
      </c>
      <c r="Z159" s="82">
        <f t="shared" si="70"/>
        <v>-369861528.69999981</v>
      </c>
      <c r="AA159" s="83">
        <f t="shared" si="65"/>
        <v>4.5678113178837556</v>
      </c>
      <c r="AB159" s="84" t="str">
        <f t="shared" si="71"/>
        <v>Costo eficiente: se está gastando menos de lo presupuestado</v>
      </c>
      <c r="AC159" s="84">
        <f t="shared" si="52"/>
        <v>0.9</v>
      </c>
      <c r="AD159" s="84" t="str">
        <f t="shared" si="72"/>
        <v>Proyecto atrasado con respecto al cronograma</v>
      </c>
      <c r="AE159" s="85">
        <f t="shared" si="53"/>
        <v>1619425597.7777779</v>
      </c>
      <c r="AF159" s="85">
        <f t="shared" si="54"/>
        <v>-5777804976.2222223</v>
      </c>
      <c r="AG159" s="40" t="str">
        <f>VLOOKUP(Indicador!E159,Diccionario!C$1:AC$150,27,0)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59" s="40">
        <v>1</v>
      </c>
      <c r="AI159" s="40">
        <v>1</v>
      </c>
    </row>
    <row r="160" spans="1:35" ht="18.75" customHeight="1">
      <c r="A160" s="73">
        <v>2025</v>
      </c>
      <c r="B160" s="112" t="s">
        <v>14</v>
      </c>
      <c r="C160" s="36" t="s">
        <v>247</v>
      </c>
      <c r="D160" s="37">
        <v>45531.972959953702</v>
      </c>
      <c r="E160" s="36" t="s">
        <v>67</v>
      </c>
      <c r="F160" s="36" t="s">
        <v>185</v>
      </c>
      <c r="G160" s="36" t="s">
        <v>248</v>
      </c>
      <c r="H160" s="36" t="s">
        <v>249</v>
      </c>
      <c r="I160" s="36" t="s">
        <v>152</v>
      </c>
      <c r="J160" s="36" t="s">
        <v>250</v>
      </c>
      <c r="K160" s="36" t="s">
        <v>177</v>
      </c>
      <c r="L160" s="74">
        <f>VLOOKUP(E160,Diccionario!C$2:AC$150,22,0)</f>
        <v>7397230574</v>
      </c>
      <c r="M160" s="75">
        <f>VLOOKUP(E160,Diccionario!C$2:AC$150,24,0)</f>
        <v>45505</v>
      </c>
      <c r="N160" s="76">
        <f>VLOOKUP(E160,Diccionario!C$2:AC$150,25,0)</f>
        <v>45807</v>
      </c>
      <c r="O160" s="77">
        <f>VLOOKUP(E160,Diccionario!C$2:AC$150,26,0)</f>
        <v>9.9700000000000006</v>
      </c>
      <c r="P160" s="77">
        <f t="shared" si="68"/>
        <v>-3.9700000000000006</v>
      </c>
      <c r="Q160" s="78">
        <v>6</v>
      </c>
      <c r="R160" s="36">
        <v>10</v>
      </c>
      <c r="S160" s="86">
        <v>0.6</v>
      </c>
      <c r="T160" s="86">
        <v>0.5</v>
      </c>
      <c r="U160" s="82">
        <v>728741519</v>
      </c>
      <c r="V160" s="82">
        <v>728741519</v>
      </c>
      <c r="W160" s="82">
        <f t="shared" si="50"/>
        <v>3698615287</v>
      </c>
      <c r="X160" s="82">
        <f t="shared" si="69"/>
        <v>4438338344.3999996</v>
      </c>
      <c r="Y160" s="82">
        <f t="shared" si="51"/>
        <v>2969873768</v>
      </c>
      <c r="Z160" s="82">
        <f t="shared" si="70"/>
        <v>-739723057.39999962</v>
      </c>
      <c r="AA160" s="83">
        <f t="shared" si="65"/>
        <v>5.0753459087597284</v>
      </c>
      <c r="AB160" s="84" t="str">
        <f t="shared" si="71"/>
        <v>Costo eficiente: se está gastando menos de lo presupuestado</v>
      </c>
      <c r="AC160" s="84">
        <f t="shared" si="52"/>
        <v>0.83333333333333337</v>
      </c>
      <c r="AD160" s="84" t="str">
        <f t="shared" si="72"/>
        <v>Proyecto atrasado con respecto al cronograma</v>
      </c>
      <c r="AE160" s="85">
        <f t="shared" si="53"/>
        <v>1457483038</v>
      </c>
      <c r="AF160" s="85">
        <f t="shared" si="54"/>
        <v>-5939747536</v>
      </c>
      <c r="AG160" s="40" t="str">
        <f>VLOOKUP(Indicador!E160,Diccionario!C$1:AC$150,27,0)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0" s="40">
        <v>1</v>
      </c>
      <c r="AI160" s="40">
        <v>1</v>
      </c>
    </row>
    <row r="161" spans="1:35" ht="18.75" customHeight="1">
      <c r="A161" s="73">
        <v>2025</v>
      </c>
      <c r="B161" s="112" t="s">
        <v>22</v>
      </c>
      <c r="C161" s="36" t="s">
        <v>247</v>
      </c>
      <c r="D161" s="37">
        <v>45531.972959953702</v>
      </c>
      <c r="E161" s="36" t="s">
        <v>67</v>
      </c>
      <c r="F161" s="36" t="s">
        <v>185</v>
      </c>
      <c r="G161" s="36" t="s">
        <v>248</v>
      </c>
      <c r="H161" s="36" t="s">
        <v>249</v>
      </c>
      <c r="I161" s="36" t="s">
        <v>152</v>
      </c>
      <c r="J161" s="36" t="s">
        <v>250</v>
      </c>
      <c r="K161" s="36" t="s">
        <v>177</v>
      </c>
      <c r="L161" s="74">
        <f>VLOOKUP(E161,Diccionario!C$2:AC$150,22,0)</f>
        <v>7397230574</v>
      </c>
      <c r="M161" s="75">
        <f>VLOOKUP(E161,Diccionario!C$2:AC$150,24,0)</f>
        <v>45505</v>
      </c>
      <c r="N161" s="76">
        <f>VLOOKUP(E161,Diccionario!C$2:AC$150,25,0)</f>
        <v>45807</v>
      </c>
      <c r="O161" s="77">
        <f>VLOOKUP(E161,Diccionario!C$2:AC$150,26,0)</f>
        <v>9.9700000000000006</v>
      </c>
      <c r="P161" s="77">
        <f t="shared" si="68"/>
        <v>-2.9700000000000006</v>
      </c>
      <c r="Q161" s="78">
        <v>7</v>
      </c>
      <c r="R161" s="36">
        <v>10</v>
      </c>
      <c r="S161" s="86">
        <v>0.7</v>
      </c>
      <c r="T161" s="86">
        <v>0.6</v>
      </c>
      <c r="U161" s="82">
        <v>728741519</v>
      </c>
      <c r="V161" s="82">
        <v>728741519</v>
      </c>
      <c r="W161" s="82">
        <f t="shared" si="50"/>
        <v>4438338344.3999996</v>
      </c>
      <c r="X161" s="82">
        <f t="shared" si="69"/>
        <v>5178061401.7999992</v>
      </c>
      <c r="Y161" s="82">
        <f t="shared" si="51"/>
        <v>3709596825.3999996</v>
      </c>
      <c r="Z161" s="82">
        <f t="shared" si="70"/>
        <v>-739723057.39999962</v>
      </c>
      <c r="AA161" s="83">
        <f t="shared" si="65"/>
        <v>6.0904150905116738</v>
      </c>
      <c r="AB161" s="84" t="str">
        <f t="shared" si="71"/>
        <v>Costo eficiente: se está gastando menos de lo presupuestado</v>
      </c>
      <c r="AC161" s="84">
        <f t="shared" si="52"/>
        <v>0.85714285714285721</v>
      </c>
      <c r="AD161" s="84" t="str">
        <f t="shared" si="72"/>
        <v>Proyecto atrasado con respecto al cronograma</v>
      </c>
      <c r="AE161" s="85">
        <f t="shared" si="53"/>
        <v>1214569198.3333335</v>
      </c>
      <c r="AF161" s="85">
        <f t="shared" si="54"/>
        <v>-6182661375.666666</v>
      </c>
      <c r="AG161" s="40" t="str">
        <f>VLOOKUP(Indicador!E161,Diccionario!C$1:AC$150,27,0)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1" s="40">
        <v>1</v>
      </c>
      <c r="AI161" s="40">
        <v>1</v>
      </c>
    </row>
    <row r="162" spans="1:35" ht="18.75" customHeight="1">
      <c r="A162" s="73">
        <v>2025</v>
      </c>
      <c r="B162" s="112" t="s">
        <v>24</v>
      </c>
      <c r="C162" s="36" t="s">
        <v>247</v>
      </c>
      <c r="D162" s="37">
        <v>45531.972959953702</v>
      </c>
      <c r="E162" s="36" t="s">
        <v>67</v>
      </c>
      <c r="F162" s="36" t="s">
        <v>185</v>
      </c>
      <c r="G162" s="36" t="s">
        <v>248</v>
      </c>
      <c r="H162" s="36" t="s">
        <v>249</v>
      </c>
      <c r="I162" s="36" t="s">
        <v>152</v>
      </c>
      <c r="J162" s="36" t="s">
        <v>250</v>
      </c>
      <c r="K162" s="36" t="s">
        <v>177</v>
      </c>
      <c r="L162" s="74">
        <f>VLOOKUP(E162,Diccionario!C$2:AC$150,22,0)</f>
        <v>7397230574</v>
      </c>
      <c r="M162" s="75">
        <f>VLOOKUP(E162,Diccionario!C$2:AC$150,24,0)</f>
        <v>45505</v>
      </c>
      <c r="N162" s="76">
        <f>VLOOKUP(E162,Diccionario!C$2:AC$150,25,0)</f>
        <v>45807</v>
      </c>
      <c r="O162" s="77">
        <f>VLOOKUP(E162,Diccionario!C$2:AC$150,26,0)</f>
        <v>9.9700000000000006</v>
      </c>
      <c r="P162" s="77">
        <f t="shared" si="68"/>
        <v>-1.9700000000000006</v>
      </c>
      <c r="Q162" s="78">
        <v>8</v>
      </c>
      <c r="R162" s="36">
        <v>10</v>
      </c>
      <c r="S162" s="86">
        <v>0.8</v>
      </c>
      <c r="T162" s="86">
        <v>0.75</v>
      </c>
      <c r="U162" s="82">
        <v>728741519</v>
      </c>
      <c r="V162" s="82">
        <v>728741519</v>
      </c>
      <c r="W162" s="82">
        <f t="shared" si="50"/>
        <v>5547922930.5</v>
      </c>
      <c r="X162" s="82">
        <f t="shared" si="69"/>
        <v>5917784459.2000008</v>
      </c>
      <c r="Y162" s="82">
        <f t="shared" si="51"/>
        <v>4819181411.5</v>
      </c>
      <c r="Z162" s="82">
        <f t="shared" si="70"/>
        <v>-369861528.70000076</v>
      </c>
      <c r="AA162" s="83">
        <f t="shared" si="65"/>
        <v>7.613018863139593</v>
      </c>
      <c r="AB162" s="84" t="str">
        <f t="shared" si="71"/>
        <v>Costo eficiente: se está gastando menos de lo presupuestado</v>
      </c>
      <c r="AC162" s="84">
        <f t="shared" si="52"/>
        <v>0.93749999999999989</v>
      </c>
      <c r="AD162" s="84" t="str">
        <f t="shared" si="72"/>
        <v>Proyecto atrasado con respecto al cronograma</v>
      </c>
      <c r="AE162" s="85">
        <f t="shared" si="53"/>
        <v>971655358.66666663</v>
      </c>
      <c r="AF162" s="85">
        <f t="shared" si="54"/>
        <v>-6425575215.333333</v>
      </c>
      <c r="AG162" s="40" t="str">
        <f>VLOOKUP(Indicador!E162,Diccionario!C$1:AC$150,27,0)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2" s="40">
        <v>1</v>
      </c>
      <c r="AI162" s="40">
        <v>1</v>
      </c>
    </row>
    <row r="163" spans="1:35" ht="18.75" customHeight="1">
      <c r="A163" s="73">
        <v>2025</v>
      </c>
      <c r="B163" s="112" t="s">
        <v>27</v>
      </c>
      <c r="C163" s="36" t="s">
        <v>247</v>
      </c>
      <c r="D163" s="37">
        <v>45531.972959953702</v>
      </c>
      <c r="E163" s="36" t="s">
        <v>67</v>
      </c>
      <c r="F163" s="36" t="s">
        <v>185</v>
      </c>
      <c r="G163" s="36" t="s">
        <v>248</v>
      </c>
      <c r="H163" s="36" t="s">
        <v>249</v>
      </c>
      <c r="I163" s="36" t="s">
        <v>152</v>
      </c>
      <c r="J163" s="36" t="s">
        <v>250</v>
      </c>
      <c r="K163" s="36" t="s">
        <v>177</v>
      </c>
      <c r="L163" s="74">
        <f>VLOOKUP(E163,Diccionario!C$2:AC$150,22,0)</f>
        <v>7397230574</v>
      </c>
      <c r="M163" s="75">
        <f>VLOOKUP(E163,Diccionario!C$2:AC$150,24,0)</f>
        <v>45505</v>
      </c>
      <c r="N163" s="76">
        <f>VLOOKUP(E163,Diccionario!C$2:AC$150,25,0)</f>
        <v>45807</v>
      </c>
      <c r="O163" s="77">
        <f>VLOOKUP(E163,Diccionario!C$2:AC$150,26,0)</f>
        <v>9.9700000000000006</v>
      </c>
      <c r="P163" s="77">
        <f t="shared" si="68"/>
        <v>-0.97000000000000064</v>
      </c>
      <c r="Q163" s="78">
        <v>9</v>
      </c>
      <c r="R163" s="36">
        <v>10</v>
      </c>
      <c r="S163" s="86">
        <v>0.9</v>
      </c>
      <c r="T163" s="86">
        <v>0.85</v>
      </c>
      <c r="U163" s="82">
        <v>728741519</v>
      </c>
      <c r="V163" s="82">
        <v>728741519</v>
      </c>
      <c r="W163" s="82">
        <f t="shared" si="50"/>
        <v>6287645987.8999996</v>
      </c>
      <c r="X163" s="82">
        <f t="shared" si="69"/>
        <v>6657507516.6000004</v>
      </c>
      <c r="Y163" s="82">
        <f t="shared" si="51"/>
        <v>5558904468.8999996</v>
      </c>
      <c r="Z163" s="82">
        <f t="shared" si="70"/>
        <v>-369861528.70000076</v>
      </c>
      <c r="AA163" s="83">
        <f t="shared" si="65"/>
        <v>8.6280880448915376</v>
      </c>
      <c r="AB163" s="84" t="str">
        <f t="shared" si="71"/>
        <v>Costo eficiente: se está gastando menos de lo presupuestado</v>
      </c>
      <c r="AC163" s="84">
        <f t="shared" si="52"/>
        <v>0.94444444444444431</v>
      </c>
      <c r="AD163" s="84" t="str">
        <f t="shared" si="72"/>
        <v>Proyecto atrasado con respecto al cronograma</v>
      </c>
      <c r="AE163" s="85">
        <f t="shared" si="53"/>
        <v>857342963.52941191</v>
      </c>
      <c r="AF163" s="85">
        <f t="shared" si="54"/>
        <v>-6539887610.4705877</v>
      </c>
      <c r="AG163" s="40" t="str">
        <f>VLOOKUP(Indicador!E163,Diccionario!C$1:AC$150,27,0)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3" s="40">
        <v>1</v>
      </c>
      <c r="AI163" s="40">
        <v>1</v>
      </c>
    </row>
    <row r="164" spans="1:35" ht="18.75" customHeight="1">
      <c r="A164" s="73">
        <v>2025</v>
      </c>
      <c r="B164" s="112" t="s">
        <v>13</v>
      </c>
      <c r="C164" s="36" t="s">
        <v>247</v>
      </c>
      <c r="D164" s="37">
        <v>45531.972959953702</v>
      </c>
      <c r="E164" s="36" t="s">
        <v>67</v>
      </c>
      <c r="F164" s="36" t="s">
        <v>185</v>
      </c>
      <c r="G164" s="36" t="s">
        <v>248</v>
      </c>
      <c r="H164" s="36" t="s">
        <v>249</v>
      </c>
      <c r="I164" s="36" t="s">
        <v>152</v>
      </c>
      <c r="J164" s="36" t="s">
        <v>250</v>
      </c>
      <c r="K164" s="36" t="s">
        <v>177</v>
      </c>
      <c r="L164" s="74">
        <f>VLOOKUP(E164,Diccionario!C$2:AC$150,22,0)</f>
        <v>7397230574</v>
      </c>
      <c r="M164" s="75">
        <f>VLOOKUP(E164,Diccionario!C$2:AC$150,24,0)</f>
        <v>45505</v>
      </c>
      <c r="N164" s="76">
        <f>VLOOKUP(E164,Diccionario!C$2:AC$150,25,0)</f>
        <v>45807</v>
      </c>
      <c r="O164" s="77">
        <f>VLOOKUP(E164,Diccionario!C$2:AC$150,26,0)</f>
        <v>9.9700000000000006</v>
      </c>
      <c r="P164" s="77">
        <f t="shared" si="68"/>
        <v>2.9999999999999361E-2</v>
      </c>
      <c r="Q164" s="78">
        <v>10</v>
      </c>
      <c r="R164" s="36">
        <v>10</v>
      </c>
      <c r="S164" s="86">
        <v>0.95</v>
      </c>
      <c r="T164" s="86">
        <v>0.9</v>
      </c>
      <c r="U164" s="82">
        <v>728741519</v>
      </c>
      <c r="V164" s="82">
        <v>728741519</v>
      </c>
      <c r="W164" s="82">
        <f t="shared" si="50"/>
        <v>6657507516.6000004</v>
      </c>
      <c r="X164" s="82">
        <f t="shared" si="69"/>
        <v>7027369045.2999992</v>
      </c>
      <c r="Y164" s="82">
        <f t="shared" si="51"/>
        <v>5928765997.6000004</v>
      </c>
      <c r="Z164" s="82">
        <f t="shared" si="70"/>
        <v>-369861528.69999886</v>
      </c>
      <c r="AA164" s="83">
        <f t="shared" si="65"/>
        <v>9.1356226357675112</v>
      </c>
      <c r="AB164" s="84" t="str">
        <f t="shared" si="71"/>
        <v>Costo eficiente: se está gastando menos de lo presupuestado</v>
      </c>
      <c r="AC164" s="84">
        <f t="shared" si="52"/>
        <v>0.94736842105263175</v>
      </c>
      <c r="AD164" s="84" t="str">
        <f t="shared" si="72"/>
        <v>Proyecto atrasado con respecto al cronograma</v>
      </c>
      <c r="AE164" s="85">
        <f t="shared" si="53"/>
        <v>809712798.88888896</v>
      </c>
      <c r="AF164" s="85">
        <f t="shared" si="54"/>
        <v>-6587517775.1111107</v>
      </c>
      <c r="AG164" s="40" t="str">
        <f>VLOOKUP(Indicador!E164,Diccionario!C$1:AC$150,27,0)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4" s="40">
        <v>1</v>
      </c>
      <c r="AI164" s="40">
        <v>1</v>
      </c>
    </row>
    <row r="165" spans="1:35" ht="18.75" customHeight="1">
      <c r="A165" s="73">
        <v>2025</v>
      </c>
      <c r="B165" s="112" t="s">
        <v>21</v>
      </c>
      <c r="C165" s="36" t="s">
        <v>247</v>
      </c>
      <c r="D165" s="37">
        <v>45531.972959953702</v>
      </c>
      <c r="E165" s="36" t="s">
        <v>67</v>
      </c>
      <c r="F165" s="36" t="s">
        <v>185</v>
      </c>
      <c r="G165" s="36" t="s">
        <v>248</v>
      </c>
      <c r="H165" s="36" t="s">
        <v>249</v>
      </c>
      <c r="I165" s="36" t="s">
        <v>152</v>
      </c>
      <c r="J165" s="36" t="s">
        <v>250</v>
      </c>
      <c r="K165" s="36" t="s">
        <v>177</v>
      </c>
      <c r="L165" s="74">
        <f>VLOOKUP(E165,Diccionario!C$2:AC$150,22,0)</f>
        <v>7397230574</v>
      </c>
      <c r="M165" s="75">
        <f>VLOOKUP(E165,Diccionario!C$2:AC$150,24,0)</f>
        <v>45505</v>
      </c>
      <c r="N165" s="76">
        <f>VLOOKUP(E165,Diccionario!C$2:AC$150,25,0)</f>
        <v>45807</v>
      </c>
      <c r="O165" s="77">
        <f>VLOOKUP(E165,Diccionario!C$2:AC$150,26,0)</f>
        <v>9.9700000000000006</v>
      </c>
      <c r="P165" s="77">
        <f t="shared" si="68"/>
        <v>1.0299999999999994</v>
      </c>
      <c r="Q165" s="78">
        <v>11</v>
      </c>
      <c r="R165" s="36">
        <v>10</v>
      </c>
      <c r="S165" s="86">
        <v>1</v>
      </c>
      <c r="T165" s="86">
        <v>0.95</v>
      </c>
      <c r="U165" s="82">
        <v>189383868</v>
      </c>
      <c r="V165" s="82">
        <v>189383868</v>
      </c>
      <c r="W165" s="82">
        <f t="shared" si="50"/>
        <v>7027369045.2999992</v>
      </c>
      <c r="X165" s="82">
        <f t="shared" ref="X165:X166" si="73">S165*L165</f>
        <v>7397230574</v>
      </c>
      <c r="Y165" s="82">
        <f t="shared" si="51"/>
        <v>6837985177.2999992</v>
      </c>
      <c r="Z165" s="82">
        <f t="shared" ref="Z165:Z166" si="74">W165-X165</f>
        <v>-369861528.70000076</v>
      </c>
      <c r="AA165" s="83">
        <f t="shared" si="65"/>
        <v>37.106481769080773</v>
      </c>
      <c r="AB165" s="84" t="str">
        <f t="shared" ref="AB165:AB166" si="75">IFERROR(
  IF(OR(AA165="",AA165=0),
    "No calculado",
    IF(AA165&gt;1,"Costo eficiente: se está gastando menos de lo presupuestado",
      IF(AA165=1,"Costo según lo presupuestado",
        "Costo ineficiente: se está gastando más de lo presupuestado"))),
"No calculado")</f>
        <v>Costo eficiente: se está gastando menos de lo presupuestado</v>
      </c>
      <c r="AC165" s="84">
        <f t="shared" si="52"/>
        <v>0.94999999999999984</v>
      </c>
      <c r="AD165" s="84" t="str">
        <f t="shared" ref="AD165:AD166" si="76">IF(OR(AC165="",AC165=0),"Sin Línea Base",
IF(AC165&gt;1,"Proyecto adelantado respecto al cronograma",
IF(AC165=1,"Proyecto a tiempo según lo planificado",
IF(AC165&lt;1,"Proyecto atrasado con respecto al cronograma",
"No calculado"))))</f>
        <v>Proyecto atrasado con respecto al cronograma</v>
      </c>
      <c r="AE165" s="85">
        <f t="shared" si="53"/>
        <v>199351440</v>
      </c>
      <c r="AF165" s="85">
        <f t="shared" si="54"/>
        <v>-7197879134</v>
      </c>
      <c r="AG165" s="40" t="str">
        <f>VLOOKUP(Indicador!E165,Diccionario!C$1:AC$150,27,0)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5" s="40">
        <v>1</v>
      </c>
      <c r="AI165" s="40">
        <v>1</v>
      </c>
    </row>
    <row r="166" spans="1:35" ht="18.75" customHeight="1">
      <c r="A166" s="73">
        <v>2025</v>
      </c>
      <c r="B166" s="112" t="s">
        <v>23</v>
      </c>
      <c r="C166" s="36" t="s">
        <v>247</v>
      </c>
      <c r="D166" s="37">
        <v>45531.972959953702</v>
      </c>
      <c r="E166" s="36" t="s">
        <v>67</v>
      </c>
      <c r="F166" s="36" t="s">
        <v>185</v>
      </c>
      <c r="G166" s="36" t="s">
        <v>248</v>
      </c>
      <c r="H166" s="36" t="s">
        <v>249</v>
      </c>
      <c r="I166" s="36" t="s">
        <v>152</v>
      </c>
      <c r="J166" s="36" t="s">
        <v>250</v>
      </c>
      <c r="K166" s="36" t="s">
        <v>177</v>
      </c>
      <c r="L166" s="74">
        <f>VLOOKUP(E166,Diccionario!C$2:AC$150,22,0)</f>
        <v>7397230574</v>
      </c>
      <c r="M166" s="75">
        <f>VLOOKUP(E166,Diccionario!C$2:AC$150,24,0)</f>
        <v>45505</v>
      </c>
      <c r="N166" s="76">
        <f>VLOOKUP(E166,Diccionario!C$2:AC$150,25,0)</f>
        <v>45807</v>
      </c>
      <c r="O166" s="77">
        <f>VLOOKUP(E166,Diccionario!C$2:AC$150,26,0)</f>
        <v>9.9700000000000006</v>
      </c>
      <c r="P166" s="77">
        <f t="shared" si="68"/>
        <v>2.0299999999999994</v>
      </c>
      <c r="Q166" s="78">
        <v>12</v>
      </c>
      <c r="R166" s="36">
        <v>10</v>
      </c>
      <c r="S166" s="86">
        <v>1</v>
      </c>
      <c r="T166" s="86">
        <v>0.97</v>
      </c>
      <c r="U166" s="82">
        <v>1538462</v>
      </c>
      <c r="V166" s="82">
        <v>1538462</v>
      </c>
      <c r="W166" s="82">
        <f t="shared" si="50"/>
        <v>7175313656.7799997</v>
      </c>
      <c r="X166" s="82">
        <f t="shared" si="73"/>
        <v>7397230574</v>
      </c>
      <c r="Y166" s="82">
        <f t="shared" si="51"/>
        <v>7173775194.7799997</v>
      </c>
      <c r="Z166" s="82">
        <f t="shared" si="74"/>
        <v>-221916917.22000027</v>
      </c>
      <c r="AA166" s="83">
        <f t="shared" si="65"/>
        <v>4663.9524777212564</v>
      </c>
      <c r="AB166" s="84" t="str">
        <f t="shared" si="75"/>
        <v>Costo eficiente: se está gastando menos de lo presupuestado</v>
      </c>
      <c r="AC166" s="84">
        <f t="shared" si="52"/>
        <v>0.97</v>
      </c>
      <c r="AD166" s="84" t="str">
        <f t="shared" si="76"/>
        <v>Proyecto atrasado con respecto al cronograma</v>
      </c>
      <c r="AE166" s="85">
        <f t="shared" si="53"/>
        <v>1586043.2989690723</v>
      </c>
      <c r="AF166" s="85">
        <f t="shared" si="54"/>
        <v>-7395644530.7010307</v>
      </c>
      <c r="AG166" s="40" t="str">
        <f>VLOOKUP(Indicador!E166,Diccionario!C$1:AC$150,27,0)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6" s="40">
        <v>1</v>
      </c>
      <c r="AI166" s="40">
        <v>1</v>
      </c>
    </row>
    <row r="167" spans="1:35" ht="18.75" customHeight="1">
      <c r="A167" s="73">
        <v>2025</v>
      </c>
      <c r="B167" s="112" t="s">
        <v>26</v>
      </c>
      <c r="C167" s="36" t="s">
        <v>247</v>
      </c>
      <c r="D167" s="37">
        <v>45531.972959953702</v>
      </c>
      <c r="E167" s="36" t="s">
        <v>67</v>
      </c>
      <c r="F167" s="36" t="s">
        <v>185</v>
      </c>
      <c r="G167" s="36" t="s">
        <v>248</v>
      </c>
      <c r="H167" s="36" t="s">
        <v>249</v>
      </c>
      <c r="I167" s="36" t="s">
        <v>152</v>
      </c>
      <c r="J167" s="36" t="s">
        <v>250</v>
      </c>
      <c r="K167" s="36" t="s">
        <v>177</v>
      </c>
      <c r="L167" s="74">
        <f>VLOOKUP(E167,Diccionario!C$2:AC$150,22,0)</f>
        <v>7397230574</v>
      </c>
      <c r="M167" s="75">
        <f>VLOOKUP(E167,Diccionario!C$2:AC$150,24,0)</f>
        <v>45505</v>
      </c>
      <c r="N167" s="76">
        <f>VLOOKUP(E167,Diccionario!C$2:AC$150,25,0)</f>
        <v>45807</v>
      </c>
      <c r="O167" s="77">
        <f>VLOOKUP(E167,Diccionario!C$2:AC$150,26,0)</f>
        <v>9.9700000000000006</v>
      </c>
      <c r="P167" s="77">
        <f t="shared" si="68"/>
        <v>3.0299999999999994</v>
      </c>
      <c r="Q167" s="78">
        <v>13</v>
      </c>
      <c r="R167" s="36">
        <v>10</v>
      </c>
      <c r="S167" s="86">
        <v>1</v>
      </c>
      <c r="T167" s="86">
        <v>1</v>
      </c>
      <c r="U167" s="82">
        <v>1538462</v>
      </c>
      <c r="V167" s="82">
        <v>1538462</v>
      </c>
      <c r="W167" s="82">
        <f t="shared" si="50"/>
        <v>7397230574</v>
      </c>
      <c r="X167" s="82">
        <f t="shared" ref="X167" si="77">S167*L167</f>
        <v>7397230574</v>
      </c>
      <c r="Y167" s="82">
        <f t="shared" si="51"/>
        <v>7395692112</v>
      </c>
      <c r="Z167" s="82">
        <f t="shared" ref="Z167" si="78">W167-X167</f>
        <v>0</v>
      </c>
      <c r="AA167" s="83">
        <f t="shared" si="65"/>
        <v>4808.1984306404711</v>
      </c>
      <c r="AB167" s="84" t="str">
        <f t="shared" ref="AB167" si="79">IFERROR(
  IF(OR(AA167="",AA167=0),
    "No calculado",
    IF(AA167&gt;1,"Costo eficiente: se está gastando menos de lo presupuestado",
      IF(AA167=1,"Costo según lo presupuestado",
        "Costo ineficiente: se está gastando más de lo presupuestado"))),
"No calculado")</f>
        <v>Costo eficiente: se está gastando menos de lo presupuestado</v>
      </c>
      <c r="AC167" s="84">
        <f t="shared" si="52"/>
        <v>1</v>
      </c>
      <c r="AD167" s="84" t="str">
        <f t="shared" ref="AD167" si="80">IF(OR(AC167="",AC167=0),"Sin Línea Base",
IF(AC167&gt;1,"Proyecto adelantado respecto al cronograma",
IF(AC167=1,"Proyecto a tiempo según lo planificado",
IF(AC167&lt;1,"Proyecto atrasado con respecto al cronograma",
"No calculado"))))</f>
        <v>Proyecto a tiempo según lo planificado</v>
      </c>
      <c r="AE167" s="85">
        <f t="shared" si="53"/>
        <v>1538462</v>
      </c>
      <c r="AF167" s="85">
        <f t="shared" si="54"/>
        <v>-7395692112</v>
      </c>
      <c r="AG167" s="40" t="str">
        <f>VLOOKUP(Indicador!E167,Diccionario!C$1:AC$150,27,0)</f>
        <v>https://growdatasas.sharepoint.com/:x:/r/sites/Gestiondocumental/Administrativa/GD/Financiera/_layouts/15/Doc.aspx?sourcedoc=%7BF2E3591A-55F1-4A8D-BD90-47A8970F2219%7D&amp;file=2082024%20%20ANT%20CALL%20CENTER%20UNIDADES%20MOVILES%20Y%20DESARROLLO%20V1.xlsm&amp;action=default&amp;mobileredirect=true</v>
      </c>
      <c r="AH167" s="40">
        <v>1</v>
      </c>
      <c r="AI167" s="40">
        <v>1</v>
      </c>
    </row>
    <row r="168" spans="1:35" ht="18.75" customHeight="1">
      <c r="A168" s="73">
        <v>2024</v>
      </c>
      <c r="B168" s="112" t="s">
        <v>26</v>
      </c>
      <c r="C168" s="36" t="s">
        <v>251</v>
      </c>
      <c r="D168" s="37">
        <v>45525.616732210648</v>
      </c>
      <c r="E168" s="36" t="s">
        <v>83</v>
      </c>
      <c r="F168" s="36" t="s">
        <v>252</v>
      </c>
      <c r="G168" s="36" t="s">
        <v>253</v>
      </c>
      <c r="H168" s="36" t="s">
        <v>254</v>
      </c>
      <c r="I168" s="36" t="s">
        <v>152</v>
      </c>
      <c r="J168" s="36" t="s">
        <v>255</v>
      </c>
      <c r="K168" s="36" t="s">
        <v>183</v>
      </c>
      <c r="L168" s="74">
        <f>VLOOKUP(E168,Diccionario!C$2:AC$150,22,0)</f>
        <v>523479413</v>
      </c>
      <c r="M168" s="75">
        <f>VLOOKUP(E168,Diccionario!C$2:AC$150,24,0)</f>
        <v>45516</v>
      </c>
      <c r="N168" s="76">
        <f>VLOOKUP(E168,Diccionario!C$2:AC$150,25,0)</f>
        <v>45595</v>
      </c>
      <c r="O168" s="77">
        <f>VLOOKUP(E168,Diccionario!C$2:AC$150,26,0)</f>
        <v>2.6</v>
      </c>
      <c r="P168" s="77">
        <f t="shared" si="68"/>
        <v>-1.6</v>
      </c>
      <c r="Q168" s="78">
        <v>1</v>
      </c>
      <c r="R168" s="36">
        <v>3</v>
      </c>
      <c r="S168" s="86">
        <v>0.35</v>
      </c>
      <c r="T168" s="86">
        <v>0.25</v>
      </c>
      <c r="U168" s="82">
        <v>-97597238</v>
      </c>
      <c r="V168" s="82">
        <v>-97597238</v>
      </c>
      <c r="W168" s="82">
        <f t="shared" si="50"/>
        <v>130869853.25</v>
      </c>
      <c r="X168" s="82">
        <f t="shared" ref="X168:X199" si="81">S168*L168</f>
        <v>183217794.54999998</v>
      </c>
      <c r="Y168" s="82">
        <f t="shared" si="51"/>
        <v>228467091.25</v>
      </c>
      <c r="Z168" s="82">
        <f t="shared" ref="Z168:Z199" si="82">W168-X168</f>
        <v>-52347941.299999982</v>
      </c>
      <c r="AA168" s="83">
        <f t="shared" si="65"/>
        <v>-1.3409175908236255</v>
      </c>
      <c r="AB168" s="84" t="str">
        <f t="shared" ref="AB168:AB199" si="83">IFERROR(
  IF(OR(AA168="",AA168=0),
    "No calculado",
    IF(AA168&gt;1,"Costo eficiente: se está gastando menos de lo presupuestado",
      IF(AA168=1,"Costo según lo presupuestado",
        "Costo ineficiente: se está gastando más de lo presupuestado"))),
"No calculado")</f>
        <v>Costo ineficiente: se está gastando más de lo presupuestado</v>
      </c>
      <c r="AC168" s="84">
        <f t="shared" si="52"/>
        <v>0.7142857142857143</v>
      </c>
      <c r="AD168" s="84" t="str">
        <f t="shared" ref="AD168:AD199" si="84">IF(OR(AC168="",AC168=0),"Sin Línea Base",
IF(AC168&gt;1,"Proyecto adelantado respecto al cronograma",
IF(AC168=1,"Proyecto a tiempo según lo planificado",
IF(AC168&lt;1,"Proyecto atrasado con respecto al cronograma",
"No calculado"))))</f>
        <v>Proyecto atrasado con respecto al cronograma</v>
      </c>
      <c r="AE168" s="85">
        <f t="shared" si="53"/>
        <v>-390388952</v>
      </c>
      <c r="AF168" s="85">
        <f t="shared" si="54"/>
        <v>-913868365</v>
      </c>
      <c r="AG168" s="40" t="str">
        <f>VLOOKUP(Indicador!E168,Diccionario!C$1:AC$150,27,0)</f>
        <v>https://growdatasas.sharepoint.com/:x:/r/sites/Gestiondocumental/Administrativa/GD/Financiera/_layouts/15/Doc.aspx?sourcedoc=%7B0288FE6C-6AAB-43FF-AEC6-9D8F73023920%7D&amp;file=29082024%20TELEFONICA_CORMAGDALENA%20V2.xlsm&amp;action=default&amp;mobileredirect=true</v>
      </c>
      <c r="AH168" s="40">
        <v>1</v>
      </c>
      <c r="AI168" s="40">
        <v>1</v>
      </c>
    </row>
    <row r="169" spans="1:35" ht="18.75" customHeight="1">
      <c r="A169" s="73">
        <v>2024</v>
      </c>
      <c r="B169" s="112" t="s">
        <v>28</v>
      </c>
      <c r="C169" s="36" t="s">
        <v>251</v>
      </c>
      <c r="D169" s="37">
        <v>45525.616732210648</v>
      </c>
      <c r="E169" s="36" t="s">
        <v>83</v>
      </c>
      <c r="F169" s="36" t="s">
        <v>252</v>
      </c>
      <c r="G169" s="36" t="s">
        <v>253</v>
      </c>
      <c r="H169" s="36" t="s">
        <v>254</v>
      </c>
      <c r="I169" s="36" t="s">
        <v>152</v>
      </c>
      <c r="J169" s="36" t="s">
        <v>255</v>
      </c>
      <c r="K169" s="36" t="s">
        <v>183</v>
      </c>
      <c r="L169" s="74">
        <f>VLOOKUP(E169,Diccionario!C$2:AC$150,22,0)</f>
        <v>523479413</v>
      </c>
      <c r="M169" s="75">
        <f>VLOOKUP(E169,Diccionario!C$2:AC$150,24,0)</f>
        <v>45516</v>
      </c>
      <c r="N169" s="76">
        <f>VLOOKUP(E169,Diccionario!C$2:AC$150,25,0)</f>
        <v>45595</v>
      </c>
      <c r="O169" s="77">
        <f>VLOOKUP(E169,Diccionario!C$2:AC$150,26,0)</f>
        <v>2.6</v>
      </c>
      <c r="P169" s="77">
        <f t="shared" si="68"/>
        <v>-0.60000000000000009</v>
      </c>
      <c r="Q169" s="78">
        <v>2</v>
      </c>
      <c r="R169" s="36">
        <v>3</v>
      </c>
      <c r="S169" s="86">
        <v>0.75</v>
      </c>
      <c r="T169" s="86">
        <v>0.35</v>
      </c>
      <c r="U169" s="82">
        <v>-113549688</v>
      </c>
      <c r="V169" s="82">
        <v>-113549688</v>
      </c>
      <c r="W169" s="82">
        <f t="shared" si="50"/>
        <v>183217794.54999998</v>
      </c>
      <c r="X169" s="82">
        <f t="shared" si="81"/>
        <v>392609559.75</v>
      </c>
      <c r="Y169" s="82">
        <f t="shared" si="51"/>
        <v>296767482.54999995</v>
      </c>
      <c r="Z169" s="82">
        <f t="shared" si="82"/>
        <v>-209391765.20000002</v>
      </c>
      <c r="AA169" s="83">
        <f t="shared" ref="AA169:AA200" si="85">IFERROR(W169/U169,"No se realizó gasto en este corte")</f>
        <v>-1.6135473181573161</v>
      </c>
      <c r="AB169" s="84" t="str">
        <f t="shared" si="83"/>
        <v>Costo ineficiente: se está gastando más de lo presupuestado</v>
      </c>
      <c r="AC169" s="84">
        <f t="shared" si="52"/>
        <v>0.46666666666666662</v>
      </c>
      <c r="AD169" s="84" t="str">
        <f t="shared" si="84"/>
        <v>Proyecto atrasado con respecto al cronograma</v>
      </c>
      <c r="AE169" s="85">
        <f t="shared" si="53"/>
        <v>-324427680.00000006</v>
      </c>
      <c r="AF169" s="85">
        <f t="shared" si="54"/>
        <v>-847907093</v>
      </c>
      <c r="AG169" s="40" t="str">
        <f>VLOOKUP(Indicador!E169,Diccionario!C$1:AC$150,27,0)</f>
        <v>https://growdatasas.sharepoint.com/:x:/r/sites/Gestiondocumental/Administrativa/GD/Financiera/_layouts/15/Doc.aspx?sourcedoc=%7B0288FE6C-6AAB-43FF-AEC6-9D8F73023920%7D&amp;file=29082024%20TELEFONICA_CORMAGDALENA%20V2.xlsm&amp;action=default&amp;mobileredirect=true</v>
      </c>
      <c r="AH169" s="40">
        <v>1</v>
      </c>
      <c r="AI169" s="40">
        <v>1</v>
      </c>
    </row>
    <row r="170" spans="1:35" ht="18.75" customHeight="1">
      <c r="A170" s="73">
        <v>2024</v>
      </c>
      <c r="B170" s="112" t="s">
        <v>30</v>
      </c>
      <c r="C170" s="36" t="s">
        <v>251</v>
      </c>
      <c r="D170" s="37">
        <v>45525.616732210648</v>
      </c>
      <c r="E170" s="36" t="s">
        <v>83</v>
      </c>
      <c r="F170" s="36" t="s">
        <v>252</v>
      </c>
      <c r="G170" s="36" t="s">
        <v>253</v>
      </c>
      <c r="H170" s="36" t="s">
        <v>254</v>
      </c>
      <c r="I170" s="36" t="s">
        <v>152</v>
      </c>
      <c r="J170" s="36" t="s">
        <v>255</v>
      </c>
      <c r="K170" s="36" t="s">
        <v>183</v>
      </c>
      <c r="L170" s="74">
        <f>VLOOKUP(E170,Diccionario!C$2:AC$150,22,0)</f>
        <v>523479413</v>
      </c>
      <c r="M170" s="75">
        <f>VLOOKUP(E170,Diccionario!C$2:AC$150,24,0)</f>
        <v>45516</v>
      </c>
      <c r="N170" s="76">
        <f>VLOOKUP(E170,Diccionario!C$2:AC$150,25,0)</f>
        <v>45595</v>
      </c>
      <c r="O170" s="77">
        <f>VLOOKUP(E170,Diccionario!C$2:AC$150,26,0)</f>
        <v>2.6</v>
      </c>
      <c r="P170" s="77">
        <f t="shared" ref="P170:P201" si="86">Q170-O170</f>
        <v>0.39999999999999991</v>
      </c>
      <c r="Q170" s="78">
        <v>3</v>
      </c>
      <c r="R170" s="36">
        <v>3</v>
      </c>
      <c r="S170" s="86">
        <v>1</v>
      </c>
      <c r="T170" s="86">
        <v>0.55000000000000004</v>
      </c>
      <c r="U170" s="82">
        <v>-198061604</v>
      </c>
      <c r="V170" s="82">
        <v>-198061604</v>
      </c>
      <c r="W170" s="82">
        <f t="shared" si="50"/>
        <v>287913677.15000004</v>
      </c>
      <c r="X170" s="82">
        <f t="shared" si="81"/>
        <v>523479413</v>
      </c>
      <c r="Y170" s="82">
        <f t="shared" si="51"/>
        <v>485975281.15000004</v>
      </c>
      <c r="Z170" s="82">
        <f t="shared" si="82"/>
        <v>-235565735.84999996</v>
      </c>
      <c r="AA170" s="83">
        <f t="shared" si="85"/>
        <v>-1.4536572022813672</v>
      </c>
      <c r="AB170" s="84" t="str">
        <f t="shared" si="83"/>
        <v>Costo ineficiente: se está gastando más de lo presupuestado</v>
      </c>
      <c r="AC170" s="84">
        <f t="shared" si="52"/>
        <v>0.55000000000000004</v>
      </c>
      <c r="AD170" s="84" t="str">
        <f t="shared" si="84"/>
        <v>Proyecto atrasado con respecto al cronograma</v>
      </c>
      <c r="AE170" s="85">
        <f t="shared" si="53"/>
        <v>-360112007.27272719</v>
      </c>
      <c r="AF170" s="85">
        <f t="shared" si="54"/>
        <v>-883591420.27272725</v>
      </c>
      <c r="AG170" s="40" t="str">
        <f>VLOOKUP(Indicador!E170,Diccionario!C$1:AC$150,27,0)</f>
        <v>https://growdatasas.sharepoint.com/:x:/r/sites/Gestiondocumental/Administrativa/GD/Financiera/_layouts/15/Doc.aspx?sourcedoc=%7B0288FE6C-6AAB-43FF-AEC6-9D8F73023920%7D&amp;file=29082024%20TELEFONICA_CORMAGDALENA%20V2.xlsm&amp;action=default&amp;mobileredirect=true</v>
      </c>
      <c r="AH170" s="40">
        <v>1</v>
      </c>
      <c r="AI170" s="40">
        <v>1</v>
      </c>
    </row>
    <row r="171" spans="1:35" ht="18.75" customHeight="1">
      <c r="A171" s="73">
        <v>2024</v>
      </c>
      <c r="B171" s="112" t="s">
        <v>31</v>
      </c>
      <c r="C171" s="36" t="s">
        <v>251</v>
      </c>
      <c r="D171" s="37">
        <v>45525.616732210648</v>
      </c>
      <c r="E171" s="36" t="s">
        <v>83</v>
      </c>
      <c r="F171" s="36" t="s">
        <v>252</v>
      </c>
      <c r="G171" s="36" t="s">
        <v>253</v>
      </c>
      <c r="H171" s="36" t="s">
        <v>254</v>
      </c>
      <c r="I171" s="36" t="s">
        <v>152</v>
      </c>
      <c r="J171" s="36" t="s">
        <v>255</v>
      </c>
      <c r="K171" s="36" t="s">
        <v>183</v>
      </c>
      <c r="L171" s="74">
        <f>VLOOKUP(E171,Diccionario!C$2:AC$150,22,0)</f>
        <v>523479413</v>
      </c>
      <c r="M171" s="75">
        <f>VLOOKUP(E171,Diccionario!C$2:AC$150,24,0)</f>
        <v>45516</v>
      </c>
      <c r="N171" s="76">
        <f>VLOOKUP(E171,Diccionario!C$2:AC$150,25,0)</f>
        <v>45595</v>
      </c>
      <c r="O171" s="77">
        <f>VLOOKUP(E171,Diccionario!C$2:AC$150,26,0)</f>
        <v>2.6</v>
      </c>
      <c r="P171" s="77">
        <f t="shared" si="86"/>
        <v>1.4</v>
      </c>
      <c r="Q171" s="78">
        <v>4</v>
      </c>
      <c r="R171" s="36">
        <v>3</v>
      </c>
      <c r="S171" s="86">
        <v>1</v>
      </c>
      <c r="T171" s="86">
        <v>0.75</v>
      </c>
      <c r="U171" s="82">
        <v>-114270883</v>
      </c>
      <c r="V171" s="82">
        <v>-114270883</v>
      </c>
      <c r="W171" s="82">
        <f t="shared" si="50"/>
        <v>392609559.75</v>
      </c>
      <c r="X171" s="82">
        <f t="shared" si="81"/>
        <v>523479413</v>
      </c>
      <c r="Y171" s="82">
        <f t="shared" si="51"/>
        <v>506880442.75</v>
      </c>
      <c r="Z171" s="82">
        <f t="shared" si="82"/>
        <v>-130869853.25</v>
      </c>
      <c r="AA171" s="83">
        <f t="shared" si="85"/>
        <v>-3.4357795218052178</v>
      </c>
      <c r="AB171" s="84" t="str">
        <f t="shared" si="83"/>
        <v>Costo ineficiente: se está gastando más de lo presupuestado</v>
      </c>
      <c r="AC171" s="84">
        <f t="shared" si="52"/>
        <v>0.75</v>
      </c>
      <c r="AD171" s="84" t="str">
        <f t="shared" si="84"/>
        <v>Proyecto atrasado con respecto al cronograma</v>
      </c>
      <c r="AE171" s="85">
        <f t="shared" si="53"/>
        <v>-152361177.33333334</v>
      </c>
      <c r="AF171" s="85">
        <f t="shared" si="54"/>
        <v>-675840590.33333337</v>
      </c>
      <c r="AG171" s="40" t="str">
        <f>VLOOKUP(Indicador!E171,Diccionario!C$1:AC$150,27,0)</f>
        <v>https://growdatasas.sharepoint.com/:x:/r/sites/Gestiondocumental/Administrativa/GD/Financiera/_layouts/15/Doc.aspx?sourcedoc=%7B0288FE6C-6AAB-43FF-AEC6-9D8F73023920%7D&amp;file=29082024%20TELEFONICA_CORMAGDALENA%20V2.xlsm&amp;action=default&amp;mobileredirect=true</v>
      </c>
      <c r="AH171" s="40">
        <v>1</v>
      </c>
      <c r="AI171" s="40">
        <v>1</v>
      </c>
    </row>
    <row r="172" spans="1:35" ht="18.75" customHeight="1">
      <c r="A172" s="73">
        <v>2024</v>
      </c>
      <c r="B172" s="112" t="s">
        <v>32</v>
      </c>
      <c r="C172" s="36" t="s">
        <v>251</v>
      </c>
      <c r="D172" s="37">
        <v>45525.616732210648</v>
      </c>
      <c r="E172" s="36" t="s">
        <v>83</v>
      </c>
      <c r="F172" s="36" t="s">
        <v>252</v>
      </c>
      <c r="G172" s="36" t="s">
        <v>253</v>
      </c>
      <c r="H172" s="36" t="s">
        <v>254</v>
      </c>
      <c r="I172" s="36" t="s">
        <v>152</v>
      </c>
      <c r="J172" s="36" t="s">
        <v>255</v>
      </c>
      <c r="K172" s="36" t="s">
        <v>183</v>
      </c>
      <c r="L172" s="74">
        <f>VLOOKUP(E172,Diccionario!C$2:AC$150,22,0)</f>
        <v>523479413</v>
      </c>
      <c r="M172" s="75">
        <f>VLOOKUP(E172,Diccionario!C$2:AC$150,24,0)</f>
        <v>45516</v>
      </c>
      <c r="N172" s="76">
        <f>VLOOKUP(E172,Diccionario!C$2:AC$150,25,0)</f>
        <v>45595</v>
      </c>
      <c r="O172" s="77">
        <f>VLOOKUP(E172,Diccionario!C$2:AC$150,26,0)</f>
        <v>2.6</v>
      </c>
      <c r="P172" s="77">
        <f t="shared" si="86"/>
        <v>2.4</v>
      </c>
      <c r="Q172" s="78">
        <v>5</v>
      </c>
      <c r="R172" s="36">
        <v>3</v>
      </c>
      <c r="S172" s="86">
        <v>1</v>
      </c>
      <c r="T172" s="86">
        <v>1</v>
      </c>
      <c r="U172" s="82">
        <v>790490113</v>
      </c>
      <c r="V172" s="82">
        <v>790490113</v>
      </c>
      <c r="W172" s="82">
        <f t="shared" si="50"/>
        <v>523479413</v>
      </c>
      <c r="X172" s="82">
        <f t="shared" si="81"/>
        <v>523479413</v>
      </c>
      <c r="Y172" s="82">
        <f t="shared" si="51"/>
        <v>-267010700</v>
      </c>
      <c r="Z172" s="82">
        <f t="shared" si="82"/>
        <v>0</v>
      </c>
      <c r="AA172" s="83">
        <f t="shared" si="85"/>
        <v>0.66222132875683415</v>
      </c>
      <c r="AB172" s="84" t="str">
        <f t="shared" si="83"/>
        <v>Costo ineficiente: se está gastando más de lo presupuestado</v>
      </c>
      <c r="AC172" s="84">
        <f t="shared" si="52"/>
        <v>1</v>
      </c>
      <c r="AD172" s="84" t="str">
        <f t="shared" si="84"/>
        <v>Proyecto a tiempo según lo planificado</v>
      </c>
      <c r="AE172" s="85">
        <f t="shared" si="53"/>
        <v>790490113</v>
      </c>
      <c r="AF172" s="85">
        <f t="shared" si="54"/>
        <v>267010700</v>
      </c>
      <c r="AG172" s="40" t="str">
        <f>VLOOKUP(Indicador!E172,Diccionario!C$1:AC$150,27,0)</f>
        <v>https://growdatasas.sharepoint.com/:x:/r/sites/Gestiondocumental/Administrativa/GD/Financiera/_layouts/15/Doc.aspx?sourcedoc=%7B0288FE6C-6AAB-43FF-AEC6-9D8F73023920%7D&amp;file=29082024%20TELEFONICA_CORMAGDALENA%20V2.xlsm&amp;action=default&amp;mobileredirect=true</v>
      </c>
      <c r="AH172" s="40">
        <v>1</v>
      </c>
      <c r="AI172" s="40">
        <v>1</v>
      </c>
    </row>
    <row r="173" spans="1:35" ht="18.75" customHeight="1">
      <c r="A173" s="73">
        <v>2024</v>
      </c>
      <c r="B173" s="112" t="s">
        <v>28</v>
      </c>
      <c r="C173" s="36" t="s">
        <v>256</v>
      </c>
      <c r="D173" s="37">
        <v>45636.851213506947</v>
      </c>
      <c r="E173" s="36" t="s">
        <v>49</v>
      </c>
      <c r="F173" s="36" t="s">
        <v>221</v>
      </c>
      <c r="G173" s="36" t="s">
        <v>257</v>
      </c>
      <c r="H173" s="36" t="s">
        <v>258</v>
      </c>
      <c r="I173" s="36" t="s">
        <v>165</v>
      </c>
      <c r="J173" s="36" t="s">
        <v>259</v>
      </c>
      <c r="K173" s="36" t="s">
        <v>177</v>
      </c>
      <c r="L173" s="74">
        <f>VLOOKUP(E173,Diccionario!C$2:AC$150,22,0)</f>
        <v>410789543</v>
      </c>
      <c r="M173" s="75">
        <f>VLOOKUP(E173,Diccionario!C$2:AC$150,24,0)</f>
        <v>45536</v>
      </c>
      <c r="N173" s="76">
        <f>VLOOKUP(E173,Diccionario!C$2:AC$150,25,0)</f>
        <v>45597</v>
      </c>
      <c r="O173" s="77">
        <f>VLOOKUP(E173,Diccionario!C$2:AC$150,26,0)</f>
        <v>2</v>
      </c>
      <c r="P173" s="77">
        <f t="shared" si="86"/>
        <v>-1</v>
      </c>
      <c r="Q173" s="78">
        <v>1</v>
      </c>
      <c r="R173" s="36">
        <v>3</v>
      </c>
      <c r="S173" s="86">
        <v>0.35</v>
      </c>
      <c r="T173" s="86">
        <v>0.35</v>
      </c>
      <c r="U173" s="82">
        <v>-18501204</v>
      </c>
      <c r="V173" s="82">
        <v>-18501204</v>
      </c>
      <c r="W173" s="82">
        <f t="shared" si="50"/>
        <v>143776340.04999998</v>
      </c>
      <c r="X173" s="82">
        <f t="shared" si="81"/>
        <v>143776340.04999998</v>
      </c>
      <c r="Y173" s="82">
        <f t="shared" si="51"/>
        <v>162277544.04999998</v>
      </c>
      <c r="Z173" s="82">
        <f t="shared" si="82"/>
        <v>0</v>
      </c>
      <c r="AA173" s="83">
        <f t="shared" si="85"/>
        <v>-7.7711882994209445</v>
      </c>
      <c r="AB173" s="84" t="str">
        <f t="shared" si="83"/>
        <v>Costo ineficiente: se está gastando más de lo presupuestado</v>
      </c>
      <c r="AC173" s="84">
        <f t="shared" si="52"/>
        <v>1</v>
      </c>
      <c r="AD173" s="84" t="str">
        <f t="shared" si="84"/>
        <v>Proyecto a tiempo según lo planificado</v>
      </c>
      <c r="AE173" s="85">
        <f t="shared" si="53"/>
        <v>-52860582.857142866</v>
      </c>
      <c r="AF173" s="85">
        <f t="shared" si="54"/>
        <v>-463650125.85714287</v>
      </c>
      <c r="AG173" s="40" t="str">
        <f>VLOOKUP(Indicador!E173,Diccionario!C$1:AC$150,27,0)</f>
        <v>https://growdatasas.sharepoint.com/:x:/r/sites/Gestiondocumental/Administrativa/GD/Financiera/_layouts/15/Doc.aspx?sourcedoc=%7B825EA9F7-C4AC-4367-8925-5CE1786AE91A%7D&amp;file=20241118%20MODELO%20FINANCIERO%20REFERENCIA%20V7.1_%20PERPETUIDAD_TOTAL.xlsm&amp;action=default&amp;mobileredirect=true</v>
      </c>
      <c r="AH173" s="40">
        <v>1</v>
      </c>
      <c r="AI173" s="40">
        <v>1</v>
      </c>
    </row>
    <row r="174" spans="1:35" ht="18.75" customHeight="1">
      <c r="A174" s="73">
        <v>2024</v>
      </c>
      <c r="B174" s="112" t="s">
        <v>30</v>
      </c>
      <c r="C174" s="36" t="s">
        <v>256</v>
      </c>
      <c r="D174" s="37">
        <v>45636.851213506947</v>
      </c>
      <c r="E174" s="36" t="s">
        <v>49</v>
      </c>
      <c r="F174" s="36" t="s">
        <v>221</v>
      </c>
      <c r="G174" s="36" t="s">
        <v>257</v>
      </c>
      <c r="H174" s="36" t="s">
        <v>258</v>
      </c>
      <c r="I174" s="36" t="s">
        <v>165</v>
      </c>
      <c r="J174" s="36" t="s">
        <v>259</v>
      </c>
      <c r="K174" s="36" t="s">
        <v>177</v>
      </c>
      <c r="L174" s="74">
        <f>VLOOKUP(E174,Diccionario!C$2:AC$150,22,0)</f>
        <v>410789543</v>
      </c>
      <c r="M174" s="75">
        <f>VLOOKUP(E174,Diccionario!C$2:AC$150,24,0)</f>
        <v>45536</v>
      </c>
      <c r="N174" s="76">
        <f>VLOOKUP(E174,Diccionario!C$2:AC$150,25,0)</f>
        <v>45597</v>
      </c>
      <c r="O174" s="77">
        <f>VLOOKUP(E174,Diccionario!C$2:AC$150,26,0)</f>
        <v>2</v>
      </c>
      <c r="P174" s="77">
        <f t="shared" si="86"/>
        <v>0</v>
      </c>
      <c r="Q174" s="78">
        <v>2</v>
      </c>
      <c r="R174" s="36">
        <v>3</v>
      </c>
      <c r="S174" s="86">
        <v>0.75</v>
      </c>
      <c r="T174" s="86">
        <v>0.75</v>
      </c>
      <c r="U174" s="82">
        <v>416243665</v>
      </c>
      <c r="V174" s="82">
        <v>416243665</v>
      </c>
      <c r="W174" s="82">
        <f t="shared" si="50"/>
        <v>308092157.25</v>
      </c>
      <c r="X174" s="82">
        <f t="shared" si="81"/>
        <v>308092157.25</v>
      </c>
      <c r="Y174" s="82">
        <f t="shared" si="51"/>
        <v>-108151507.75</v>
      </c>
      <c r="Z174" s="82">
        <f t="shared" si="82"/>
        <v>0</v>
      </c>
      <c r="AA174" s="83">
        <f t="shared" si="85"/>
        <v>0.74017260358785275</v>
      </c>
      <c r="AB174" s="84" t="str">
        <f t="shared" si="83"/>
        <v>Costo ineficiente: se está gastando más de lo presupuestado</v>
      </c>
      <c r="AC174" s="84">
        <f t="shared" si="52"/>
        <v>1</v>
      </c>
      <c r="AD174" s="84" t="str">
        <f t="shared" si="84"/>
        <v>Proyecto a tiempo según lo planificado</v>
      </c>
      <c r="AE174" s="85">
        <f t="shared" si="53"/>
        <v>554991553.33333337</v>
      </c>
      <c r="AF174" s="85">
        <f t="shared" si="54"/>
        <v>144202010.33333337</v>
      </c>
      <c r="AG174" s="40" t="str">
        <f>VLOOKUP(Indicador!E174,Diccionario!C$1:AC$150,27,0)</f>
        <v>https://growdatasas.sharepoint.com/:x:/r/sites/Gestiondocumental/Administrativa/GD/Financiera/_layouts/15/Doc.aspx?sourcedoc=%7B825EA9F7-C4AC-4367-8925-5CE1786AE91A%7D&amp;file=20241118%20MODELO%20FINANCIERO%20REFERENCIA%20V7.1_%20PERPETUIDAD_TOTAL.xlsm&amp;action=default&amp;mobileredirect=true</v>
      </c>
      <c r="AH174" s="40">
        <v>1</v>
      </c>
      <c r="AI174" s="40">
        <v>1</v>
      </c>
    </row>
    <row r="175" spans="1:35" ht="18.75" customHeight="1">
      <c r="A175" s="73">
        <v>2024</v>
      </c>
      <c r="B175" s="112" t="s">
        <v>31</v>
      </c>
      <c r="C175" s="36" t="s">
        <v>256</v>
      </c>
      <c r="D175" s="37">
        <v>45636.851213506947</v>
      </c>
      <c r="E175" s="36" t="s">
        <v>49</v>
      </c>
      <c r="F175" s="36" t="s">
        <v>221</v>
      </c>
      <c r="G175" s="36" t="s">
        <v>257</v>
      </c>
      <c r="H175" s="36" t="s">
        <v>258</v>
      </c>
      <c r="I175" s="36" t="s">
        <v>165</v>
      </c>
      <c r="J175" s="36" t="s">
        <v>259</v>
      </c>
      <c r="K175" s="36" t="s">
        <v>177</v>
      </c>
      <c r="L175" s="74">
        <f>VLOOKUP(E175,Diccionario!C$2:AC$150,22,0)</f>
        <v>410789543</v>
      </c>
      <c r="M175" s="75">
        <f>VLOOKUP(E175,Diccionario!C$2:AC$150,24,0)</f>
        <v>45536</v>
      </c>
      <c r="N175" s="76">
        <f>VLOOKUP(E175,Diccionario!C$2:AC$150,25,0)</f>
        <v>45597</v>
      </c>
      <c r="O175" s="77">
        <f>VLOOKUP(E175,Diccionario!C$2:AC$150,26,0)</f>
        <v>2</v>
      </c>
      <c r="P175" s="77">
        <f t="shared" si="86"/>
        <v>1</v>
      </c>
      <c r="Q175" s="78">
        <v>3</v>
      </c>
      <c r="R175" s="36">
        <v>3</v>
      </c>
      <c r="S175" s="86">
        <v>1</v>
      </c>
      <c r="T175" s="86">
        <v>1</v>
      </c>
      <c r="U175" s="82">
        <v>-56497450</v>
      </c>
      <c r="V175" s="82">
        <v>-56497450</v>
      </c>
      <c r="W175" s="82">
        <f t="shared" si="50"/>
        <v>410789543</v>
      </c>
      <c r="X175" s="82">
        <f t="shared" si="81"/>
        <v>410789543</v>
      </c>
      <c r="Y175" s="82">
        <f t="shared" si="51"/>
        <v>467286993</v>
      </c>
      <c r="Z175" s="82">
        <f t="shared" si="82"/>
        <v>0</v>
      </c>
      <c r="AA175" s="83">
        <f t="shared" si="85"/>
        <v>-7.2709395379791477</v>
      </c>
      <c r="AB175" s="84" t="str">
        <f t="shared" si="83"/>
        <v>Costo ineficiente: se está gastando más de lo presupuestado</v>
      </c>
      <c r="AC175" s="84">
        <f t="shared" si="52"/>
        <v>1</v>
      </c>
      <c r="AD175" s="84" t="str">
        <f t="shared" si="84"/>
        <v>Proyecto a tiempo según lo planificado</v>
      </c>
      <c r="AE175" s="85">
        <f t="shared" si="53"/>
        <v>-56497450</v>
      </c>
      <c r="AF175" s="85">
        <f t="shared" si="54"/>
        <v>-467286993</v>
      </c>
      <c r="AG175" s="40" t="str">
        <f>VLOOKUP(Indicador!E175,Diccionario!C$1:AC$150,27,0)</f>
        <v>https://growdatasas.sharepoint.com/:x:/r/sites/Gestiondocumental/Administrativa/GD/Financiera/_layouts/15/Doc.aspx?sourcedoc=%7B825EA9F7-C4AC-4367-8925-5CE1786AE91A%7D&amp;file=20241118%20MODELO%20FINANCIERO%20REFERENCIA%20V7.1_%20PERPETUIDAD_TOTAL.xlsm&amp;action=default&amp;mobileredirect=true</v>
      </c>
      <c r="AH175" s="40">
        <v>1</v>
      </c>
      <c r="AI175" s="40">
        <v>1</v>
      </c>
    </row>
    <row r="176" spans="1:35" ht="18.75" customHeight="1">
      <c r="A176" s="73">
        <v>2024</v>
      </c>
      <c r="B176" s="112" t="s">
        <v>28</v>
      </c>
      <c r="C176" s="36" t="s">
        <v>260</v>
      </c>
      <c r="D176" s="37">
        <v>45628.681196990743</v>
      </c>
      <c r="E176" s="36" t="s">
        <v>87</v>
      </c>
      <c r="F176" s="36" t="s">
        <v>221</v>
      </c>
      <c r="G176" s="36" t="s">
        <v>261</v>
      </c>
      <c r="H176" s="36" t="s">
        <v>262</v>
      </c>
      <c r="I176" s="36" t="s">
        <v>165</v>
      </c>
      <c r="J176" s="36" t="s">
        <v>263</v>
      </c>
      <c r="K176" s="36" t="s">
        <v>154</v>
      </c>
      <c r="L176" s="74">
        <f>VLOOKUP(E176,Diccionario!C$2:AC$150,22,0)</f>
        <v>7049000</v>
      </c>
      <c r="M176" s="75">
        <f>VLOOKUP(E176,Diccionario!C$2:AC$150,24,0)</f>
        <v>45536</v>
      </c>
      <c r="N176" s="76">
        <f>VLOOKUP(E176,Diccionario!C$2:AC$150,25,0)</f>
        <v>45565</v>
      </c>
      <c r="O176" s="77">
        <f>VLOOKUP(E176,Diccionario!C$2:AC$150,26,0)</f>
        <v>0.97</v>
      </c>
      <c r="P176" s="77">
        <f t="shared" si="86"/>
        <v>3.0000000000000027E-2</v>
      </c>
      <c r="Q176" s="78">
        <v>1</v>
      </c>
      <c r="R176" s="36">
        <v>1</v>
      </c>
      <c r="S176" s="86">
        <v>1</v>
      </c>
      <c r="T176" s="86">
        <v>0.25</v>
      </c>
      <c r="U176" s="82">
        <v>0</v>
      </c>
      <c r="V176" s="82">
        <v>0</v>
      </c>
      <c r="W176" s="82">
        <f t="shared" si="50"/>
        <v>1762250</v>
      </c>
      <c r="X176" s="82">
        <f t="shared" si="81"/>
        <v>7049000</v>
      </c>
      <c r="Y176" s="82">
        <f t="shared" si="51"/>
        <v>1762250</v>
      </c>
      <c r="Z176" s="82">
        <f t="shared" si="82"/>
        <v>-5286750</v>
      </c>
      <c r="AA176" s="83" t="str">
        <f t="shared" si="85"/>
        <v>No se realizó gasto en este corte</v>
      </c>
      <c r="AB176" s="84" t="str">
        <f t="shared" si="83"/>
        <v>Costo eficiente: se está gastando menos de lo presupuestado</v>
      </c>
      <c r="AC176" s="84">
        <f t="shared" si="52"/>
        <v>0.25</v>
      </c>
      <c r="AD176" s="84" t="str">
        <f t="shared" si="84"/>
        <v>Proyecto atrasado con respecto al cronograma</v>
      </c>
      <c r="AE176" s="85">
        <f t="shared" si="53"/>
        <v>0</v>
      </c>
      <c r="AF176" s="85">
        <f t="shared" si="54"/>
        <v>-7049000</v>
      </c>
      <c r="AG176" s="40" t="str">
        <f>VLOOKUP(Indicador!E176,Diccionario!C$1:AC$150,27,0)</f>
        <v>https://growdatasas.sharepoint.com/:x:/r/sites/Gestiondocumental/Administrativa/GD/Financiera/_layouts/15/Doc.aspx?sourcedoc=%7BFBEECA15-7AD7-44CB-BB15-659366F92F74%7D&amp;file=20241115%20MODELO%20FINANCIERO%20REFERENCIA%20V7.1_RUNT_MIGRACION.xlsm&amp;action=default&amp;mobileredirect=true</v>
      </c>
      <c r="AH176" s="40">
        <v>1</v>
      </c>
      <c r="AI176" s="40">
        <v>1</v>
      </c>
    </row>
    <row r="177" spans="1:35" ht="18.75" customHeight="1">
      <c r="A177" s="73">
        <v>2024</v>
      </c>
      <c r="B177" s="112" t="s">
        <v>30</v>
      </c>
      <c r="C177" s="36" t="s">
        <v>260</v>
      </c>
      <c r="D177" s="37">
        <v>45628.681196990743</v>
      </c>
      <c r="E177" s="36" t="s">
        <v>87</v>
      </c>
      <c r="F177" s="36" t="s">
        <v>221</v>
      </c>
      <c r="G177" s="36" t="s">
        <v>261</v>
      </c>
      <c r="H177" s="36" t="s">
        <v>262</v>
      </c>
      <c r="I177" s="36" t="s">
        <v>165</v>
      </c>
      <c r="J177" s="36" t="s">
        <v>263</v>
      </c>
      <c r="K177" s="36" t="s">
        <v>154</v>
      </c>
      <c r="L177" s="74">
        <f>VLOOKUP(E177,Diccionario!C$2:AC$150,22,0)</f>
        <v>7049000</v>
      </c>
      <c r="M177" s="75">
        <f>VLOOKUP(E177,Diccionario!C$2:AC$150,24,0)</f>
        <v>45536</v>
      </c>
      <c r="N177" s="76">
        <f>VLOOKUP(E177,Diccionario!C$2:AC$150,25,0)</f>
        <v>45565</v>
      </c>
      <c r="O177" s="77">
        <f>VLOOKUP(E177,Diccionario!C$2:AC$150,26,0)</f>
        <v>0.97</v>
      </c>
      <c r="P177" s="77">
        <f t="shared" si="86"/>
        <v>1.03</v>
      </c>
      <c r="Q177" s="78">
        <v>2</v>
      </c>
      <c r="R177" s="36">
        <v>1</v>
      </c>
      <c r="S177" s="86">
        <v>1</v>
      </c>
      <c r="T177" s="86">
        <v>0.75</v>
      </c>
      <c r="U177" s="82">
        <v>99000</v>
      </c>
      <c r="V177" s="82">
        <v>99000</v>
      </c>
      <c r="W177" s="82">
        <f t="shared" si="50"/>
        <v>5286750</v>
      </c>
      <c r="X177" s="82">
        <f t="shared" si="81"/>
        <v>7049000</v>
      </c>
      <c r="Y177" s="82">
        <f t="shared" si="51"/>
        <v>5187750</v>
      </c>
      <c r="Z177" s="82">
        <f t="shared" si="82"/>
        <v>-1762250</v>
      </c>
      <c r="AA177" s="83">
        <f t="shared" si="85"/>
        <v>53.401515151515149</v>
      </c>
      <c r="AB177" s="84" t="str">
        <f t="shared" si="83"/>
        <v>Costo eficiente: se está gastando menos de lo presupuestado</v>
      </c>
      <c r="AC177" s="84">
        <f t="shared" si="52"/>
        <v>0.75</v>
      </c>
      <c r="AD177" s="84" t="str">
        <f t="shared" si="84"/>
        <v>Proyecto atrasado con respecto al cronograma</v>
      </c>
      <c r="AE177" s="85">
        <f t="shared" si="53"/>
        <v>132000</v>
      </c>
      <c r="AF177" s="85">
        <f t="shared" si="54"/>
        <v>-6917000</v>
      </c>
      <c r="AG177" s="40" t="str">
        <f>VLOOKUP(Indicador!E177,Diccionario!C$1:AC$150,27,0)</f>
        <v>https://growdatasas.sharepoint.com/:x:/r/sites/Gestiondocumental/Administrativa/GD/Financiera/_layouts/15/Doc.aspx?sourcedoc=%7BFBEECA15-7AD7-44CB-BB15-659366F92F74%7D&amp;file=20241115%20MODELO%20FINANCIERO%20REFERENCIA%20V7.1_RUNT_MIGRACION.xlsm&amp;action=default&amp;mobileredirect=true</v>
      </c>
      <c r="AH177" s="40">
        <v>1</v>
      </c>
      <c r="AI177" s="40">
        <v>1</v>
      </c>
    </row>
    <row r="178" spans="1:35" ht="18.75" customHeight="1">
      <c r="A178" s="73">
        <v>2024</v>
      </c>
      <c r="B178" s="112" t="s">
        <v>31</v>
      </c>
      <c r="C178" s="36" t="s">
        <v>260</v>
      </c>
      <c r="D178" s="37">
        <v>45628.681196990743</v>
      </c>
      <c r="E178" s="36" t="s">
        <v>87</v>
      </c>
      <c r="F178" s="36" t="s">
        <v>221</v>
      </c>
      <c r="G178" s="36" t="s">
        <v>261</v>
      </c>
      <c r="H178" s="36" t="s">
        <v>262</v>
      </c>
      <c r="I178" s="36" t="s">
        <v>165</v>
      </c>
      <c r="J178" s="36" t="s">
        <v>263</v>
      </c>
      <c r="K178" s="36" t="s">
        <v>154</v>
      </c>
      <c r="L178" s="74">
        <f>VLOOKUP(E178,Diccionario!C$2:AC$150,22,0)</f>
        <v>7049000</v>
      </c>
      <c r="M178" s="75">
        <f>VLOOKUP(E178,Diccionario!C$2:AC$150,24,0)</f>
        <v>45536</v>
      </c>
      <c r="N178" s="76">
        <f>VLOOKUP(E178,Diccionario!C$2:AC$150,25,0)</f>
        <v>45565</v>
      </c>
      <c r="O178" s="77">
        <f>VLOOKUP(E178,Diccionario!C$2:AC$150,26,0)</f>
        <v>0.97</v>
      </c>
      <c r="P178" s="77">
        <f t="shared" si="86"/>
        <v>2.0300000000000002</v>
      </c>
      <c r="Q178" s="78">
        <v>3</v>
      </c>
      <c r="R178" s="36">
        <v>1</v>
      </c>
      <c r="S178" s="86">
        <v>1</v>
      </c>
      <c r="T178" s="86">
        <v>1</v>
      </c>
      <c r="U178" s="82">
        <v>6950000</v>
      </c>
      <c r="V178" s="82">
        <v>6950000</v>
      </c>
      <c r="W178" s="82">
        <f t="shared" si="50"/>
        <v>7049000</v>
      </c>
      <c r="X178" s="82">
        <f t="shared" si="81"/>
        <v>7049000</v>
      </c>
      <c r="Y178" s="82">
        <f t="shared" si="51"/>
        <v>99000</v>
      </c>
      <c r="Z178" s="82">
        <f t="shared" si="82"/>
        <v>0</v>
      </c>
      <c r="AA178" s="83">
        <f t="shared" si="85"/>
        <v>1.0142446043165467</v>
      </c>
      <c r="AB178" s="84" t="str">
        <f t="shared" si="83"/>
        <v>Costo eficiente: se está gastando menos de lo presupuestado</v>
      </c>
      <c r="AC178" s="84">
        <f t="shared" si="52"/>
        <v>1</v>
      </c>
      <c r="AD178" s="84" t="str">
        <f t="shared" si="84"/>
        <v>Proyecto a tiempo según lo planificado</v>
      </c>
      <c r="AE178" s="85">
        <f t="shared" si="53"/>
        <v>6950000</v>
      </c>
      <c r="AF178" s="85">
        <f t="shared" si="54"/>
        <v>-99000</v>
      </c>
      <c r="AG178" s="40" t="str">
        <f>VLOOKUP(Indicador!E178,Diccionario!C$1:AC$150,27,0)</f>
        <v>https://growdatasas.sharepoint.com/:x:/r/sites/Gestiondocumental/Administrativa/GD/Financiera/_layouts/15/Doc.aspx?sourcedoc=%7BFBEECA15-7AD7-44CB-BB15-659366F92F74%7D&amp;file=20241115%20MODELO%20FINANCIERO%20REFERENCIA%20V7.1_RUNT_MIGRACION.xlsm&amp;action=default&amp;mobileredirect=true</v>
      </c>
      <c r="AH178" s="40">
        <v>1</v>
      </c>
      <c r="AI178" s="40">
        <v>1</v>
      </c>
    </row>
    <row r="179" spans="1:35" ht="18.75" customHeight="1">
      <c r="A179" s="73">
        <v>2024</v>
      </c>
      <c r="B179" s="112" t="s">
        <v>28</v>
      </c>
      <c r="C179" s="36" t="s">
        <v>264</v>
      </c>
      <c r="D179" s="37">
        <v>45537.685983530093</v>
      </c>
      <c r="E179" s="36" t="s">
        <v>86</v>
      </c>
      <c r="F179" s="36" t="s">
        <v>149</v>
      </c>
      <c r="G179" s="36" t="s">
        <v>265</v>
      </c>
      <c r="H179" s="36" t="s">
        <v>266</v>
      </c>
      <c r="I179" s="36" t="s">
        <v>152</v>
      </c>
      <c r="J179" s="36" t="s">
        <v>267</v>
      </c>
      <c r="K179" s="36" t="s">
        <v>154</v>
      </c>
      <c r="L179" s="74">
        <f>VLOOKUP(E179,Diccionario!C$2:AC$150,22,0)</f>
        <v>370376769</v>
      </c>
      <c r="M179" s="75">
        <f>VLOOKUP(E179,Diccionario!C$2:AC$150,24,0)</f>
        <v>45536</v>
      </c>
      <c r="N179" s="76">
        <f>VLOOKUP(E179,Diccionario!C$2:AC$150,25,0)</f>
        <v>45596</v>
      </c>
      <c r="O179" s="77">
        <f>VLOOKUP(E179,Diccionario!C$2:AC$150,26,0)</f>
        <v>2</v>
      </c>
      <c r="P179" s="77">
        <f t="shared" si="86"/>
        <v>-1</v>
      </c>
      <c r="Q179" s="78">
        <v>1</v>
      </c>
      <c r="R179" s="36">
        <v>2</v>
      </c>
      <c r="S179" s="86">
        <v>0.5</v>
      </c>
      <c r="T179" s="86">
        <v>0.25</v>
      </c>
      <c r="U179" s="82" t="s">
        <v>268</v>
      </c>
      <c r="V179" s="82" t="s">
        <v>268</v>
      </c>
      <c r="W179" s="82">
        <f t="shared" si="50"/>
        <v>92594192.25</v>
      </c>
      <c r="X179" s="82">
        <f t="shared" si="81"/>
        <v>185188384.5</v>
      </c>
      <c r="Y179" s="82">
        <f t="shared" si="51"/>
        <v>0</v>
      </c>
      <c r="Z179" s="82">
        <f t="shared" si="82"/>
        <v>-92594192.25</v>
      </c>
      <c r="AA179" s="83" t="str">
        <f t="shared" si="85"/>
        <v>No se realizó gasto en este corte</v>
      </c>
      <c r="AB179" s="84" t="str">
        <f t="shared" si="83"/>
        <v>Costo eficiente: se está gastando menos de lo presupuestado</v>
      </c>
      <c r="AC179" s="84">
        <f t="shared" si="52"/>
        <v>0.5</v>
      </c>
      <c r="AD179" s="84" t="str">
        <f t="shared" si="84"/>
        <v>Proyecto atrasado con respecto al cronograma</v>
      </c>
      <c r="AE179" s="85">
        <f t="shared" si="53"/>
        <v>0</v>
      </c>
      <c r="AF179" s="85">
        <f t="shared" si="54"/>
        <v>-370376769</v>
      </c>
      <c r="AG179" s="40" t="str">
        <f>VLOOKUP(Indicador!E179,Diccionario!C$1:AC$150,27,0)</f>
        <v>https://growdatasas.sharepoint.com/:x:/r/sites/Gestiondocumental/Administrativa/GD/Financiera/_layouts/15/Doc.aspx?sourcedoc=%7B8532EC43-3D9D-499E-986C-E4DDBEFDC382%7D&amp;file=20250122%20ELECTROHUILA_Modelo%20de%20negocio%20-%20(versi%C3%B3n%20real)_v20250122.xlsm&amp;action=default&amp;mobileredirect=true</v>
      </c>
      <c r="AH179" s="40">
        <v>1</v>
      </c>
      <c r="AI179" s="40">
        <v>1</v>
      </c>
    </row>
    <row r="180" spans="1:35" ht="18.75" customHeight="1">
      <c r="A180" s="73">
        <v>2024</v>
      </c>
      <c r="B180" s="112" t="s">
        <v>30</v>
      </c>
      <c r="C180" s="36" t="s">
        <v>264</v>
      </c>
      <c r="D180" s="37">
        <v>45537.685983530093</v>
      </c>
      <c r="E180" s="36" t="s">
        <v>86</v>
      </c>
      <c r="F180" s="36" t="s">
        <v>149</v>
      </c>
      <c r="G180" s="36" t="s">
        <v>265</v>
      </c>
      <c r="H180" s="36" t="s">
        <v>266</v>
      </c>
      <c r="I180" s="36" t="s">
        <v>152</v>
      </c>
      <c r="J180" s="36" t="s">
        <v>267</v>
      </c>
      <c r="K180" s="36" t="s">
        <v>154</v>
      </c>
      <c r="L180" s="74">
        <f>VLOOKUP(E180,Diccionario!C$2:AC$150,22,0)</f>
        <v>370376769</v>
      </c>
      <c r="M180" s="75">
        <f>VLOOKUP(E180,Diccionario!C$2:AC$150,24,0)</f>
        <v>45536</v>
      </c>
      <c r="N180" s="76">
        <f>VLOOKUP(E180,Diccionario!C$2:AC$150,25,0)</f>
        <v>45596</v>
      </c>
      <c r="O180" s="77">
        <f>VLOOKUP(E180,Diccionario!C$2:AC$150,26,0)</f>
        <v>2</v>
      </c>
      <c r="P180" s="77">
        <f t="shared" si="86"/>
        <v>0</v>
      </c>
      <c r="Q180" s="78">
        <v>2</v>
      </c>
      <c r="R180" s="36">
        <v>2</v>
      </c>
      <c r="S180" s="86">
        <v>1</v>
      </c>
      <c r="T180" s="86">
        <v>0.5</v>
      </c>
      <c r="U180" s="82">
        <v>-348062440</v>
      </c>
      <c r="V180" s="82">
        <v>-348062440</v>
      </c>
      <c r="W180" s="82">
        <f t="shared" si="50"/>
        <v>185188384.5</v>
      </c>
      <c r="X180" s="82">
        <f t="shared" si="81"/>
        <v>370376769</v>
      </c>
      <c r="Y180" s="82">
        <f t="shared" si="51"/>
        <v>533250824.5</v>
      </c>
      <c r="Z180" s="82">
        <f t="shared" si="82"/>
        <v>-185188384.5</v>
      </c>
      <c r="AA180" s="83">
        <f t="shared" si="85"/>
        <v>-0.53205506603930031</v>
      </c>
      <c r="AB180" s="84" t="str">
        <f t="shared" si="83"/>
        <v>Costo ineficiente: se está gastando más de lo presupuestado</v>
      </c>
      <c r="AC180" s="84">
        <f t="shared" si="52"/>
        <v>0.5</v>
      </c>
      <c r="AD180" s="84" t="str">
        <f t="shared" si="84"/>
        <v>Proyecto atrasado con respecto al cronograma</v>
      </c>
      <c r="AE180" s="85">
        <f t="shared" si="53"/>
        <v>-696124880</v>
      </c>
      <c r="AF180" s="85">
        <f t="shared" si="54"/>
        <v>-1066501649</v>
      </c>
      <c r="AG180" s="40" t="str">
        <f>VLOOKUP(Indicador!E180,Diccionario!C$1:AC$150,27,0)</f>
        <v>https://growdatasas.sharepoint.com/:x:/r/sites/Gestiondocumental/Administrativa/GD/Financiera/_layouts/15/Doc.aspx?sourcedoc=%7B8532EC43-3D9D-499E-986C-E4DDBEFDC382%7D&amp;file=20250122%20ELECTROHUILA_Modelo%20de%20negocio%20-%20(versi%C3%B3n%20real)_v20250122.xlsm&amp;action=default&amp;mobileredirect=true</v>
      </c>
      <c r="AH180" s="40">
        <v>1</v>
      </c>
      <c r="AI180" s="40">
        <v>1</v>
      </c>
    </row>
    <row r="181" spans="1:35" ht="18.75" customHeight="1">
      <c r="A181" s="73">
        <v>2024</v>
      </c>
      <c r="B181" s="112" t="s">
        <v>31</v>
      </c>
      <c r="C181" s="36" t="s">
        <v>264</v>
      </c>
      <c r="D181" s="37">
        <v>45537.685983530093</v>
      </c>
      <c r="E181" s="36" t="s">
        <v>86</v>
      </c>
      <c r="F181" s="36" t="s">
        <v>149</v>
      </c>
      <c r="G181" s="36" t="s">
        <v>265</v>
      </c>
      <c r="H181" s="36" t="s">
        <v>266</v>
      </c>
      <c r="I181" s="36" t="s">
        <v>152</v>
      </c>
      <c r="J181" s="36" t="s">
        <v>267</v>
      </c>
      <c r="K181" s="36" t="s">
        <v>154</v>
      </c>
      <c r="L181" s="74">
        <f>VLOOKUP(E181,Diccionario!C$2:AC$150,22,0)</f>
        <v>370376769</v>
      </c>
      <c r="M181" s="75">
        <f>VLOOKUP(E181,Diccionario!C$2:AC$150,24,0)</f>
        <v>45536</v>
      </c>
      <c r="N181" s="76">
        <f>VLOOKUP(E181,Diccionario!C$2:AC$150,25,0)</f>
        <v>45596</v>
      </c>
      <c r="O181" s="77">
        <f>VLOOKUP(E181,Diccionario!C$2:AC$150,26,0)</f>
        <v>2</v>
      </c>
      <c r="P181" s="77">
        <f t="shared" si="86"/>
        <v>1</v>
      </c>
      <c r="Q181" s="78">
        <v>3</v>
      </c>
      <c r="R181" s="36">
        <v>2</v>
      </c>
      <c r="S181" s="86">
        <v>1</v>
      </c>
      <c r="T181" s="86">
        <v>1</v>
      </c>
      <c r="U181" s="82">
        <v>594457735</v>
      </c>
      <c r="V181" s="82">
        <v>594457735</v>
      </c>
      <c r="W181" s="82">
        <f t="shared" si="50"/>
        <v>370376769</v>
      </c>
      <c r="X181" s="82">
        <f t="shared" si="81"/>
        <v>370376769</v>
      </c>
      <c r="Y181" s="82">
        <f t="shared" si="51"/>
        <v>-224080966</v>
      </c>
      <c r="Z181" s="82">
        <f t="shared" si="82"/>
        <v>0</v>
      </c>
      <c r="AA181" s="83">
        <f t="shared" si="85"/>
        <v>0.62304979343905753</v>
      </c>
      <c r="AB181" s="84" t="str">
        <f t="shared" si="83"/>
        <v>Costo ineficiente: se está gastando más de lo presupuestado</v>
      </c>
      <c r="AC181" s="84">
        <f t="shared" si="52"/>
        <v>1</v>
      </c>
      <c r="AD181" s="84" t="str">
        <f t="shared" si="84"/>
        <v>Proyecto a tiempo según lo planificado</v>
      </c>
      <c r="AE181" s="85">
        <f t="shared" si="53"/>
        <v>594457735</v>
      </c>
      <c r="AF181" s="85">
        <f t="shared" si="54"/>
        <v>224080966</v>
      </c>
      <c r="AG181" s="40" t="str">
        <f>VLOOKUP(Indicador!E181,Diccionario!C$1:AC$150,27,0)</f>
        <v>https://growdatasas.sharepoint.com/:x:/r/sites/Gestiondocumental/Administrativa/GD/Financiera/_layouts/15/Doc.aspx?sourcedoc=%7B8532EC43-3D9D-499E-986C-E4DDBEFDC382%7D&amp;file=20250122%20ELECTROHUILA_Modelo%20de%20negocio%20-%20(versi%C3%B3n%20real)_v20250122.xlsm&amp;action=default&amp;mobileredirect=true</v>
      </c>
      <c r="AH181" s="40">
        <v>1</v>
      </c>
      <c r="AI181" s="40">
        <v>1</v>
      </c>
    </row>
    <row r="182" spans="1:35" ht="18.75" customHeight="1">
      <c r="A182" s="73">
        <v>2024</v>
      </c>
      <c r="B182" s="112" t="s">
        <v>28</v>
      </c>
      <c r="C182" s="36" t="s">
        <v>269</v>
      </c>
      <c r="D182" s="37">
        <v>45558.660403622685</v>
      </c>
      <c r="E182" s="36" t="s">
        <v>57</v>
      </c>
      <c r="F182" s="36" t="s">
        <v>270</v>
      </c>
      <c r="G182" s="36" t="s">
        <v>271</v>
      </c>
      <c r="H182" s="36" t="s">
        <v>272</v>
      </c>
      <c r="I182" s="36" t="s">
        <v>175</v>
      </c>
      <c r="J182" s="36" t="s">
        <v>273</v>
      </c>
      <c r="K182" s="36" t="s">
        <v>177</v>
      </c>
      <c r="L182" s="74">
        <f>VLOOKUP(E182,Diccionario!C$2:AC$150,22,0)</f>
        <v>792295683</v>
      </c>
      <c r="M182" s="75">
        <f>VLOOKUP(E182,Diccionario!C$2:AC$150,24,0)</f>
        <v>45537</v>
      </c>
      <c r="N182" s="76">
        <f>VLOOKUP(E182,Diccionario!C$2:AC$150,25,0)</f>
        <v>45838</v>
      </c>
      <c r="O182" s="77">
        <f>VLOOKUP(E182,Diccionario!C$2:AC$150,26,0)</f>
        <v>9.93</v>
      </c>
      <c r="P182" s="77">
        <f t="shared" si="86"/>
        <v>-8.93</v>
      </c>
      <c r="Q182" s="78">
        <v>1</v>
      </c>
      <c r="R182" s="36">
        <v>10</v>
      </c>
      <c r="S182" s="86">
        <v>0.1</v>
      </c>
      <c r="T182" s="86">
        <v>0.1</v>
      </c>
      <c r="U182" s="82">
        <v>-113185098</v>
      </c>
      <c r="V182" s="82">
        <v>-113185098</v>
      </c>
      <c r="W182" s="82">
        <f t="shared" si="50"/>
        <v>79229568.299999997</v>
      </c>
      <c r="X182" s="82">
        <f t="shared" si="81"/>
        <v>79229568.299999997</v>
      </c>
      <c r="Y182" s="82">
        <f t="shared" si="51"/>
        <v>192414666.30000001</v>
      </c>
      <c r="Z182" s="82">
        <f t="shared" si="82"/>
        <v>0</v>
      </c>
      <c r="AA182" s="83">
        <f t="shared" si="85"/>
        <v>-0.69999999734947438</v>
      </c>
      <c r="AB182" s="84" t="str">
        <f t="shared" si="83"/>
        <v>Costo ineficiente: se está gastando más de lo presupuestado</v>
      </c>
      <c r="AC182" s="84">
        <f t="shared" si="52"/>
        <v>1</v>
      </c>
      <c r="AD182" s="84" t="str">
        <f t="shared" si="84"/>
        <v>Proyecto a tiempo según lo planificado</v>
      </c>
      <c r="AE182" s="85">
        <f t="shared" si="53"/>
        <v>-1131850980</v>
      </c>
      <c r="AF182" s="85">
        <f t="shared" si="54"/>
        <v>-1924146663</v>
      </c>
      <c r="AG182" s="40" t="str">
        <f>VLOOKUP(Indicador!E182,Diccionario!C$1:AC$150,27,0)</f>
        <v>https://growdatasas.sharepoint.com/:x:/r/sites/Gestiondocumental/Administrativa/GD/Financiera/_layouts/15/Doc.aspx?sourcedoc=%7BE250AEF5-F247-458E-91D3-6BE23701DF39%7D&amp;file=RUNT%20CONTENEDORES%20ESTRATEGICOS%20V5.xlsm&amp;action=default&amp;mobileredirect=true</v>
      </c>
      <c r="AH182" s="40">
        <v>1</v>
      </c>
      <c r="AI182" s="40">
        <v>1</v>
      </c>
    </row>
    <row r="183" spans="1:35" ht="18.75" customHeight="1">
      <c r="A183" s="73">
        <v>2024</v>
      </c>
      <c r="B183" s="112" t="s">
        <v>30</v>
      </c>
      <c r="C183" s="36" t="s">
        <v>269</v>
      </c>
      <c r="D183" s="37">
        <v>45558.660403622685</v>
      </c>
      <c r="E183" s="36" t="s">
        <v>57</v>
      </c>
      <c r="F183" s="36" t="s">
        <v>270</v>
      </c>
      <c r="G183" s="36" t="s">
        <v>271</v>
      </c>
      <c r="H183" s="36" t="s">
        <v>272</v>
      </c>
      <c r="I183" s="36" t="s">
        <v>175</v>
      </c>
      <c r="J183" s="36" t="s">
        <v>273</v>
      </c>
      <c r="K183" s="36" t="s">
        <v>177</v>
      </c>
      <c r="L183" s="74">
        <f>VLOOKUP(E183,Diccionario!C$2:AC$150,22,0)</f>
        <v>792295683</v>
      </c>
      <c r="M183" s="75">
        <f>VLOOKUP(E183,Diccionario!C$2:AC$150,24,0)</f>
        <v>45537</v>
      </c>
      <c r="N183" s="76">
        <f>VLOOKUP(E183,Diccionario!C$2:AC$150,25,0)</f>
        <v>45838</v>
      </c>
      <c r="O183" s="77">
        <f>VLOOKUP(E183,Diccionario!C$2:AC$150,26,0)</f>
        <v>9.93</v>
      </c>
      <c r="P183" s="77">
        <f t="shared" si="86"/>
        <v>-7.93</v>
      </c>
      <c r="Q183" s="78">
        <v>2</v>
      </c>
      <c r="R183" s="36">
        <v>10</v>
      </c>
      <c r="S183" s="86">
        <v>0.2</v>
      </c>
      <c r="T183" s="86">
        <v>0.2</v>
      </c>
      <c r="U183" s="82">
        <v>-113185098</v>
      </c>
      <c r="V183" s="82">
        <v>-113185098</v>
      </c>
      <c r="W183" s="82">
        <f t="shared" si="50"/>
        <v>158459136.59999999</v>
      </c>
      <c r="X183" s="82">
        <f t="shared" si="81"/>
        <v>158459136.59999999</v>
      </c>
      <c r="Y183" s="82">
        <f t="shared" si="51"/>
        <v>271644234.60000002</v>
      </c>
      <c r="Z183" s="82">
        <f t="shared" si="82"/>
        <v>0</v>
      </c>
      <c r="AA183" s="83">
        <f t="shared" si="85"/>
        <v>-1.3999999946989488</v>
      </c>
      <c r="AB183" s="84" t="str">
        <f t="shared" si="83"/>
        <v>Costo ineficiente: se está gastando más de lo presupuestado</v>
      </c>
      <c r="AC183" s="84">
        <f t="shared" si="52"/>
        <v>1</v>
      </c>
      <c r="AD183" s="84" t="str">
        <f t="shared" si="84"/>
        <v>Proyecto a tiempo según lo planificado</v>
      </c>
      <c r="AE183" s="85">
        <f t="shared" si="53"/>
        <v>-565925490</v>
      </c>
      <c r="AF183" s="85">
        <f t="shared" si="54"/>
        <v>-1358221173</v>
      </c>
      <c r="AG183" s="40" t="str">
        <f>VLOOKUP(Indicador!E183,Diccionario!C$1:AC$150,27,0)</f>
        <v>https://growdatasas.sharepoint.com/:x:/r/sites/Gestiondocumental/Administrativa/GD/Financiera/_layouts/15/Doc.aspx?sourcedoc=%7BE250AEF5-F247-458E-91D3-6BE23701DF39%7D&amp;file=RUNT%20CONTENEDORES%20ESTRATEGICOS%20V5.xlsm&amp;action=default&amp;mobileredirect=true</v>
      </c>
      <c r="AH183" s="40">
        <v>1</v>
      </c>
      <c r="AI183" s="40">
        <v>1</v>
      </c>
    </row>
    <row r="184" spans="1:35" ht="18.75" customHeight="1">
      <c r="A184" s="73">
        <v>2024</v>
      </c>
      <c r="B184" s="112" t="s">
        <v>31</v>
      </c>
      <c r="C184" s="36" t="s">
        <v>269</v>
      </c>
      <c r="D184" s="37">
        <v>45558.660403622685</v>
      </c>
      <c r="E184" s="36" t="s">
        <v>57</v>
      </c>
      <c r="F184" s="36" t="s">
        <v>270</v>
      </c>
      <c r="G184" s="36" t="s">
        <v>271</v>
      </c>
      <c r="H184" s="36" t="s">
        <v>272</v>
      </c>
      <c r="I184" s="36" t="s">
        <v>175</v>
      </c>
      <c r="J184" s="36" t="s">
        <v>273</v>
      </c>
      <c r="K184" s="36" t="s">
        <v>177</v>
      </c>
      <c r="L184" s="74">
        <f>VLOOKUP(E184,Diccionario!C$2:AC$150,22,0)</f>
        <v>792295683</v>
      </c>
      <c r="M184" s="75">
        <f>VLOOKUP(E184,Diccionario!C$2:AC$150,24,0)</f>
        <v>45537</v>
      </c>
      <c r="N184" s="76">
        <f>VLOOKUP(E184,Diccionario!C$2:AC$150,25,0)</f>
        <v>45838</v>
      </c>
      <c r="O184" s="77">
        <f>VLOOKUP(E184,Diccionario!C$2:AC$150,26,0)</f>
        <v>9.93</v>
      </c>
      <c r="P184" s="77">
        <f t="shared" si="86"/>
        <v>-6.93</v>
      </c>
      <c r="Q184" s="78">
        <v>3</v>
      </c>
      <c r="R184" s="36">
        <v>10</v>
      </c>
      <c r="S184" s="86">
        <v>0.3</v>
      </c>
      <c r="T184" s="86">
        <v>0.3</v>
      </c>
      <c r="U184" s="82">
        <v>70981569</v>
      </c>
      <c r="V184" s="82">
        <v>70981569</v>
      </c>
      <c r="W184" s="82">
        <f t="shared" si="50"/>
        <v>237688704.90000001</v>
      </c>
      <c r="X184" s="82">
        <f t="shared" si="81"/>
        <v>237688704.90000001</v>
      </c>
      <c r="Y184" s="82">
        <f t="shared" si="51"/>
        <v>166707135.90000001</v>
      </c>
      <c r="Z184" s="82">
        <f t="shared" si="82"/>
        <v>0</v>
      </c>
      <c r="AA184" s="83">
        <f t="shared" si="85"/>
        <v>3.3485975056426267</v>
      </c>
      <c r="AB184" s="84" t="str">
        <f t="shared" si="83"/>
        <v>Costo eficiente: se está gastando menos de lo presupuestado</v>
      </c>
      <c r="AC184" s="84">
        <f t="shared" si="52"/>
        <v>1</v>
      </c>
      <c r="AD184" s="84" t="str">
        <f t="shared" si="84"/>
        <v>Proyecto a tiempo según lo planificado</v>
      </c>
      <c r="AE184" s="85">
        <f t="shared" si="53"/>
        <v>236605230</v>
      </c>
      <c r="AF184" s="85">
        <f t="shared" si="54"/>
        <v>-555690453</v>
      </c>
      <c r="AG184" s="40" t="str">
        <f>VLOOKUP(Indicador!E184,Diccionario!C$1:AC$150,27,0)</f>
        <v>https://growdatasas.sharepoint.com/:x:/r/sites/Gestiondocumental/Administrativa/GD/Financiera/_layouts/15/Doc.aspx?sourcedoc=%7BE250AEF5-F247-458E-91D3-6BE23701DF39%7D&amp;file=RUNT%20CONTENEDORES%20ESTRATEGICOS%20V5.xlsm&amp;action=default&amp;mobileredirect=true</v>
      </c>
      <c r="AH184" s="40">
        <v>1</v>
      </c>
      <c r="AI184" s="40">
        <v>1</v>
      </c>
    </row>
    <row r="185" spans="1:35" ht="18.75" customHeight="1">
      <c r="A185" s="73">
        <v>2024</v>
      </c>
      <c r="B185" s="112" t="s">
        <v>32</v>
      </c>
      <c r="C185" s="36" t="s">
        <v>269</v>
      </c>
      <c r="D185" s="37">
        <v>45558.660403622685</v>
      </c>
      <c r="E185" s="36" t="s">
        <v>57</v>
      </c>
      <c r="F185" s="36" t="s">
        <v>270</v>
      </c>
      <c r="G185" s="36" t="s">
        <v>271</v>
      </c>
      <c r="H185" s="36" t="s">
        <v>272</v>
      </c>
      <c r="I185" s="36" t="s">
        <v>175</v>
      </c>
      <c r="J185" s="36" t="s">
        <v>273</v>
      </c>
      <c r="K185" s="36" t="s">
        <v>177</v>
      </c>
      <c r="L185" s="74">
        <f>VLOOKUP(E185,Diccionario!C$2:AC$150,22,0)</f>
        <v>792295683</v>
      </c>
      <c r="M185" s="75">
        <f>VLOOKUP(E185,Diccionario!C$2:AC$150,24,0)</f>
        <v>45537</v>
      </c>
      <c r="N185" s="76">
        <f>VLOOKUP(E185,Diccionario!C$2:AC$150,25,0)</f>
        <v>45838</v>
      </c>
      <c r="O185" s="77">
        <f>VLOOKUP(E185,Diccionario!C$2:AC$150,26,0)</f>
        <v>9.93</v>
      </c>
      <c r="P185" s="77">
        <f t="shared" si="86"/>
        <v>-5.93</v>
      </c>
      <c r="Q185" s="78">
        <v>4</v>
      </c>
      <c r="R185" s="36">
        <v>10</v>
      </c>
      <c r="S185" s="86">
        <v>0.4</v>
      </c>
      <c r="T185" s="86">
        <v>0.4</v>
      </c>
      <c r="U185" s="82">
        <v>70981569</v>
      </c>
      <c r="V185" s="82">
        <v>70981569</v>
      </c>
      <c r="W185" s="82">
        <f t="shared" si="50"/>
        <v>316918273.19999999</v>
      </c>
      <c r="X185" s="82">
        <f t="shared" si="81"/>
        <v>316918273.19999999</v>
      </c>
      <c r="Y185" s="82">
        <f t="shared" si="51"/>
        <v>245936704.19999999</v>
      </c>
      <c r="Z185" s="82">
        <f t="shared" si="82"/>
        <v>0</v>
      </c>
      <c r="AA185" s="83">
        <f t="shared" si="85"/>
        <v>4.4647966741901692</v>
      </c>
      <c r="AB185" s="84" t="str">
        <f t="shared" si="83"/>
        <v>Costo eficiente: se está gastando menos de lo presupuestado</v>
      </c>
      <c r="AC185" s="84">
        <f t="shared" si="52"/>
        <v>1</v>
      </c>
      <c r="AD185" s="84" t="str">
        <f t="shared" si="84"/>
        <v>Proyecto a tiempo según lo planificado</v>
      </c>
      <c r="AE185" s="85">
        <f t="shared" si="53"/>
        <v>177453922.5</v>
      </c>
      <c r="AF185" s="85">
        <f t="shared" si="54"/>
        <v>-614841760.5</v>
      </c>
      <c r="AG185" s="40" t="str">
        <f>VLOOKUP(Indicador!E185,Diccionario!C$1:AC$150,27,0)</f>
        <v>https://growdatasas.sharepoint.com/:x:/r/sites/Gestiondocumental/Administrativa/GD/Financiera/_layouts/15/Doc.aspx?sourcedoc=%7BE250AEF5-F247-458E-91D3-6BE23701DF39%7D&amp;file=RUNT%20CONTENEDORES%20ESTRATEGICOS%20V5.xlsm&amp;action=default&amp;mobileredirect=true</v>
      </c>
      <c r="AH185" s="40">
        <v>1</v>
      </c>
      <c r="AI185" s="40">
        <v>1</v>
      </c>
    </row>
    <row r="186" spans="1:35" ht="18.75" customHeight="1">
      <c r="A186" s="73">
        <v>2024</v>
      </c>
      <c r="B186" s="112" t="s">
        <v>14</v>
      </c>
      <c r="C186" s="36" t="s">
        <v>269</v>
      </c>
      <c r="D186" s="37">
        <v>45558.660403622685</v>
      </c>
      <c r="E186" s="36" t="s">
        <v>57</v>
      </c>
      <c r="F186" s="36" t="s">
        <v>270</v>
      </c>
      <c r="G186" s="36" t="s">
        <v>271</v>
      </c>
      <c r="H186" s="36" t="s">
        <v>272</v>
      </c>
      <c r="I186" s="36" t="s">
        <v>175</v>
      </c>
      <c r="J186" s="36" t="s">
        <v>273</v>
      </c>
      <c r="K186" s="36" t="s">
        <v>177</v>
      </c>
      <c r="L186" s="74">
        <f>VLOOKUP(E186,Diccionario!C$2:AC$150,22,0)</f>
        <v>792295683</v>
      </c>
      <c r="M186" s="75">
        <f>VLOOKUP(E186,Diccionario!C$2:AC$150,24,0)</f>
        <v>45537</v>
      </c>
      <c r="N186" s="76">
        <f>VLOOKUP(E186,Diccionario!C$2:AC$150,25,0)</f>
        <v>45838</v>
      </c>
      <c r="O186" s="77">
        <f>VLOOKUP(E186,Diccionario!C$2:AC$150,26,0)</f>
        <v>9.93</v>
      </c>
      <c r="P186" s="77">
        <f t="shared" si="86"/>
        <v>-4.93</v>
      </c>
      <c r="Q186" s="78">
        <v>5</v>
      </c>
      <c r="R186" s="36">
        <v>10</v>
      </c>
      <c r="S186" s="86">
        <v>0.5</v>
      </c>
      <c r="T186" s="86">
        <v>0.5</v>
      </c>
      <c r="U186" s="82">
        <v>70981569</v>
      </c>
      <c r="V186" s="82">
        <v>70981569</v>
      </c>
      <c r="W186" s="82">
        <f t="shared" si="50"/>
        <v>396147841.5</v>
      </c>
      <c r="X186" s="82">
        <f t="shared" si="81"/>
        <v>396147841.5</v>
      </c>
      <c r="Y186" s="82">
        <f t="shared" si="51"/>
        <v>325166272.5</v>
      </c>
      <c r="Z186" s="82">
        <f t="shared" si="82"/>
        <v>0</v>
      </c>
      <c r="AA186" s="83">
        <f t="shared" si="85"/>
        <v>5.5809958427377113</v>
      </c>
      <c r="AB186" s="84" t="str">
        <f t="shared" si="83"/>
        <v>Costo eficiente: se está gastando menos de lo presupuestado</v>
      </c>
      <c r="AC186" s="84">
        <f t="shared" si="52"/>
        <v>1</v>
      </c>
      <c r="AD186" s="84" t="str">
        <f t="shared" si="84"/>
        <v>Proyecto a tiempo según lo planificado</v>
      </c>
      <c r="AE186" s="85">
        <f t="shared" si="53"/>
        <v>141963138</v>
      </c>
      <c r="AF186" s="85">
        <f t="shared" si="54"/>
        <v>-650332545</v>
      </c>
      <c r="AG186" s="40" t="str">
        <f>VLOOKUP(Indicador!E186,Diccionario!C$1:AC$150,27,0)</f>
        <v>https://growdatasas.sharepoint.com/:x:/r/sites/Gestiondocumental/Administrativa/GD/Financiera/_layouts/15/Doc.aspx?sourcedoc=%7BE250AEF5-F247-458E-91D3-6BE23701DF39%7D&amp;file=RUNT%20CONTENEDORES%20ESTRATEGICOS%20V5.xlsm&amp;action=default&amp;mobileredirect=true</v>
      </c>
      <c r="AH186" s="40">
        <v>1</v>
      </c>
      <c r="AI186" s="40">
        <v>1</v>
      </c>
    </row>
    <row r="187" spans="1:35" ht="18.75" customHeight="1">
      <c r="A187" s="73">
        <v>2024</v>
      </c>
      <c r="B187" s="112" t="s">
        <v>22</v>
      </c>
      <c r="C187" s="36" t="s">
        <v>269</v>
      </c>
      <c r="D187" s="37">
        <v>45558.660403622685</v>
      </c>
      <c r="E187" s="36" t="s">
        <v>57</v>
      </c>
      <c r="F187" s="36" t="s">
        <v>270</v>
      </c>
      <c r="G187" s="36" t="s">
        <v>271</v>
      </c>
      <c r="H187" s="36" t="s">
        <v>272</v>
      </c>
      <c r="I187" s="36" t="s">
        <v>175</v>
      </c>
      <c r="J187" s="36" t="s">
        <v>273</v>
      </c>
      <c r="K187" s="36" t="s">
        <v>177</v>
      </c>
      <c r="L187" s="74">
        <f>VLOOKUP(E187,Diccionario!C$2:AC$150,22,0)</f>
        <v>792295683</v>
      </c>
      <c r="M187" s="75">
        <f>VLOOKUP(E187,Diccionario!C$2:AC$150,24,0)</f>
        <v>45537</v>
      </c>
      <c r="N187" s="76">
        <f>VLOOKUP(E187,Diccionario!C$2:AC$150,25,0)</f>
        <v>45838</v>
      </c>
      <c r="O187" s="77">
        <f>VLOOKUP(E187,Diccionario!C$2:AC$150,26,0)</f>
        <v>9.93</v>
      </c>
      <c r="P187" s="77">
        <f t="shared" si="86"/>
        <v>-3.9299999999999997</v>
      </c>
      <c r="Q187" s="78">
        <v>6</v>
      </c>
      <c r="R187" s="36">
        <v>10</v>
      </c>
      <c r="S187" s="86">
        <v>0.6</v>
      </c>
      <c r="T187" s="86">
        <v>0.6</v>
      </c>
      <c r="U187" s="82">
        <v>70981569</v>
      </c>
      <c r="V187" s="82">
        <v>70981569</v>
      </c>
      <c r="W187" s="82">
        <f t="shared" si="50"/>
        <v>475377409.80000001</v>
      </c>
      <c r="X187" s="82">
        <f t="shared" si="81"/>
        <v>475377409.80000001</v>
      </c>
      <c r="Y187" s="82">
        <f t="shared" si="51"/>
        <v>404395840.80000001</v>
      </c>
      <c r="Z187" s="82">
        <f t="shared" si="82"/>
        <v>0</v>
      </c>
      <c r="AA187" s="83">
        <f t="shared" si="85"/>
        <v>6.6971950112852534</v>
      </c>
      <c r="AB187" s="84" t="str">
        <f t="shared" si="83"/>
        <v>Costo eficiente: se está gastando menos de lo presupuestado</v>
      </c>
      <c r="AC187" s="84">
        <f t="shared" si="52"/>
        <v>1</v>
      </c>
      <c r="AD187" s="84" t="str">
        <f t="shared" si="84"/>
        <v>Proyecto a tiempo según lo planificado</v>
      </c>
      <c r="AE187" s="85">
        <f t="shared" si="53"/>
        <v>118302615</v>
      </c>
      <c r="AF187" s="85">
        <f t="shared" si="54"/>
        <v>-673993068</v>
      </c>
      <c r="AG187" s="40" t="str">
        <f>VLOOKUP(Indicador!E187,Diccionario!C$1:AC$150,27,0)</f>
        <v>https://growdatasas.sharepoint.com/:x:/r/sites/Gestiondocumental/Administrativa/GD/Financiera/_layouts/15/Doc.aspx?sourcedoc=%7BE250AEF5-F247-458E-91D3-6BE23701DF39%7D&amp;file=RUNT%20CONTENEDORES%20ESTRATEGICOS%20V5.xlsm&amp;action=default&amp;mobileredirect=true</v>
      </c>
      <c r="AH187" s="40">
        <v>1</v>
      </c>
      <c r="AI187" s="40">
        <v>1</v>
      </c>
    </row>
    <row r="188" spans="1:35" ht="18.75" customHeight="1">
      <c r="A188" s="73">
        <v>2024</v>
      </c>
      <c r="B188" s="112" t="s">
        <v>24</v>
      </c>
      <c r="C188" s="36" t="s">
        <v>269</v>
      </c>
      <c r="D188" s="37">
        <v>45558.660403622685</v>
      </c>
      <c r="E188" s="36" t="s">
        <v>57</v>
      </c>
      <c r="F188" s="36" t="s">
        <v>270</v>
      </c>
      <c r="G188" s="36" t="s">
        <v>271</v>
      </c>
      <c r="H188" s="36" t="s">
        <v>272</v>
      </c>
      <c r="I188" s="36" t="s">
        <v>175</v>
      </c>
      <c r="J188" s="36" t="s">
        <v>273</v>
      </c>
      <c r="K188" s="36" t="s">
        <v>177</v>
      </c>
      <c r="L188" s="74">
        <f>VLOOKUP(E188,Diccionario!C$2:AC$150,22,0)</f>
        <v>792295683</v>
      </c>
      <c r="M188" s="75">
        <f>VLOOKUP(E188,Diccionario!C$2:AC$150,24,0)</f>
        <v>45537</v>
      </c>
      <c r="N188" s="76">
        <f>VLOOKUP(E188,Diccionario!C$2:AC$150,25,0)</f>
        <v>45838</v>
      </c>
      <c r="O188" s="77">
        <f>VLOOKUP(E188,Diccionario!C$2:AC$150,26,0)</f>
        <v>9.93</v>
      </c>
      <c r="P188" s="77">
        <f t="shared" si="86"/>
        <v>-2.9299999999999997</v>
      </c>
      <c r="Q188" s="78">
        <v>7</v>
      </c>
      <c r="R188" s="36">
        <v>10</v>
      </c>
      <c r="S188" s="86">
        <v>0.7</v>
      </c>
      <c r="T188" s="86">
        <v>0.7</v>
      </c>
      <c r="U188" s="82">
        <v>70981569</v>
      </c>
      <c r="V188" s="82">
        <v>70981569</v>
      </c>
      <c r="W188" s="82">
        <f t="shared" si="50"/>
        <v>554606978.10000002</v>
      </c>
      <c r="X188" s="82">
        <f t="shared" si="81"/>
        <v>554606978.10000002</v>
      </c>
      <c r="Y188" s="82">
        <f t="shared" si="51"/>
        <v>483625409.10000002</v>
      </c>
      <c r="Z188" s="82">
        <f t="shared" si="82"/>
        <v>0</v>
      </c>
      <c r="AA188" s="83">
        <f t="shared" si="85"/>
        <v>7.8133941798327964</v>
      </c>
      <c r="AB188" s="84" t="str">
        <f t="shared" si="83"/>
        <v>Costo eficiente: se está gastando menos de lo presupuestado</v>
      </c>
      <c r="AC188" s="84">
        <f t="shared" si="52"/>
        <v>1</v>
      </c>
      <c r="AD188" s="84" t="str">
        <f t="shared" si="84"/>
        <v>Proyecto a tiempo según lo planificado</v>
      </c>
      <c r="AE188" s="85">
        <f t="shared" si="53"/>
        <v>101402241.42857142</v>
      </c>
      <c r="AF188" s="85">
        <f t="shared" si="54"/>
        <v>-690893441.57142854</v>
      </c>
      <c r="AG188" s="40" t="str">
        <f>VLOOKUP(Indicador!E188,Diccionario!C$1:AC$150,27,0)</f>
        <v>https://growdatasas.sharepoint.com/:x:/r/sites/Gestiondocumental/Administrativa/GD/Financiera/_layouts/15/Doc.aspx?sourcedoc=%7BE250AEF5-F247-458E-91D3-6BE23701DF39%7D&amp;file=RUNT%20CONTENEDORES%20ESTRATEGICOS%20V5.xlsm&amp;action=default&amp;mobileredirect=true</v>
      </c>
      <c r="AH188" s="40">
        <v>1</v>
      </c>
      <c r="AI188" s="40">
        <v>1</v>
      </c>
    </row>
    <row r="189" spans="1:35" ht="18.75" customHeight="1">
      <c r="A189" s="73">
        <v>2024</v>
      </c>
      <c r="B189" s="112" t="s">
        <v>27</v>
      </c>
      <c r="C189" s="36" t="s">
        <v>269</v>
      </c>
      <c r="D189" s="37">
        <v>45558.660403622685</v>
      </c>
      <c r="E189" s="36" t="s">
        <v>57</v>
      </c>
      <c r="F189" s="36" t="s">
        <v>270</v>
      </c>
      <c r="G189" s="36" t="s">
        <v>271</v>
      </c>
      <c r="H189" s="36" t="s">
        <v>272</v>
      </c>
      <c r="I189" s="36" t="s">
        <v>175</v>
      </c>
      <c r="J189" s="36" t="s">
        <v>273</v>
      </c>
      <c r="K189" s="36" t="s">
        <v>177</v>
      </c>
      <c r="L189" s="74">
        <f>VLOOKUP(E189,Diccionario!C$2:AC$150,22,0)</f>
        <v>792295683</v>
      </c>
      <c r="M189" s="75">
        <f>VLOOKUP(E189,Diccionario!C$2:AC$150,24,0)</f>
        <v>45537</v>
      </c>
      <c r="N189" s="76">
        <f>VLOOKUP(E189,Diccionario!C$2:AC$150,25,0)</f>
        <v>45838</v>
      </c>
      <c r="O189" s="77">
        <f>VLOOKUP(E189,Diccionario!C$2:AC$150,26,0)</f>
        <v>9.93</v>
      </c>
      <c r="P189" s="77">
        <f t="shared" si="86"/>
        <v>-1.9299999999999997</v>
      </c>
      <c r="Q189" s="78">
        <v>8</v>
      </c>
      <c r="R189" s="36">
        <v>10</v>
      </c>
      <c r="S189" s="86">
        <v>0.8</v>
      </c>
      <c r="T189" s="86">
        <v>0.8</v>
      </c>
      <c r="U189" s="82">
        <v>184166667</v>
      </c>
      <c r="V189" s="82">
        <v>184166667</v>
      </c>
      <c r="W189" s="82">
        <f t="shared" si="50"/>
        <v>633836546.39999998</v>
      </c>
      <c r="X189" s="82">
        <f t="shared" si="81"/>
        <v>633836546.39999998</v>
      </c>
      <c r="Y189" s="82">
        <f t="shared" si="51"/>
        <v>449669879.39999998</v>
      </c>
      <c r="Z189" s="82">
        <f t="shared" si="82"/>
        <v>0</v>
      </c>
      <c r="AA189" s="83">
        <f t="shared" si="85"/>
        <v>3.441646399562631</v>
      </c>
      <c r="AB189" s="84" t="str">
        <f t="shared" si="83"/>
        <v>Costo eficiente: se está gastando menos de lo presupuestado</v>
      </c>
      <c r="AC189" s="84">
        <f t="shared" si="52"/>
        <v>1</v>
      </c>
      <c r="AD189" s="84" t="str">
        <f t="shared" si="84"/>
        <v>Proyecto a tiempo según lo planificado</v>
      </c>
      <c r="AE189" s="85">
        <f t="shared" si="53"/>
        <v>230208333.75</v>
      </c>
      <c r="AF189" s="85">
        <f t="shared" si="54"/>
        <v>-562087349.25</v>
      </c>
      <c r="AG189" s="40" t="str">
        <f>VLOOKUP(Indicador!E189,Diccionario!C$1:AC$150,27,0)</f>
        <v>https://growdatasas.sharepoint.com/:x:/r/sites/Gestiondocumental/Administrativa/GD/Financiera/_layouts/15/Doc.aspx?sourcedoc=%7BE250AEF5-F247-458E-91D3-6BE23701DF39%7D&amp;file=RUNT%20CONTENEDORES%20ESTRATEGICOS%20V5.xlsm&amp;action=default&amp;mobileredirect=true</v>
      </c>
      <c r="AH189" s="40">
        <v>1</v>
      </c>
      <c r="AI189" s="40">
        <v>1</v>
      </c>
    </row>
    <row r="190" spans="1:35" ht="18.75" customHeight="1">
      <c r="A190" s="73">
        <v>2024</v>
      </c>
      <c r="B190" s="112" t="s">
        <v>13</v>
      </c>
      <c r="C190" s="36" t="s">
        <v>269</v>
      </c>
      <c r="D190" s="37">
        <v>45558.660403622685</v>
      </c>
      <c r="E190" s="36" t="s">
        <v>57</v>
      </c>
      <c r="F190" s="36" t="s">
        <v>270</v>
      </c>
      <c r="G190" s="36" t="s">
        <v>271</v>
      </c>
      <c r="H190" s="36" t="s">
        <v>272</v>
      </c>
      <c r="I190" s="36" t="s">
        <v>175</v>
      </c>
      <c r="J190" s="36" t="s">
        <v>273</v>
      </c>
      <c r="K190" s="36" t="s">
        <v>177</v>
      </c>
      <c r="L190" s="74">
        <f>VLOOKUP(E190,Diccionario!C$2:AC$150,22,0)</f>
        <v>792295683</v>
      </c>
      <c r="M190" s="75">
        <f>VLOOKUP(E190,Diccionario!C$2:AC$150,24,0)</f>
        <v>45537</v>
      </c>
      <c r="N190" s="76">
        <f>VLOOKUP(E190,Diccionario!C$2:AC$150,25,0)</f>
        <v>45838</v>
      </c>
      <c r="O190" s="77">
        <f>VLOOKUP(E190,Diccionario!C$2:AC$150,26,0)</f>
        <v>9.93</v>
      </c>
      <c r="P190" s="77">
        <f t="shared" si="86"/>
        <v>-0.92999999999999972</v>
      </c>
      <c r="Q190" s="78">
        <v>9</v>
      </c>
      <c r="R190" s="36">
        <v>10</v>
      </c>
      <c r="S190" s="86">
        <v>0.9</v>
      </c>
      <c r="T190" s="86">
        <v>0.9</v>
      </c>
      <c r="U190" s="82" t="s">
        <v>274</v>
      </c>
      <c r="V190" s="82" t="s">
        <v>274</v>
      </c>
      <c r="W190" s="82">
        <f t="shared" si="50"/>
        <v>713066114.70000005</v>
      </c>
      <c r="X190" s="82">
        <f t="shared" si="81"/>
        <v>713066114.70000005</v>
      </c>
      <c r="Y190" s="82">
        <f t="shared" si="51"/>
        <v>0</v>
      </c>
      <c r="Z190" s="82">
        <f t="shared" si="82"/>
        <v>0</v>
      </c>
      <c r="AA190" s="83" t="str">
        <f t="shared" si="85"/>
        <v>No se realizó gasto en este corte</v>
      </c>
      <c r="AB190" s="84" t="str">
        <f t="shared" si="83"/>
        <v>Costo eficiente: se está gastando menos de lo presupuestado</v>
      </c>
      <c r="AC190" s="84">
        <f t="shared" si="52"/>
        <v>1</v>
      </c>
      <c r="AD190" s="84" t="str">
        <f t="shared" si="84"/>
        <v>Proyecto a tiempo según lo planificado</v>
      </c>
      <c r="AE190" s="85">
        <f t="shared" si="53"/>
        <v>0</v>
      </c>
      <c r="AF190" s="85">
        <f t="shared" si="54"/>
        <v>-792295683</v>
      </c>
      <c r="AG190" s="40" t="str">
        <f>VLOOKUP(Indicador!E190,Diccionario!C$1:AC$150,27,0)</f>
        <v>https://growdatasas.sharepoint.com/:x:/r/sites/Gestiondocumental/Administrativa/GD/Financiera/_layouts/15/Doc.aspx?sourcedoc=%7BE250AEF5-F247-458E-91D3-6BE23701DF39%7D&amp;file=RUNT%20CONTENEDORES%20ESTRATEGICOS%20V5.xlsm&amp;action=default&amp;mobileredirect=true</v>
      </c>
      <c r="AH190" s="40">
        <v>1</v>
      </c>
      <c r="AI190" s="40">
        <v>1</v>
      </c>
    </row>
    <row r="191" spans="1:35" ht="18.75" customHeight="1">
      <c r="A191" s="73">
        <v>2024</v>
      </c>
      <c r="B191" s="112" t="s">
        <v>21</v>
      </c>
      <c r="C191" s="36" t="s">
        <v>269</v>
      </c>
      <c r="D191" s="37">
        <v>45558.660403622685</v>
      </c>
      <c r="E191" s="36" t="s">
        <v>57</v>
      </c>
      <c r="F191" s="36" t="s">
        <v>270</v>
      </c>
      <c r="G191" s="36" t="s">
        <v>271</v>
      </c>
      <c r="H191" s="36" t="s">
        <v>272</v>
      </c>
      <c r="I191" s="36" t="s">
        <v>175</v>
      </c>
      <c r="J191" s="36" t="s">
        <v>273</v>
      </c>
      <c r="K191" s="36" t="s">
        <v>177</v>
      </c>
      <c r="L191" s="74">
        <f>VLOOKUP(E191,Diccionario!C$2:AC$150,22,0)</f>
        <v>792295683</v>
      </c>
      <c r="M191" s="75">
        <f>VLOOKUP(E191,Diccionario!C$2:AC$150,24,0)</f>
        <v>45537</v>
      </c>
      <c r="N191" s="76">
        <f>VLOOKUP(E191,Diccionario!C$2:AC$150,25,0)</f>
        <v>45838</v>
      </c>
      <c r="O191" s="77">
        <f>VLOOKUP(E191,Diccionario!C$2:AC$150,26,0)</f>
        <v>9.93</v>
      </c>
      <c r="P191" s="77">
        <f t="shared" si="86"/>
        <v>7.0000000000000284E-2</v>
      </c>
      <c r="Q191" s="78">
        <v>10</v>
      </c>
      <c r="R191" s="36">
        <v>10</v>
      </c>
      <c r="S191" s="86">
        <v>1</v>
      </c>
      <c r="T191" s="86">
        <v>1</v>
      </c>
      <c r="U191" s="82" t="s">
        <v>274</v>
      </c>
      <c r="V191" s="82" t="s">
        <v>274</v>
      </c>
      <c r="W191" s="82">
        <f t="shared" si="50"/>
        <v>792295683</v>
      </c>
      <c r="X191" s="82">
        <f t="shared" si="81"/>
        <v>792295683</v>
      </c>
      <c r="Y191" s="82">
        <f t="shared" si="51"/>
        <v>0</v>
      </c>
      <c r="Z191" s="82">
        <f t="shared" si="82"/>
        <v>0</v>
      </c>
      <c r="AA191" s="83" t="str">
        <f t="shared" si="85"/>
        <v>No se realizó gasto en este corte</v>
      </c>
      <c r="AB191" s="84" t="str">
        <f t="shared" si="83"/>
        <v>Costo eficiente: se está gastando menos de lo presupuestado</v>
      </c>
      <c r="AC191" s="84">
        <f t="shared" si="52"/>
        <v>1</v>
      </c>
      <c r="AD191" s="84" t="str">
        <f t="shared" si="84"/>
        <v>Proyecto a tiempo según lo planificado</v>
      </c>
      <c r="AE191" s="85">
        <f t="shared" si="53"/>
        <v>0</v>
      </c>
      <c r="AF191" s="85">
        <f t="shared" si="54"/>
        <v>-792295683</v>
      </c>
      <c r="AG191" s="40" t="str">
        <f>VLOOKUP(Indicador!E191,Diccionario!C$1:AC$150,27,0)</f>
        <v>https://growdatasas.sharepoint.com/:x:/r/sites/Gestiondocumental/Administrativa/GD/Financiera/_layouts/15/Doc.aspx?sourcedoc=%7BE250AEF5-F247-458E-91D3-6BE23701DF39%7D&amp;file=RUNT%20CONTENEDORES%20ESTRATEGICOS%20V5.xlsm&amp;action=default&amp;mobileredirect=true</v>
      </c>
      <c r="AH191" s="40">
        <v>1</v>
      </c>
      <c r="AI191" s="40">
        <v>1</v>
      </c>
    </row>
    <row r="192" spans="1:35" ht="18.75" customHeight="1">
      <c r="A192" s="73">
        <v>2024</v>
      </c>
      <c r="B192" s="112" t="s">
        <v>28</v>
      </c>
      <c r="C192" s="36" t="s">
        <v>275</v>
      </c>
      <c r="D192" s="37">
        <v>45560.598662847224</v>
      </c>
      <c r="E192" s="36" t="s">
        <v>37</v>
      </c>
      <c r="F192" s="36" t="s">
        <v>276</v>
      </c>
      <c r="G192" s="36" t="s">
        <v>277</v>
      </c>
      <c r="H192" s="36" t="s">
        <v>278</v>
      </c>
      <c r="I192" s="36" t="s">
        <v>152</v>
      </c>
      <c r="J192" s="36" t="s">
        <v>279</v>
      </c>
      <c r="K192" s="36" t="s">
        <v>177</v>
      </c>
      <c r="L192" s="74">
        <f>VLOOKUP(E192,Diccionario!C$2:AC$150,22,0)</f>
        <v>5767590996</v>
      </c>
      <c r="M192" s="75">
        <f>VLOOKUP(E192,Diccionario!C$2:AC$150,24,0)</f>
        <v>45559</v>
      </c>
      <c r="N192" s="76">
        <f>VLOOKUP(E192,Diccionario!C$2:AC$150,25,0)</f>
        <v>45626</v>
      </c>
      <c r="O192" s="77">
        <f>VLOOKUP(E192,Diccionario!C$2:AC$150,26,0)</f>
        <v>2.2000000000000002</v>
      </c>
      <c r="P192" s="77">
        <f t="shared" si="86"/>
        <v>-1.2000000000000002</v>
      </c>
      <c r="Q192" s="78">
        <v>1</v>
      </c>
      <c r="R192" s="36">
        <v>14</v>
      </c>
      <c r="S192" s="86">
        <v>0.1</v>
      </c>
      <c r="T192" s="86">
        <v>0.1</v>
      </c>
      <c r="U192" s="82" t="s">
        <v>268</v>
      </c>
      <c r="V192" s="82" t="s">
        <v>268</v>
      </c>
      <c r="W192" s="82">
        <f t="shared" si="50"/>
        <v>576759099.60000002</v>
      </c>
      <c r="X192" s="82">
        <f t="shared" si="81"/>
        <v>576759099.60000002</v>
      </c>
      <c r="Y192" s="82">
        <f t="shared" si="51"/>
        <v>0</v>
      </c>
      <c r="Z192" s="82">
        <f t="shared" si="82"/>
        <v>0</v>
      </c>
      <c r="AA192" s="83" t="str">
        <f t="shared" si="85"/>
        <v>No se realizó gasto en este corte</v>
      </c>
      <c r="AB192" s="84" t="str">
        <f t="shared" si="83"/>
        <v>Costo eficiente: se está gastando menos de lo presupuestado</v>
      </c>
      <c r="AC192" s="84">
        <f t="shared" si="52"/>
        <v>1</v>
      </c>
      <c r="AD192" s="84" t="str">
        <f t="shared" si="84"/>
        <v>Proyecto a tiempo según lo planificado</v>
      </c>
      <c r="AE192" s="85">
        <f t="shared" si="53"/>
        <v>0</v>
      </c>
      <c r="AF192" s="85">
        <f t="shared" si="54"/>
        <v>-5767590996</v>
      </c>
      <c r="AG192" s="40" t="str">
        <f>VLOOKUP(Indicador!E192,Diccionario!C$1:AC$150,27,0)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2" s="40">
        <v>1</v>
      </c>
      <c r="AI192" s="40">
        <v>1</v>
      </c>
    </row>
    <row r="193" spans="1:35" ht="18.75" customHeight="1">
      <c r="A193" s="73">
        <v>2024</v>
      </c>
      <c r="B193" s="112" t="s">
        <v>30</v>
      </c>
      <c r="C193" s="36" t="s">
        <v>275</v>
      </c>
      <c r="D193" s="37">
        <v>45560.598662847224</v>
      </c>
      <c r="E193" s="36" t="s">
        <v>37</v>
      </c>
      <c r="F193" s="36" t="s">
        <v>276</v>
      </c>
      <c r="G193" s="36" t="s">
        <v>277</v>
      </c>
      <c r="H193" s="36" t="s">
        <v>278</v>
      </c>
      <c r="I193" s="36" t="s">
        <v>152</v>
      </c>
      <c r="J193" s="36" t="s">
        <v>279</v>
      </c>
      <c r="K193" s="36" t="s">
        <v>177</v>
      </c>
      <c r="L193" s="74">
        <f>VLOOKUP(E193,Diccionario!C$2:AC$150,22,0)</f>
        <v>5767590996</v>
      </c>
      <c r="M193" s="75">
        <f>VLOOKUP(E193,Diccionario!C$2:AC$150,24,0)</f>
        <v>45559</v>
      </c>
      <c r="N193" s="76">
        <f>VLOOKUP(E193,Diccionario!C$2:AC$150,25,0)</f>
        <v>45626</v>
      </c>
      <c r="O193" s="77">
        <f>VLOOKUP(E193,Diccionario!C$2:AC$150,26,0)</f>
        <v>2.2000000000000002</v>
      </c>
      <c r="P193" s="77">
        <f t="shared" si="86"/>
        <v>-0.20000000000000018</v>
      </c>
      <c r="Q193" s="78">
        <v>2</v>
      </c>
      <c r="R193" s="36">
        <v>14</v>
      </c>
      <c r="S193" s="86">
        <v>0.15</v>
      </c>
      <c r="T193" s="86">
        <v>0.15</v>
      </c>
      <c r="U193" s="82">
        <v>-111620831</v>
      </c>
      <c r="V193" s="82">
        <v>-111620831</v>
      </c>
      <c r="W193" s="82">
        <f t="shared" si="50"/>
        <v>865138649.39999998</v>
      </c>
      <c r="X193" s="82">
        <f t="shared" si="81"/>
        <v>865138649.39999998</v>
      </c>
      <c r="Y193" s="82">
        <f t="shared" si="51"/>
        <v>976759480.39999998</v>
      </c>
      <c r="Z193" s="82">
        <f t="shared" si="82"/>
        <v>0</v>
      </c>
      <c r="AA193" s="83">
        <f t="shared" si="85"/>
        <v>-7.7506917091488052</v>
      </c>
      <c r="AB193" s="84" t="str">
        <f t="shared" si="83"/>
        <v>Costo ineficiente: se está gastando más de lo presupuestado</v>
      </c>
      <c r="AC193" s="84">
        <f t="shared" si="52"/>
        <v>1</v>
      </c>
      <c r="AD193" s="84" t="str">
        <f t="shared" si="84"/>
        <v>Proyecto a tiempo según lo planificado</v>
      </c>
      <c r="AE193" s="85">
        <f t="shared" si="53"/>
        <v>-744138873.33333337</v>
      </c>
      <c r="AF193" s="85">
        <f t="shared" si="54"/>
        <v>-6511729869.333333</v>
      </c>
      <c r="AG193" s="40" t="str">
        <f>VLOOKUP(Indicador!E193,Diccionario!C$1:AC$150,27,0)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3" s="40">
        <v>1</v>
      </c>
      <c r="AI193" s="40">
        <v>1</v>
      </c>
    </row>
    <row r="194" spans="1:35" ht="18.75" customHeight="1">
      <c r="A194" s="73">
        <v>2024</v>
      </c>
      <c r="B194" s="112" t="s">
        <v>31</v>
      </c>
      <c r="C194" s="36" t="s">
        <v>275</v>
      </c>
      <c r="D194" s="37">
        <v>45560.598662847224</v>
      </c>
      <c r="E194" s="36" t="s">
        <v>37</v>
      </c>
      <c r="F194" s="36" t="s">
        <v>276</v>
      </c>
      <c r="G194" s="36" t="s">
        <v>277</v>
      </c>
      <c r="H194" s="36" t="s">
        <v>278</v>
      </c>
      <c r="I194" s="36" t="s">
        <v>152</v>
      </c>
      <c r="J194" s="36" t="s">
        <v>279</v>
      </c>
      <c r="K194" s="36" t="s">
        <v>177</v>
      </c>
      <c r="L194" s="74">
        <f>VLOOKUP(E194,Diccionario!C$2:AC$150,22,0)</f>
        <v>5767590996</v>
      </c>
      <c r="M194" s="75">
        <f>VLOOKUP(E194,Diccionario!C$2:AC$150,24,0)</f>
        <v>45559</v>
      </c>
      <c r="N194" s="76">
        <f>VLOOKUP(E194,Diccionario!C$2:AC$150,25,0)</f>
        <v>45626</v>
      </c>
      <c r="O194" s="77">
        <f>VLOOKUP(E194,Diccionario!C$2:AC$150,26,0)</f>
        <v>2.2000000000000002</v>
      </c>
      <c r="P194" s="77">
        <f t="shared" si="86"/>
        <v>0.79999999999999982</v>
      </c>
      <c r="Q194" s="78">
        <v>3</v>
      </c>
      <c r="R194" s="36">
        <v>14</v>
      </c>
      <c r="S194" s="86">
        <v>0.2</v>
      </c>
      <c r="T194" s="86">
        <v>0.2</v>
      </c>
      <c r="U194" s="82">
        <v>-579756076</v>
      </c>
      <c r="V194" s="82">
        <v>-579756076</v>
      </c>
      <c r="W194" s="82">
        <f t="shared" ref="W194:W257" si="87">IFERROR(T194*L194,0)</f>
        <v>1153518199.2</v>
      </c>
      <c r="X194" s="82">
        <f t="shared" si="81"/>
        <v>1153518199.2</v>
      </c>
      <c r="Y194" s="82">
        <f t="shared" ref="Y194:Y257" si="88">IFERROR(W194-U194,0)</f>
        <v>1733274275.2</v>
      </c>
      <c r="Z194" s="82">
        <f t="shared" si="82"/>
        <v>0</v>
      </c>
      <c r="AA194" s="83">
        <f t="shared" si="85"/>
        <v>-1.98966125057049</v>
      </c>
      <c r="AB194" s="84" t="str">
        <f t="shared" si="83"/>
        <v>Costo ineficiente: se está gastando más de lo presupuestado</v>
      </c>
      <c r="AC194" s="84">
        <f t="shared" ref="AC194:AC257" si="89">IFERROR(W194/X194,0)</f>
        <v>1</v>
      </c>
      <c r="AD194" s="84" t="str">
        <f t="shared" si="84"/>
        <v>Proyecto a tiempo según lo planificado</v>
      </c>
      <c r="AE194" s="85">
        <f t="shared" ref="AE194:AE257" si="90">IFERROR(L194/AA194,0)</f>
        <v>-2898780380</v>
      </c>
      <c r="AF194" s="85">
        <f t="shared" ref="AF194:AF257" si="91">IFERROR(AE194-L194,0)</f>
        <v>-8666371376</v>
      </c>
      <c r="AG194" s="40" t="str">
        <f>VLOOKUP(Indicador!E194,Diccionario!C$1:AC$150,27,0)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4" s="40">
        <v>1</v>
      </c>
      <c r="AI194" s="40">
        <v>1</v>
      </c>
    </row>
    <row r="195" spans="1:35" ht="18.75" customHeight="1">
      <c r="A195" s="73">
        <v>2024</v>
      </c>
      <c r="B195" s="112" t="s">
        <v>32</v>
      </c>
      <c r="C195" s="36" t="s">
        <v>275</v>
      </c>
      <c r="D195" s="37">
        <v>45560.598662847224</v>
      </c>
      <c r="E195" s="36" t="s">
        <v>37</v>
      </c>
      <c r="F195" s="36" t="s">
        <v>276</v>
      </c>
      <c r="G195" s="36" t="s">
        <v>277</v>
      </c>
      <c r="H195" s="36" t="s">
        <v>278</v>
      </c>
      <c r="I195" s="36" t="s">
        <v>152</v>
      </c>
      <c r="J195" s="36" t="s">
        <v>279</v>
      </c>
      <c r="K195" s="36" t="s">
        <v>177</v>
      </c>
      <c r="L195" s="74">
        <f>VLOOKUP(E195,Diccionario!C$2:AC$150,22,0)</f>
        <v>5767590996</v>
      </c>
      <c r="M195" s="75">
        <f>VLOOKUP(E195,Diccionario!C$2:AC$150,24,0)</f>
        <v>45559</v>
      </c>
      <c r="N195" s="76">
        <f>VLOOKUP(E195,Diccionario!C$2:AC$150,25,0)</f>
        <v>45626</v>
      </c>
      <c r="O195" s="77">
        <f>VLOOKUP(E195,Diccionario!C$2:AC$150,26,0)</f>
        <v>2.2000000000000002</v>
      </c>
      <c r="P195" s="77">
        <f t="shared" si="86"/>
        <v>1.7999999999999998</v>
      </c>
      <c r="Q195" s="78">
        <v>4</v>
      </c>
      <c r="R195" s="36">
        <v>14</v>
      </c>
      <c r="S195" s="86">
        <v>0.25</v>
      </c>
      <c r="T195" s="86">
        <v>0.3</v>
      </c>
      <c r="U195" s="82">
        <v>3637640823</v>
      </c>
      <c r="V195" s="82">
        <v>3637640823</v>
      </c>
      <c r="W195" s="82">
        <f t="shared" si="87"/>
        <v>1730277298.8</v>
      </c>
      <c r="X195" s="82">
        <f t="shared" si="81"/>
        <v>1441897749</v>
      </c>
      <c r="Y195" s="82">
        <f t="shared" si="88"/>
        <v>-1907363524.2</v>
      </c>
      <c r="Z195" s="82">
        <f t="shared" si="82"/>
        <v>288379549.79999995</v>
      </c>
      <c r="AA195" s="83">
        <f t="shared" si="85"/>
        <v>0.47565919313964111</v>
      </c>
      <c r="AB195" s="84" t="str">
        <f t="shared" si="83"/>
        <v>Costo ineficiente: se está gastando más de lo presupuestado</v>
      </c>
      <c r="AC195" s="84">
        <f t="shared" si="89"/>
        <v>1.2</v>
      </c>
      <c r="AD195" s="84" t="str">
        <f t="shared" si="84"/>
        <v>Proyecto adelantado respecto al cronograma</v>
      </c>
      <c r="AE195" s="85">
        <f t="shared" si="90"/>
        <v>12125469410</v>
      </c>
      <c r="AF195" s="85">
        <f t="shared" si="91"/>
        <v>6357878414</v>
      </c>
      <c r="AG195" s="40" t="str">
        <f>VLOOKUP(Indicador!E195,Diccionario!C$1:AC$150,27,0)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5" s="40">
        <v>1</v>
      </c>
      <c r="AI195" s="40">
        <v>1</v>
      </c>
    </row>
    <row r="196" spans="1:35" ht="18.75" customHeight="1">
      <c r="A196" s="73">
        <v>2025</v>
      </c>
      <c r="B196" s="112" t="s">
        <v>14</v>
      </c>
      <c r="C196" s="36" t="s">
        <v>275</v>
      </c>
      <c r="D196" s="37">
        <v>45560.598662847224</v>
      </c>
      <c r="E196" s="36" t="s">
        <v>37</v>
      </c>
      <c r="F196" s="36" t="s">
        <v>276</v>
      </c>
      <c r="G196" s="36" t="s">
        <v>277</v>
      </c>
      <c r="H196" s="36" t="s">
        <v>278</v>
      </c>
      <c r="I196" s="36" t="s">
        <v>152</v>
      </c>
      <c r="J196" s="36" t="s">
        <v>279</v>
      </c>
      <c r="K196" s="36" t="s">
        <v>177</v>
      </c>
      <c r="L196" s="74">
        <f>VLOOKUP(E196,Diccionario!C$2:AC$150,22,0)</f>
        <v>5767590996</v>
      </c>
      <c r="M196" s="75">
        <f>VLOOKUP(E196,Diccionario!C$2:AC$150,24,0)</f>
        <v>45559</v>
      </c>
      <c r="N196" s="76">
        <f>VLOOKUP(E196,Diccionario!C$2:AC$150,25,0)</f>
        <v>45626</v>
      </c>
      <c r="O196" s="77">
        <f>VLOOKUP(E196,Diccionario!C$2:AC$150,26,0)</f>
        <v>2.2000000000000002</v>
      </c>
      <c r="P196" s="77">
        <f t="shared" si="86"/>
        <v>2.8</v>
      </c>
      <c r="Q196" s="78">
        <v>5</v>
      </c>
      <c r="R196" s="36">
        <v>14</v>
      </c>
      <c r="S196" s="86">
        <v>0.3</v>
      </c>
      <c r="T196" s="86">
        <v>0.35</v>
      </c>
      <c r="U196" s="82">
        <v>-111620831</v>
      </c>
      <c r="V196" s="82">
        <v>-111620831</v>
      </c>
      <c r="W196" s="82">
        <f t="shared" si="87"/>
        <v>2018656848.5999999</v>
      </c>
      <c r="X196" s="82">
        <f t="shared" si="81"/>
        <v>1730277298.8</v>
      </c>
      <c r="Y196" s="82">
        <f t="shared" si="88"/>
        <v>2130277679.5999999</v>
      </c>
      <c r="Z196" s="82">
        <f t="shared" si="82"/>
        <v>288379549.79999995</v>
      </c>
      <c r="AA196" s="83">
        <f t="shared" si="85"/>
        <v>-18.084947321347212</v>
      </c>
      <c r="AB196" s="84" t="str">
        <f t="shared" si="83"/>
        <v>Costo ineficiente: se está gastando más de lo presupuestado</v>
      </c>
      <c r="AC196" s="84">
        <f t="shared" si="89"/>
        <v>1.1666666666666667</v>
      </c>
      <c r="AD196" s="84" t="str">
        <f t="shared" si="84"/>
        <v>Proyecto adelantado respecto al cronograma</v>
      </c>
      <c r="AE196" s="85">
        <f t="shared" si="90"/>
        <v>-318916660.00000006</v>
      </c>
      <c r="AF196" s="85">
        <f t="shared" si="91"/>
        <v>-6086507656</v>
      </c>
      <c r="AG196" s="40" t="str">
        <f>VLOOKUP(Indicador!E196,Diccionario!C$1:AC$150,27,0)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6" s="40">
        <v>1</v>
      </c>
      <c r="AI196" s="40">
        <v>1</v>
      </c>
    </row>
    <row r="197" spans="1:35" ht="18.75" customHeight="1">
      <c r="A197" s="73">
        <v>2025</v>
      </c>
      <c r="B197" s="112" t="s">
        <v>22</v>
      </c>
      <c r="C197" s="36" t="s">
        <v>275</v>
      </c>
      <c r="D197" s="37">
        <v>45560.598662847224</v>
      </c>
      <c r="E197" s="36" t="s">
        <v>37</v>
      </c>
      <c r="F197" s="36" t="s">
        <v>276</v>
      </c>
      <c r="G197" s="36" t="s">
        <v>277</v>
      </c>
      <c r="H197" s="36" t="s">
        <v>278</v>
      </c>
      <c r="I197" s="36" t="s">
        <v>152</v>
      </c>
      <c r="J197" s="36" t="s">
        <v>279</v>
      </c>
      <c r="K197" s="36" t="s">
        <v>177</v>
      </c>
      <c r="L197" s="74">
        <f>VLOOKUP(E197,Diccionario!C$2:AC$150,22,0)</f>
        <v>5767590996</v>
      </c>
      <c r="M197" s="75">
        <f>VLOOKUP(E197,Diccionario!C$2:AC$150,24,0)</f>
        <v>45559</v>
      </c>
      <c r="N197" s="76">
        <f>VLOOKUP(E197,Diccionario!C$2:AC$150,25,0)</f>
        <v>45626</v>
      </c>
      <c r="O197" s="77">
        <f>VLOOKUP(E197,Diccionario!C$2:AC$150,26,0)</f>
        <v>2.2000000000000002</v>
      </c>
      <c r="P197" s="77">
        <f t="shared" si="86"/>
        <v>3.8</v>
      </c>
      <c r="Q197" s="78">
        <v>6</v>
      </c>
      <c r="R197" s="36">
        <v>14</v>
      </c>
      <c r="S197" s="86">
        <v>0.35</v>
      </c>
      <c r="T197" s="86">
        <v>0.4</v>
      </c>
      <c r="U197" s="82">
        <v>-111620831</v>
      </c>
      <c r="V197" s="82">
        <v>-111620831</v>
      </c>
      <c r="W197" s="82">
        <f t="shared" si="87"/>
        <v>2307036398.4000001</v>
      </c>
      <c r="X197" s="82">
        <f t="shared" si="81"/>
        <v>2018656848.5999999</v>
      </c>
      <c r="Y197" s="82">
        <f t="shared" si="88"/>
        <v>2418657229.4000001</v>
      </c>
      <c r="Z197" s="82">
        <f t="shared" si="82"/>
        <v>288379549.80000019</v>
      </c>
      <c r="AA197" s="83">
        <f t="shared" si="85"/>
        <v>-20.668511224396816</v>
      </c>
      <c r="AB197" s="84" t="str">
        <f t="shared" si="83"/>
        <v>Costo ineficiente: se está gastando más de lo presupuestado</v>
      </c>
      <c r="AC197" s="84">
        <f t="shared" si="89"/>
        <v>1.142857142857143</v>
      </c>
      <c r="AD197" s="84" t="str">
        <f t="shared" si="84"/>
        <v>Proyecto adelantado respecto al cronograma</v>
      </c>
      <c r="AE197" s="85">
        <f t="shared" si="90"/>
        <v>-279052077.5</v>
      </c>
      <c r="AF197" s="85">
        <f t="shared" si="91"/>
        <v>-6046643073.5</v>
      </c>
      <c r="AG197" s="40" t="str">
        <f>VLOOKUP(Indicador!E197,Diccionario!C$1:AC$150,27,0)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7" s="40">
        <v>1</v>
      </c>
      <c r="AI197" s="40">
        <v>1</v>
      </c>
    </row>
    <row r="198" spans="1:35" ht="18.75" customHeight="1">
      <c r="A198" s="73">
        <v>2025</v>
      </c>
      <c r="B198" s="112" t="s">
        <v>24</v>
      </c>
      <c r="C198" s="36" t="s">
        <v>275</v>
      </c>
      <c r="D198" s="37">
        <v>45560.598662847224</v>
      </c>
      <c r="E198" s="36" t="s">
        <v>37</v>
      </c>
      <c r="F198" s="36" t="s">
        <v>276</v>
      </c>
      <c r="G198" s="36" t="s">
        <v>277</v>
      </c>
      <c r="H198" s="36" t="s">
        <v>278</v>
      </c>
      <c r="I198" s="36" t="s">
        <v>152</v>
      </c>
      <c r="J198" s="36" t="s">
        <v>279</v>
      </c>
      <c r="K198" s="36" t="s">
        <v>177</v>
      </c>
      <c r="L198" s="74">
        <f>VLOOKUP(E198,Diccionario!C$2:AC$150,22,0)</f>
        <v>5767590996</v>
      </c>
      <c r="M198" s="75">
        <f>VLOOKUP(E198,Diccionario!C$2:AC$150,24,0)</f>
        <v>45559</v>
      </c>
      <c r="N198" s="76">
        <f>VLOOKUP(E198,Diccionario!C$2:AC$150,25,0)</f>
        <v>45626</v>
      </c>
      <c r="O198" s="77">
        <f>VLOOKUP(E198,Diccionario!C$2:AC$150,26,0)</f>
        <v>2.2000000000000002</v>
      </c>
      <c r="P198" s="77">
        <f t="shared" si="86"/>
        <v>4.8</v>
      </c>
      <c r="Q198" s="78">
        <v>7</v>
      </c>
      <c r="R198" s="36">
        <v>14</v>
      </c>
      <c r="S198" s="86">
        <v>0.4</v>
      </c>
      <c r="T198" s="86">
        <v>0.45</v>
      </c>
      <c r="U198" s="82">
        <v>-111620831</v>
      </c>
      <c r="V198" s="82">
        <v>-111620831</v>
      </c>
      <c r="W198" s="82">
        <f t="shared" si="87"/>
        <v>2595415948.2000003</v>
      </c>
      <c r="X198" s="82">
        <f t="shared" si="81"/>
        <v>2307036398.4000001</v>
      </c>
      <c r="Y198" s="82">
        <f t="shared" si="88"/>
        <v>2707036779.2000003</v>
      </c>
      <c r="Z198" s="82">
        <f t="shared" si="82"/>
        <v>288379549.80000019</v>
      </c>
      <c r="AA198" s="83">
        <f t="shared" si="85"/>
        <v>-23.252075127446421</v>
      </c>
      <c r="AB198" s="84" t="str">
        <f t="shared" si="83"/>
        <v>Costo ineficiente: se está gastando más de lo presupuestado</v>
      </c>
      <c r="AC198" s="84">
        <f t="shared" si="89"/>
        <v>1.125</v>
      </c>
      <c r="AD198" s="84" t="str">
        <f t="shared" si="84"/>
        <v>Proyecto adelantado respecto al cronograma</v>
      </c>
      <c r="AE198" s="85">
        <f t="shared" si="90"/>
        <v>-248046291.11111107</v>
      </c>
      <c r="AF198" s="85">
        <f t="shared" si="91"/>
        <v>-6015637287.1111107</v>
      </c>
      <c r="AG198" s="40" t="str">
        <f>VLOOKUP(Indicador!E198,Diccionario!C$1:AC$150,27,0)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8" s="40">
        <v>1</v>
      </c>
      <c r="AI198" s="40">
        <v>1</v>
      </c>
    </row>
    <row r="199" spans="1:35" ht="18.75" customHeight="1">
      <c r="A199" s="73">
        <v>2025</v>
      </c>
      <c r="B199" s="112" t="s">
        <v>27</v>
      </c>
      <c r="C199" s="36" t="s">
        <v>275</v>
      </c>
      <c r="D199" s="37">
        <v>45560.598662847224</v>
      </c>
      <c r="E199" s="36" t="s">
        <v>37</v>
      </c>
      <c r="F199" s="36" t="s">
        <v>276</v>
      </c>
      <c r="G199" s="36" t="s">
        <v>277</v>
      </c>
      <c r="H199" s="36" t="s">
        <v>278</v>
      </c>
      <c r="I199" s="36" t="s">
        <v>152</v>
      </c>
      <c r="J199" s="36" t="s">
        <v>279</v>
      </c>
      <c r="K199" s="36" t="s">
        <v>177</v>
      </c>
      <c r="L199" s="74">
        <f>VLOOKUP(E199,Diccionario!C$2:AC$150,22,0)</f>
        <v>5767590996</v>
      </c>
      <c r="M199" s="75">
        <f>VLOOKUP(E199,Diccionario!C$2:AC$150,24,0)</f>
        <v>45559</v>
      </c>
      <c r="N199" s="76">
        <f>VLOOKUP(E199,Diccionario!C$2:AC$150,25,0)</f>
        <v>45626</v>
      </c>
      <c r="O199" s="77">
        <f>VLOOKUP(E199,Diccionario!C$2:AC$150,26,0)</f>
        <v>2.2000000000000002</v>
      </c>
      <c r="P199" s="77">
        <f t="shared" si="86"/>
        <v>5.8</v>
      </c>
      <c r="Q199" s="78">
        <v>8</v>
      </c>
      <c r="R199" s="36">
        <v>14</v>
      </c>
      <c r="S199" s="86">
        <v>0.45</v>
      </c>
      <c r="T199" s="86">
        <v>0.5</v>
      </c>
      <c r="U199" s="82">
        <v>-111620831</v>
      </c>
      <c r="V199" s="82">
        <v>-111620831</v>
      </c>
      <c r="W199" s="82">
        <f t="shared" si="87"/>
        <v>2883795498</v>
      </c>
      <c r="X199" s="82">
        <f t="shared" si="81"/>
        <v>2595415948.2000003</v>
      </c>
      <c r="Y199" s="82">
        <f t="shared" si="88"/>
        <v>2995416329</v>
      </c>
      <c r="Z199" s="82">
        <f t="shared" si="82"/>
        <v>288379549.79999971</v>
      </c>
      <c r="AA199" s="83">
        <f t="shared" si="85"/>
        <v>-25.835639030496019</v>
      </c>
      <c r="AB199" s="84" t="str">
        <f t="shared" si="83"/>
        <v>Costo ineficiente: se está gastando más de lo presupuestado</v>
      </c>
      <c r="AC199" s="84">
        <f t="shared" si="89"/>
        <v>1.1111111111111109</v>
      </c>
      <c r="AD199" s="84" t="str">
        <f t="shared" si="84"/>
        <v>Proyecto adelantado respecto al cronograma</v>
      </c>
      <c r="AE199" s="85">
        <f t="shared" si="90"/>
        <v>-223241662</v>
      </c>
      <c r="AF199" s="85">
        <f t="shared" si="91"/>
        <v>-5990832658</v>
      </c>
      <c r="AG199" s="40" t="str">
        <f>VLOOKUP(Indicador!E199,Diccionario!C$1:AC$150,27,0)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199" s="40">
        <v>1</v>
      </c>
      <c r="AI199" s="40">
        <v>1</v>
      </c>
    </row>
    <row r="200" spans="1:35" ht="18.75" customHeight="1">
      <c r="A200" s="73">
        <v>2025</v>
      </c>
      <c r="B200" s="112" t="s">
        <v>13</v>
      </c>
      <c r="C200" s="36" t="s">
        <v>275</v>
      </c>
      <c r="D200" s="37">
        <v>45560.598662847224</v>
      </c>
      <c r="E200" s="36" t="s">
        <v>37</v>
      </c>
      <c r="F200" s="36" t="s">
        <v>276</v>
      </c>
      <c r="G200" s="36" t="s">
        <v>277</v>
      </c>
      <c r="H200" s="36" t="s">
        <v>278</v>
      </c>
      <c r="I200" s="36" t="s">
        <v>152</v>
      </c>
      <c r="J200" s="36" t="s">
        <v>279</v>
      </c>
      <c r="K200" s="36" t="s">
        <v>177</v>
      </c>
      <c r="L200" s="74">
        <f>VLOOKUP(E200,Diccionario!C$2:AC$150,22,0)</f>
        <v>5767590996</v>
      </c>
      <c r="M200" s="75">
        <f>VLOOKUP(E200,Diccionario!C$2:AC$150,24,0)</f>
        <v>45559</v>
      </c>
      <c r="N200" s="76">
        <f>VLOOKUP(E200,Diccionario!C$2:AC$150,25,0)</f>
        <v>45626</v>
      </c>
      <c r="O200" s="77">
        <f>VLOOKUP(E200,Diccionario!C$2:AC$150,26,0)</f>
        <v>2.2000000000000002</v>
      </c>
      <c r="P200" s="77">
        <f t="shared" si="86"/>
        <v>6.8</v>
      </c>
      <c r="Q200" s="78">
        <v>9</v>
      </c>
      <c r="R200" s="36">
        <v>14</v>
      </c>
      <c r="S200" s="86">
        <v>0.5</v>
      </c>
      <c r="T200" s="86">
        <v>0.55000000000000004</v>
      </c>
      <c r="U200" s="82">
        <v>-111620831</v>
      </c>
      <c r="V200" s="82">
        <v>-111620831</v>
      </c>
      <c r="W200" s="82">
        <f t="shared" si="87"/>
        <v>3172175047.8000002</v>
      </c>
      <c r="X200" s="82">
        <f t="shared" ref="X200:X234" si="92">S200*L200</f>
        <v>2883795498</v>
      </c>
      <c r="Y200" s="82">
        <f t="shared" si="88"/>
        <v>3283795878.8000002</v>
      </c>
      <c r="Z200" s="82">
        <f t="shared" ref="Z200:Z234" si="93">W200-X200</f>
        <v>288379549.80000019</v>
      </c>
      <c r="AA200" s="83">
        <f t="shared" si="85"/>
        <v>-28.419202933545623</v>
      </c>
      <c r="AB200" s="84" t="str">
        <f t="shared" ref="AB200:AB231" si="94">IFERROR(
  IF(OR(AA200="",AA200=0),
    "No calculado",
    IF(AA200&gt;1,"Costo eficiente: se está gastando menos de lo presupuestado",
      IF(AA200=1,"Costo según lo presupuestado",
        "Costo ineficiente: se está gastando más de lo presupuestado"))),
"No calculado")</f>
        <v>Costo ineficiente: se está gastando más de lo presupuestado</v>
      </c>
      <c r="AC200" s="84">
        <f t="shared" si="89"/>
        <v>1.1000000000000001</v>
      </c>
      <c r="AD200" s="84" t="str">
        <f t="shared" ref="AD200:AD231" si="95">IF(OR(AC200="",AC200=0),"Sin Línea Base",
IF(AC200&gt;1,"Proyecto adelantado respecto al cronograma",
IF(AC200=1,"Proyecto a tiempo según lo planificado",
IF(AC200&lt;1,"Proyecto atrasado con respecto al cronograma",
"No calculado"))))</f>
        <v>Proyecto adelantado respecto al cronograma</v>
      </c>
      <c r="AE200" s="85">
        <f t="shared" si="90"/>
        <v>-202946965.45454544</v>
      </c>
      <c r="AF200" s="85">
        <f t="shared" si="91"/>
        <v>-5970537961.454545</v>
      </c>
      <c r="AG200" s="40" t="str">
        <f>VLOOKUP(Indicador!E200,Diccionario!C$1:AC$150,27,0)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0" s="40">
        <v>1</v>
      </c>
      <c r="AI200" s="40">
        <v>1</v>
      </c>
    </row>
    <row r="201" spans="1:35" ht="18.75" customHeight="1">
      <c r="A201" s="73">
        <v>2025</v>
      </c>
      <c r="B201" s="112" t="s">
        <v>21</v>
      </c>
      <c r="C201" s="36" t="s">
        <v>275</v>
      </c>
      <c r="D201" s="37">
        <v>45560.598662847224</v>
      </c>
      <c r="E201" s="36" t="s">
        <v>37</v>
      </c>
      <c r="F201" s="36" t="s">
        <v>276</v>
      </c>
      <c r="G201" s="36" t="s">
        <v>277</v>
      </c>
      <c r="H201" s="36" t="s">
        <v>278</v>
      </c>
      <c r="I201" s="36" t="s">
        <v>152</v>
      </c>
      <c r="J201" s="36" t="s">
        <v>279</v>
      </c>
      <c r="K201" s="36" t="s">
        <v>177</v>
      </c>
      <c r="L201" s="74">
        <f>VLOOKUP(E201,Diccionario!C$2:AC$150,22,0)</f>
        <v>5767590996</v>
      </c>
      <c r="M201" s="75">
        <f>VLOOKUP(E201,Diccionario!C$2:AC$150,24,0)</f>
        <v>45559</v>
      </c>
      <c r="N201" s="76">
        <f>VLOOKUP(E201,Diccionario!C$2:AC$150,25,0)</f>
        <v>45626</v>
      </c>
      <c r="O201" s="77">
        <f>VLOOKUP(E201,Diccionario!C$2:AC$150,26,0)</f>
        <v>2.2000000000000002</v>
      </c>
      <c r="P201" s="77">
        <f t="shared" si="86"/>
        <v>7.8</v>
      </c>
      <c r="Q201" s="78">
        <v>10</v>
      </c>
      <c r="R201" s="36">
        <v>14</v>
      </c>
      <c r="S201" s="86">
        <v>0.55000000000000004</v>
      </c>
      <c r="T201" s="86">
        <v>0.6</v>
      </c>
      <c r="U201" s="82">
        <v>-111620831</v>
      </c>
      <c r="V201" s="82">
        <v>-111620831</v>
      </c>
      <c r="W201" s="82">
        <f t="shared" si="87"/>
        <v>3460554597.5999999</v>
      </c>
      <c r="X201" s="82">
        <f t="shared" si="92"/>
        <v>3172175047.8000002</v>
      </c>
      <c r="Y201" s="82">
        <f t="shared" si="88"/>
        <v>3572175428.5999999</v>
      </c>
      <c r="Z201" s="82">
        <f t="shared" si="93"/>
        <v>288379549.79999971</v>
      </c>
      <c r="AA201" s="83">
        <f t="shared" ref="AA201:AA212" si="96">IFERROR(W201/U201,"No se realizó gasto en este corte")</f>
        <v>-31.002766836595221</v>
      </c>
      <c r="AB201" s="84" t="str">
        <f t="shared" si="94"/>
        <v>Costo ineficiente: se está gastando más de lo presupuestado</v>
      </c>
      <c r="AC201" s="84">
        <f t="shared" si="89"/>
        <v>1.0909090909090908</v>
      </c>
      <c r="AD201" s="84" t="str">
        <f t="shared" si="95"/>
        <v>Proyecto adelantado respecto al cronograma</v>
      </c>
      <c r="AE201" s="85">
        <f t="shared" si="90"/>
        <v>-186034718.33333334</v>
      </c>
      <c r="AF201" s="85">
        <f t="shared" si="91"/>
        <v>-5953625714.333333</v>
      </c>
      <c r="AG201" s="40" t="str">
        <f>VLOOKUP(Indicador!E201,Diccionario!C$1:AC$150,27,0)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1" s="40">
        <v>1</v>
      </c>
      <c r="AI201" s="40">
        <v>1</v>
      </c>
    </row>
    <row r="202" spans="1:35" ht="18.75" customHeight="1">
      <c r="A202" s="73">
        <v>2025</v>
      </c>
      <c r="B202" s="112" t="s">
        <v>23</v>
      </c>
      <c r="C202" s="36" t="s">
        <v>275</v>
      </c>
      <c r="D202" s="37">
        <v>45560.598662847224</v>
      </c>
      <c r="E202" s="36" t="s">
        <v>37</v>
      </c>
      <c r="F202" s="36" t="s">
        <v>276</v>
      </c>
      <c r="G202" s="36" t="s">
        <v>277</v>
      </c>
      <c r="H202" s="36" t="s">
        <v>278</v>
      </c>
      <c r="I202" s="36" t="s">
        <v>152</v>
      </c>
      <c r="J202" s="36" t="s">
        <v>279</v>
      </c>
      <c r="K202" s="36" t="s">
        <v>177</v>
      </c>
      <c r="L202" s="74">
        <f>VLOOKUP(E202,Diccionario!C$2:AC$150,22,0)</f>
        <v>5767590996</v>
      </c>
      <c r="M202" s="75">
        <f>VLOOKUP(E202,Diccionario!C$2:AC$150,24,0)</f>
        <v>45559</v>
      </c>
      <c r="N202" s="76">
        <f>VLOOKUP(E202,Diccionario!C$2:AC$150,25,0)</f>
        <v>45626</v>
      </c>
      <c r="O202" s="77">
        <f>VLOOKUP(E202,Diccionario!C$2:AC$150,26,0)</f>
        <v>2.2000000000000002</v>
      </c>
      <c r="P202" s="77">
        <f t="shared" ref="P202:P229" si="97">Q202-O202</f>
        <v>8.8000000000000007</v>
      </c>
      <c r="Q202" s="78">
        <v>11</v>
      </c>
      <c r="R202" s="36">
        <v>14</v>
      </c>
      <c r="S202" s="86">
        <v>0.6</v>
      </c>
      <c r="T202" s="86">
        <v>0.7</v>
      </c>
      <c r="U202" s="82">
        <v>-111620831</v>
      </c>
      <c r="V202" s="82">
        <v>-111620831</v>
      </c>
      <c r="W202" s="82">
        <f t="shared" si="87"/>
        <v>4037313697.1999998</v>
      </c>
      <c r="X202" s="82">
        <f t="shared" si="92"/>
        <v>3460554597.5999999</v>
      </c>
      <c r="Y202" s="82">
        <f t="shared" si="88"/>
        <v>4148934528.1999998</v>
      </c>
      <c r="Z202" s="82">
        <f t="shared" si="93"/>
        <v>576759099.5999999</v>
      </c>
      <c r="AA202" s="83">
        <f t="shared" si="96"/>
        <v>-36.169894642694423</v>
      </c>
      <c r="AB202" s="84" t="str">
        <f t="shared" si="94"/>
        <v>Costo ineficiente: se está gastando más de lo presupuestado</v>
      </c>
      <c r="AC202" s="84">
        <f t="shared" si="89"/>
        <v>1.1666666666666667</v>
      </c>
      <c r="AD202" s="84" t="str">
        <f t="shared" si="95"/>
        <v>Proyecto adelantado respecto al cronograma</v>
      </c>
      <c r="AE202" s="85">
        <f t="shared" si="90"/>
        <v>-159458330.00000003</v>
      </c>
      <c r="AF202" s="85">
        <f t="shared" si="91"/>
        <v>-5927049326</v>
      </c>
      <c r="AG202" s="40" t="str">
        <f>VLOOKUP(Indicador!E202,Diccionario!C$1:AC$150,27,0)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2" s="40">
        <v>1</v>
      </c>
      <c r="AI202" s="40">
        <v>1</v>
      </c>
    </row>
    <row r="203" spans="1:35" ht="18.75" customHeight="1">
      <c r="A203" s="73">
        <v>2025</v>
      </c>
      <c r="B203" s="112" t="s">
        <v>26</v>
      </c>
      <c r="C203" s="36" t="s">
        <v>275</v>
      </c>
      <c r="D203" s="37">
        <v>45560.598662847224</v>
      </c>
      <c r="E203" s="36" t="s">
        <v>37</v>
      </c>
      <c r="F203" s="36" t="s">
        <v>276</v>
      </c>
      <c r="G203" s="36" t="s">
        <v>277</v>
      </c>
      <c r="H203" s="36" t="s">
        <v>278</v>
      </c>
      <c r="I203" s="36" t="s">
        <v>152</v>
      </c>
      <c r="J203" s="36" t="s">
        <v>279</v>
      </c>
      <c r="K203" s="36" t="s">
        <v>177</v>
      </c>
      <c r="L203" s="74">
        <f>VLOOKUP(E203,Diccionario!C$2:AC$150,22,0)</f>
        <v>5767590996</v>
      </c>
      <c r="M203" s="75">
        <f>VLOOKUP(E203,Diccionario!C$2:AC$150,24,0)</f>
        <v>45559</v>
      </c>
      <c r="N203" s="76">
        <f>VLOOKUP(E203,Diccionario!C$2:AC$150,25,0)</f>
        <v>45626</v>
      </c>
      <c r="O203" s="77">
        <f>VLOOKUP(E203,Diccionario!C$2:AC$150,26,0)</f>
        <v>2.2000000000000002</v>
      </c>
      <c r="P203" s="77">
        <f t="shared" si="97"/>
        <v>9.8000000000000007</v>
      </c>
      <c r="Q203" s="78">
        <v>12</v>
      </c>
      <c r="R203" s="36">
        <v>14</v>
      </c>
      <c r="S203" s="86">
        <v>0.7</v>
      </c>
      <c r="T203" s="86">
        <v>0.8</v>
      </c>
      <c r="U203" s="82">
        <v>-111620831</v>
      </c>
      <c r="V203" s="82">
        <v>-111620831</v>
      </c>
      <c r="W203" s="82">
        <f t="shared" si="87"/>
        <v>4614072796.8000002</v>
      </c>
      <c r="X203" s="82">
        <f t="shared" si="92"/>
        <v>4037313697.1999998</v>
      </c>
      <c r="Y203" s="82">
        <f t="shared" si="88"/>
        <v>4725693627.8000002</v>
      </c>
      <c r="Z203" s="82">
        <f t="shared" si="93"/>
        <v>576759099.60000038</v>
      </c>
      <c r="AA203" s="83">
        <f t="shared" si="96"/>
        <v>-41.337022448793633</v>
      </c>
      <c r="AB203" s="84" t="str">
        <f t="shared" si="94"/>
        <v>Costo ineficiente: se está gastando más de lo presupuestado</v>
      </c>
      <c r="AC203" s="84">
        <f t="shared" si="89"/>
        <v>1.142857142857143</v>
      </c>
      <c r="AD203" s="84" t="str">
        <f t="shared" si="95"/>
        <v>Proyecto adelantado respecto al cronograma</v>
      </c>
      <c r="AE203" s="85">
        <f t="shared" si="90"/>
        <v>-139526038.75</v>
      </c>
      <c r="AF203" s="85">
        <f t="shared" si="91"/>
        <v>-5907117034.75</v>
      </c>
      <c r="AG203" s="40" t="str">
        <f>VLOOKUP(Indicador!E203,Diccionario!C$1:AC$150,27,0)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3" s="40">
        <v>1</v>
      </c>
      <c r="AI203" s="40">
        <v>1</v>
      </c>
    </row>
    <row r="204" spans="1:35" ht="18.75" customHeight="1">
      <c r="A204" s="73">
        <v>2025</v>
      </c>
      <c r="B204" s="112" t="s">
        <v>28</v>
      </c>
      <c r="C204" s="36" t="s">
        <v>275</v>
      </c>
      <c r="D204" s="37">
        <v>45560.598662847224</v>
      </c>
      <c r="E204" s="36" t="s">
        <v>37</v>
      </c>
      <c r="F204" s="36" t="s">
        <v>276</v>
      </c>
      <c r="G204" s="36" t="s">
        <v>277</v>
      </c>
      <c r="H204" s="36" t="s">
        <v>278</v>
      </c>
      <c r="I204" s="36" t="s">
        <v>152</v>
      </c>
      <c r="J204" s="36" t="s">
        <v>279</v>
      </c>
      <c r="K204" s="36" t="s">
        <v>177</v>
      </c>
      <c r="L204" s="74">
        <f>VLOOKUP(E204,Diccionario!C$2:AC$150,22,0)</f>
        <v>5767590996</v>
      </c>
      <c r="M204" s="75">
        <f>VLOOKUP(E204,Diccionario!C$2:AC$150,24,0)</f>
        <v>45559</v>
      </c>
      <c r="N204" s="76">
        <f>VLOOKUP(E204,Diccionario!C$2:AC$150,25,0)</f>
        <v>45626</v>
      </c>
      <c r="O204" s="77">
        <f>VLOOKUP(E204,Diccionario!C$2:AC$150,26,0)</f>
        <v>2.2000000000000002</v>
      </c>
      <c r="P204" s="77">
        <f t="shared" si="97"/>
        <v>10.8</v>
      </c>
      <c r="Q204" s="78">
        <v>13</v>
      </c>
      <c r="R204" s="36">
        <v>14</v>
      </c>
      <c r="S204" s="86">
        <v>0.8</v>
      </c>
      <c r="T204" s="86">
        <v>0.9</v>
      </c>
      <c r="U204" s="82">
        <v>-111620831</v>
      </c>
      <c r="V204" s="82">
        <v>-111620831</v>
      </c>
      <c r="W204" s="82">
        <f t="shared" si="87"/>
        <v>5190831896.4000006</v>
      </c>
      <c r="X204" s="82">
        <f t="shared" si="92"/>
        <v>4614072796.8000002</v>
      </c>
      <c r="Y204" s="82">
        <f t="shared" si="88"/>
        <v>5302452727.4000006</v>
      </c>
      <c r="Z204" s="82">
        <f t="shared" si="93"/>
        <v>576759099.60000038</v>
      </c>
      <c r="AA204" s="83">
        <f t="shared" si="96"/>
        <v>-46.504150254892842</v>
      </c>
      <c r="AB204" s="84" t="str">
        <f t="shared" si="94"/>
        <v>Costo ineficiente: se está gastando más de lo presupuestado</v>
      </c>
      <c r="AC204" s="84">
        <f t="shared" si="89"/>
        <v>1.125</v>
      </c>
      <c r="AD204" s="84" t="str">
        <f t="shared" si="95"/>
        <v>Proyecto adelantado respecto al cronograma</v>
      </c>
      <c r="AE204" s="85">
        <f t="shared" si="90"/>
        <v>-124023145.55555554</v>
      </c>
      <c r="AF204" s="85">
        <f t="shared" si="91"/>
        <v>-5891614141.5555553</v>
      </c>
      <c r="AG204" s="40" t="str">
        <f>VLOOKUP(Indicador!E204,Diccionario!C$1:AC$150,27,0)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4" s="40">
        <v>1</v>
      </c>
      <c r="AI204" s="40">
        <v>1</v>
      </c>
    </row>
    <row r="205" spans="1:35" ht="18.75" customHeight="1">
      <c r="A205" s="73">
        <v>2025</v>
      </c>
      <c r="B205" s="112" t="s">
        <v>30</v>
      </c>
      <c r="C205" s="36" t="s">
        <v>275</v>
      </c>
      <c r="D205" s="37">
        <v>45560.598662847224</v>
      </c>
      <c r="E205" s="36" t="s">
        <v>37</v>
      </c>
      <c r="F205" s="36" t="s">
        <v>276</v>
      </c>
      <c r="G205" s="36" t="s">
        <v>277</v>
      </c>
      <c r="H205" s="36" t="s">
        <v>278</v>
      </c>
      <c r="I205" s="36" t="s">
        <v>152</v>
      </c>
      <c r="J205" s="36" t="s">
        <v>279</v>
      </c>
      <c r="K205" s="36" t="s">
        <v>177</v>
      </c>
      <c r="L205" s="74">
        <f>VLOOKUP(E205,Diccionario!C$2:AC$150,22,0)</f>
        <v>5767590996</v>
      </c>
      <c r="M205" s="75">
        <f>VLOOKUP(E205,Diccionario!C$2:AC$150,24,0)</f>
        <v>45559</v>
      </c>
      <c r="N205" s="76">
        <f>VLOOKUP(E205,Diccionario!C$2:AC$150,25,0)</f>
        <v>45626</v>
      </c>
      <c r="O205" s="77">
        <f>VLOOKUP(E205,Diccionario!C$2:AC$150,26,0)</f>
        <v>2.2000000000000002</v>
      </c>
      <c r="P205" s="77">
        <f t="shared" si="97"/>
        <v>11.8</v>
      </c>
      <c r="Q205" s="78">
        <v>14</v>
      </c>
      <c r="R205" s="36">
        <v>14</v>
      </c>
      <c r="S205" s="86">
        <v>0.9</v>
      </c>
      <c r="T205" s="86">
        <v>0.95</v>
      </c>
      <c r="U205" s="82">
        <v>-105372062</v>
      </c>
      <c r="V205" s="82">
        <v>-105372062</v>
      </c>
      <c r="W205" s="82">
        <f t="shared" si="87"/>
        <v>5479211446.1999998</v>
      </c>
      <c r="X205" s="82">
        <f t="shared" si="92"/>
        <v>5190831896.4000006</v>
      </c>
      <c r="Y205" s="82">
        <f t="shared" si="88"/>
        <v>5584583508.1999998</v>
      </c>
      <c r="Z205" s="82">
        <f t="shared" si="93"/>
        <v>288379549.79999924</v>
      </c>
      <c r="AA205" s="83">
        <f t="shared" si="96"/>
        <v>-51.998711444025837</v>
      </c>
      <c r="AB205" s="84" t="str">
        <f t="shared" si="94"/>
        <v>Costo ineficiente: se está gastando más de lo presupuestado</v>
      </c>
      <c r="AC205" s="84">
        <f t="shared" si="89"/>
        <v>1.0555555555555554</v>
      </c>
      <c r="AD205" s="84" t="str">
        <f t="shared" si="95"/>
        <v>Proyecto adelantado respecto al cronograma</v>
      </c>
      <c r="AE205" s="85">
        <f t="shared" si="90"/>
        <v>-110917960</v>
      </c>
      <c r="AF205" s="85">
        <f t="shared" si="91"/>
        <v>-5878508956</v>
      </c>
      <c r="AG205" s="40" t="str">
        <f>VLOOKUP(Indicador!E205,Diccionario!C$1:AC$150,27,0)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5" s="40">
        <v>1</v>
      </c>
      <c r="AI205" s="40">
        <v>1</v>
      </c>
    </row>
    <row r="206" spans="1:35" ht="18.75" customHeight="1">
      <c r="A206" s="73">
        <v>2025</v>
      </c>
      <c r="B206" s="112" t="s">
        <v>31</v>
      </c>
      <c r="C206" s="36" t="s">
        <v>275</v>
      </c>
      <c r="D206" s="37">
        <v>45560.598662847224</v>
      </c>
      <c r="E206" s="36" t="s">
        <v>37</v>
      </c>
      <c r="F206" s="36" t="s">
        <v>276</v>
      </c>
      <c r="G206" s="36" t="s">
        <v>277</v>
      </c>
      <c r="H206" s="36" t="s">
        <v>278</v>
      </c>
      <c r="I206" s="36" t="s">
        <v>152</v>
      </c>
      <c r="J206" s="36" t="s">
        <v>279</v>
      </c>
      <c r="K206" s="36" t="s">
        <v>177</v>
      </c>
      <c r="L206" s="74">
        <f>VLOOKUP(E206,Diccionario!C$2:AC$150,22,0)</f>
        <v>5767590996</v>
      </c>
      <c r="M206" s="75">
        <f>VLOOKUP(E206,Diccionario!C$2:AC$150,24,0)</f>
        <v>45559</v>
      </c>
      <c r="N206" s="76">
        <f>VLOOKUP(E206,Diccionario!C$2:AC$150,25,0)</f>
        <v>45626</v>
      </c>
      <c r="O206" s="77">
        <f>VLOOKUP(E206,Diccionario!C$2:AC$150,26,0)</f>
        <v>2.2000000000000002</v>
      </c>
      <c r="P206" s="77">
        <f t="shared" si="97"/>
        <v>12.8</v>
      </c>
      <c r="Q206" s="78">
        <v>15</v>
      </c>
      <c r="R206" s="36">
        <v>14</v>
      </c>
      <c r="S206" s="86">
        <v>1</v>
      </c>
      <c r="T206" s="86">
        <v>1</v>
      </c>
      <c r="U206" s="82">
        <v>-105372062</v>
      </c>
      <c r="V206" s="82">
        <v>-105372062</v>
      </c>
      <c r="W206" s="82">
        <f t="shared" si="87"/>
        <v>5767590996</v>
      </c>
      <c r="X206" s="82">
        <f t="shared" si="92"/>
        <v>5767590996</v>
      </c>
      <c r="Y206" s="82">
        <f t="shared" si="88"/>
        <v>5872963058</v>
      </c>
      <c r="Z206" s="82">
        <f t="shared" si="93"/>
        <v>0</v>
      </c>
      <c r="AA206" s="83">
        <f t="shared" si="96"/>
        <v>-54.735485730553513</v>
      </c>
      <c r="AB206" s="84" t="str">
        <f t="shared" si="94"/>
        <v>Costo ineficiente: se está gastando más de lo presupuestado</v>
      </c>
      <c r="AC206" s="84">
        <f t="shared" si="89"/>
        <v>1</v>
      </c>
      <c r="AD206" s="84" t="str">
        <f t="shared" si="95"/>
        <v>Proyecto a tiempo según lo planificado</v>
      </c>
      <c r="AE206" s="85">
        <f t="shared" si="90"/>
        <v>-105372062</v>
      </c>
      <c r="AF206" s="85">
        <f t="shared" si="91"/>
        <v>-5872963058</v>
      </c>
      <c r="AG206" s="40" t="str">
        <f>VLOOKUP(Indicador!E206,Diccionario!C$1:AC$150,27,0)</f>
        <v>https://growdatasas.sharepoint.com/:x:/r/sites/Gestiondocumental/Administrativa/GD/Financiera/_layouts/15/Doc.aspx?sourcedoc=%7B7847B3E7-120E-4453-ABEB-FCCD451C6101%7D&amp;file=MODELO%20FINANCIERO%20REFERENCIA%20V7.2_Aprobado_Mintransporte_23092024%20V1.xlsm&amp;action=default&amp;mobileredirect=true</v>
      </c>
      <c r="AH206" s="40">
        <v>1</v>
      </c>
      <c r="AI206" s="40">
        <v>1</v>
      </c>
    </row>
    <row r="207" spans="1:35" ht="18.75" customHeight="1">
      <c r="A207" s="73">
        <v>2024</v>
      </c>
      <c r="B207" s="112" t="s">
        <v>30</v>
      </c>
      <c r="C207" s="36" t="s">
        <v>280</v>
      </c>
      <c r="D207" s="37">
        <v>45569.614684062501</v>
      </c>
      <c r="E207" s="36" t="s">
        <v>82</v>
      </c>
      <c r="F207" s="36" t="s">
        <v>190</v>
      </c>
      <c r="G207" s="36" t="s">
        <v>281</v>
      </c>
      <c r="H207" s="36" t="s">
        <v>282</v>
      </c>
      <c r="I207" s="36" t="s">
        <v>165</v>
      </c>
      <c r="J207" s="36" t="s">
        <v>283</v>
      </c>
      <c r="K207" s="36" t="s">
        <v>183</v>
      </c>
      <c r="L207" s="74">
        <f>VLOOKUP(E207,Diccionario!C$2:AC$150,22,0)</f>
        <v>319021846</v>
      </c>
      <c r="M207" s="75">
        <f>VLOOKUP(E207,Diccionario!C$2:AC$150,24,0)</f>
        <v>45566</v>
      </c>
      <c r="N207" s="76">
        <f>VLOOKUP(E207,Diccionario!C$2:AC$150,25,0)</f>
        <v>45641</v>
      </c>
      <c r="O207" s="77">
        <f>VLOOKUP(E207,Diccionario!C$2:AC$150,26,0)</f>
        <v>2.4700000000000002</v>
      </c>
      <c r="P207" s="77">
        <f t="shared" si="97"/>
        <v>-1.4700000000000002</v>
      </c>
      <c r="Q207" s="78">
        <v>1</v>
      </c>
      <c r="R207" s="36">
        <v>3</v>
      </c>
      <c r="S207" s="86">
        <v>0.3</v>
      </c>
      <c r="T207" s="86">
        <v>0.2</v>
      </c>
      <c r="U207" s="82">
        <v>21726225</v>
      </c>
      <c r="V207" s="82">
        <v>21726225</v>
      </c>
      <c r="W207" s="82">
        <f t="shared" si="87"/>
        <v>63804369.200000003</v>
      </c>
      <c r="X207" s="82">
        <f t="shared" si="92"/>
        <v>95706553.799999997</v>
      </c>
      <c r="Y207" s="82">
        <f t="shared" si="88"/>
        <v>42078144.200000003</v>
      </c>
      <c r="Z207" s="82">
        <f t="shared" si="93"/>
        <v>-31902184.599999994</v>
      </c>
      <c r="AA207" s="83">
        <f t="shared" si="96"/>
        <v>2.9367443815020788</v>
      </c>
      <c r="AB207" s="84" t="str">
        <f t="shared" si="94"/>
        <v>Costo eficiente: se está gastando menos de lo presupuestado</v>
      </c>
      <c r="AC207" s="84">
        <f t="shared" si="89"/>
        <v>0.66666666666666674</v>
      </c>
      <c r="AD207" s="84" t="str">
        <f t="shared" si="95"/>
        <v>Proyecto atrasado con respecto al cronograma</v>
      </c>
      <c r="AE207" s="85">
        <f t="shared" si="90"/>
        <v>108631125</v>
      </c>
      <c r="AF207" s="85">
        <f t="shared" si="91"/>
        <v>-210390721</v>
      </c>
      <c r="AG207" s="40" t="str">
        <f>VLOOKUP(Indicador!E207,Diccionario!C$1:AC$150,27,0)</f>
        <v>https://growdatasas.sharepoint.com/:x:/r/sites/Gestiondocumental/Administrativa/GD/Financiera/_layouts/15/Doc.aspx?sourcedoc=%7BC1202124-0C11-4B86-BB8D-77A938B88AD7%7D&amp;file=09092024%20MODELO%20FINANCIERO%20REFERENCIA%20V7.1_1ANIO_ADRES.xlsm&amp;action=default&amp;mobileredirect=true</v>
      </c>
      <c r="AH207" s="40">
        <v>1</v>
      </c>
      <c r="AI207" s="40">
        <v>1</v>
      </c>
    </row>
    <row r="208" spans="1:35" ht="18.75" customHeight="1">
      <c r="A208" s="73">
        <v>2024</v>
      </c>
      <c r="B208" s="112" t="s">
        <v>31</v>
      </c>
      <c r="C208" s="36" t="s">
        <v>280</v>
      </c>
      <c r="D208" s="37">
        <v>45569.614684062501</v>
      </c>
      <c r="E208" s="36" t="s">
        <v>82</v>
      </c>
      <c r="F208" s="36" t="s">
        <v>190</v>
      </c>
      <c r="G208" s="36" t="s">
        <v>281</v>
      </c>
      <c r="H208" s="36" t="s">
        <v>282</v>
      </c>
      <c r="I208" s="36" t="s">
        <v>165</v>
      </c>
      <c r="J208" s="36" t="s">
        <v>283</v>
      </c>
      <c r="K208" s="36" t="s">
        <v>183</v>
      </c>
      <c r="L208" s="74">
        <f>VLOOKUP(E208,Diccionario!C$2:AC$150,22,0)</f>
        <v>319021846</v>
      </c>
      <c r="M208" s="75">
        <f>VLOOKUP(E208,Diccionario!C$2:AC$150,24,0)</f>
        <v>45566</v>
      </c>
      <c r="N208" s="76">
        <f>VLOOKUP(E208,Diccionario!C$2:AC$150,25,0)</f>
        <v>45641</v>
      </c>
      <c r="O208" s="77">
        <f>VLOOKUP(E208,Diccionario!C$2:AC$150,26,0)</f>
        <v>2.4700000000000002</v>
      </c>
      <c r="P208" s="77">
        <f t="shared" si="97"/>
        <v>-0.4700000000000002</v>
      </c>
      <c r="Q208" s="78">
        <v>2</v>
      </c>
      <c r="R208" s="36">
        <v>3</v>
      </c>
      <c r="S208" s="86">
        <v>0.6</v>
      </c>
      <c r="T208" s="86">
        <v>0.4</v>
      </c>
      <c r="U208" s="82">
        <v>187600120</v>
      </c>
      <c r="V208" s="82">
        <v>187600120</v>
      </c>
      <c r="W208" s="82">
        <f t="shared" si="87"/>
        <v>127608738.40000001</v>
      </c>
      <c r="X208" s="82">
        <f t="shared" si="92"/>
        <v>191413107.59999999</v>
      </c>
      <c r="Y208" s="82">
        <f t="shared" si="88"/>
        <v>-59991381.599999994</v>
      </c>
      <c r="Z208" s="82">
        <f t="shared" si="93"/>
        <v>-63804369.199999988</v>
      </c>
      <c r="AA208" s="83">
        <f t="shared" si="96"/>
        <v>0.68021672054367555</v>
      </c>
      <c r="AB208" s="84" t="str">
        <f t="shared" si="94"/>
        <v>Costo ineficiente: se está gastando más de lo presupuestado</v>
      </c>
      <c r="AC208" s="84">
        <f t="shared" si="89"/>
        <v>0.66666666666666674</v>
      </c>
      <c r="AD208" s="84" t="str">
        <f t="shared" si="95"/>
        <v>Proyecto atrasado con respecto al cronograma</v>
      </c>
      <c r="AE208" s="85">
        <f t="shared" si="90"/>
        <v>469000300</v>
      </c>
      <c r="AF208" s="85">
        <f t="shared" si="91"/>
        <v>149978454</v>
      </c>
      <c r="AG208" s="40" t="str">
        <f>VLOOKUP(Indicador!E208,Diccionario!C$1:AC$150,27,0)</f>
        <v>https://growdatasas.sharepoint.com/:x:/r/sites/Gestiondocumental/Administrativa/GD/Financiera/_layouts/15/Doc.aspx?sourcedoc=%7BC1202124-0C11-4B86-BB8D-77A938B88AD7%7D&amp;file=09092024%20MODELO%20FINANCIERO%20REFERENCIA%20V7.1_1ANIO_ADRES.xlsm&amp;action=default&amp;mobileredirect=true</v>
      </c>
      <c r="AH208" s="40">
        <v>1</v>
      </c>
      <c r="AI208" s="40">
        <v>1</v>
      </c>
    </row>
    <row r="209" spans="1:35" ht="18.75" customHeight="1">
      <c r="A209" s="73">
        <v>2024</v>
      </c>
      <c r="B209" s="112" t="s">
        <v>32</v>
      </c>
      <c r="C209" s="36" t="s">
        <v>280</v>
      </c>
      <c r="D209" s="37">
        <v>45569.614684062501</v>
      </c>
      <c r="E209" s="36" t="s">
        <v>82</v>
      </c>
      <c r="F209" s="36" t="s">
        <v>190</v>
      </c>
      <c r="G209" s="36" t="s">
        <v>281</v>
      </c>
      <c r="H209" s="36" t="s">
        <v>282</v>
      </c>
      <c r="I209" s="36" t="s">
        <v>165</v>
      </c>
      <c r="J209" s="36" t="s">
        <v>283</v>
      </c>
      <c r="K209" s="36" t="s">
        <v>183</v>
      </c>
      <c r="L209" s="74">
        <f>VLOOKUP(E209,Diccionario!C$2:AC$150,22,0)</f>
        <v>319021846</v>
      </c>
      <c r="M209" s="75">
        <f>VLOOKUP(E209,Diccionario!C$2:AC$150,24,0)</f>
        <v>45566</v>
      </c>
      <c r="N209" s="76">
        <f>VLOOKUP(E209,Diccionario!C$2:AC$150,25,0)</f>
        <v>45641</v>
      </c>
      <c r="O209" s="77">
        <f>VLOOKUP(E209,Diccionario!C$2:AC$150,26,0)</f>
        <v>2.4700000000000002</v>
      </c>
      <c r="P209" s="77">
        <f t="shared" si="97"/>
        <v>0.5299999999999998</v>
      </c>
      <c r="Q209" s="78">
        <v>3</v>
      </c>
      <c r="R209" s="36">
        <v>3</v>
      </c>
      <c r="S209" s="86">
        <v>1</v>
      </c>
      <c r="T209" s="86">
        <v>0.6</v>
      </c>
      <c r="U209" s="82">
        <v>65710863</v>
      </c>
      <c r="V209" s="82">
        <v>65710863</v>
      </c>
      <c r="W209" s="82">
        <f t="shared" si="87"/>
        <v>191413107.59999999</v>
      </c>
      <c r="X209" s="82">
        <f t="shared" si="92"/>
        <v>319021846</v>
      </c>
      <c r="Y209" s="82">
        <f t="shared" si="88"/>
        <v>125702244.59999999</v>
      </c>
      <c r="Z209" s="82">
        <f t="shared" si="93"/>
        <v>-127608738.40000001</v>
      </c>
      <c r="AA209" s="83">
        <f t="shared" si="96"/>
        <v>2.9129598800125329</v>
      </c>
      <c r="AB209" s="84" t="str">
        <f t="shared" si="94"/>
        <v>Costo eficiente: se está gastando menos de lo presupuestado</v>
      </c>
      <c r="AC209" s="84">
        <f t="shared" si="89"/>
        <v>0.6</v>
      </c>
      <c r="AD209" s="84" t="str">
        <f t="shared" si="95"/>
        <v>Proyecto atrasado con respecto al cronograma</v>
      </c>
      <c r="AE209" s="85">
        <f t="shared" si="90"/>
        <v>109518105</v>
      </c>
      <c r="AF209" s="85">
        <f t="shared" si="91"/>
        <v>-209503741</v>
      </c>
      <c r="AG209" s="40" t="str">
        <f>VLOOKUP(Indicador!E209,Diccionario!C$1:AC$150,27,0)</f>
        <v>https://growdatasas.sharepoint.com/:x:/r/sites/Gestiondocumental/Administrativa/GD/Financiera/_layouts/15/Doc.aspx?sourcedoc=%7BC1202124-0C11-4B86-BB8D-77A938B88AD7%7D&amp;file=09092024%20MODELO%20FINANCIERO%20REFERENCIA%20V7.1_1ANIO_ADRES.xlsm&amp;action=default&amp;mobileredirect=true</v>
      </c>
      <c r="AH209" s="40">
        <v>1</v>
      </c>
      <c r="AI209" s="40">
        <v>1</v>
      </c>
    </row>
    <row r="210" spans="1:35" ht="18.75" customHeight="1">
      <c r="A210" s="73">
        <v>2025</v>
      </c>
      <c r="B210" s="112" t="s">
        <v>14</v>
      </c>
      <c r="C210" s="36" t="s">
        <v>280</v>
      </c>
      <c r="D210" s="37">
        <v>45569.614684062501</v>
      </c>
      <c r="E210" s="36" t="s">
        <v>82</v>
      </c>
      <c r="F210" s="36" t="s">
        <v>190</v>
      </c>
      <c r="G210" s="36" t="s">
        <v>281</v>
      </c>
      <c r="H210" s="36" t="s">
        <v>282</v>
      </c>
      <c r="I210" s="36" t="s">
        <v>165</v>
      </c>
      <c r="J210" s="36" t="s">
        <v>283</v>
      </c>
      <c r="K210" s="36" t="s">
        <v>183</v>
      </c>
      <c r="L210" s="74">
        <f>VLOOKUP(E210,Diccionario!C$2:AC$150,22,0)</f>
        <v>319021846</v>
      </c>
      <c r="M210" s="75">
        <f>VLOOKUP(E210,Diccionario!C$2:AC$150,24,0)</f>
        <v>45566</v>
      </c>
      <c r="N210" s="76">
        <f>VLOOKUP(E210,Diccionario!C$2:AC$150,25,0)</f>
        <v>45641</v>
      </c>
      <c r="O210" s="77">
        <f>VLOOKUP(E210,Diccionario!C$2:AC$150,26,0)</f>
        <v>2.4700000000000002</v>
      </c>
      <c r="P210" s="77">
        <f t="shared" si="97"/>
        <v>1.5299999999999998</v>
      </c>
      <c r="Q210" s="78">
        <v>4</v>
      </c>
      <c r="R210" s="36">
        <v>3</v>
      </c>
      <c r="S210" s="86">
        <v>1</v>
      </c>
      <c r="T210" s="86">
        <v>1</v>
      </c>
      <c r="U210" s="82">
        <v>43984638</v>
      </c>
      <c r="V210" s="82">
        <v>43984638</v>
      </c>
      <c r="W210" s="82">
        <f t="shared" si="87"/>
        <v>319021846</v>
      </c>
      <c r="X210" s="82">
        <f t="shared" si="92"/>
        <v>319021846</v>
      </c>
      <c r="Y210" s="82">
        <f t="shared" si="88"/>
        <v>275037208</v>
      </c>
      <c r="Z210" s="82">
        <f t="shared" si="93"/>
        <v>0</v>
      </c>
      <c r="AA210" s="83">
        <f t="shared" si="96"/>
        <v>7.2530287960992199</v>
      </c>
      <c r="AB210" s="84" t="str">
        <f t="shared" si="94"/>
        <v>Costo eficiente: se está gastando menos de lo presupuestado</v>
      </c>
      <c r="AC210" s="84">
        <f t="shared" si="89"/>
        <v>1</v>
      </c>
      <c r="AD210" s="84" t="str">
        <f t="shared" si="95"/>
        <v>Proyecto a tiempo según lo planificado</v>
      </c>
      <c r="AE210" s="85">
        <f t="shared" si="90"/>
        <v>43984638</v>
      </c>
      <c r="AF210" s="85">
        <f t="shared" si="91"/>
        <v>-275037208</v>
      </c>
      <c r="AG210" s="40" t="str">
        <f>VLOOKUP(Indicador!E210,Diccionario!C$1:AC$150,27,0)</f>
        <v>https://growdatasas.sharepoint.com/:x:/r/sites/Gestiondocumental/Administrativa/GD/Financiera/_layouts/15/Doc.aspx?sourcedoc=%7BC1202124-0C11-4B86-BB8D-77A938B88AD7%7D&amp;file=09092024%20MODELO%20FINANCIERO%20REFERENCIA%20V7.1_1ANIO_ADRES.xlsm&amp;action=default&amp;mobileredirect=true</v>
      </c>
      <c r="AH210" s="40">
        <v>1</v>
      </c>
      <c r="AI210" s="40">
        <v>1</v>
      </c>
    </row>
    <row r="211" spans="1:35" ht="18.75" customHeight="1">
      <c r="A211" s="73">
        <v>2024</v>
      </c>
      <c r="B211" s="112" t="s">
        <v>30</v>
      </c>
      <c r="C211" s="36" t="s">
        <v>284</v>
      </c>
      <c r="D211" s="37">
        <v>45691.835365509258</v>
      </c>
      <c r="E211" s="36" t="s">
        <v>113</v>
      </c>
      <c r="F211" s="36" t="s">
        <v>195</v>
      </c>
      <c r="G211" s="36" t="s">
        <v>285</v>
      </c>
      <c r="H211" s="36" t="s">
        <v>286</v>
      </c>
      <c r="I211" s="36" t="s">
        <v>165</v>
      </c>
      <c r="J211" s="36" t="s">
        <v>287</v>
      </c>
      <c r="K211" s="36" t="s">
        <v>177</v>
      </c>
      <c r="L211" s="74">
        <f>VLOOKUP(E211,Diccionario!C$2:AC$150,22,0)</f>
        <v>0</v>
      </c>
      <c r="M211" s="75">
        <f>VLOOKUP(E211,Diccionario!C$2:AC$150,24,0)</f>
        <v>45568</v>
      </c>
      <c r="N211" s="76">
        <f>VLOOKUP(E211,Diccionario!C$2:AC$150,25,0)</f>
        <v>46356</v>
      </c>
      <c r="O211" s="77">
        <f>VLOOKUP(E211,Diccionario!C$2:AC$150,26,0)</f>
        <v>25.9</v>
      </c>
      <c r="P211" s="77">
        <f t="shared" si="97"/>
        <v>-24.9</v>
      </c>
      <c r="Q211" s="78">
        <v>1</v>
      </c>
      <c r="R211" s="36">
        <v>26</v>
      </c>
      <c r="S211" s="86">
        <v>0.05</v>
      </c>
      <c r="T211" s="86">
        <v>0.05</v>
      </c>
      <c r="U211" s="82">
        <v>0</v>
      </c>
      <c r="V211" s="82">
        <v>0</v>
      </c>
      <c r="W211" s="82">
        <f t="shared" si="87"/>
        <v>0</v>
      </c>
      <c r="X211" s="82">
        <f t="shared" si="92"/>
        <v>0</v>
      </c>
      <c r="Y211" s="82">
        <f t="shared" si="88"/>
        <v>0</v>
      </c>
      <c r="Z211" s="82">
        <f t="shared" si="93"/>
        <v>0</v>
      </c>
      <c r="AA211" s="83" t="str">
        <f t="shared" si="96"/>
        <v>No se realizó gasto en este corte</v>
      </c>
      <c r="AB211" s="84" t="str">
        <f t="shared" si="94"/>
        <v>Costo eficiente: se está gastando menos de lo presupuestado</v>
      </c>
      <c r="AC211" s="84">
        <f t="shared" si="89"/>
        <v>0</v>
      </c>
      <c r="AD211" s="84" t="str">
        <f t="shared" si="95"/>
        <v>Sin Línea Base</v>
      </c>
      <c r="AE211" s="85">
        <f t="shared" si="90"/>
        <v>0</v>
      </c>
      <c r="AF211" s="85">
        <f t="shared" si="91"/>
        <v>0</v>
      </c>
      <c r="AG211" s="40" t="str">
        <f>VLOOKUP(Indicador!E211,Diccionario!C$1:AC$150,27,0)</f>
        <v>https://growdatasas.sharepoint.com/:x:/r/sites/Gestiondocumental/Administrativa/GD/Financiera/_layouts/15/Doc.aspx?sourcedoc=%7B74DBEC6A-69C6-4C69-8B83-8B465ADA35AB%7D&amp;file=Modelo%20Cortolima%20%20V2.xlsm&amp;action=default&amp;mobileredirect=true</v>
      </c>
      <c r="AH211" s="40">
        <v>1</v>
      </c>
      <c r="AI211" s="40">
        <v>1</v>
      </c>
    </row>
    <row r="212" spans="1:35" ht="18.75" customHeight="1">
      <c r="A212" s="73">
        <v>2024</v>
      </c>
      <c r="B212" s="112" t="s">
        <v>31</v>
      </c>
      <c r="C212" s="36" t="s">
        <v>284</v>
      </c>
      <c r="D212" s="37">
        <v>45691.835365509258</v>
      </c>
      <c r="E212" s="36" t="s">
        <v>113</v>
      </c>
      <c r="F212" s="36" t="s">
        <v>195</v>
      </c>
      <c r="G212" s="36" t="s">
        <v>285</v>
      </c>
      <c r="H212" s="36" t="s">
        <v>286</v>
      </c>
      <c r="I212" s="36" t="s">
        <v>165</v>
      </c>
      <c r="J212" s="36" t="s">
        <v>287</v>
      </c>
      <c r="K212" s="36" t="s">
        <v>177</v>
      </c>
      <c r="L212" s="74">
        <f>VLOOKUP(E212,Diccionario!C$2:AC$150,22,0)</f>
        <v>0</v>
      </c>
      <c r="M212" s="75">
        <f>VLOOKUP(E212,Diccionario!C$2:AC$150,24,0)</f>
        <v>45568</v>
      </c>
      <c r="N212" s="76">
        <f>VLOOKUP(E212,Diccionario!C$2:AC$150,25,0)</f>
        <v>46356</v>
      </c>
      <c r="O212" s="77">
        <f>VLOOKUP(E212,Diccionario!C$2:AC$150,26,0)</f>
        <v>25.9</v>
      </c>
      <c r="P212" s="77">
        <f t="shared" si="97"/>
        <v>-23.9</v>
      </c>
      <c r="Q212" s="78">
        <v>2</v>
      </c>
      <c r="R212" s="36">
        <v>26</v>
      </c>
      <c r="S212" s="86">
        <v>0.08</v>
      </c>
      <c r="T212" s="86">
        <v>0.08</v>
      </c>
      <c r="U212" s="82">
        <v>0</v>
      </c>
      <c r="V212" s="82">
        <v>0</v>
      </c>
      <c r="W212" s="82">
        <f t="shared" si="87"/>
        <v>0</v>
      </c>
      <c r="X212" s="82">
        <f t="shared" si="92"/>
        <v>0</v>
      </c>
      <c r="Y212" s="82">
        <f t="shared" si="88"/>
        <v>0</v>
      </c>
      <c r="Z212" s="82">
        <f t="shared" si="93"/>
        <v>0</v>
      </c>
      <c r="AA212" s="83" t="str">
        <f t="shared" si="96"/>
        <v>No se realizó gasto en este corte</v>
      </c>
      <c r="AB212" s="84" t="str">
        <f t="shared" si="94"/>
        <v>Costo eficiente: se está gastando menos de lo presupuestado</v>
      </c>
      <c r="AC212" s="84">
        <f t="shared" si="89"/>
        <v>0</v>
      </c>
      <c r="AD212" s="84" t="str">
        <f t="shared" si="95"/>
        <v>Sin Línea Base</v>
      </c>
      <c r="AE212" s="85">
        <f t="shared" si="90"/>
        <v>0</v>
      </c>
      <c r="AF212" s="85">
        <f t="shared" si="91"/>
        <v>0</v>
      </c>
      <c r="AG212" s="40" t="str">
        <f>VLOOKUP(Indicador!E212,Diccionario!C$1:AC$150,27,0)</f>
        <v>https://growdatasas.sharepoint.com/:x:/r/sites/Gestiondocumental/Administrativa/GD/Financiera/_layouts/15/Doc.aspx?sourcedoc=%7B74DBEC6A-69C6-4C69-8B83-8B465ADA35AB%7D&amp;file=Modelo%20Cortolima%20%20V2.xlsm&amp;action=default&amp;mobileredirect=true</v>
      </c>
      <c r="AH212" s="40">
        <v>1</v>
      </c>
      <c r="AI212" s="40">
        <v>1</v>
      </c>
    </row>
    <row r="213" spans="1:35" ht="18.75" customHeight="1">
      <c r="A213" s="73">
        <v>2024</v>
      </c>
      <c r="B213" s="112" t="s">
        <v>32</v>
      </c>
      <c r="C213" s="36" t="s">
        <v>284</v>
      </c>
      <c r="D213" s="37">
        <v>45691.835365509258</v>
      </c>
      <c r="E213" s="36" t="s">
        <v>113</v>
      </c>
      <c r="F213" s="36" t="s">
        <v>195</v>
      </c>
      <c r="G213" s="36" t="s">
        <v>285</v>
      </c>
      <c r="H213" s="36" t="s">
        <v>286</v>
      </c>
      <c r="I213" s="36" t="s">
        <v>165</v>
      </c>
      <c r="J213" s="36" t="s">
        <v>287</v>
      </c>
      <c r="K213" s="36" t="s">
        <v>177</v>
      </c>
      <c r="L213" s="74">
        <f>VLOOKUP(E213,Diccionario!C$2:AC$150,22,0)</f>
        <v>0</v>
      </c>
      <c r="M213" s="75">
        <f>VLOOKUP(E213,Diccionario!C$2:AC$150,24,0)</f>
        <v>45568</v>
      </c>
      <c r="N213" s="76">
        <f>VLOOKUP(E213,Diccionario!C$2:AC$150,25,0)</f>
        <v>46356</v>
      </c>
      <c r="O213" s="77">
        <f>VLOOKUP(E213,Diccionario!C$2:AC$150,26,0)</f>
        <v>25.9</v>
      </c>
      <c r="P213" s="77">
        <f t="shared" si="97"/>
        <v>-22.9</v>
      </c>
      <c r="Q213" s="78">
        <v>3</v>
      </c>
      <c r="R213" s="36">
        <v>26</v>
      </c>
      <c r="S213" s="86">
        <v>0.12</v>
      </c>
      <c r="T213" s="86">
        <v>0.12</v>
      </c>
      <c r="U213" s="82">
        <v>0</v>
      </c>
      <c r="V213" s="82">
        <v>0</v>
      </c>
      <c r="W213" s="82">
        <f t="shared" si="87"/>
        <v>0</v>
      </c>
      <c r="X213" s="82">
        <f t="shared" si="92"/>
        <v>0</v>
      </c>
      <c r="Y213" s="82">
        <f t="shared" si="88"/>
        <v>0</v>
      </c>
      <c r="Z213" s="82">
        <f t="shared" si="93"/>
        <v>0</v>
      </c>
      <c r="AA213" s="83" t="str">
        <f t="shared" ref="AA213:AA238" si="98">IFERROR(W213/U213,"No se realizó gasto en este corte")</f>
        <v>No se realizó gasto en este corte</v>
      </c>
      <c r="AB213" s="84" t="str">
        <f t="shared" si="94"/>
        <v>Costo eficiente: se está gastando menos de lo presupuestado</v>
      </c>
      <c r="AC213" s="84">
        <f t="shared" si="89"/>
        <v>0</v>
      </c>
      <c r="AD213" s="84" t="str">
        <f t="shared" si="95"/>
        <v>Sin Línea Base</v>
      </c>
      <c r="AE213" s="85">
        <f t="shared" si="90"/>
        <v>0</v>
      </c>
      <c r="AF213" s="85">
        <f t="shared" si="91"/>
        <v>0</v>
      </c>
      <c r="AG213" s="40" t="str">
        <f>VLOOKUP(Indicador!E213,Diccionario!C$1:AC$150,27,0)</f>
        <v>https://growdatasas.sharepoint.com/:x:/r/sites/Gestiondocumental/Administrativa/GD/Financiera/_layouts/15/Doc.aspx?sourcedoc=%7B74DBEC6A-69C6-4C69-8B83-8B465ADA35AB%7D&amp;file=Modelo%20Cortolima%20%20V2.xlsm&amp;action=default&amp;mobileredirect=true</v>
      </c>
      <c r="AH213" s="40">
        <v>1</v>
      </c>
      <c r="AI213" s="40">
        <v>1</v>
      </c>
    </row>
    <row r="214" spans="1:35" ht="18.75" customHeight="1">
      <c r="A214" s="73">
        <v>2025</v>
      </c>
      <c r="B214" s="112" t="s">
        <v>14</v>
      </c>
      <c r="C214" s="36" t="s">
        <v>284</v>
      </c>
      <c r="D214" s="37">
        <v>45691.835365509258</v>
      </c>
      <c r="E214" s="36" t="s">
        <v>113</v>
      </c>
      <c r="F214" s="36" t="s">
        <v>195</v>
      </c>
      <c r="G214" s="36" t="s">
        <v>285</v>
      </c>
      <c r="H214" s="36" t="s">
        <v>286</v>
      </c>
      <c r="I214" s="36" t="s">
        <v>165</v>
      </c>
      <c r="J214" s="36" t="s">
        <v>287</v>
      </c>
      <c r="K214" s="36" t="s">
        <v>177</v>
      </c>
      <c r="L214" s="74">
        <f>VLOOKUP(E214,Diccionario!C$2:AC$150,22,0)</f>
        <v>0</v>
      </c>
      <c r="M214" s="75">
        <f>VLOOKUP(E214,Diccionario!C$2:AC$150,24,0)</f>
        <v>45568</v>
      </c>
      <c r="N214" s="76">
        <f>VLOOKUP(E214,Diccionario!C$2:AC$150,25,0)</f>
        <v>46356</v>
      </c>
      <c r="O214" s="77">
        <f>VLOOKUP(E214,Diccionario!C$2:AC$150,26,0)</f>
        <v>25.9</v>
      </c>
      <c r="P214" s="77">
        <f t="shared" si="97"/>
        <v>-21.9</v>
      </c>
      <c r="Q214" s="78">
        <v>4</v>
      </c>
      <c r="R214" s="36">
        <v>26</v>
      </c>
      <c r="S214" s="86">
        <v>0.15333333333333299</v>
      </c>
      <c r="T214" s="86">
        <v>0.15333333333333299</v>
      </c>
      <c r="U214" s="82">
        <v>211672212</v>
      </c>
      <c r="V214" s="82">
        <v>211672212</v>
      </c>
      <c r="W214" s="82">
        <f t="shared" si="87"/>
        <v>0</v>
      </c>
      <c r="X214" s="82">
        <f t="shared" si="92"/>
        <v>0</v>
      </c>
      <c r="Y214" s="82">
        <f t="shared" si="88"/>
        <v>-211672212</v>
      </c>
      <c r="Z214" s="82">
        <f t="shared" si="93"/>
        <v>0</v>
      </c>
      <c r="AA214" s="83">
        <f t="shared" si="98"/>
        <v>0</v>
      </c>
      <c r="AB214" s="84" t="str">
        <f t="shared" si="94"/>
        <v>No calculado</v>
      </c>
      <c r="AC214" s="84">
        <f t="shared" si="89"/>
        <v>0</v>
      </c>
      <c r="AD214" s="84" t="str">
        <f t="shared" si="95"/>
        <v>Sin Línea Base</v>
      </c>
      <c r="AE214" s="85">
        <f t="shared" si="90"/>
        <v>0</v>
      </c>
      <c r="AF214" s="85">
        <f t="shared" si="91"/>
        <v>0</v>
      </c>
      <c r="AG214" s="40" t="str">
        <f>VLOOKUP(Indicador!E214,Diccionario!C$1:AC$150,27,0)</f>
        <v>https://growdatasas.sharepoint.com/:x:/r/sites/Gestiondocumental/Administrativa/GD/Financiera/_layouts/15/Doc.aspx?sourcedoc=%7B74DBEC6A-69C6-4C69-8B83-8B465ADA35AB%7D&amp;file=Modelo%20Cortolima%20%20V2.xlsm&amp;action=default&amp;mobileredirect=true</v>
      </c>
      <c r="AH214" s="40">
        <v>1</v>
      </c>
      <c r="AI214" s="40">
        <v>1</v>
      </c>
    </row>
    <row r="215" spans="1:35" ht="18.75" customHeight="1">
      <c r="A215" s="73">
        <v>2025</v>
      </c>
      <c r="B215" s="112" t="s">
        <v>22</v>
      </c>
      <c r="C215" s="36" t="s">
        <v>284</v>
      </c>
      <c r="D215" s="37">
        <v>45691.835365509258</v>
      </c>
      <c r="E215" s="36" t="s">
        <v>113</v>
      </c>
      <c r="F215" s="36" t="s">
        <v>195</v>
      </c>
      <c r="G215" s="36" t="s">
        <v>285</v>
      </c>
      <c r="H215" s="36" t="s">
        <v>286</v>
      </c>
      <c r="I215" s="36" t="s">
        <v>165</v>
      </c>
      <c r="J215" s="36" t="s">
        <v>287</v>
      </c>
      <c r="K215" s="36" t="s">
        <v>177</v>
      </c>
      <c r="L215" s="74">
        <f>VLOOKUP(E215,Diccionario!C$2:AC$150,22,0)</f>
        <v>0</v>
      </c>
      <c r="M215" s="75">
        <f>VLOOKUP(E215,Diccionario!C$2:AC$150,24,0)</f>
        <v>45568</v>
      </c>
      <c r="N215" s="76">
        <f>VLOOKUP(E215,Diccionario!C$2:AC$150,25,0)</f>
        <v>46356</v>
      </c>
      <c r="O215" s="77">
        <f>VLOOKUP(E215,Diccionario!C$2:AC$150,26,0)</f>
        <v>25.9</v>
      </c>
      <c r="P215" s="77">
        <f t="shared" si="97"/>
        <v>-20.9</v>
      </c>
      <c r="Q215" s="78">
        <v>5</v>
      </c>
      <c r="R215" s="36">
        <v>26</v>
      </c>
      <c r="S215" s="86">
        <v>0.18833333333333299</v>
      </c>
      <c r="T215" s="86">
        <v>0.18833333333333299</v>
      </c>
      <c r="U215" s="82">
        <v>11672212</v>
      </c>
      <c r="V215" s="82">
        <v>11672212</v>
      </c>
      <c r="W215" s="82">
        <f t="shared" si="87"/>
        <v>0</v>
      </c>
      <c r="X215" s="82">
        <f t="shared" si="92"/>
        <v>0</v>
      </c>
      <c r="Y215" s="82">
        <f t="shared" si="88"/>
        <v>-11672212</v>
      </c>
      <c r="Z215" s="82">
        <f t="shared" si="93"/>
        <v>0</v>
      </c>
      <c r="AA215" s="83">
        <f t="shared" si="98"/>
        <v>0</v>
      </c>
      <c r="AB215" s="84" t="str">
        <f t="shared" si="94"/>
        <v>No calculado</v>
      </c>
      <c r="AC215" s="84">
        <f t="shared" si="89"/>
        <v>0</v>
      </c>
      <c r="AD215" s="84" t="str">
        <f t="shared" si="95"/>
        <v>Sin Línea Base</v>
      </c>
      <c r="AE215" s="85">
        <f t="shared" si="90"/>
        <v>0</v>
      </c>
      <c r="AF215" s="85">
        <f t="shared" si="91"/>
        <v>0</v>
      </c>
      <c r="AG215" s="40" t="str">
        <f>VLOOKUP(Indicador!E215,Diccionario!C$1:AC$150,27,0)</f>
        <v>https://growdatasas.sharepoint.com/:x:/r/sites/Gestiondocumental/Administrativa/GD/Financiera/_layouts/15/Doc.aspx?sourcedoc=%7B74DBEC6A-69C6-4C69-8B83-8B465ADA35AB%7D&amp;file=Modelo%20Cortolima%20%20V2.xlsm&amp;action=default&amp;mobileredirect=true</v>
      </c>
      <c r="AH215" s="40">
        <v>1</v>
      </c>
      <c r="AI215" s="40">
        <v>1</v>
      </c>
    </row>
    <row r="216" spans="1:35" ht="18.75" customHeight="1">
      <c r="A216" s="73">
        <v>2025</v>
      </c>
      <c r="B216" s="112" t="s">
        <v>24</v>
      </c>
      <c r="C216" s="36" t="s">
        <v>284</v>
      </c>
      <c r="D216" s="37">
        <v>45691.835365509258</v>
      </c>
      <c r="E216" s="36" t="s">
        <v>113</v>
      </c>
      <c r="F216" s="36" t="s">
        <v>195</v>
      </c>
      <c r="G216" s="36" t="s">
        <v>285</v>
      </c>
      <c r="H216" s="36" t="s">
        <v>286</v>
      </c>
      <c r="I216" s="36" t="s">
        <v>165</v>
      </c>
      <c r="J216" s="36" t="s">
        <v>287</v>
      </c>
      <c r="K216" s="36" t="s">
        <v>177</v>
      </c>
      <c r="L216" s="74">
        <f>VLOOKUP(E216,Diccionario!C$2:AC$150,22,0)</f>
        <v>0</v>
      </c>
      <c r="M216" s="75">
        <f>VLOOKUP(E216,Diccionario!C$2:AC$150,24,0)</f>
        <v>45568</v>
      </c>
      <c r="N216" s="76">
        <f>VLOOKUP(E216,Diccionario!C$2:AC$150,25,0)</f>
        <v>46356</v>
      </c>
      <c r="O216" s="77">
        <f>VLOOKUP(E216,Diccionario!C$2:AC$150,26,0)</f>
        <v>25.9</v>
      </c>
      <c r="P216" s="77">
        <f t="shared" si="97"/>
        <v>-19.899999999999999</v>
      </c>
      <c r="Q216" s="78">
        <v>6</v>
      </c>
      <c r="R216" s="36">
        <v>26</v>
      </c>
      <c r="S216" s="86">
        <v>0.223333333333333</v>
      </c>
      <c r="T216" s="86">
        <v>0.223333333333333</v>
      </c>
      <c r="U216" s="82">
        <v>11672212</v>
      </c>
      <c r="V216" s="82">
        <v>11672212</v>
      </c>
      <c r="W216" s="82">
        <f t="shared" si="87"/>
        <v>0</v>
      </c>
      <c r="X216" s="82">
        <f t="shared" si="92"/>
        <v>0</v>
      </c>
      <c r="Y216" s="82">
        <f t="shared" si="88"/>
        <v>-11672212</v>
      </c>
      <c r="Z216" s="82">
        <f t="shared" si="93"/>
        <v>0</v>
      </c>
      <c r="AA216" s="83">
        <f t="shared" si="98"/>
        <v>0</v>
      </c>
      <c r="AB216" s="84" t="str">
        <f t="shared" si="94"/>
        <v>No calculado</v>
      </c>
      <c r="AC216" s="84">
        <f t="shared" si="89"/>
        <v>0</v>
      </c>
      <c r="AD216" s="84" t="str">
        <f t="shared" si="95"/>
        <v>Sin Línea Base</v>
      </c>
      <c r="AE216" s="85">
        <f t="shared" si="90"/>
        <v>0</v>
      </c>
      <c r="AF216" s="85">
        <f t="shared" si="91"/>
        <v>0</v>
      </c>
      <c r="AG216" s="40" t="str">
        <f>VLOOKUP(Indicador!E216,Diccionario!C$1:AC$150,27,0)</f>
        <v>https://growdatasas.sharepoint.com/:x:/r/sites/Gestiondocumental/Administrativa/GD/Financiera/_layouts/15/Doc.aspx?sourcedoc=%7B74DBEC6A-69C6-4C69-8B83-8B465ADA35AB%7D&amp;file=Modelo%20Cortolima%20%20V2.xlsm&amp;action=default&amp;mobileredirect=true</v>
      </c>
      <c r="AH216" s="40">
        <v>1</v>
      </c>
      <c r="AI216" s="40">
        <v>1</v>
      </c>
    </row>
    <row r="217" spans="1:35" ht="18.75" customHeight="1">
      <c r="A217" s="73">
        <v>2025</v>
      </c>
      <c r="B217" s="112" t="s">
        <v>27</v>
      </c>
      <c r="C217" s="36" t="s">
        <v>284</v>
      </c>
      <c r="D217" s="37">
        <v>45691.835365509258</v>
      </c>
      <c r="E217" s="36" t="s">
        <v>113</v>
      </c>
      <c r="F217" s="36" t="s">
        <v>195</v>
      </c>
      <c r="G217" s="36" t="s">
        <v>285</v>
      </c>
      <c r="H217" s="36" t="s">
        <v>286</v>
      </c>
      <c r="I217" s="36" t="s">
        <v>165</v>
      </c>
      <c r="J217" s="36" t="s">
        <v>287</v>
      </c>
      <c r="K217" s="36" t="s">
        <v>177</v>
      </c>
      <c r="L217" s="74">
        <f>VLOOKUP(E217,Diccionario!C$2:AC$150,22,0)</f>
        <v>0</v>
      </c>
      <c r="M217" s="75">
        <f>VLOOKUP(E217,Diccionario!C$2:AC$150,24,0)</f>
        <v>45568</v>
      </c>
      <c r="N217" s="76">
        <f>VLOOKUP(E217,Diccionario!C$2:AC$150,25,0)</f>
        <v>46356</v>
      </c>
      <c r="O217" s="77">
        <f>VLOOKUP(E217,Diccionario!C$2:AC$150,26,0)</f>
        <v>25.9</v>
      </c>
      <c r="P217" s="77">
        <f t="shared" si="97"/>
        <v>-18.899999999999999</v>
      </c>
      <c r="Q217" s="78">
        <v>7</v>
      </c>
      <c r="R217" s="36">
        <v>26</v>
      </c>
      <c r="S217" s="86">
        <v>0.25833333333333303</v>
      </c>
      <c r="T217" s="86">
        <v>0.25833333333333303</v>
      </c>
      <c r="U217" s="82">
        <v>11672212</v>
      </c>
      <c r="V217" s="82">
        <v>11672212</v>
      </c>
      <c r="W217" s="82">
        <f t="shared" si="87"/>
        <v>0</v>
      </c>
      <c r="X217" s="82">
        <f t="shared" si="92"/>
        <v>0</v>
      </c>
      <c r="Y217" s="82">
        <f t="shared" si="88"/>
        <v>-11672212</v>
      </c>
      <c r="Z217" s="82">
        <f t="shared" si="93"/>
        <v>0</v>
      </c>
      <c r="AA217" s="83">
        <f t="shared" si="98"/>
        <v>0</v>
      </c>
      <c r="AB217" s="84" t="str">
        <f t="shared" si="94"/>
        <v>No calculado</v>
      </c>
      <c r="AC217" s="84">
        <f t="shared" si="89"/>
        <v>0</v>
      </c>
      <c r="AD217" s="84" t="str">
        <f t="shared" si="95"/>
        <v>Sin Línea Base</v>
      </c>
      <c r="AE217" s="85">
        <f t="shared" si="90"/>
        <v>0</v>
      </c>
      <c r="AF217" s="85">
        <f t="shared" si="91"/>
        <v>0</v>
      </c>
      <c r="AG217" s="40" t="str">
        <f>VLOOKUP(Indicador!E217,Diccionario!C$1:AC$150,27,0)</f>
        <v>https://growdatasas.sharepoint.com/:x:/r/sites/Gestiondocumental/Administrativa/GD/Financiera/_layouts/15/Doc.aspx?sourcedoc=%7B74DBEC6A-69C6-4C69-8B83-8B465ADA35AB%7D&amp;file=Modelo%20Cortolima%20%20V2.xlsm&amp;action=default&amp;mobileredirect=true</v>
      </c>
      <c r="AH217" s="40">
        <v>1</v>
      </c>
      <c r="AI217" s="40">
        <v>1</v>
      </c>
    </row>
    <row r="218" spans="1:35" ht="18.75" customHeight="1">
      <c r="A218" s="73">
        <v>2025</v>
      </c>
      <c r="B218" s="112" t="s">
        <v>13</v>
      </c>
      <c r="C218" s="36" t="s">
        <v>284</v>
      </c>
      <c r="D218" s="37">
        <v>45691.835365509258</v>
      </c>
      <c r="E218" s="36" t="s">
        <v>113</v>
      </c>
      <c r="F218" s="36" t="s">
        <v>195</v>
      </c>
      <c r="G218" s="36" t="s">
        <v>285</v>
      </c>
      <c r="H218" s="36" t="s">
        <v>286</v>
      </c>
      <c r="I218" s="36" t="s">
        <v>165</v>
      </c>
      <c r="J218" s="36" t="s">
        <v>287</v>
      </c>
      <c r="K218" s="36" t="s">
        <v>177</v>
      </c>
      <c r="L218" s="74">
        <f>VLOOKUP(E218,Diccionario!C$2:AC$150,22,0)</f>
        <v>0</v>
      </c>
      <c r="M218" s="75">
        <f>VLOOKUP(E218,Diccionario!C$2:AC$150,24,0)</f>
        <v>45568</v>
      </c>
      <c r="N218" s="76">
        <f>VLOOKUP(E218,Diccionario!C$2:AC$150,25,0)</f>
        <v>46356</v>
      </c>
      <c r="O218" s="77">
        <f>VLOOKUP(E218,Diccionario!C$2:AC$150,26,0)</f>
        <v>25.9</v>
      </c>
      <c r="P218" s="77">
        <f t="shared" si="97"/>
        <v>-17.899999999999999</v>
      </c>
      <c r="Q218" s="78">
        <v>8</v>
      </c>
      <c r="R218" s="36">
        <v>26</v>
      </c>
      <c r="S218" s="86">
        <v>0.293333333333333</v>
      </c>
      <c r="T218" s="86">
        <v>0.293333333333333</v>
      </c>
      <c r="U218" s="82">
        <v>11672212</v>
      </c>
      <c r="V218" s="82">
        <v>11672212</v>
      </c>
      <c r="W218" s="82">
        <f t="shared" si="87"/>
        <v>0</v>
      </c>
      <c r="X218" s="82">
        <f t="shared" si="92"/>
        <v>0</v>
      </c>
      <c r="Y218" s="82">
        <f t="shared" si="88"/>
        <v>-11672212</v>
      </c>
      <c r="Z218" s="82">
        <f t="shared" si="93"/>
        <v>0</v>
      </c>
      <c r="AA218" s="83">
        <f t="shared" si="98"/>
        <v>0</v>
      </c>
      <c r="AB218" s="84" t="str">
        <f t="shared" si="94"/>
        <v>No calculado</v>
      </c>
      <c r="AC218" s="84">
        <f t="shared" si="89"/>
        <v>0</v>
      </c>
      <c r="AD218" s="84" t="str">
        <f t="shared" si="95"/>
        <v>Sin Línea Base</v>
      </c>
      <c r="AE218" s="85">
        <f t="shared" si="90"/>
        <v>0</v>
      </c>
      <c r="AF218" s="85">
        <f t="shared" si="91"/>
        <v>0</v>
      </c>
      <c r="AG218" s="40" t="str">
        <f>VLOOKUP(Indicador!E218,Diccionario!C$1:AC$150,27,0)</f>
        <v>https://growdatasas.sharepoint.com/:x:/r/sites/Gestiondocumental/Administrativa/GD/Financiera/_layouts/15/Doc.aspx?sourcedoc=%7B74DBEC6A-69C6-4C69-8B83-8B465ADA35AB%7D&amp;file=Modelo%20Cortolima%20%20V2.xlsm&amp;action=default&amp;mobileredirect=true</v>
      </c>
      <c r="AH218" s="40">
        <v>1</v>
      </c>
      <c r="AI218" s="40">
        <v>1</v>
      </c>
    </row>
    <row r="219" spans="1:35" ht="18.75" customHeight="1">
      <c r="A219" s="73">
        <v>2025</v>
      </c>
      <c r="B219" s="112" t="s">
        <v>21</v>
      </c>
      <c r="C219" s="36" t="s">
        <v>284</v>
      </c>
      <c r="D219" s="37">
        <v>45691.835365509258</v>
      </c>
      <c r="E219" s="36" t="s">
        <v>113</v>
      </c>
      <c r="F219" s="36" t="s">
        <v>195</v>
      </c>
      <c r="G219" s="36" t="s">
        <v>285</v>
      </c>
      <c r="H219" s="36" t="s">
        <v>286</v>
      </c>
      <c r="I219" s="36" t="s">
        <v>165</v>
      </c>
      <c r="J219" s="36" t="s">
        <v>287</v>
      </c>
      <c r="K219" s="36" t="s">
        <v>177</v>
      </c>
      <c r="L219" s="74">
        <f>VLOOKUP(E219,Diccionario!C$2:AC$150,22,0)</f>
        <v>0</v>
      </c>
      <c r="M219" s="75">
        <f>VLOOKUP(E219,Diccionario!C$2:AC$150,24,0)</f>
        <v>45568</v>
      </c>
      <c r="N219" s="76">
        <f>VLOOKUP(E219,Diccionario!C$2:AC$150,25,0)</f>
        <v>46356</v>
      </c>
      <c r="O219" s="77">
        <f>VLOOKUP(E219,Diccionario!C$2:AC$150,26,0)</f>
        <v>25.9</v>
      </c>
      <c r="P219" s="77">
        <f t="shared" si="97"/>
        <v>-16.899999999999999</v>
      </c>
      <c r="Q219" s="78">
        <v>9</v>
      </c>
      <c r="R219" s="36">
        <v>26</v>
      </c>
      <c r="S219" s="86">
        <v>0.32833333333333298</v>
      </c>
      <c r="T219" s="86">
        <v>0.32833333333333298</v>
      </c>
      <c r="U219" s="82">
        <v>811672212</v>
      </c>
      <c r="V219" s="82">
        <v>811672212</v>
      </c>
      <c r="W219" s="82">
        <f t="shared" si="87"/>
        <v>0</v>
      </c>
      <c r="X219" s="82">
        <f t="shared" si="92"/>
        <v>0</v>
      </c>
      <c r="Y219" s="82">
        <f t="shared" si="88"/>
        <v>-811672212</v>
      </c>
      <c r="Z219" s="82">
        <f t="shared" si="93"/>
        <v>0</v>
      </c>
      <c r="AA219" s="83">
        <f t="shared" si="98"/>
        <v>0</v>
      </c>
      <c r="AB219" s="84" t="str">
        <f t="shared" si="94"/>
        <v>No calculado</v>
      </c>
      <c r="AC219" s="84">
        <f t="shared" si="89"/>
        <v>0</v>
      </c>
      <c r="AD219" s="84" t="str">
        <f t="shared" si="95"/>
        <v>Sin Línea Base</v>
      </c>
      <c r="AE219" s="85">
        <f t="shared" si="90"/>
        <v>0</v>
      </c>
      <c r="AF219" s="85">
        <f t="shared" si="91"/>
        <v>0</v>
      </c>
      <c r="AG219" s="40" t="str">
        <f>VLOOKUP(Indicador!E219,Diccionario!C$1:AC$150,27,0)</f>
        <v>https://growdatasas.sharepoint.com/:x:/r/sites/Gestiondocumental/Administrativa/GD/Financiera/_layouts/15/Doc.aspx?sourcedoc=%7B74DBEC6A-69C6-4C69-8B83-8B465ADA35AB%7D&amp;file=Modelo%20Cortolima%20%20V2.xlsm&amp;action=default&amp;mobileredirect=true</v>
      </c>
      <c r="AH219" s="40">
        <v>1</v>
      </c>
      <c r="AI219" s="40">
        <v>1</v>
      </c>
    </row>
    <row r="220" spans="1:35" ht="18.75" customHeight="1">
      <c r="A220" s="73">
        <v>2025</v>
      </c>
      <c r="B220" s="112" t="s">
        <v>23</v>
      </c>
      <c r="C220" s="36" t="s">
        <v>284</v>
      </c>
      <c r="D220" s="37">
        <v>45691.835365509258</v>
      </c>
      <c r="E220" s="36" t="s">
        <v>113</v>
      </c>
      <c r="F220" s="36" t="s">
        <v>195</v>
      </c>
      <c r="G220" s="36" t="s">
        <v>285</v>
      </c>
      <c r="H220" s="36" t="s">
        <v>286</v>
      </c>
      <c r="I220" s="36" t="s">
        <v>165</v>
      </c>
      <c r="J220" s="36" t="s">
        <v>287</v>
      </c>
      <c r="K220" s="36" t="s">
        <v>177</v>
      </c>
      <c r="L220" s="74">
        <f>VLOOKUP(E220,Diccionario!C$2:AC$150,22,0)</f>
        <v>0</v>
      </c>
      <c r="M220" s="75">
        <f>VLOOKUP(E220,Diccionario!C$2:AC$150,24,0)</f>
        <v>45568</v>
      </c>
      <c r="N220" s="76">
        <f>VLOOKUP(E220,Diccionario!C$2:AC$150,25,0)</f>
        <v>46356</v>
      </c>
      <c r="O220" s="77">
        <f>VLOOKUP(E220,Diccionario!C$2:AC$150,26,0)</f>
        <v>25.9</v>
      </c>
      <c r="P220" s="77">
        <f t="shared" si="97"/>
        <v>-15.899999999999999</v>
      </c>
      <c r="Q220" s="78">
        <v>10</v>
      </c>
      <c r="R220" s="36">
        <v>26</v>
      </c>
      <c r="S220" s="86">
        <v>0.36333333333333301</v>
      </c>
      <c r="T220" s="86">
        <v>0.36333333333333301</v>
      </c>
      <c r="U220" s="82">
        <v>11672212</v>
      </c>
      <c r="V220" s="82">
        <v>11672212</v>
      </c>
      <c r="W220" s="82">
        <f t="shared" si="87"/>
        <v>0</v>
      </c>
      <c r="X220" s="82">
        <f t="shared" si="92"/>
        <v>0</v>
      </c>
      <c r="Y220" s="82">
        <f t="shared" si="88"/>
        <v>-11672212</v>
      </c>
      <c r="Z220" s="82">
        <f t="shared" si="93"/>
        <v>0</v>
      </c>
      <c r="AA220" s="83">
        <f t="shared" si="98"/>
        <v>0</v>
      </c>
      <c r="AB220" s="84" t="str">
        <f t="shared" si="94"/>
        <v>No calculado</v>
      </c>
      <c r="AC220" s="84">
        <f t="shared" si="89"/>
        <v>0</v>
      </c>
      <c r="AD220" s="84" t="str">
        <f t="shared" si="95"/>
        <v>Sin Línea Base</v>
      </c>
      <c r="AE220" s="85">
        <f t="shared" si="90"/>
        <v>0</v>
      </c>
      <c r="AF220" s="85">
        <f t="shared" si="91"/>
        <v>0</v>
      </c>
      <c r="AG220" s="40" t="str">
        <f>VLOOKUP(Indicador!E220,Diccionario!C$1:AC$150,27,0)</f>
        <v>https://growdatasas.sharepoint.com/:x:/r/sites/Gestiondocumental/Administrativa/GD/Financiera/_layouts/15/Doc.aspx?sourcedoc=%7B74DBEC6A-69C6-4C69-8B83-8B465ADA35AB%7D&amp;file=Modelo%20Cortolima%20%20V2.xlsm&amp;action=default&amp;mobileredirect=true</v>
      </c>
      <c r="AH220" s="40">
        <v>1</v>
      </c>
      <c r="AI220" s="40">
        <v>1</v>
      </c>
    </row>
    <row r="221" spans="1:35" ht="18.75" customHeight="1">
      <c r="A221" s="73">
        <v>2025</v>
      </c>
      <c r="B221" s="112" t="s">
        <v>26</v>
      </c>
      <c r="C221" s="36" t="s">
        <v>284</v>
      </c>
      <c r="D221" s="37">
        <v>45691.835365509258</v>
      </c>
      <c r="E221" s="36" t="s">
        <v>113</v>
      </c>
      <c r="F221" s="36" t="s">
        <v>195</v>
      </c>
      <c r="G221" s="36" t="s">
        <v>285</v>
      </c>
      <c r="H221" s="36" t="s">
        <v>286</v>
      </c>
      <c r="I221" s="36" t="s">
        <v>165</v>
      </c>
      <c r="J221" s="36" t="s">
        <v>287</v>
      </c>
      <c r="K221" s="36" t="s">
        <v>177</v>
      </c>
      <c r="L221" s="74">
        <f>VLOOKUP(E221,Diccionario!C$2:AC$150,22,0)</f>
        <v>0</v>
      </c>
      <c r="M221" s="75">
        <f>VLOOKUP(E221,Diccionario!C$2:AC$150,24,0)</f>
        <v>45568</v>
      </c>
      <c r="N221" s="76">
        <f>VLOOKUP(E221,Diccionario!C$2:AC$150,25,0)</f>
        <v>46356</v>
      </c>
      <c r="O221" s="77">
        <f>VLOOKUP(E221,Diccionario!C$2:AC$150,26,0)</f>
        <v>25.9</v>
      </c>
      <c r="P221" s="77">
        <f t="shared" si="97"/>
        <v>-14.899999999999999</v>
      </c>
      <c r="Q221" s="78">
        <v>11</v>
      </c>
      <c r="R221" s="36">
        <v>26</v>
      </c>
      <c r="S221" s="86">
        <v>0.39833333333333298</v>
      </c>
      <c r="T221" s="86">
        <v>0.39833333333333298</v>
      </c>
      <c r="U221" s="82">
        <v>11672212</v>
      </c>
      <c r="V221" s="82">
        <v>11672212</v>
      </c>
      <c r="W221" s="82">
        <f t="shared" si="87"/>
        <v>0</v>
      </c>
      <c r="X221" s="82">
        <f t="shared" si="92"/>
        <v>0</v>
      </c>
      <c r="Y221" s="82">
        <f t="shared" si="88"/>
        <v>-11672212</v>
      </c>
      <c r="Z221" s="82">
        <f t="shared" si="93"/>
        <v>0</v>
      </c>
      <c r="AA221" s="83">
        <f t="shared" si="98"/>
        <v>0</v>
      </c>
      <c r="AB221" s="84" t="str">
        <f t="shared" si="94"/>
        <v>No calculado</v>
      </c>
      <c r="AC221" s="84">
        <f t="shared" si="89"/>
        <v>0</v>
      </c>
      <c r="AD221" s="84" t="str">
        <f t="shared" si="95"/>
        <v>Sin Línea Base</v>
      </c>
      <c r="AE221" s="85">
        <f t="shared" si="90"/>
        <v>0</v>
      </c>
      <c r="AF221" s="85">
        <f t="shared" si="91"/>
        <v>0</v>
      </c>
      <c r="AG221" s="40" t="str">
        <f>VLOOKUP(Indicador!E221,Diccionario!C$1:AC$150,27,0)</f>
        <v>https://growdatasas.sharepoint.com/:x:/r/sites/Gestiondocumental/Administrativa/GD/Financiera/_layouts/15/Doc.aspx?sourcedoc=%7B74DBEC6A-69C6-4C69-8B83-8B465ADA35AB%7D&amp;file=Modelo%20Cortolima%20%20V2.xlsm&amp;action=default&amp;mobileredirect=true</v>
      </c>
      <c r="AH221" s="40">
        <v>1</v>
      </c>
      <c r="AI221" s="40">
        <v>1</v>
      </c>
    </row>
    <row r="222" spans="1:35" ht="18.75" customHeight="1">
      <c r="A222" s="73">
        <v>2025</v>
      </c>
      <c r="B222" s="112" t="s">
        <v>28</v>
      </c>
      <c r="C222" s="36" t="s">
        <v>284</v>
      </c>
      <c r="D222" s="37">
        <v>45691.835365509258</v>
      </c>
      <c r="E222" s="36" t="s">
        <v>113</v>
      </c>
      <c r="F222" s="36" t="s">
        <v>195</v>
      </c>
      <c r="G222" s="36" t="s">
        <v>285</v>
      </c>
      <c r="H222" s="36" t="s">
        <v>286</v>
      </c>
      <c r="I222" s="36" t="s">
        <v>165</v>
      </c>
      <c r="J222" s="36" t="s">
        <v>287</v>
      </c>
      <c r="K222" s="36" t="s">
        <v>177</v>
      </c>
      <c r="L222" s="74">
        <f>VLOOKUP(E222,Diccionario!C$2:AC$150,22,0)</f>
        <v>0</v>
      </c>
      <c r="M222" s="75">
        <f>VLOOKUP(E222,Diccionario!C$2:AC$150,24,0)</f>
        <v>45568</v>
      </c>
      <c r="N222" s="76">
        <f>VLOOKUP(E222,Diccionario!C$2:AC$150,25,0)</f>
        <v>46356</v>
      </c>
      <c r="O222" s="77">
        <f>VLOOKUP(E222,Diccionario!C$2:AC$150,26,0)</f>
        <v>25.9</v>
      </c>
      <c r="P222" s="77">
        <f t="shared" si="97"/>
        <v>-13.899999999999999</v>
      </c>
      <c r="Q222" s="78">
        <v>12</v>
      </c>
      <c r="R222" s="36">
        <v>26</v>
      </c>
      <c r="S222" s="86">
        <v>0.43333333333333302</v>
      </c>
      <c r="T222" s="86">
        <v>0.43333333333333302</v>
      </c>
      <c r="U222" s="82">
        <v>11672212</v>
      </c>
      <c r="V222" s="82">
        <v>11672212</v>
      </c>
      <c r="W222" s="82">
        <f t="shared" si="87"/>
        <v>0</v>
      </c>
      <c r="X222" s="82">
        <f t="shared" si="92"/>
        <v>0</v>
      </c>
      <c r="Y222" s="82">
        <f t="shared" si="88"/>
        <v>-11672212</v>
      </c>
      <c r="Z222" s="82">
        <f t="shared" si="93"/>
        <v>0</v>
      </c>
      <c r="AA222" s="83">
        <f t="shared" si="98"/>
        <v>0</v>
      </c>
      <c r="AB222" s="84" t="str">
        <f t="shared" si="94"/>
        <v>No calculado</v>
      </c>
      <c r="AC222" s="84">
        <f t="shared" si="89"/>
        <v>0</v>
      </c>
      <c r="AD222" s="84" t="str">
        <f t="shared" si="95"/>
        <v>Sin Línea Base</v>
      </c>
      <c r="AE222" s="85">
        <f t="shared" si="90"/>
        <v>0</v>
      </c>
      <c r="AF222" s="85">
        <f t="shared" si="91"/>
        <v>0</v>
      </c>
      <c r="AG222" s="40" t="str">
        <f>VLOOKUP(Indicador!E222,Diccionario!C$1:AC$150,27,0)</f>
        <v>https://growdatasas.sharepoint.com/:x:/r/sites/Gestiondocumental/Administrativa/GD/Financiera/_layouts/15/Doc.aspx?sourcedoc=%7B74DBEC6A-69C6-4C69-8B83-8B465ADA35AB%7D&amp;file=Modelo%20Cortolima%20%20V2.xlsm&amp;action=default&amp;mobileredirect=true</v>
      </c>
      <c r="AH222" s="40">
        <v>1</v>
      </c>
      <c r="AI222" s="40">
        <v>1</v>
      </c>
    </row>
    <row r="223" spans="1:35" ht="18.75" customHeight="1">
      <c r="A223" s="73">
        <v>2025</v>
      </c>
      <c r="B223" s="112" t="s">
        <v>30</v>
      </c>
      <c r="C223" s="36" t="s">
        <v>284</v>
      </c>
      <c r="D223" s="37">
        <v>45691.835365509258</v>
      </c>
      <c r="E223" s="36" t="s">
        <v>113</v>
      </c>
      <c r="F223" s="36" t="s">
        <v>195</v>
      </c>
      <c r="G223" s="36" t="s">
        <v>285</v>
      </c>
      <c r="H223" s="36" t="s">
        <v>286</v>
      </c>
      <c r="I223" s="36" t="s">
        <v>165</v>
      </c>
      <c r="J223" s="36" t="s">
        <v>287</v>
      </c>
      <c r="K223" s="36" t="s">
        <v>177</v>
      </c>
      <c r="L223" s="74">
        <f>VLOOKUP(E223,Diccionario!C$2:AC$150,22,0)</f>
        <v>0</v>
      </c>
      <c r="M223" s="75">
        <f>VLOOKUP(E223,Diccionario!C$2:AC$150,24,0)</f>
        <v>45568</v>
      </c>
      <c r="N223" s="76">
        <f>VLOOKUP(E223,Diccionario!C$2:AC$150,25,0)</f>
        <v>46356</v>
      </c>
      <c r="O223" s="77">
        <f>VLOOKUP(E223,Diccionario!C$2:AC$150,26,0)</f>
        <v>25.9</v>
      </c>
      <c r="P223" s="77">
        <f t="shared" si="97"/>
        <v>-12.899999999999999</v>
      </c>
      <c r="Q223" s="78">
        <v>13</v>
      </c>
      <c r="R223" s="36">
        <v>26</v>
      </c>
      <c r="S223" s="86">
        <v>0.46833333333333299</v>
      </c>
      <c r="T223" s="86">
        <v>0.46833333333333299</v>
      </c>
      <c r="U223" s="82">
        <v>11672212</v>
      </c>
      <c r="V223" s="82">
        <v>11672212</v>
      </c>
      <c r="W223" s="82">
        <f t="shared" si="87"/>
        <v>0</v>
      </c>
      <c r="X223" s="82">
        <f t="shared" si="92"/>
        <v>0</v>
      </c>
      <c r="Y223" s="82">
        <f t="shared" si="88"/>
        <v>-11672212</v>
      </c>
      <c r="Z223" s="82">
        <f t="shared" si="93"/>
        <v>0</v>
      </c>
      <c r="AA223" s="83">
        <f t="shared" si="98"/>
        <v>0</v>
      </c>
      <c r="AB223" s="84" t="str">
        <f t="shared" si="94"/>
        <v>No calculado</v>
      </c>
      <c r="AC223" s="84">
        <f t="shared" si="89"/>
        <v>0</v>
      </c>
      <c r="AD223" s="84" t="str">
        <f t="shared" si="95"/>
        <v>Sin Línea Base</v>
      </c>
      <c r="AE223" s="85">
        <f t="shared" si="90"/>
        <v>0</v>
      </c>
      <c r="AF223" s="85">
        <f t="shared" si="91"/>
        <v>0</v>
      </c>
      <c r="AG223" s="40" t="str">
        <f>VLOOKUP(Indicador!E223,Diccionario!C$1:AC$150,27,0)</f>
        <v>https://growdatasas.sharepoint.com/:x:/r/sites/Gestiondocumental/Administrativa/GD/Financiera/_layouts/15/Doc.aspx?sourcedoc=%7B74DBEC6A-69C6-4C69-8B83-8B465ADA35AB%7D&amp;file=Modelo%20Cortolima%20%20V2.xlsm&amp;action=default&amp;mobileredirect=true</v>
      </c>
      <c r="AH223" s="40">
        <v>1</v>
      </c>
      <c r="AI223" s="40">
        <v>1</v>
      </c>
    </row>
    <row r="224" spans="1:35" ht="18.75" customHeight="1">
      <c r="A224" s="73">
        <v>2025</v>
      </c>
      <c r="B224" s="112" t="s">
        <v>31</v>
      </c>
      <c r="C224" s="36" t="s">
        <v>284</v>
      </c>
      <c r="D224" s="37">
        <v>45691.835365509258</v>
      </c>
      <c r="E224" s="36" t="s">
        <v>113</v>
      </c>
      <c r="F224" s="36" t="s">
        <v>195</v>
      </c>
      <c r="G224" s="36" t="s">
        <v>285</v>
      </c>
      <c r="H224" s="36" t="s">
        <v>286</v>
      </c>
      <c r="I224" s="36" t="s">
        <v>165</v>
      </c>
      <c r="J224" s="36" t="s">
        <v>287</v>
      </c>
      <c r="K224" s="36" t="s">
        <v>177</v>
      </c>
      <c r="L224" s="74">
        <f>VLOOKUP(E224,Diccionario!C$2:AC$150,22,0)</f>
        <v>0</v>
      </c>
      <c r="M224" s="75">
        <f>VLOOKUP(E224,Diccionario!C$2:AC$150,24,0)</f>
        <v>45568</v>
      </c>
      <c r="N224" s="76">
        <f>VLOOKUP(E224,Diccionario!C$2:AC$150,25,0)</f>
        <v>46356</v>
      </c>
      <c r="O224" s="77">
        <f>VLOOKUP(E224,Diccionario!C$2:AC$150,26,0)</f>
        <v>25.9</v>
      </c>
      <c r="P224" s="77">
        <f t="shared" si="97"/>
        <v>-11.899999999999999</v>
      </c>
      <c r="Q224" s="78">
        <v>14</v>
      </c>
      <c r="R224" s="36">
        <v>26</v>
      </c>
      <c r="S224" s="86">
        <v>0.50333333333333297</v>
      </c>
      <c r="T224" s="86">
        <v>0.50333333333333297</v>
      </c>
      <c r="U224" s="82">
        <v>611672212</v>
      </c>
      <c r="V224" s="82">
        <v>611672212</v>
      </c>
      <c r="W224" s="82">
        <f t="shared" si="87"/>
        <v>0</v>
      </c>
      <c r="X224" s="82">
        <f t="shared" si="92"/>
        <v>0</v>
      </c>
      <c r="Y224" s="82">
        <f t="shared" si="88"/>
        <v>-611672212</v>
      </c>
      <c r="Z224" s="82">
        <f t="shared" si="93"/>
        <v>0</v>
      </c>
      <c r="AA224" s="83">
        <f t="shared" si="98"/>
        <v>0</v>
      </c>
      <c r="AB224" s="84" t="str">
        <f t="shared" si="94"/>
        <v>No calculado</v>
      </c>
      <c r="AC224" s="84">
        <f t="shared" si="89"/>
        <v>0</v>
      </c>
      <c r="AD224" s="84" t="str">
        <f t="shared" si="95"/>
        <v>Sin Línea Base</v>
      </c>
      <c r="AE224" s="85">
        <f t="shared" si="90"/>
        <v>0</v>
      </c>
      <c r="AF224" s="85">
        <f t="shared" si="91"/>
        <v>0</v>
      </c>
      <c r="AG224" s="40" t="str">
        <f>VLOOKUP(Indicador!E224,Diccionario!C$1:AC$150,27,0)</f>
        <v>https://growdatasas.sharepoint.com/:x:/r/sites/Gestiondocumental/Administrativa/GD/Financiera/_layouts/15/Doc.aspx?sourcedoc=%7B74DBEC6A-69C6-4C69-8B83-8B465ADA35AB%7D&amp;file=Modelo%20Cortolima%20%20V2.xlsm&amp;action=default&amp;mobileredirect=true</v>
      </c>
      <c r="AH224" s="40">
        <v>1</v>
      </c>
      <c r="AI224" s="40">
        <v>1</v>
      </c>
    </row>
    <row r="225" spans="1:35" ht="18.75" customHeight="1">
      <c r="A225" s="73">
        <v>2025</v>
      </c>
      <c r="B225" s="112" t="s">
        <v>32</v>
      </c>
      <c r="C225" s="36" t="s">
        <v>284</v>
      </c>
      <c r="D225" s="37">
        <v>45691.835365509258</v>
      </c>
      <c r="E225" s="36" t="s">
        <v>113</v>
      </c>
      <c r="F225" s="36" t="s">
        <v>195</v>
      </c>
      <c r="G225" s="36" t="s">
        <v>285</v>
      </c>
      <c r="H225" s="36" t="s">
        <v>286</v>
      </c>
      <c r="I225" s="36" t="s">
        <v>165</v>
      </c>
      <c r="J225" s="36" t="s">
        <v>287</v>
      </c>
      <c r="K225" s="36" t="s">
        <v>177</v>
      </c>
      <c r="L225" s="74">
        <f>VLOOKUP(E225,Diccionario!C$2:AC$150,22,0)</f>
        <v>0</v>
      </c>
      <c r="M225" s="75">
        <f>VLOOKUP(E225,Diccionario!C$2:AC$150,24,0)</f>
        <v>45568</v>
      </c>
      <c r="N225" s="76">
        <f>VLOOKUP(E225,Diccionario!C$2:AC$150,25,0)</f>
        <v>46356</v>
      </c>
      <c r="O225" s="77">
        <f>VLOOKUP(E225,Diccionario!C$2:AC$150,26,0)</f>
        <v>25.9</v>
      </c>
      <c r="P225" s="77">
        <f t="shared" si="97"/>
        <v>-10.899999999999999</v>
      </c>
      <c r="Q225" s="78">
        <v>15</v>
      </c>
      <c r="R225" s="36">
        <v>26</v>
      </c>
      <c r="S225" s="86">
        <v>0.538333333333333</v>
      </c>
      <c r="T225" s="86">
        <v>0.538333333333333</v>
      </c>
      <c r="U225" s="82">
        <v>11672212</v>
      </c>
      <c r="V225" s="82">
        <v>11672212</v>
      </c>
      <c r="W225" s="82">
        <f t="shared" si="87"/>
        <v>0</v>
      </c>
      <c r="X225" s="82">
        <f t="shared" si="92"/>
        <v>0</v>
      </c>
      <c r="Y225" s="82">
        <f t="shared" si="88"/>
        <v>-11672212</v>
      </c>
      <c r="Z225" s="82">
        <f t="shared" si="93"/>
        <v>0</v>
      </c>
      <c r="AA225" s="83">
        <f t="shared" si="98"/>
        <v>0</v>
      </c>
      <c r="AB225" s="84" t="str">
        <f t="shared" si="94"/>
        <v>No calculado</v>
      </c>
      <c r="AC225" s="84">
        <f t="shared" si="89"/>
        <v>0</v>
      </c>
      <c r="AD225" s="84" t="str">
        <f t="shared" si="95"/>
        <v>Sin Línea Base</v>
      </c>
      <c r="AE225" s="85">
        <f t="shared" si="90"/>
        <v>0</v>
      </c>
      <c r="AF225" s="85">
        <f t="shared" si="91"/>
        <v>0</v>
      </c>
      <c r="AG225" s="40" t="str">
        <f>VLOOKUP(Indicador!E225,Diccionario!C$1:AC$150,27,0)</f>
        <v>https://growdatasas.sharepoint.com/:x:/r/sites/Gestiondocumental/Administrativa/GD/Financiera/_layouts/15/Doc.aspx?sourcedoc=%7B74DBEC6A-69C6-4C69-8B83-8B465ADA35AB%7D&amp;file=Modelo%20Cortolima%20%20V2.xlsm&amp;action=default&amp;mobileredirect=true</v>
      </c>
      <c r="AH225" s="40">
        <v>1</v>
      </c>
      <c r="AI225" s="40">
        <v>1</v>
      </c>
    </row>
    <row r="226" spans="1:35" ht="18.75" customHeight="1">
      <c r="A226" s="73">
        <v>2026</v>
      </c>
      <c r="B226" s="112" t="s">
        <v>14</v>
      </c>
      <c r="C226" s="36" t="s">
        <v>284</v>
      </c>
      <c r="D226" s="37">
        <v>45691.835365509258</v>
      </c>
      <c r="E226" s="36" t="s">
        <v>113</v>
      </c>
      <c r="F226" s="36" t="s">
        <v>195</v>
      </c>
      <c r="G226" s="36" t="s">
        <v>285</v>
      </c>
      <c r="H226" s="36" t="s">
        <v>286</v>
      </c>
      <c r="I226" s="36" t="s">
        <v>165</v>
      </c>
      <c r="J226" s="36" t="s">
        <v>287</v>
      </c>
      <c r="K226" s="36" t="s">
        <v>177</v>
      </c>
      <c r="L226" s="74">
        <f>VLOOKUP(E226,Diccionario!C$2:AC$150,22,0)</f>
        <v>0</v>
      </c>
      <c r="M226" s="75">
        <f>VLOOKUP(E226,Diccionario!C$2:AC$150,24,0)</f>
        <v>45568</v>
      </c>
      <c r="N226" s="76">
        <f>VLOOKUP(E226,Diccionario!C$2:AC$150,25,0)</f>
        <v>46356</v>
      </c>
      <c r="O226" s="77">
        <f>VLOOKUP(E226,Diccionario!C$2:AC$150,26,0)</f>
        <v>25.9</v>
      </c>
      <c r="P226" s="77">
        <f t="shared" si="97"/>
        <v>-9.8999999999999986</v>
      </c>
      <c r="Q226" s="78">
        <v>16</v>
      </c>
      <c r="R226" s="36">
        <v>26</v>
      </c>
      <c r="S226" s="86">
        <v>0.6</v>
      </c>
      <c r="T226" s="86">
        <v>0.6</v>
      </c>
      <c r="U226" s="82">
        <v>11672212</v>
      </c>
      <c r="V226" s="82">
        <v>11672212</v>
      </c>
      <c r="W226" s="82">
        <f t="shared" si="87"/>
        <v>0</v>
      </c>
      <c r="X226" s="82">
        <f t="shared" si="92"/>
        <v>0</v>
      </c>
      <c r="Y226" s="82">
        <f t="shared" si="88"/>
        <v>-11672212</v>
      </c>
      <c r="Z226" s="82">
        <f t="shared" si="93"/>
        <v>0</v>
      </c>
      <c r="AA226" s="83">
        <f t="shared" si="98"/>
        <v>0</v>
      </c>
      <c r="AB226" s="84" t="str">
        <f t="shared" si="94"/>
        <v>No calculado</v>
      </c>
      <c r="AC226" s="84">
        <f t="shared" si="89"/>
        <v>0</v>
      </c>
      <c r="AD226" s="84" t="str">
        <f t="shared" si="95"/>
        <v>Sin Línea Base</v>
      </c>
      <c r="AE226" s="85">
        <f t="shared" si="90"/>
        <v>0</v>
      </c>
      <c r="AF226" s="85">
        <f t="shared" si="91"/>
        <v>0</v>
      </c>
      <c r="AG226" s="40" t="str">
        <f>VLOOKUP(Indicador!E226,Diccionario!C$1:AC$150,27,0)</f>
        <v>https://growdatasas.sharepoint.com/:x:/r/sites/Gestiondocumental/Administrativa/GD/Financiera/_layouts/15/Doc.aspx?sourcedoc=%7B74DBEC6A-69C6-4C69-8B83-8B465ADA35AB%7D&amp;file=Modelo%20Cortolima%20%20V2.xlsm&amp;action=default&amp;mobileredirect=true</v>
      </c>
      <c r="AH226" s="40">
        <v>1</v>
      </c>
      <c r="AI226" s="40">
        <v>1</v>
      </c>
    </row>
    <row r="227" spans="1:35" ht="18.75" customHeight="1">
      <c r="A227" s="73">
        <v>2026</v>
      </c>
      <c r="B227" s="112" t="s">
        <v>22</v>
      </c>
      <c r="C227" s="36" t="s">
        <v>284</v>
      </c>
      <c r="D227" s="37">
        <v>45691.835365509258</v>
      </c>
      <c r="E227" s="36" t="s">
        <v>113</v>
      </c>
      <c r="F227" s="36" t="s">
        <v>195</v>
      </c>
      <c r="G227" s="36" t="s">
        <v>285</v>
      </c>
      <c r="H227" s="36" t="s">
        <v>286</v>
      </c>
      <c r="I227" s="36" t="s">
        <v>165</v>
      </c>
      <c r="J227" s="36" t="s">
        <v>287</v>
      </c>
      <c r="K227" s="36" t="s">
        <v>177</v>
      </c>
      <c r="L227" s="74">
        <f>VLOOKUP(E227,Diccionario!C$2:AC$150,22,0)</f>
        <v>0</v>
      </c>
      <c r="M227" s="75">
        <f>VLOOKUP(E227,Diccionario!C$2:AC$150,24,0)</f>
        <v>45568</v>
      </c>
      <c r="N227" s="76">
        <f>VLOOKUP(E227,Diccionario!C$2:AC$150,25,0)</f>
        <v>46356</v>
      </c>
      <c r="O227" s="77">
        <f>VLOOKUP(E227,Diccionario!C$2:AC$150,26,0)</f>
        <v>25.9</v>
      </c>
      <c r="P227" s="77">
        <f t="shared" si="97"/>
        <v>-8.8999999999999986</v>
      </c>
      <c r="Q227" s="78">
        <v>17</v>
      </c>
      <c r="R227" s="36">
        <v>26</v>
      </c>
      <c r="S227" s="95"/>
      <c r="T227" s="86">
        <v>0</v>
      </c>
      <c r="U227" s="82">
        <v>0</v>
      </c>
      <c r="V227" s="82">
        <v>0</v>
      </c>
      <c r="W227" s="82">
        <f t="shared" si="87"/>
        <v>0</v>
      </c>
      <c r="X227" s="82">
        <f t="shared" si="92"/>
        <v>0</v>
      </c>
      <c r="Y227" s="82">
        <f t="shared" si="88"/>
        <v>0</v>
      </c>
      <c r="Z227" s="82">
        <f t="shared" si="93"/>
        <v>0</v>
      </c>
      <c r="AA227" s="83" t="str">
        <f t="shared" si="98"/>
        <v>No se realizó gasto en este corte</v>
      </c>
      <c r="AB227" s="84" t="str">
        <f t="shared" si="94"/>
        <v>Costo eficiente: se está gastando menos de lo presupuestado</v>
      </c>
      <c r="AC227" s="84">
        <f t="shared" si="89"/>
        <v>0</v>
      </c>
      <c r="AD227" s="84" t="str">
        <f t="shared" si="95"/>
        <v>Sin Línea Base</v>
      </c>
      <c r="AE227" s="85">
        <f t="shared" si="90"/>
        <v>0</v>
      </c>
      <c r="AF227" s="85">
        <f t="shared" si="91"/>
        <v>0</v>
      </c>
      <c r="AG227" s="40" t="str">
        <f>VLOOKUP(Indicador!E227,Diccionario!C$1:AC$150,27,0)</f>
        <v>https://growdatasas.sharepoint.com/:x:/r/sites/Gestiondocumental/Administrativa/GD/Financiera/_layouts/15/Doc.aspx?sourcedoc=%7B74DBEC6A-69C6-4C69-8B83-8B465ADA35AB%7D&amp;file=Modelo%20Cortolima%20%20V2.xlsm&amp;action=default&amp;mobileredirect=true</v>
      </c>
      <c r="AH227" s="40">
        <v>1</v>
      </c>
      <c r="AI227" s="40">
        <v>1</v>
      </c>
    </row>
    <row r="228" spans="1:35" ht="18.75" customHeight="1">
      <c r="A228" s="73">
        <v>2026</v>
      </c>
      <c r="B228" s="112" t="s">
        <v>24</v>
      </c>
      <c r="C228" s="36" t="s">
        <v>284</v>
      </c>
      <c r="D228" s="37">
        <v>45691.835365509258</v>
      </c>
      <c r="E228" s="36" t="s">
        <v>113</v>
      </c>
      <c r="F228" s="36" t="s">
        <v>195</v>
      </c>
      <c r="G228" s="36" t="s">
        <v>285</v>
      </c>
      <c r="H228" s="36" t="s">
        <v>286</v>
      </c>
      <c r="I228" s="36" t="s">
        <v>165</v>
      </c>
      <c r="J228" s="36" t="s">
        <v>287</v>
      </c>
      <c r="K228" s="36" t="s">
        <v>177</v>
      </c>
      <c r="L228" s="74">
        <f>VLOOKUP(E228,Diccionario!C$2:AC$150,22,0)</f>
        <v>0</v>
      </c>
      <c r="M228" s="75">
        <f>VLOOKUP(E228,Diccionario!C$2:AC$150,24,0)</f>
        <v>45568</v>
      </c>
      <c r="N228" s="76">
        <f>VLOOKUP(E228,Diccionario!C$2:AC$150,25,0)</f>
        <v>46356</v>
      </c>
      <c r="O228" s="77">
        <f>VLOOKUP(E228,Diccionario!C$2:AC$150,26,0)</f>
        <v>25.9</v>
      </c>
      <c r="P228" s="77">
        <f t="shared" si="97"/>
        <v>-7.8999999999999986</v>
      </c>
      <c r="Q228" s="78">
        <v>18</v>
      </c>
      <c r="R228" s="36">
        <v>26</v>
      </c>
      <c r="S228" s="95"/>
      <c r="T228" s="86">
        <v>0</v>
      </c>
      <c r="U228" s="82">
        <v>0</v>
      </c>
      <c r="V228" s="82">
        <v>0</v>
      </c>
      <c r="W228" s="82">
        <f t="shared" si="87"/>
        <v>0</v>
      </c>
      <c r="X228" s="82">
        <f t="shared" si="92"/>
        <v>0</v>
      </c>
      <c r="Y228" s="82">
        <f t="shared" si="88"/>
        <v>0</v>
      </c>
      <c r="Z228" s="82">
        <f t="shared" si="93"/>
        <v>0</v>
      </c>
      <c r="AA228" s="83" t="str">
        <f t="shared" si="98"/>
        <v>No se realizó gasto en este corte</v>
      </c>
      <c r="AB228" s="84" t="str">
        <f t="shared" si="94"/>
        <v>Costo eficiente: se está gastando menos de lo presupuestado</v>
      </c>
      <c r="AC228" s="84">
        <f t="shared" si="89"/>
        <v>0</v>
      </c>
      <c r="AD228" s="84" t="str">
        <f t="shared" si="95"/>
        <v>Sin Línea Base</v>
      </c>
      <c r="AE228" s="85">
        <f t="shared" si="90"/>
        <v>0</v>
      </c>
      <c r="AF228" s="85">
        <f t="shared" si="91"/>
        <v>0</v>
      </c>
      <c r="AG228" s="40" t="str">
        <f>VLOOKUP(Indicador!E228,Diccionario!C$1:AC$150,27,0)</f>
        <v>https://growdatasas.sharepoint.com/:x:/r/sites/Gestiondocumental/Administrativa/GD/Financiera/_layouts/15/Doc.aspx?sourcedoc=%7B74DBEC6A-69C6-4C69-8B83-8B465ADA35AB%7D&amp;file=Modelo%20Cortolima%20%20V2.xlsm&amp;action=default&amp;mobileredirect=true</v>
      </c>
      <c r="AH228" s="40">
        <v>1</v>
      </c>
      <c r="AI228" s="40">
        <v>1</v>
      </c>
    </row>
    <row r="229" spans="1:35" ht="18.75" customHeight="1">
      <c r="A229" s="73">
        <v>2026</v>
      </c>
      <c r="B229" s="112" t="s">
        <v>27</v>
      </c>
      <c r="C229" s="36" t="s">
        <v>284</v>
      </c>
      <c r="D229" s="37">
        <v>45691.835365509258</v>
      </c>
      <c r="E229" s="36" t="s">
        <v>113</v>
      </c>
      <c r="F229" s="36" t="s">
        <v>195</v>
      </c>
      <c r="G229" s="36" t="s">
        <v>285</v>
      </c>
      <c r="H229" s="36" t="s">
        <v>286</v>
      </c>
      <c r="I229" s="36" t="s">
        <v>165</v>
      </c>
      <c r="J229" s="36" t="s">
        <v>287</v>
      </c>
      <c r="K229" s="36" t="s">
        <v>177</v>
      </c>
      <c r="L229" s="74">
        <f>VLOOKUP(E229,Diccionario!C$2:AC$150,22,0)</f>
        <v>0</v>
      </c>
      <c r="M229" s="75">
        <f>VLOOKUP(E229,Diccionario!C$2:AC$150,24,0)</f>
        <v>45568</v>
      </c>
      <c r="N229" s="76">
        <f>VLOOKUP(E229,Diccionario!C$2:AC$150,25,0)</f>
        <v>46356</v>
      </c>
      <c r="O229" s="77">
        <f>VLOOKUP(E229,Diccionario!C$2:AC$150,26,0)</f>
        <v>25.9</v>
      </c>
      <c r="P229" s="77">
        <f t="shared" si="97"/>
        <v>-6.8999999999999986</v>
      </c>
      <c r="Q229" s="78">
        <v>19</v>
      </c>
      <c r="R229" s="36">
        <v>26</v>
      </c>
      <c r="S229" s="95"/>
      <c r="T229" s="86">
        <v>0</v>
      </c>
      <c r="U229" s="82">
        <v>0</v>
      </c>
      <c r="V229" s="82">
        <v>0</v>
      </c>
      <c r="W229" s="82">
        <f t="shared" si="87"/>
        <v>0</v>
      </c>
      <c r="X229" s="82">
        <f t="shared" si="92"/>
        <v>0</v>
      </c>
      <c r="Y229" s="82">
        <f t="shared" si="88"/>
        <v>0</v>
      </c>
      <c r="Z229" s="82">
        <f t="shared" si="93"/>
        <v>0</v>
      </c>
      <c r="AA229" s="83" t="str">
        <f t="shared" si="98"/>
        <v>No se realizó gasto en este corte</v>
      </c>
      <c r="AB229" s="84" t="str">
        <f t="shared" si="94"/>
        <v>Costo eficiente: se está gastando menos de lo presupuestado</v>
      </c>
      <c r="AC229" s="84">
        <f t="shared" si="89"/>
        <v>0</v>
      </c>
      <c r="AD229" s="84" t="str">
        <f t="shared" si="95"/>
        <v>Sin Línea Base</v>
      </c>
      <c r="AE229" s="85">
        <f t="shared" si="90"/>
        <v>0</v>
      </c>
      <c r="AF229" s="85">
        <f t="shared" si="91"/>
        <v>0</v>
      </c>
      <c r="AG229" s="40" t="str">
        <f>VLOOKUP(Indicador!E229,Diccionario!C$1:AC$150,27,0)</f>
        <v>https://growdatasas.sharepoint.com/:x:/r/sites/Gestiondocumental/Administrativa/GD/Financiera/_layouts/15/Doc.aspx?sourcedoc=%7B74DBEC6A-69C6-4C69-8B83-8B465ADA35AB%7D&amp;file=Modelo%20Cortolima%20%20V2.xlsm&amp;action=default&amp;mobileredirect=true</v>
      </c>
      <c r="AH229" s="40">
        <v>1</v>
      </c>
      <c r="AI229" s="40">
        <v>1</v>
      </c>
    </row>
    <row r="230" spans="1:35" ht="18.75" customHeight="1">
      <c r="A230" s="73">
        <v>2026</v>
      </c>
      <c r="B230" s="112" t="s">
        <v>13</v>
      </c>
      <c r="C230" s="36" t="s">
        <v>284</v>
      </c>
      <c r="D230" s="37">
        <v>45691.835365509258</v>
      </c>
      <c r="E230" s="36" t="s">
        <v>113</v>
      </c>
      <c r="F230" s="36" t="s">
        <v>195</v>
      </c>
      <c r="G230" s="36" t="s">
        <v>285</v>
      </c>
      <c r="H230" s="36" t="s">
        <v>286</v>
      </c>
      <c r="I230" s="36" t="s">
        <v>165</v>
      </c>
      <c r="J230" s="36" t="s">
        <v>287</v>
      </c>
      <c r="K230" s="36" t="s">
        <v>177</v>
      </c>
      <c r="L230" s="74">
        <f>VLOOKUP(E230,Diccionario!C$2:AC$150,22,0)</f>
        <v>0</v>
      </c>
      <c r="M230" s="75">
        <f>VLOOKUP(E230,Diccionario!C$2:AC$150,24,0)</f>
        <v>45568</v>
      </c>
      <c r="N230" s="76">
        <f>VLOOKUP(E230,Diccionario!C$2:AC$150,25,0)</f>
        <v>46356</v>
      </c>
      <c r="O230" s="77">
        <f>VLOOKUP(E230,Diccionario!C$2:AC$150,26,0)</f>
        <v>25.9</v>
      </c>
      <c r="P230" s="77">
        <f t="shared" ref="P230:P239" si="99">Q230-O230</f>
        <v>-5.8999999999999986</v>
      </c>
      <c r="Q230" s="78">
        <v>20</v>
      </c>
      <c r="R230" s="36">
        <v>26</v>
      </c>
      <c r="S230" s="95"/>
      <c r="T230" s="86">
        <v>0</v>
      </c>
      <c r="U230" s="82">
        <v>0</v>
      </c>
      <c r="V230" s="82">
        <v>0</v>
      </c>
      <c r="W230" s="82">
        <f t="shared" si="87"/>
        <v>0</v>
      </c>
      <c r="X230" s="82">
        <f t="shared" si="92"/>
        <v>0</v>
      </c>
      <c r="Y230" s="82">
        <f t="shared" si="88"/>
        <v>0</v>
      </c>
      <c r="Z230" s="82">
        <f t="shared" si="93"/>
        <v>0</v>
      </c>
      <c r="AA230" s="83" t="str">
        <f t="shared" si="98"/>
        <v>No se realizó gasto en este corte</v>
      </c>
      <c r="AB230" s="84" t="str">
        <f t="shared" si="94"/>
        <v>Costo eficiente: se está gastando menos de lo presupuestado</v>
      </c>
      <c r="AC230" s="84">
        <f t="shared" si="89"/>
        <v>0</v>
      </c>
      <c r="AD230" s="84" t="str">
        <f t="shared" si="95"/>
        <v>Sin Línea Base</v>
      </c>
      <c r="AE230" s="85">
        <f t="shared" si="90"/>
        <v>0</v>
      </c>
      <c r="AF230" s="85">
        <f t="shared" si="91"/>
        <v>0</v>
      </c>
      <c r="AG230" s="40" t="str">
        <f>VLOOKUP(Indicador!E230,Diccionario!C$1:AC$150,27,0)</f>
        <v>https://growdatasas.sharepoint.com/:x:/r/sites/Gestiondocumental/Administrativa/GD/Financiera/_layouts/15/Doc.aspx?sourcedoc=%7B74DBEC6A-69C6-4C69-8B83-8B465ADA35AB%7D&amp;file=Modelo%20Cortolima%20%20V2.xlsm&amp;action=default&amp;mobileredirect=true</v>
      </c>
      <c r="AH230" s="40">
        <v>1</v>
      </c>
      <c r="AI230" s="40">
        <v>1</v>
      </c>
    </row>
    <row r="231" spans="1:35" ht="18.75" customHeight="1">
      <c r="A231" s="73">
        <v>2026</v>
      </c>
      <c r="B231" s="112" t="s">
        <v>21</v>
      </c>
      <c r="C231" s="36" t="s">
        <v>284</v>
      </c>
      <c r="D231" s="37">
        <v>45691.835365509258</v>
      </c>
      <c r="E231" s="36" t="s">
        <v>113</v>
      </c>
      <c r="F231" s="36" t="s">
        <v>195</v>
      </c>
      <c r="G231" s="36" t="s">
        <v>285</v>
      </c>
      <c r="H231" s="36" t="s">
        <v>286</v>
      </c>
      <c r="I231" s="36" t="s">
        <v>165</v>
      </c>
      <c r="J231" s="36" t="s">
        <v>287</v>
      </c>
      <c r="K231" s="36" t="s">
        <v>177</v>
      </c>
      <c r="L231" s="74">
        <f>VLOOKUP(E231,Diccionario!C$2:AC$150,22,0)</f>
        <v>0</v>
      </c>
      <c r="M231" s="75">
        <f>VLOOKUP(E231,Diccionario!C$2:AC$150,24,0)</f>
        <v>45568</v>
      </c>
      <c r="N231" s="76">
        <f>VLOOKUP(E231,Diccionario!C$2:AC$150,25,0)</f>
        <v>46356</v>
      </c>
      <c r="O231" s="77">
        <f>VLOOKUP(E231,Diccionario!C$2:AC$150,26,0)</f>
        <v>25.9</v>
      </c>
      <c r="P231" s="77">
        <f t="shared" si="99"/>
        <v>-4.8999999999999986</v>
      </c>
      <c r="Q231" s="78">
        <v>21</v>
      </c>
      <c r="R231" s="36">
        <v>26</v>
      </c>
      <c r="S231" s="95"/>
      <c r="T231" s="86">
        <v>0</v>
      </c>
      <c r="U231" s="82">
        <v>0</v>
      </c>
      <c r="V231" s="82">
        <v>0</v>
      </c>
      <c r="W231" s="82">
        <f t="shared" si="87"/>
        <v>0</v>
      </c>
      <c r="X231" s="82">
        <f t="shared" si="92"/>
        <v>0</v>
      </c>
      <c r="Y231" s="82">
        <f t="shared" si="88"/>
        <v>0</v>
      </c>
      <c r="Z231" s="82">
        <f t="shared" si="93"/>
        <v>0</v>
      </c>
      <c r="AA231" s="83" t="str">
        <f t="shared" si="98"/>
        <v>No se realizó gasto en este corte</v>
      </c>
      <c r="AB231" s="84" t="str">
        <f t="shared" si="94"/>
        <v>Costo eficiente: se está gastando menos de lo presupuestado</v>
      </c>
      <c r="AC231" s="84">
        <f t="shared" si="89"/>
        <v>0</v>
      </c>
      <c r="AD231" s="84" t="str">
        <f t="shared" si="95"/>
        <v>Sin Línea Base</v>
      </c>
      <c r="AE231" s="85">
        <f t="shared" si="90"/>
        <v>0</v>
      </c>
      <c r="AF231" s="85">
        <f t="shared" si="91"/>
        <v>0</v>
      </c>
      <c r="AG231" s="40" t="str">
        <f>VLOOKUP(Indicador!E231,Diccionario!C$1:AC$150,27,0)</f>
        <v>https://growdatasas.sharepoint.com/:x:/r/sites/Gestiondocumental/Administrativa/GD/Financiera/_layouts/15/Doc.aspx?sourcedoc=%7B74DBEC6A-69C6-4C69-8B83-8B465ADA35AB%7D&amp;file=Modelo%20Cortolima%20%20V2.xlsm&amp;action=default&amp;mobileredirect=true</v>
      </c>
      <c r="AH231" s="40">
        <v>1</v>
      </c>
      <c r="AI231" s="40">
        <v>1</v>
      </c>
    </row>
    <row r="232" spans="1:35" ht="18.75" customHeight="1">
      <c r="A232" s="73">
        <v>2026</v>
      </c>
      <c r="B232" s="112" t="s">
        <v>23</v>
      </c>
      <c r="C232" s="36" t="s">
        <v>284</v>
      </c>
      <c r="D232" s="37">
        <v>45691.835365509258</v>
      </c>
      <c r="E232" s="36" t="s">
        <v>113</v>
      </c>
      <c r="F232" s="36" t="s">
        <v>195</v>
      </c>
      <c r="G232" s="36" t="s">
        <v>285</v>
      </c>
      <c r="H232" s="36" t="s">
        <v>286</v>
      </c>
      <c r="I232" s="36" t="s">
        <v>165</v>
      </c>
      <c r="J232" s="36" t="s">
        <v>287</v>
      </c>
      <c r="K232" s="36" t="s">
        <v>177</v>
      </c>
      <c r="L232" s="74">
        <f>VLOOKUP(E232,Diccionario!C$2:AC$150,22,0)</f>
        <v>0</v>
      </c>
      <c r="M232" s="75">
        <f>VLOOKUP(E232,Diccionario!C$2:AC$150,24,0)</f>
        <v>45568</v>
      </c>
      <c r="N232" s="76">
        <f>VLOOKUP(E232,Diccionario!C$2:AC$150,25,0)</f>
        <v>46356</v>
      </c>
      <c r="O232" s="77">
        <f>VLOOKUP(E232,Diccionario!C$2:AC$150,26,0)</f>
        <v>25.9</v>
      </c>
      <c r="P232" s="77">
        <f t="shared" si="99"/>
        <v>-3.8999999999999986</v>
      </c>
      <c r="Q232" s="78">
        <v>22</v>
      </c>
      <c r="R232" s="36">
        <v>26</v>
      </c>
      <c r="S232" s="95"/>
      <c r="T232" s="86">
        <v>0</v>
      </c>
      <c r="U232" s="82">
        <v>0</v>
      </c>
      <c r="V232" s="82">
        <v>0</v>
      </c>
      <c r="W232" s="82">
        <f t="shared" si="87"/>
        <v>0</v>
      </c>
      <c r="X232" s="82">
        <f t="shared" si="92"/>
        <v>0</v>
      </c>
      <c r="Y232" s="82">
        <f t="shared" si="88"/>
        <v>0</v>
      </c>
      <c r="Z232" s="82">
        <f t="shared" si="93"/>
        <v>0</v>
      </c>
      <c r="AA232" s="83" t="str">
        <f t="shared" si="98"/>
        <v>No se realizó gasto en este corte</v>
      </c>
      <c r="AB232" s="84" t="str">
        <f t="shared" ref="AB232:AB234" si="100">IFERROR(
  IF(OR(AA232="",AA232=0),
    "No calculado",
    IF(AA232&gt;1,"Costo eficiente: se está gastando menos de lo presupuestado",
      IF(AA232=1,"Costo según lo presupuestado",
        "Costo ineficiente: se está gastando más de lo presupuestado"))),
"No calculado")</f>
        <v>Costo eficiente: se está gastando menos de lo presupuestado</v>
      </c>
      <c r="AC232" s="84">
        <f t="shared" si="89"/>
        <v>0</v>
      </c>
      <c r="AD232" s="84" t="str">
        <f t="shared" ref="AD232:AD234" si="101">IF(OR(AC232="",AC232=0),"Sin Línea Base",
IF(AC232&gt;1,"Proyecto adelantado respecto al cronograma",
IF(AC232=1,"Proyecto a tiempo según lo planificado",
IF(AC232&lt;1,"Proyecto atrasado con respecto al cronograma",
"No calculado"))))</f>
        <v>Sin Línea Base</v>
      </c>
      <c r="AE232" s="85">
        <f t="shared" si="90"/>
        <v>0</v>
      </c>
      <c r="AF232" s="85">
        <f t="shared" si="91"/>
        <v>0</v>
      </c>
      <c r="AG232" s="40" t="str">
        <f>VLOOKUP(Indicador!E232,Diccionario!C$1:AC$150,27,0)</f>
        <v>https://growdatasas.sharepoint.com/:x:/r/sites/Gestiondocumental/Administrativa/GD/Financiera/_layouts/15/Doc.aspx?sourcedoc=%7B74DBEC6A-69C6-4C69-8B83-8B465ADA35AB%7D&amp;file=Modelo%20Cortolima%20%20V2.xlsm&amp;action=default&amp;mobileredirect=true</v>
      </c>
      <c r="AH232" s="40">
        <v>1</v>
      </c>
      <c r="AI232" s="40">
        <v>1</v>
      </c>
    </row>
    <row r="233" spans="1:35" ht="18.75" customHeight="1">
      <c r="A233" s="73">
        <v>2026</v>
      </c>
      <c r="B233" s="112" t="s">
        <v>26</v>
      </c>
      <c r="C233" s="36" t="s">
        <v>284</v>
      </c>
      <c r="D233" s="37">
        <v>45691.835365509258</v>
      </c>
      <c r="E233" s="36" t="s">
        <v>113</v>
      </c>
      <c r="F233" s="36" t="s">
        <v>195</v>
      </c>
      <c r="G233" s="36" t="s">
        <v>285</v>
      </c>
      <c r="H233" s="36" t="s">
        <v>286</v>
      </c>
      <c r="I233" s="36" t="s">
        <v>165</v>
      </c>
      <c r="J233" s="36" t="s">
        <v>287</v>
      </c>
      <c r="K233" s="36" t="s">
        <v>177</v>
      </c>
      <c r="L233" s="74">
        <f>VLOOKUP(E233,Diccionario!C$2:AC$150,22,0)</f>
        <v>0</v>
      </c>
      <c r="M233" s="75">
        <f>VLOOKUP(E233,Diccionario!C$2:AC$150,24,0)</f>
        <v>45568</v>
      </c>
      <c r="N233" s="76">
        <f>VLOOKUP(E233,Diccionario!C$2:AC$150,25,0)</f>
        <v>46356</v>
      </c>
      <c r="O233" s="77">
        <f>VLOOKUP(E233,Diccionario!C$2:AC$150,26,0)</f>
        <v>25.9</v>
      </c>
      <c r="P233" s="77">
        <f t="shared" si="99"/>
        <v>-2.8999999999999986</v>
      </c>
      <c r="Q233" s="78">
        <v>23</v>
      </c>
      <c r="R233" s="36">
        <v>26</v>
      </c>
      <c r="S233" s="95"/>
      <c r="T233" s="86">
        <v>0</v>
      </c>
      <c r="U233" s="82">
        <v>0</v>
      </c>
      <c r="V233" s="82">
        <v>0</v>
      </c>
      <c r="W233" s="82">
        <f t="shared" si="87"/>
        <v>0</v>
      </c>
      <c r="X233" s="82">
        <f t="shared" si="92"/>
        <v>0</v>
      </c>
      <c r="Y233" s="82">
        <f t="shared" si="88"/>
        <v>0</v>
      </c>
      <c r="Z233" s="82">
        <f t="shared" si="93"/>
        <v>0</v>
      </c>
      <c r="AA233" s="83" t="str">
        <f t="shared" si="98"/>
        <v>No se realizó gasto en este corte</v>
      </c>
      <c r="AB233" s="84" t="str">
        <f t="shared" si="100"/>
        <v>Costo eficiente: se está gastando menos de lo presupuestado</v>
      </c>
      <c r="AC233" s="84">
        <f t="shared" si="89"/>
        <v>0</v>
      </c>
      <c r="AD233" s="84" t="str">
        <f t="shared" si="101"/>
        <v>Sin Línea Base</v>
      </c>
      <c r="AE233" s="85">
        <f t="shared" si="90"/>
        <v>0</v>
      </c>
      <c r="AF233" s="85">
        <f t="shared" si="91"/>
        <v>0</v>
      </c>
      <c r="AG233" s="40" t="str">
        <f>VLOOKUP(Indicador!E233,Diccionario!C$1:AC$150,27,0)</f>
        <v>https://growdatasas.sharepoint.com/:x:/r/sites/Gestiondocumental/Administrativa/GD/Financiera/_layouts/15/Doc.aspx?sourcedoc=%7B74DBEC6A-69C6-4C69-8B83-8B465ADA35AB%7D&amp;file=Modelo%20Cortolima%20%20V2.xlsm&amp;action=default&amp;mobileredirect=true</v>
      </c>
      <c r="AH233" s="40">
        <v>1</v>
      </c>
      <c r="AI233" s="40">
        <v>1</v>
      </c>
    </row>
    <row r="234" spans="1:35" ht="18.75" customHeight="1">
      <c r="A234" s="73">
        <v>2026</v>
      </c>
      <c r="B234" s="112" t="s">
        <v>28</v>
      </c>
      <c r="C234" s="36" t="s">
        <v>284</v>
      </c>
      <c r="D234" s="37">
        <v>45691.835365509258</v>
      </c>
      <c r="E234" s="36" t="s">
        <v>113</v>
      </c>
      <c r="F234" s="36" t="s">
        <v>195</v>
      </c>
      <c r="G234" s="36" t="s">
        <v>285</v>
      </c>
      <c r="H234" s="36" t="s">
        <v>286</v>
      </c>
      <c r="I234" s="36" t="s">
        <v>165</v>
      </c>
      <c r="J234" s="36" t="s">
        <v>287</v>
      </c>
      <c r="K234" s="36" t="s">
        <v>177</v>
      </c>
      <c r="L234" s="74">
        <f>VLOOKUP(E234,Diccionario!C$2:AC$150,22,0)</f>
        <v>0</v>
      </c>
      <c r="M234" s="75">
        <f>VLOOKUP(E234,Diccionario!C$2:AC$150,24,0)</f>
        <v>45568</v>
      </c>
      <c r="N234" s="76">
        <f>VLOOKUP(E234,Diccionario!C$2:AC$150,25,0)</f>
        <v>46356</v>
      </c>
      <c r="O234" s="77">
        <f>VLOOKUP(E234,Diccionario!C$2:AC$150,26,0)</f>
        <v>25.9</v>
      </c>
      <c r="P234" s="77">
        <f t="shared" si="99"/>
        <v>-1.8999999999999986</v>
      </c>
      <c r="Q234" s="78">
        <v>24</v>
      </c>
      <c r="R234" s="36">
        <v>26</v>
      </c>
      <c r="S234" s="95"/>
      <c r="T234" s="86">
        <v>0</v>
      </c>
      <c r="U234" s="82">
        <v>0</v>
      </c>
      <c r="V234" s="82">
        <v>0</v>
      </c>
      <c r="W234" s="82">
        <f t="shared" si="87"/>
        <v>0</v>
      </c>
      <c r="X234" s="82">
        <f t="shared" si="92"/>
        <v>0</v>
      </c>
      <c r="Y234" s="82">
        <f t="shared" si="88"/>
        <v>0</v>
      </c>
      <c r="Z234" s="82">
        <f t="shared" si="93"/>
        <v>0</v>
      </c>
      <c r="AA234" s="83" t="str">
        <f t="shared" si="98"/>
        <v>No se realizó gasto en este corte</v>
      </c>
      <c r="AB234" s="84" t="str">
        <f t="shared" si="100"/>
        <v>Costo eficiente: se está gastando menos de lo presupuestado</v>
      </c>
      <c r="AC234" s="84">
        <f t="shared" si="89"/>
        <v>0</v>
      </c>
      <c r="AD234" s="84" t="str">
        <f t="shared" si="101"/>
        <v>Sin Línea Base</v>
      </c>
      <c r="AE234" s="85">
        <f t="shared" si="90"/>
        <v>0</v>
      </c>
      <c r="AF234" s="85">
        <f t="shared" si="91"/>
        <v>0</v>
      </c>
      <c r="AG234" s="40" t="str">
        <f>VLOOKUP(Indicador!E234,Diccionario!C$1:AC$150,27,0)</f>
        <v>https://growdatasas.sharepoint.com/:x:/r/sites/Gestiondocumental/Administrativa/GD/Financiera/_layouts/15/Doc.aspx?sourcedoc=%7B74DBEC6A-69C6-4C69-8B83-8B465ADA35AB%7D&amp;file=Modelo%20Cortolima%20%20V2.xlsm&amp;action=default&amp;mobileredirect=true</v>
      </c>
      <c r="AH234" s="40">
        <v>1</v>
      </c>
      <c r="AI234" s="40">
        <v>1</v>
      </c>
    </row>
    <row r="235" spans="1:35" ht="18.75" customHeight="1">
      <c r="A235" s="73">
        <v>2026</v>
      </c>
      <c r="B235" s="112" t="s">
        <v>30</v>
      </c>
      <c r="C235" s="36" t="s">
        <v>284</v>
      </c>
      <c r="D235" s="37">
        <v>45691.835365509258</v>
      </c>
      <c r="E235" s="36" t="s">
        <v>113</v>
      </c>
      <c r="F235" s="36" t="s">
        <v>195</v>
      </c>
      <c r="G235" s="36" t="s">
        <v>285</v>
      </c>
      <c r="H235" s="36" t="s">
        <v>286</v>
      </c>
      <c r="I235" s="36" t="s">
        <v>165</v>
      </c>
      <c r="J235" s="36" t="s">
        <v>287</v>
      </c>
      <c r="K235" s="36" t="s">
        <v>177</v>
      </c>
      <c r="L235" s="74">
        <f>VLOOKUP(E235,Diccionario!C$2:AC$150,22,0)</f>
        <v>0</v>
      </c>
      <c r="M235" s="75">
        <f>VLOOKUP(E235,Diccionario!C$2:AC$150,24,0)</f>
        <v>45568</v>
      </c>
      <c r="N235" s="76">
        <f>VLOOKUP(E235,Diccionario!C$2:AC$150,25,0)</f>
        <v>46356</v>
      </c>
      <c r="O235" s="77">
        <f>VLOOKUP(E235,Diccionario!C$2:AC$150,26,0)</f>
        <v>25.9</v>
      </c>
      <c r="P235" s="77">
        <f t="shared" si="99"/>
        <v>-0.89999999999999858</v>
      </c>
      <c r="Q235" s="78">
        <v>25</v>
      </c>
      <c r="R235" s="36">
        <v>26</v>
      </c>
      <c r="S235" s="95"/>
      <c r="T235" s="86">
        <v>0</v>
      </c>
      <c r="U235" s="82">
        <v>0</v>
      </c>
      <c r="V235" s="82">
        <v>0</v>
      </c>
      <c r="W235" s="82">
        <f t="shared" si="87"/>
        <v>0</v>
      </c>
      <c r="X235" s="82">
        <f t="shared" ref="X235:X238" si="102">S235*L235</f>
        <v>0</v>
      </c>
      <c r="Y235" s="82">
        <f t="shared" si="88"/>
        <v>0</v>
      </c>
      <c r="Z235" s="82">
        <f t="shared" ref="Z235:Z238" si="103">W235-X235</f>
        <v>0</v>
      </c>
      <c r="AA235" s="83" t="str">
        <f t="shared" si="98"/>
        <v>No se realizó gasto en este corte</v>
      </c>
      <c r="AB235" s="84" t="str">
        <f t="shared" ref="AB235:AB238" si="104">IFERROR(
  IF(OR(AA235="",AA235=0),
    "No calculado",
    IF(AA235&gt;1,"Costo eficiente: se está gastando menos de lo presupuestado",
      IF(AA235=1,"Costo según lo presupuestado",
        "Costo ineficiente: se está gastando más de lo presupuestado"))),
"No calculado")</f>
        <v>Costo eficiente: se está gastando menos de lo presupuestado</v>
      </c>
      <c r="AC235" s="84">
        <f t="shared" si="89"/>
        <v>0</v>
      </c>
      <c r="AD235" s="84" t="str">
        <f t="shared" ref="AD235:AD238" si="105">IF(OR(AC235="",AC235=0),"Sin Línea Base",
IF(AC235&gt;1,"Proyecto adelantado respecto al cronograma",
IF(AC235=1,"Proyecto a tiempo según lo planificado",
IF(AC235&lt;1,"Proyecto atrasado con respecto al cronograma",
"No calculado"))))</f>
        <v>Sin Línea Base</v>
      </c>
      <c r="AE235" s="85">
        <f t="shared" si="90"/>
        <v>0</v>
      </c>
      <c r="AF235" s="85">
        <f t="shared" si="91"/>
        <v>0</v>
      </c>
      <c r="AG235" s="40" t="str">
        <f>VLOOKUP(Indicador!E235,Diccionario!C$1:AC$150,27,0)</f>
        <v>https://growdatasas.sharepoint.com/:x:/r/sites/Gestiondocumental/Administrativa/GD/Financiera/_layouts/15/Doc.aspx?sourcedoc=%7B74DBEC6A-69C6-4C69-8B83-8B465ADA35AB%7D&amp;file=Modelo%20Cortolima%20%20V2.xlsm&amp;action=default&amp;mobileredirect=true</v>
      </c>
      <c r="AH235" s="40">
        <v>1</v>
      </c>
      <c r="AI235" s="40">
        <v>1</v>
      </c>
    </row>
    <row r="236" spans="1:35" ht="18.75" customHeight="1">
      <c r="A236" s="73">
        <v>2026</v>
      </c>
      <c r="B236" s="112" t="s">
        <v>31</v>
      </c>
      <c r="C236" s="36" t="s">
        <v>284</v>
      </c>
      <c r="D236" s="37">
        <v>45691.835365509258</v>
      </c>
      <c r="E236" s="36" t="s">
        <v>113</v>
      </c>
      <c r="F236" s="36" t="s">
        <v>195</v>
      </c>
      <c r="G236" s="36" t="s">
        <v>285</v>
      </c>
      <c r="H236" s="36" t="s">
        <v>286</v>
      </c>
      <c r="I236" s="36" t="s">
        <v>165</v>
      </c>
      <c r="J236" s="36" t="s">
        <v>287</v>
      </c>
      <c r="K236" s="36" t="s">
        <v>177</v>
      </c>
      <c r="L236" s="74">
        <f>VLOOKUP(E236,Diccionario!C$2:AC$150,22,0)</f>
        <v>0</v>
      </c>
      <c r="M236" s="75">
        <f>VLOOKUP(E236,Diccionario!C$2:AC$150,24,0)</f>
        <v>45568</v>
      </c>
      <c r="N236" s="76">
        <f>VLOOKUP(E236,Diccionario!C$2:AC$150,25,0)</f>
        <v>46356</v>
      </c>
      <c r="O236" s="77">
        <f>VLOOKUP(E236,Diccionario!C$2:AC$150,26,0)</f>
        <v>25.9</v>
      </c>
      <c r="P236" s="77">
        <f t="shared" si="99"/>
        <v>0.10000000000000142</v>
      </c>
      <c r="Q236" s="78">
        <v>26</v>
      </c>
      <c r="R236" s="36">
        <v>26</v>
      </c>
      <c r="S236" s="95"/>
      <c r="T236" s="86">
        <v>0</v>
      </c>
      <c r="U236" s="82">
        <v>0</v>
      </c>
      <c r="V236" s="82">
        <v>0</v>
      </c>
      <c r="W236" s="82">
        <f t="shared" si="87"/>
        <v>0</v>
      </c>
      <c r="X236" s="82">
        <f t="shared" si="102"/>
        <v>0</v>
      </c>
      <c r="Y236" s="82">
        <f t="shared" si="88"/>
        <v>0</v>
      </c>
      <c r="Z236" s="82">
        <f t="shared" si="103"/>
        <v>0</v>
      </c>
      <c r="AA236" s="83" t="str">
        <f t="shared" si="98"/>
        <v>No se realizó gasto en este corte</v>
      </c>
      <c r="AB236" s="84" t="str">
        <f t="shared" si="104"/>
        <v>Costo eficiente: se está gastando menos de lo presupuestado</v>
      </c>
      <c r="AC236" s="84">
        <f t="shared" si="89"/>
        <v>0</v>
      </c>
      <c r="AD236" s="84" t="str">
        <f t="shared" si="105"/>
        <v>Sin Línea Base</v>
      </c>
      <c r="AE236" s="85">
        <f t="shared" si="90"/>
        <v>0</v>
      </c>
      <c r="AF236" s="85">
        <f t="shared" si="91"/>
        <v>0</v>
      </c>
      <c r="AG236" s="40" t="str">
        <f>VLOOKUP(Indicador!E236,Diccionario!C$1:AC$150,27,0)</f>
        <v>https://growdatasas.sharepoint.com/:x:/r/sites/Gestiondocumental/Administrativa/GD/Financiera/_layouts/15/Doc.aspx?sourcedoc=%7B74DBEC6A-69C6-4C69-8B83-8B465ADA35AB%7D&amp;file=Modelo%20Cortolima%20%20V2.xlsm&amp;action=default&amp;mobileredirect=true</v>
      </c>
      <c r="AH236" s="40">
        <v>1</v>
      </c>
      <c r="AI236" s="40">
        <v>1</v>
      </c>
    </row>
    <row r="237" spans="1:35" ht="18.75" customHeight="1">
      <c r="A237" s="73">
        <v>2024</v>
      </c>
      <c r="B237" s="112" t="s">
        <v>30</v>
      </c>
      <c r="C237" s="36" t="s">
        <v>288</v>
      </c>
      <c r="D237" s="37">
        <v>45569.631959293984</v>
      </c>
      <c r="E237" s="36" t="s">
        <v>81</v>
      </c>
      <c r="F237" s="36" t="s">
        <v>235</v>
      </c>
      <c r="G237" s="36" t="s">
        <v>289</v>
      </c>
      <c r="H237" s="36" t="s">
        <v>290</v>
      </c>
      <c r="I237" s="36" t="s">
        <v>165</v>
      </c>
      <c r="J237" s="36" t="s">
        <v>291</v>
      </c>
      <c r="K237" s="36" t="s">
        <v>154</v>
      </c>
      <c r="L237" s="74">
        <f>VLOOKUP(E237,Diccionario!C$2:AC$150,22,0)</f>
        <v>6272918706</v>
      </c>
      <c r="M237" s="75">
        <f>VLOOKUP(E237,Diccionario!C$2:AC$150,24,0)</f>
        <v>45581</v>
      </c>
      <c r="N237" s="76">
        <f>VLOOKUP(E237,Diccionario!C$2:AC$150,25,0)</f>
        <v>45626</v>
      </c>
      <c r="O237" s="77">
        <f>VLOOKUP(E237,Diccionario!C$2:AC$150,26,0)</f>
        <v>1.47</v>
      </c>
      <c r="P237" s="77">
        <f t="shared" si="99"/>
        <v>-0.47</v>
      </c>
      <c r="Q237" s="78">
        <v>1</v>
      </c>
      <c r="R237" s="36">
        <v>1</v>
      </c>
      <c r="S237" s="86">
        <v>1</v>
      </c>
      <c r="T237" s="86">
        <v>0.37</v>
      </c>
      <c r="U237" s="82">
        <v>-61974704</v>
      </c>
      <c r="V237" s="82">
        <v>-61974704</v>
      </c>
      <c r="W237" s="82">
        <f t="shared" si="87"/>
        <v>2320979921.2199998</v>
      </c>
      <c r="X237" s="82">
        <f t="shared" si="102"/>
        <v>6272918706</v>
      </c>
      <c r="Y237" s="82">
        <f t="shared" si="88"/>
        <v>2382954625.2199998</v>
      </c>
      <c r="Z237" s="82">
        <f t="shared" si="103"/>
        <v>-3951938784.7800002</v>
      </c>
      <c r="AA237" s="83">
        <f t="shared" si="98"/>
        <v>-37.450439799115458</v>
      </c>
      <c r="AB237" s="84" t="str">
        <f t="shared" si="104"/>
        <v>Costo ineficiente: se está gastando más de lo presupuestado</v>
      </c>
      <c r="AC237" s="84">
        <f t="shared" si="89"/>
        <v>0.36999999999999994</v>
      </c>
      <c r="AD237" s="84" t="str">
        <f t="shared" si="105"/>
        <v>Proyecto atrasado con respecto al cronograma</v>
      </c>
      <c r="AE237" s="85">
        <f t="shared" si="90"/>
        <v>-167499200</v>
      </c>
      <c r="AF237" s="85">
        <f t="shared" si="91"/>
        <v>-6440417906</v>
      </c>
      <c r="AG237" s="40" t="str">
        <f>VLOOKUP(Indicador!E237,Diccionario!C$1:AC$150,27,0)</f>
        <v>https://growdatasas.sharepoint.com/:x:/r/sites/Gestiondocumental/Administrativa/GD/Financiera/_layouts/15/Doc.aspx?sourcedoc=%7BBEB26481-98E1-4A71-BC98-FA27225C2807%7D&amp;file=TELEFONICA%20ELECCIONES%20MODELO%20FINANCIERO%20V7.2%20MESA%20DE%20SERVICIO%2017102024.xlsm&amp;action=default&amp;mobileredirect=true</v>
      </c>
      <c r="AH237" s="40">
        <v>1</v>
      </c>
      <c r="AI237" s="40">
        <v>1</v>
      </c>
    </row>
    <row r="238" spans="1:35" ht="18.75" customHeight="1">
      <c r="A238" s="73">
        <v>2024</v>
      </c>
      <c r="B238" s="112" t="s">
        <v>31</v>
      </c>
      <c r="C238" s="36" t="s">
        <v>288</v>
      </c>
      <c r="D238" s="37">
        <v>45569.631959293984</v>
      </c>
      <c r="E238" s="36" t="s">
        <v>81</v>
      </c>
      <c r="F238" s="36" t="s">
        <v>235</v>
      </c>
      <c r="G238" s="36" t="s">
        <v>289</v>
      </c>
      <c r="H238" s="36" t="s">
        <v>290</v>
      </c>
      <c r="I238" s="36" t="s">
        <v>165</v>
      </c>
      <c r="J238" s="36" t="s">
        <v>291</v>
      </c>
      <c r="K238" s="36" t="s">
        <v>154</v>
      </c>
      <c r="L238" s="74">
        <f>VLOOKUP(E238,Diccionario!C$2:AC$150,22,0)</f>
        <v>6272918706</v>
      </c>
      <c r="M238" s="75">
        <f>VLOOKUP(E238,Diccionario!C$2:AC$150,24,0)</f>
        <v>45581</v>
      </c>
      <c r="N238" s="76">
        <f>VLOOKUP(E238,Diccionario!C$2:AC$150,25,0)</f>
        <v>45626</v>
      </c>
      <c r="O238" s="77">
        <f>VLOOKUP(E238,Diccionario!C$2:AC$150,26,0)</f>
        <v>1.47</v>
      </c>
      <c r="P238" s="77">
        <f t="shared" si="99"/>
        <v>0.53</v>
      </c>
      <c r="Q238" s="78">
        <v>2</v>
      </c>
      <c r="R238" s="36">
        <v>1</v>
      </c>
      <c r="S238" s="86">
        <v>1</v>
      </c>
      <c r="T238" s="86">
        <v>0.85</v>
      </c>
      <c r="U238" s="82">
        <v>-61974704</v>
      </c>
      <c r="V238" s="82">
        <v>-61974704</v>
      </c>
      <c r="W238" s="82">
        <f t="shared" si="87"/>
        <v>5331980900.0999994</v>
      </c>
      <c r="X238" s="82">
        <f t="shared" si="102"/>
        <v>6272918706</v>
      </c>
      <c r="Y238" s="82">
        <f t="shared" si="88"/>
        <v>5393955604.0999994</v>
      </c>
      <c r="Z238" s="82">
        <f t="shared" si="103"/>
        <v>-940937805.90000057</v>
      </c>
      <c r="AA238" s="83">
        <f t="shared" si="98"/>
        <v>-86.034794133103077</v>
      </c>
      <c r="AB238" s="84" t="str">
        <f t="shared" si="104"/>
        <v>Costo ineficiente: se está gastando más de lo presupuestado</v>
      </c>
      <c r="AC238" s="84">
        <f t="shared" si="89"/>
        <v>0.84999999999999987</v>
      </c>
      <c r="AD238" s="84" t="str">
        <f t="shared" si="105"/>
        <v>Proyecto atrasado con respecto al cronograma</v>
      </c>
      <c r="AE238" s="85">
        <f t="shared" si="90"/>
        <v>-72911416.470588237</v>
      </c>
      <c r="AF238" s="85">
        <f t="shared" si="91"/>
        <v>-6345830122.4705887</v>
      </c>
      <c r="AG238" s="40" t="str">
        <f>VLOOKUP(Indicador!E238,Diccionario!C$1:AC$150,27,0)</f>
        <v>https://growdatasas.sharepoint.com/:x:/r/sites/Gestiondocumental/Administrativa/GD/Financiera/_layouts/15/Doc.aspx?sourcedoc=%7BBEB26481-98E1-4A71-BC98-FA27225C2807%7D&amp;file=TELEFONICA%20ELECCIONES%20MODELO%20FINANCIERO%20V7.2%20MESA%20DE%20SERVICIO%2017102024.xlsm&amp;action=default&amp;mobileredirect=true</v>
      </c>
      <c r="AH238" s="40">
        <v>1</v>
      </c>
      <c r="AI238" s="40">
        <v>1</v>
      </c>
    </row>
    <row r="239" spans="1:35" ht="18.75" customHeight="1">
      <c r="A239" s="73">
        <v>2024</v>
      </c>
      <c r="B239" s="112" t="s">
        <v>32</v>
      </c>
      <c r="C239" s="36" t="s">
        <v>288</v>
      </c>
      <c r="D239" s="37">
        <v>45569.631959293984</v>
      </c>
      <c r="E239" s="36" t="s">
        <v>81</v>
      </c>
      <c r="F239" s="36" t="s">
        <v>235</v>
      </c>
      <c r="G239" s="36" t="s">
        <v>289</v>
      </c>
      <c r="H239" s="36" t="s">
        <v>290</v>
      </c>
      <c r="I239" s="36" t="s">
        <v>165</v>
      </c>
      <c r="J239" s="36" t="s">
        <v>291</v>
      </c>
      <c r="K239" s="36" t="s">
        <v>154</v>
      </c>
      <c r="L239" s="74">
        <f>VLOOKUP(E239,Diccionario!C$2:AC$150,22,0)</f>
        <v>6272918706</v>
      </c>
      <c r="M239" s="75">
        <f>VLOOKUP(E239,Diccionario!C$2:AC$150,24,0)</f>
        <v>45581</v>
      </c>
      <c r="N239" s="76">
        <f>VLOOKUP(E239,Diccionario!C$2:AC$150,25,0)</f>
        <v>45626</v>
      </c>
      <c r="O239" s="77">
        <f>VLOOKUP(E239,Diccionario!C$2:AC$150,26,0)</f>
        <v>1.47</v>
      </c>
      <c r="P239" s="77">
        <f t="shared" si="99"/>
        <v>1.53</v>
      </c>
      <c r="Q239" s="78">
        <v>3</v>
      </c>
      <c r="R239" s="36">
        <v>1</v>
      </c>
      <c r="S239" s="86">
        <v>1</v>
      </c>
      <c r="T239" s="86">
        <v>1</v>
      </c>
      <c r="U239" s="82">
        <v>246453590</v>
      </c>
      <c r="V239" s="82">
        <v>246453590</v>
      </c>
      <c r="W239" s="82">
        <f t="shared" si="87"/>
        <v>6272918706</v>
      </c>
      <c r="X239" s="82">
        <f t="shared" ref="X239" si="106">S239*L239</f>
        <v>6272918706</v>
      </c>
      <c r="Y239" s="82">
        <f t="shared" si="88"/>
        <v>6026465116</v>
      </c>
      <c r="Z239" s="82">
        <f t="shared" ref="Z239" si="107">W239-X239</f>
        <v>0</v>
      </c>
      <c r="AA239" s="83">
        <f t="shared" ref="AA239" si="108">IFERROR(W239/U239,"No se realizó gasto en este corte")</f>
        <v>25.452738205193114</v>
      </c>
      <c r="AB239" s="84" t="str">
        <f t="shared" ref="AB239" si="109">IFERROR(
  IF(OR(AA239="",AA239=0),
    "No calculado",
    IF(AA239&gt;1,"Costo eficiente: se está gastando menos de lo presupuestado",
      IF(AA239=1,"Costo según lo presupuestado",
        "Costo ineficiente: se está gastando más de lo presupuestado"))),
"No calculado")</f>
        <v>Costo eficiente: se está gastando menos de lo presupuestado</v>
      </c>
      <c r="AC239" s="84">
        <f t="shared" si="89"/>
        <v>1</v>
      </c>
      <c r="AD239" s="84" t="str">
        <f t="shared" ref="AD239" si="110">IF(OR(AC239="",AC239=0),"Sin Línea Base",
IF(AC239&gt;1,"Proyecto adelantado respecto al cronograma",
IF(AC239=1,"Proyecto a tiempo según lo planificado",
IF(AC239&lt;1,"Proyecto atrasado con respecto al cronograma",
"No calculado"))))</f>
        <v>Proyecto a tiempo según lo planificado</v>
      </c>
      <c r="AE239" s="85">
        <f t="shared" si="90"/>
        <v>246453590</v>
      </c>
      <c r="AF239" s="85">
        <f t="shared" si="91"/>
        <v>-6026465116</v>
      </c>
      <c r="AG239" s="40" t="str">
        <f>VLOOKUP(Indicador!E239,Diccionario!C$1:AC$150,27,0)</f>
        <v>https://growdatasas.sharepoint.com/:x:/r/sites/Gestiondocumental/Administrativa/GD/Financiera/_layouts/15/Doc.aspx?sourcedoc=%7BBEB26481-98E1-4A71-BC98-FA27225C2807%7D&amp;file=TELEFONICA%20ELECCIONES%20MODELO%20FINANCIERO%20V7.2%20MESA%20DE%20SERVICIO%2017102024.xlsm&amp;action=default&amp;mobileredirect=true</v>
      </c>
      <c r="AH239" s="40">
        <v>1</v>
      </c>
      <c r="AI239" s="40">
        <v>1</v>
      </c>
    </row>
    <row r="240" spans="1:35" ht="18.75" customHeight="1">
      <c r="A240" s="73">
        <v>2025</v>
      </c>
      <c r="B240" s="112" t="s">
        <v>31</v>
      </c>
      <c r="C240" s="36" t="s">
        <v>292</v>
      </c>
      <c r="D240" s="37">
        <v>45616.835520104163</v>
      </c>
      <c r="E240" s="36" t="s">
        <v>92</v>
      </c>
      <c r="F240" s="36" t="s">
        <v>162</v>
      </c>
      <c r="G240" s="36" t="s">
        <v>293</v>
      </c>
      <c r="H240" s="36" t="s">
        <v>294</v>
      </c>
      <c r="I240" s="36" t="s">
        <v>165</v>
      </c>
      <c r="J240" s="36" t="s">
        <v>295</v>
      </c>
      <c r="K240" s="36" t="s">
        <v>177</v>
      </c>
      <c r="L240" s="74">
        <f>VLOOKUP(E240,Diccionario!C$2:AC$150,22,0)</f>
        <v>1392930821</v>
      </c>
      <c r="M240" s="75">
        <f>VLOOKUP(E240,Diccionario!C$2:AC$150,24,0)</f>
        <v>45597</v>
      </c>
      <c r="N240" s="76">
        <f>VLOOKUP(E240,Diccionario!C$2:AC$150,25,0)</f>
        <v>46295</v>
      </c>
      <c r="O240" s="94">
        <f>VLOOKUP(E240,Diccionario!C$2:AC$150,26,0)</f>
        <v>22.97</v>
      </c>
      <c r="P240" s="94">
        <f t="shared" ref="P240:P267" si="111">Q240-O240</f>
        <v>-21.97</v>
      </c>
      <c r="Q240" s="78">
        <v>1</v>
      </c>
      <c r="R240" s="36">
        <v>11</v>
      </c>
      <c r="S240" s="86">
        <v>0.08</v>
      </c>
      <c r="T240" s="86">
        <v>0.08</v>
      </c>
      <c r="U240" s="82">
        <v>15144309</v>
      </c>
      <c r="V240" s="82">
        <v>15144309</v>
      </c>
      <c r="W240" s="82">
        <f t="shared" si="87"/>
        <v>111434465.68000001</v>
      </c>
      <c r="X240" s="82">
        <f t="shared" ref="X240:X271" si="112">S240*L240</f>
        <v>111434465.68000001</v>
      </c>
      <c r="Y240" s="82">
        <f t="shared" si="88"/>
        <v>96290156.680000007</v>
      </c>
      <c r="Z240" s="82">
        <f t="shared" ref="Z240:Z271" si="113">W240-X240</f>
        <v>0</v>
      </c>
      <c r="AA240" s="83">
        <f t="shared" ref="AA240:AA276" si="114">IFERROR(W240/U240,"No se realizó gasto en este corte")</f>
        <v>7.3581743267388431</v>
      </c>
      <c r="AB240" s="84" t="str">
        <f t="shared" ref="AB240:AB271" si="115">IFERROR(
  IF(OR(AA240="",AA240=0),
    "No calculado",
    IF(AA240&gt;1,"Costo eficiente: se está gastando menos de lo presupuestado",
      IF(AA240=1,"Costo según lo presupuestado",
        "Costo ineficiente: se está gastando más de lo presupuestado"))),
"No calculado")</f>
        <v>Costo eficiente: se está gastando menos de lo presupuestado</v>
      </c>
      <c r="AC240" s="84">
        <f t="shared" si="89"/>
        <v>1</v>
      </c>
      <c r="AD240" s="84" t="str">
        <f t="shared" ref="AD240:AD271" si="116">IF(OR(AC240="",AC240=0),"Sin Línea Base",
IF(AC240&gt;1,"Proyecto adelantado respecto al cronograma",
IF(AC240=1,"Proyecto a tiempo según lo planificado",
IF(AC240&lt;1,"Proyecto atrasado con respecto al cronograma",
"No calculado"))))</f>
        <v>Proyecto a tiempo según lo planificado</v>
      </c>
      <c r="AE240" s="85">
        <f t="shared" si="90"/>
        <v>189303862.5</v>
      </c>
      <c r="AF240" s="85">
        <f t="shared" si="91"/>
        <v>-1203626958.5</v>
      </c>
      <c r="AG240" s="40" t="str">
        <f>VLOOKUP(Indicador!E240,Diccionario!C$1:AC$150,27,0)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0" s="40">
        <v>1</v>
      </c>
      <c r="AI240" s="40">
        <v>1</v>
      </c>
    </row>
    <row r="241" spans="1:35" ht="18.75" customHeight="1">
      <c r="A241" s="73">
        <v>2025</v>
      </c>
      <c r="B241" s="112" t="s">
        <v>32</v>
      </c>
      <c r="C241" s="36" t="s">
        <v>292</v>
      </c>
      <c r="D241" s="37">
        <v>45616.835520104163</v>
      </c>
      <c r="E241" s="36" t="s">
        <v>92</v>
      </c>
      <c r="F241" s="36" t="s">
        <v>162</v>
      </c>
      <c r="G241" s="36" t="s">
        <v>293</v>
      </c>
      <c r="H241" s="36" t="s">
        <v>294</v>
      </c>
      <c r="I241" s="36" t="s">
        <v>165</v>
      </c>
      <c r="J241" s="36" t="s">
        <v>295</v>
      </c>
      <c r="K241" s="36" t="s">
        <v>177</v>
      </c>
      <c r="L241" s="74">
        <f>VLOOKUP(E241,Diccionario!C$2:AC$150,22,0)</f>
        <v>1392930821</v>
      </c>
      <c r="M241" s="75">
        <f>VLOOKUP(E241,Diccionario!C$2:AC$150,24,0)</f>
        <v>45597</v>
      </c>
      <c r="N241" s="76">
        <f>VLOOKUP(E241,Diccionario!C$2:AC$150,25,0)</f>
        <v>46295</v>
      </c>
      <c r="O241" s="77">
        <f>VLOOKUP(E241,Diccionario!C$2:AC$150,26,0)</f>
        <v>22.97</v>
      </c>
      <c r="P241" s="77">
        <f t="shared" si="111"/>
        <v>-20.97</v>
      </c>
      <c r="Q241" s="78">
        <v>2</v>
      </c>
      <c r="R241" s="36">
        <v>11</v>
      </c>
      <c r="S241" s="86">
        <v>0.19</v>
      </c>
      <c r="T241" s="86">
        <v>0.2</v>
      </c>
      <c r="U241" s="82">
        <v>470476885</v>
      </c>
      <c r="V241" s="82">
        <v>470476885</v>
      </c>
      <c r="W241" s="82">
        <f t="shared" si="87"/>
        <v>278586164.19999999</v>
      </c>
      <c r="X241" s="82">
        <f t="shared" si="112"/>
        <v>264656855.99000001</v>
      </c>
      <c r="Y241" s="82">
        <f t="shared" si="88"/>
        <v>-191890720.80000001</v>
      </c>
      <c r="Z241" s="82">
        <f t="shared" si="113"/>
        <v>13929308.209999979</v>
      </c>
      <c r="AA241" s="83">
        <f t="shared" si="114"/>
        <v>0.59213570970654594</v>
      </c>
      <c r="AB241" s="84" t="str">
        <f t="shared" si="115"/>
        <v>Costo ineficiente: se está gastando más de lo presupuestado</v>
      </c>
      <c r="AC241" s="84">
        <f t="shared" si="89"/>
        <v>1.0526315789473684</v>
      </c>
      <c r="AD241" s="84" t="str">
        <f t="shared" si="116"/>
        <v>Proyecto adelantado respecto al cronograma</v>
      </c>
      <c r="AE241" s="85">
        <f t="shared" si="90"/>
        <v>2352384425</v>
      </c>
      <c r="AF241" s="85">
        <f t="shared" si="91"/>
        <v>959453604</v>
      </c>
      <c r="AG241" s="40" t="str">
        <f>VLOOKUP(Indicador!E241,Diccionario!C$1:AC$150,27,0)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1" s="40">
        <v>1</v>
      </c>
      <c r="AI241" s="40">
        <v>1</v>
      </c>
    </row>
    <row r="242" spans="1:35" ht="18.75" customHeight="1">
      <c r="A242" s="73">
        <v>2026</v>
      </c>
      <c r="B242" s="112" t="s">
        <v>14</v>
      </c>
      <c r="C242" s="36" t="s">
        <v>292</v>
      </c>
      <c r="D242" s="37">
        <v>45616.835520104163</v>
      </c>
      <c r="E242" s="36" t="s">
        <v>92</v>
      </c>
      <c r="F242" s="36" t="s">
        <v>162</v>
      </c>
      <c r="G242" s="36" t="s">
        <v>293</v>
      </c>
      <c r="H242" s="36" t="s">
        <v>294</v>
      </c>
      <c r="I242" s="36" t="s">
        <v>165</v>
      </c>
      <c r="J242" s="36" t="s">
        <v>295</v>
      </c>
      <c r="K242" s="36" t="s">
        <v>177</v>
      </c>
      <c r="L242" s="74">
        <f>VLOOKUP(E242,Diccionario!C$2:AC$150,22,0)</f>
        <v>1392930821</v>
      </c>
      <c r="M242" s="75">
        <f>VLOOKUP(E242,Diccionario!C$2:AC$150,24,0)</f>
        <v>45597</v>
      </c>
      <c r="N242" s="76">
        <f>VLOOKUP(E242,Diccionario!C$2:AC$150,25,0)</f>
        <v>46295</v>
      </c>
      <c r="O242" s="77">
        <f>VLOOKUP(E242,Diccionario!C$2:AC$150,26,0)</f>
        <v>22.97</v>
      </c>
      <c r="P242" s="77">
        <f t="shared" si="111"/>
        <v>-19.97</v>
      </c>
      <c r="Q242" s="78">
        <v>3</v>
      </c>
      <c r="R242" s="36">
        <v>11</v>
      </c>
      <c r="S242" s="86">
        <v>0.3</v>
      </c>
      <c r="T242" s="86">
        <v>0.3</v>
      </c>
      <c r="U242" s="82">
        <v>11023673</v>
      </c>
      <c r="V242" s="82">
        <v>11023673</v>
      </c>
      <c r="W242" s="82">
        <f t="shared" si="87"/>
        <v>417879246.30000001</v>
      </c>
      <c r="X242" s="82">
        <f t="shared" si="112"/>
        <v>417879246.30000001</v>
      </c>
      <c r="Y242" s="82">
        <f t="shared" si="88"/>
        <v>406855573.30000001</v>
      </c>
      <c r="Z242" s="82">
        <f t="shared" si="113"/>
        <v>0</v>
      </c>
      <c r="AA242" s="83">
        <f t="shared" si="114"/>
        <v>37.907442129315704</v>
      </c>
      <c r="AB242" s="84" t="str">
        <f t="shared" si="115"/>
        <v>Costo eficiente: se está gastando menos de lo presupuestado</v>
      </c>
      <c r="AC242" s="84">
        <f t="shared" si="89"/>
        <v>1</v>
      </c>
      <c r="AD242" s="84" t="str">
        <f t="shared" si="116"/>
        <v>Proyecto a tiempo según lo planificado</v>
      </c>
      <c r="AE242" s="85">
        <f t="shared" si="90"/>
        <v>36745576.666666664</v>
      </c>
      <c r="AF242" s="85">
        <f t="shared" si="91"/>
        <v>-1356185244.3333333</v>
      </c>
      <c r="AG242" s="40" t="str">
        <f>VLOOKUP(Indicador!E242,Diccionario!C$1:AC$150,27,0)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2" s="40">
        <v>1</v>
      </c>
      <c r="AI242" s="40">
        <v>1</v>
      </c>
    </row>
    <row r="243" spans="1:35" ht="18.75" customHeight="1">
      <c r="A243" s="73">
        <v>2026</v>
      </c>
      <c r="B243" s="112" t="s">
        <v>22</v>
      </c>
      <c r="C243" s="36" t="s">
        <v>292</v>
      </c>
      <c r="D243" s="37">
        <v>45616.835520104163</v>
      </c>
      <c r="E243" s="36" t="s">
        <v>92</v>
      </c>
      <c r="F243" s="36" t="s">
        <v>162</v>
      </c>
      <c r="G243" s="36" t="s">
        <v>293</v>
      </c>
      <c r="H243" s="36" t="s">
        <v>294</v>
      </c>
      <c r="I243" s="36" t="s">
        <v>165</v>
      </c>
      <c r="J243" s="36" t="s">
        <v>295</v>
      </c>
      <c r="K243" s="36" t="s">
        <v>177</v>
      </c>
      <c r="L243" s="74">
        <f>VLOOKUP(E243,Diccionario!C$2:AC$150,22,0)</f>
        <v>1392930821</v>
      </c>
      <c r="M243" s="75">
        <f>VLOOKUP(E243,Diccionario!C$2:AC$150,24,0)</f>
        <v>45597</v>
      </c>
      <c r="N243" s="76">
        <f>VLOOKUP(E243,Diccionario!C$2:AC$150,25,0)</f>
        <v>46295</v>
      </c>
      <c r="O243" s="77">
        <f>VLOOKUP(E243,Diccionario!C$2:AC$150,26,0)</f>
        <v>22.97</v>
      </c>
      <c r="P243" s="77">
        <f t="shared" si="111"/>
        <v>-18.97</v>
      </c>
      <c r="Q243" s="78">
        <v>4</v>
      </c>
      <c r="R243" s="36">
        <v>11</v>
      </c>
      <c r="S243" s="86">
        <v>0.4</v>
      </c>
      <c r="T243" s="86">
        <v>0</v>
      </c>
      <c r="U243" s="82">
        <v>0</v>
      </c>
      <c r="V243" s="82">
        <v>0</v>
      </c>
      <c r="W243" s="82">
        <f t="shared" si="87"/>
        <v>0</v>
      </c>
      <c r="X243" s="82">
        <f t="shared" si="112"/>
        <v>557172328.39999998</v>
      </c>
      <c r="Y243" s="82">
        <f t="shared" si="88"/>
        <v>0</v>
      </c>
      <c r="Z243" s="82">
        <f t="shared" si="113"/>
        <v>-557172328.39999998</v>
      </c>
      <c r="AA243" s="83" t="str">
        <f t="shared" si="114"/>
        <v>No se realizó gasto en este corte</v>
      </c>
      <c r="AB243" s="84" t="str">
        <f t="shared" si="115"/>
        <v>Costo eficiente: se está gastando menos de lo presupuestado</v>
      </c>
      <c r="AC243" s="84">
        <f t="shared" si="89"/>
        <v>0</v>
      </c>
      <c r="AD243" s="84" t="str">
        <f t="shared" si="116"/>
        <v>Sin Línea Base</v>
      </c>
      <c r="AE243" s="85">
        <f t="shared" si="90"/>
        <v>0</v>
      </c>
      <c r="AF243" s="85">
        <f t="shared" si="91"/>
        <v>-1392930821</v>
      </c>
      <c r="AG243" s="40" t="str">
        <f>VLOOKUP(Indicador!E243,Diccionario!C$1:AC$150,27,0)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3" s="40">
        <v>1</v>
      </c>
      <c r="AI243" s="40">
        <v>1</v>
      </c>
    </row>
    <row r="244" spans="1:35" ht="18.75" customHeight="1">
      <c r="A244" s="73">
        <v>2026</v>
      </c>
      <c r="B244" s="112" t="s">
        <v>24</v>
      </c>
      <c r="C244" s="36" t="s">
        <v>292</v>
      </c>
      <c r="D244" s="37">
        <v>45616.835520104163</v>
      </c>
      <c r="E244" s="36" t="s">
        <v>92</v>
      </c>
      <c r="F244" s="36" t="s">
        <v>162</v>
      </c>
      <c r="G244" s="36" t="s">
        <v>293</v>
      </c>
      <c r="H244" s="36" t="s">
        <v>294</v>
      </c>
      <c r="I244" s="36" t="s">
        <v>165</v>
      </c>
      <c r="J244" s="36" t="s">
        <v>295</v>
      </c>
      <c r="K244" s="36" t="s">
        <v>177</v>
      </c>
      <c r="L244" s="74">
        <f>VLOOKUP(E244,Diccionario!C$2:AC$150,22,0)</f>
        <v>1392930821</v>
      </c>
      <c r="M244" s="75">
        <f>VLOOKUP(E244,Diccionario!C$2:AC$150,24,0)</f>
        <v>45597</v>
      </c>
      <c r="N244" s="76">
        <f>VLOOKUP(E244,Diccionario!C$2:AC$150,25,0)</f>
        <v>46295</v>
      </c>
      <c r="O244" s="77">
        <f>VLOOKUP(E244,Diccionario!C$2:AC$150,26,0)</f>
        <v>22.97</v>
      </c>
      <c r="P244" s="77">
        <f t="shared" si="111"/>
        <v>-17.97</v>
      </c>
      <c r="Q244" s="78">
        <v>5</v>
      </c>
      <c r="R244" s="36">
        <v>11</v>
      </c>
      <c r="S244" s="86">
        <v>0.45</v>
      </c>
      <c r="T244" s="86">
        <v>0</v>
      </c>
      <c r="U244" s="82">
        <v>0</v>
      </c>
      <c r="V244" s="82">
        <v>0</v>
      </c>
      <c r="W244" s="82">
        <f t="shared" si="87"/>
        <v>0</v>
      </c>
      <c r="X244" s="82">
        <f t="shared" si="112"/>
        <v>626818869.45000005</v>
      </c>
      <c r="Y244" s="82">
        <f t="shared" si="88"/>
        <v>0</v>
      </c>
      <c r="Z244" s="82">
        <f t="shared" si="113"/>
        <v>-626818869.45000005</v>
      </c>
      <c r="AA244" s="83" t="str">
        <f t="shared" si="114"/>
        <v>No se realizó gasto en este corte</v>
      </c>
      <c r="AB244" s="84" t="str">
        <f t="shared" si="115"/>
        <v>Costo eficiente: se está gastando menos de lo presupuestado</v>
      </c>
      <c r="AC244" s="84">
        <f t="shared" si="89"/>
        <v>0</v>
      </c>
      <c r="AD244" s="84" t="str">
        <f t="shared" si="116"/>
        <v>Sin Línea Base</v>
      </c>
      <c r="AE244" s="85">
        <f t="shared" si="90"/>
        <v>0</v>
      </c>
      <c r="AF244" s="85">
        <f t="shared" si="91"/>
        <v>-1392930821</v>
      </c>
      <c r="AG244" s="40" t="str">
        <f>VLOOKUP(Indicador!E244,Diccionario!C$1:AC$150,27,0)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4" s="40">
        <v>1</v>
      </c>
      <c r="AI244" s="40">
        <v>1</v>
      </c>
    </row>
    <row r="245" spans="1:35" ht="18.75" customHeight="1">
      <c r="A245" s="73">
        <v>2026</v>
      </c>
      <c r="B245" s="112" t="s">
        <v>27</v>
      </c>
      <c r="C245" s="36" t="s">
        <v>292</v>
      </c>
      <c r="D245" s="37">
        <v>45616.835520104163</v>
      </c>
      <c r="E245" s="36" t="s">
        <v>92</v>
      </c>
      <c r="F245" s="36" t="s">
        <v>162</v>
      </c>
      <c r="G245" s="36" t="s">
        <v>293</v>
      </c>
      <c r="H245" s="36" t="s">
        <v>294</v>
      </c>
      <c r="I245" s="36" t="s">
        <v>165</v>
      </c>
      <c r="J245" s="36" t="s">
        <v>295</v>
      </c>
      <c r="K245" s="36" t="s">
        <v>177</v>
      </c>
      <c r="L245" s="74">
        <f>VLOOKUP(E245,Diccionario!C$2:AC$150,22,0)</f>
        <v>1392930821</v>
      </c>
      <c r="M245" s="75">
        <f>VLOOKUP(E245,Diccionario!C$2:AC$150,24,0)</f>
        <v>45597</v>
      </c>
      <c r="N245" s="76">
        <f>VLOOKUP(E245,Diccionario!C$2:AC$150,25,0)</f>
        <v>46295</v>
      </c>
      <c r="O245" s="77">
        <f>VLOOKUP(E245,Diccionario!C$2:AC$150,26,0)</f>
        <v>22.97</v>
      </c>
      <c r="P245" s="77">
        <f t="shared" si="111"/>
        <v>-16.97</v>
      </c>
      <c r="Q245" s="78">
        <v>6</v>
      </c>
      <c r="R245" s="36">
        <v>11</v>
      </c>
      <c r="S245" s="86">
        <v>0.5</v>
      </c>
      <c r="T245" s="86">
        <v>0</v>
      </c>
      <c r="U245" s="82">
        <v>0</v>
      </c>
      <c r="V245" s="82">
        <v>0</v>
      </c>
      <c r="W245" s="82">
        <f t="shared" si="87"/>
        <v>0</v>
      </c>
      <c r="X245" s="82">
        <f t="shared" si="112"/>
        <v>696465410.5</v>
      </c>
      <c r="Y245" s="82">
        <f t="shared" si="88"/>
        <v>0</v>
      </c>
      <c r="Z245" s="82">
        <f t="shared" si="113"/>
        <v>-696465410.5</v>
      </c>
      <c r="AA245" s="83" t="str">
        <f t="shared" si="114"/>
        <v>No se realizó gasto en este corte</v>
      </c>
      <c r="AB245" s="84" t="str">
        <f t="shared" si="115"/>
        <v>Costo eficiente: se está gastando menos de lo presupuestado</v>
      </c>
      <c r="AC245" s="84">
        <f t="shared" si="89"/>
        <v>0</v>
      </c>
      <c r="AD245" s="84" t="str">
        <f t="shared" si="116"/>
        <v>Sin Línea Base</v>
      </c>
      <c r="AE245" s="85">
        <f t="shared" si="90"/>
        <v>0</v>
      </c>
      <c r="AF245" s="85">
        <f t="shared" si="91"/>
        <v>-1392930821</v>
      </c>
      <c r="AG245" s="40" t="str">
        <f>VLOOKUP(Indicador!E245,Diccionario!C$1:AC$150,27,0)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5" s="40">
        <v>1</v>
      </c>
      <c r="AI245" s="40">
        <v>1</v>
      </c>
    </row>
    <row r="246" spans="1:35" ht="18.75" customHeight="1">
      <c r="A246" s="73">
        <v>2026</v>
      </c>
      <c r="B246" s="112" t="s">
        <v>13</v>
      </c>
      <c r="C246" s="36" t="s">
        <v>292</v>
      </c>
      <c r="D246" s="37">
        <v>45616.835520104163</v>
      </c>
      <c r="E246" s="36" t="s">
        <v>92</v>
      </c>
      <c r="F246" s="36" t="s">
        <v>162</v>
      </c>
      <c r="G246" s="36" t="s">
        <v>293</v>
      </c>
      <c r="H246" s="36" t="s">
        <v>294</v>
      </c>
      <c r="I246" s="36" t="s">
        <v>165</v>
      </c>
      <c r="J246" s="36" t="s">
        <v>295</v>
      </c>
      <c r="K246" s="36" t="s">
        <v>177</v>
      </c>
      <c r="L246" s="74">
        <f>VLOOKUP(E246,Diccionario!C$2:AC$150,22,0)</f>
        <v>1392930821</v>
      </c>
      <c r="M246" s="75">
        <f>VLOOKUP(E246,Diccionario!C$2:AC$150,24,0)</f>
        <v>45597</v>
      </c>
      <c r="N246" s="76">
        <f>VLOOKUP(E246,Diccionario!C$2:AC$150,25,0)</f>
        <v>46295</v>
      </c>
      <c r="O246" s="77">
        <f>VLOOKUP(E246,Diccionario!C$2:AC$150,26,0)</f>
        <v>22.97</v>
      </c>
      <c r="P246" s="77">
        <f t="shared" si="111"/>
        <v>-15.969999999999999</v>
      </c>
      <c r="Q246" s="78">
        <v>7</v>
      </c>
      <c r="R246" s="36">
        <v>11</v>
      </c>
      <c r="S246" s="86">
        <v>0.55000000000000004</v>
      </c>
      <c r="T246" s="86">
        <v>0</v>
      </c>
      <c r="U246" s="82">
        <v>0</v>
      </c>
      <c r="V246" s="82">
        <v>0</v>
      </c>
      <c r="W246" s="82">
        <f t="shared" si="87"/>
        <v>0</v>
      </c>
      <c r="X246" s="82">
        <f t="shared" si="112"/>
        <v>766111951.55000007</v>
      </c>
      <c r="Y246" s="82">
        <f t="shared" si="88"/>
        <v>0</v>
      </c>
      <c r="Z246" s="82">
        <f t="shared" si="113"/>
        <v>-766111951.55000007</v>
      </c>
      <c r="AA246" s="83" t="str">
        <f t="shared" si="114"/>
        <v>No se realizó gasto en este corte</v>
      </c>
      <c r="AB246" s="84" t="str">
        <f t="shared" si="115"/>
        <v>Costo eficiente: se está gastando menos de lo presupuestado</v>
      </c>
      <c r="AC246" s="84">
        <f t="shared" si="89"/>
        <v>0</v>
      </c>
      <c r="AD246" s="84" t="str">
        <f t="shared" si="116"/>
        <v>Sin Línea Base</v>
      </c>
      <c r="AE246" s="85">
        <f t="shared" si="90"/>
        <v>0</v>
      </c>
      <c r="AF246" s="85">
        <f t="shared" si="91"/>
        <v>-1392930821</v>
      </c>
      <c r="AG246" s="40" t="str">
        <f>VLOOKUP(Indicador!E246,Diccionario!C$1:AC$150,27,0)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6" s="40">
        <v>1</v>
      </c>
      <c r="AI246" s="40">
        <v>1</v>
      </c>
    </row>
    <row r="247" spans="1:35" ht="18.75" customHeight="1">
      <c r="A247" s="73">
        <v>2026</v>
      </c>
      <c r="B247" s="112" t="s">
        <v>21</v>
      </c>
      <c r="C247" s="36" t="s">
        <v>292</v>
      </c>
      <c r="D247" s="37">
        <v>45616.835520104163</v>
      </c>
      <c r="E247" s="36" t="s">
        <v>92</v>
      </c>
      <c r="F247" s="36" t="s">
        <v>162</v>
      </c>
      <c r="G247" s="36" t="s">
        <v>293</v>
      </c>
      <c r="H247" s="36" t="s">
        <v>294</v>
      </c>
      <c r="I247" s="36" t="s">
        <v>165</v>
      </c>
      <c r="J247" s="36" t="s">
        <v>295</v>
      </c>
      <c r="K247" s="36" t="s">
        <v>177</v>
      </c>
      <c r="L247" s="74">
        <f>VLOOKUP(E247,Diccionario!C$2:AC$150,22,0)</f>
        <v>1392930821</v>
      </c>
      <c r="M247" s="75">
        <f>VLOOKUP(E247,Diccionario!C$2:AC$150,24,0)</f>
        <v>45597</v>
      </c>
      <c r="N247" s="76">
        <f>VLOOKUP(E247,Diccionario!C$2:AC$150,25,0)</f>
        <v>46295</v>
      </c>
      <c r="O247" s="77">
        <f>VLOOKUP(E247,Diccionario!C$2:AC$150,26,0)</f>
        <v>22.97</v>
      </c>
      <c r="P247" s="77">
        <f t="shared" si="111"/>
        <v>-14.969999999999999</v>
      </c>
      <c r="Q247" s="78">
        <v>8</v>
      </c>
      <c r="R247" s="36">
        <v>11</v>
      </c>
      <c r="S247" s="86">
        <v>0.65</v>
      </c>
      <c r="T247" s="86">
        <v>0</v>
      </c>
      <c r="U247" s="82">
        <v>0</v>
      </c>
      <c r="V247" s="82">
        <v>0</v>
      </c>
      <c r="W247" s="82">
        <f t="shared" si="87"/>
        <v>0</v>
      </c>
      <c r="X247" s="82">
        <f t="shared" si="112"/>
        <v>905405033.64999998</v>
      </c>
      <c r="Y247" s="82">
        <f t="shared" si="88"/>
        <v>0</v>
      </c>
      <c r="Z247" s="82">
        <f t="shared" si="113"/>
        <v>-905405033.64999998</v>
      </c>
      <c r="AA247" s="83" t="str">
        <f t="shared" si="114"/>
        <v>No se realizó gasto en este corte</v>
      </c>
      <c r="AB247" s="84" t="str">
        <f t="shared" si="115"/>
        <v>Costo eficiente: se está gastando menos de lo presupuestado</v>
      </c>
      <c r="AC247" s="84">
        <f t="shared" si="89"/>
        <v>0</v>
      </c>
      <c r="AD247" s="84" t="str">
        <f t="shared" si="116"/>
        <v>Sin Línea Base</v>
      </c>
      <c r="AE247" s="85">
        <f t="shared" si="90"/>
        <v>0</v>
      </c>
      <c r="AF247" s="85">
        <f t="shared" si="91"/>
        <v>-1392930821</v>
      </c>
      <c r="AG247" s="40" t="str">
        <f>VLOOKUP(Indicador!E247,Diccionario!C$1:AC$150,27,0)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7" s="40">
        <v>1</v>
      </c>
      <c r="AI247" s="40">
        <v>1</v>
      </c>
    </row>
    <row r="248" spans="1:35" ht="18.75" customHeight="1">
      <c r="A248" s="73">
        <v>2026</v>
      </c>
      <c r="B248" s="112" t="s">
        <v>23</v>
      </c>
      <c r="C248" s="36" t="s">
        <v>292</v>
      </c>
      <c r="D248" s="37">
        <v>45616.835520104163</v>
      </c>
      <c r="E248" s="36" t="s">
        <v>92</v>
      </c>
      <c r="F248" s="36" t="s">
        <v>162</v>
      </c>
      <c r="G248" s="36" t="s">
        <v>293</v>
      </c>
      <c r="H248" s="36" t="s">
        <v>294</v>
      </c>
      <c r="I248" s="36" t="s">
        <v>165</v>
      </c>
      <c r="J248" s="36" t="s">
        <v>295</v>
      </c>
      <c r="K248" s="36" t="s">
        <v>177</v>
      </c>
      <c r="L248" s="74">
        <f>VLOOKUP(E248,Diccionario!C$2:AC$150,22,0)</f>
        <v>1392930821</v>
      </c>
      <c r="M248" s="75">
        <f>VLOOKUP(E248,Diccionario!C$2:AC$150,24,0)</f>
        <v>45597</v>
      </c>
      <c r="N248" s="76">
        <f>VLOOKUP(E248,Diccionario!C$2:AC$150,25,0)</f>
        <v>46295</v>
      </c>
      <c r="O248" s="77">
        <f>VLOOKUP(E248,Diccionario!C$2:AC$150,26,0)</f>
        <v>22.97</v>
      </c>
      <c r="P248" s="77">
        <f t="shared" si="111"/>
        <v>-13.969999999999999</v>
      </c>
      <c r="Q248" s="78">
        <v>9</v>
      </c>
      <c r="R248" s="36">
        <v>11</v>
      </c>
      <c r="S248" s="86">
        <v>0.7</v>
      </c>
      <c r="T248" s="86">
        <v>0</v>
      </c>
      <c r="U248" s="82">
        <v>0</v>
      </c>
      <c r="V248" s="82">
        <v>0</v>
      </c>
      <c r="W248" s="82">
        <f t="shared" si="87"/>
        <v>0</v>
      </c>
      <c r="X248" s="82">
        <f t="shared" si="112"/>
        <v>975051574.69999993</v>
      </c>
      <c r="Y248" s="82">
        <f t="shared" si="88"/>
        <v>0</v>
      </c>
      <c r="Z248" s="82">
        <f t="shared" si="113"/>
        <v>-975051574.69999993</v>
      </c>
      <c r="AA248" s="83" t="str">
        <f t="shared" si="114"/>
        <v>No se realizó gasto en este corte</v>
      </c>
      <c r="AB248" s="84" t="str">
        <f t="shared" si="115"/>
        <v>Costo eficiente: se está gastando menos de lo presupuestado</v>
      </c>
      <c r="AC248" s="84">
        <f t="shared" si="89"/>
        <v>0</v>
      </c>
      <c r="AD248" s="84" t="str">
        <f t="shared" si="116"/>
        <v>Sin Línea Base</v>
      </c>
      <c r="AE248" s="85">
        <f t="shared" si="90"/>
        <v>0</v>
      </c>
      <c r="AF248" s="85">
        <f t="shared" si="91"/>
        <v>-1392930821</v>
      </c>
      <c r="AG248" s="40" t="str">
        <f>VLOOKUP(Indicador!E248,Diccionario!C$1:AC$150,27,0)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8" s="40">
        <v>1</v>
      </c>
      <c r="AI248" s="40">
        <v>1</v>
      </c>
    </row>
    <row r="249" spans="1:35" ht="18.75" customHeight="1">
      <c r="A249" s="73">
        <v>2026</v>
      </c>
      <c r="B249" s="112" t="s">
        <v>26</v>
      </c>
      <c r="C249" s="36" t="s">
        <v>292</v>
      </c>
      <c r="D249" s="37">
        <v>45616.835520104163</v>
      </c>
      <c r="E249" s="36" t="s">
        <v>92</v>
      </c>
      <c r="F249" s="36" t="s">
        <v>162</v>
      </c>
      <c r="G249" s="36" t="s">
        <v>293</v>
      </c>
      <c r="H249" s="36" t="s">
        <v>294</v>
      </c>
      <c r="I249" s="36" t="s">
        <v>165</v>
      </c>
      <c r="J249" s="36" t="s">
        <v>295</v>
      </c>
      <c r="K249" s="36" t="s">
        <v>177</v>
      </c>
      <c r="L249" s="74">
        <f>VLOOKUP(E249,Diccionario!C$2:AC$150,22,0)</f>
        <v>1392930821</v>
      </c>
      <c r="M249" s="75">
        <f>VLOOKUP(E249,Diccionario!C$2:AC$150,24,0)</f>
        <v>45597</v>
      </c>
      <c r="N249" s="76">
        <f>VLOOKUP(E249,Diccionario!C$2:AC$150,25,0)</f>
        <v>46295</v>
      </c>
      <c r="O249" s="77">
        <f>VLOOKUP(E249,Diccionario!C$2:AC$150,26,0)</f>
        <v>22.97</v>
      </c>
      <c r="P249" s="77">
        <f t="shared" si="111"/>
        <v>-12.969999999999999</v>
      </c>
      <c r="Q249" s="78">
        <v>10</v>
      </c>
      <c r="R249" s="36">
        <v>11</v>
      </c>
      <c r="S249" s="86">
        <v>0.8</v>
      </c>
      <c r="T249" s="86">
        <v>0</v>
      </c>
      <c r="U249" s="82">
        <v>0</v>
      </c>
      <c r="V249" s="82">
        <v>0</v>
      </c>
      <c r="W249" s="82">
        <f t="shared" si="87"/>
        <v>0</v>
      </c>
      <c r="X249" s="82">
        <f t="shared" si="112"/>
        <v>1114344656.8</v>
      </c>
      <c r="Y249" s="82">
        <f t="shared" si="88"/>
        <v>0</v>
      </c>
      <c r="Z249" s="82">
        <f t="shared" si="113"/>
        <v>-1114344656.8</v>
      </c>
      <c r="AA249" s="83" t="str">
        <f t="shared" si="114"/>
        <v>No se realizó gasto en este corte</v>
      </c>
      <c r="AB249" s="84" t="str">
        <f t="shared" si="115"/>
        <v>Costo eficiente: se está gastando menos de lo presupuestado</v>
      </c>
      <c r="AC249" s="84">
        <f t="shared" si="89"/>
        <v>0</v>
      </c>
      <c r="AD249" s="84" t="str">
        <f t="shared" si="116"/>
        <v>Sin Línea Base</v>
      </c>
      <c r="AE249" s="85">
        <f t="shared" si="90"/>
        <v>0</v>
      </c>
      <c r="AF249" s="85">
        <f t="shared" si="91"/>
        <v>-1392930821</v>
      </c>
      <c r="AG249" s="40" t="str">
        <f>VLOOKUP(Indicador!E249,Diccionario!C$1:AC$150,27,0)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49" s="40">
        <v>1</v>
      </c>
      <c r="AI249" s="40">
        <v>1</v>
      </c>
    </row>
    <row r="250" spans="1:35" ht="18.75" customHeight="1">
      <c r="A250" s="73">
        <v>2026</v>
      </c>
      <c r="B250" s="112" t="s">
        <v>28</v>
      </c>
      <c r="C250" s="36" t="s">
        <v>292</v>
      </c>
      <c r="D250" s="37">
        <v>45616.835520104163</v>
      </c>
      <c r="E250" s="36" t="s">
        <v>92</v>
      </c>
      <c r="F250" s="36" t="s">
        <v>162</v>
      </c>
      <c r="G250" s="36" t="s">
        <v>293</v>
      </c>
      <c r="H250" s="36" t="s">
        <v>294</v>
      </c>
      <c r="I250" s="36" t="s">
        <v>165</v>
      </c>
      <c r="J250" s="36" t="s">
        <v>295</v>
      </c>
      <c r="K250" s="36" t="s">
        <v>177</v>
      </c>
      <c r="L250" s="74">
        <f>VLOOKUP(E250,Diccionario!C$2:AC$150,22,0)</f>
        <v>1392930821</v>
      </c>
      <c r="M250" s="75">
        <f>VLOOKUP(E250,Diccionario!C$2:AC$150,24,0)</f>
        <v>45597</v>
      </c>
      <c r="N250" s="76">
        <f>VLOOKUP(E250,Diccionario!C$2:AC$150,25,0)</f>
        <v>46295</v>
      </c>
      <c r="O250" s="77">
        <f>VLOOKUP(E250,Diccionario!C$2:AC$150,26,0)</f>
        <v>22.97</v>
      </c>
      <c r="P250" s="77">
        <f t="shared" si="111"/>
        <v>-11.969999999999999</v>
      </c>
      <c r="Q250" s="78">
        <v>11</v>
      </c>
      <c r="R250" s="36">
        <v>11</v>
      </c>
      <c r="S250" s="86">
        <v>1</v>
      </c>
      <c r="T250" s="86">
        <v>0</v>
      </c>
      <c r="U250" s="82">
        <v>0</v>
      </c>
      <c r="V250" s="82">
        <v>0</v>
      </c>
      <c r="W250" s="82">
        <f t="shared" si="87"/>
        <v>0</v>
      </c>
      <c r="X250" s="82">
        <f t="shared" si="112"/>
        <v>1392930821</v>
      </c>
      <c r="Y250" s="82">
        <f t="shared" si="88"/>
        <v>0</v>
      </c>
      <c r="Z250" s="82">
        <f t="shared" si="113"/>
        <v>-1392930821</v>
      </c>
      <c r="AA250" s="83" t="str">
        <f t="shared" si="114"/>
        <v>No se realizó gasto en este corte</v>
      </c>
      <c r="AB250" s="84" t="str">
        <f t="shared" si="115"/>
        <v>Costo eficiente: se está gastando menos de lo presupuestado</v>
      </c>
      <c r="AC250" s="84">
        <f t="shared" si="89"/>
        <v>0</v>
      </c>
      <c r="AD250" s="84" t="str">
        <f t="shared" si="116"/>
        <v>Sin Línea Base</v>
      </c>
      <c r="AE250" s="85">
        <f t="shared" si="90"/>
        <v>0</v>
      </c>
      <c r="AF250" s="85">
        <f t="shared" si="91"/>
        <v>-1392930821</v>
      </c>
      <c r="AG250" s="40" t="str">
        <f>VLOOKUP(Indicador!E250,Diccionario!C$1:AC$150,27,0)</f>
        <v>https://growdatasas.sharepoint.com/:x:/r/sites/Gestiondocumental/Administrativa/GD/Financiera/_layouts/15/Doc.aspx?sourcedoc=%7B2C873097-3FE4-4C6E-BF7F-92677DD9D26A%7D&amp;file=Copia%20de%2020251301%20MODELO%20FINANCIERO%20REFERENCIA%20V7.4_FNA%2020251114_NOV_18%20AD%201.xlsm&amp;action=default&amp;mobileredirect=true</v>
      </c>
      <c r="AH250" s="40">
        <v>1</v>
      </c>
      <c r="AI250" s="40">
        <v>1</v>
      </c>
    </row>
    <row r="251" spans="1:35" ht="18.75" customHeight="1">
      <c r="A251" s="73">
        <v>2024</v>
      </c>
      <c r="B251" s="112" t="s">
        <v>31</v>
      </c>
      <c r="C251" s="36" t="s">
        <v>296</v>
      </c>
      <c r="D251" s="37">
        <v>45616.681283796293</v>
      </c>
      <c r="E251" s="36" t="s">
        <v>46</v>
      </c>
      <c r="F251" s="36" t="s">
        <v>185</v>
      </c>
      <c r="G251" s="36" t="s">
        <v>297</v>
      </c>
      <c r="H251" s="36" t="s">
        <v>298</v>
      </c>
      <c r="I251" s="36" t="s">
        <v>175</v>
      </c>
      <c r="J251" s="36" t="s">
        <v>299</v>
      </c>
      <c r="K251" s="36" t="s">
        <v>154</v>
      </c>
      <c r="L251" s="74">
        <f>VLOOKUP(E251,Diccionario!C$2:AC$150,22,0)</f>
        <v>219060050</v>
      </c>
      <c r="M251" s="75">
        <f>VLOOKUP(E251,Diccionario!C$2:AC$150,24,0)</f>
        <v>45597</v>
      </c>
      <c r="N251" s="76">
        <f>VLOOKUP(E251,Diccionario!C$2:AC$150,25,0)</f>
        <v>45657</v>
      </c>
      <c r="O251" s="77">
        <f>VLOOKUP(E251,Diccionario!C$2:AC$150,26,0)</f>
        <v>2</v>
      </c>
      <c r="P251" s="77">
        <f t="shared" si="111"/>
        <v>-1</v>
      </c>
      <c r="Q251" s="78">
        <v>1</v>
      </c>
      <c r="R251" s="78">
        <v>1</v>
      </c>
      <c r="S251" s="86">
        <v>0.5</v>
      </c>
      <c r="T251" s="86">
        <v>0.5</v>
      </c>
      <c r="U251" s="82">
        <v>109530025</v>
      </c>
      <c r="V251" s="82">
        <v>109530025</v>
      </c>
      <c r="W251" s="82">
        <f t="shared" si="87"/>
        <v>109530025</v>
      </c>
      <c r="X251" s="82">
        <f t="shared" si="112"/>
        <v>109530025</v>
      </c>
      <c r="Y251" s="82">
        <f t="shared" si="88"/>
        <v>0</v>
      </c>
      <c r="Z251" s="82">
        <f t="shared" si="113"/>
        <v>0</v>
      </c>
      <c r="AA251" s="83">
        <f t="shared" si="114"/>
        <v>1</v>
      </c>
      <c r="AB251" s="84" t="str">
        <f t="shared" si="115"/>
        <v>Costo según lo presupuestado</v>
      </c>
      <c r="AC251" s="84">
        <f t="shared" si="89"/>
        <v>1</v>
      </c>
      <c r="AD251" s="84" t="str">
        <f t="shared" si="116"/>
        <v>Proyecto a tiempo según lo planificado</v>
      </c>
      <c r="AE251" s="85">
        <f t="shared" si="90"/>
        <v>219060050</v>
      </c>
      <c r="AF251" s="85">
        <f t="shared" si="91"/>
        <v>0</v>
      </c>
      <c r="AG251" s="40" t="str">
        <f>VLOOKUP(Indicador!E251,Diccionario!C$1:AC$150,27,0)</f>
        <v>https://growdatasas.sharepoint.com/:x:/r/sites/Gestiondocumental/Administrativa/GD/Financiera/_layouts/15/Doc.aspx?sourcedoc=%7BD278ABBE-F1D6-4C56-888E-6E01CED7BFDD%7D&amp;file=SNR%20MIGRACION%203%20CIUDADES%20V6%20FINAL.xlsm&amp;action=default&amp;mobileredirect=true</v>
      </c>
      <c r="AH251" s="40">
        <v>1</v>
      </c>
      <c r="AI251" s="40">
        <v>1</v>
      </c>
    </row>
    <row r="252" spans="1:35" ht="18.75" customHeight="1">
      <c r="A252" s="73">
        <v>2024</v>
      </c>
      <c r="B252" s="112" t="s">
        <v>32</v>
      </c>
      <c r="C252" s="36" t="s">
        <v>296</v>
      </c>
      <c r="D252" s="37">
        <v>45616.681283796293</v>
      </c>
      <c r="E252" s="36" t="s">
        <v>46</v>
      </c>
      <c r="F252" s="36" t="s">
        <v>185</v>
      </c>
      <c r="G252" s="36" t="s">
        <v>297</v>
      </c>
      <c r="H252" s="36" t="s">
        <v>298</v>
      </c>
      <c r="I252" s="36" t="s">
        <v>175</v>
      </c>
      <c r="J252" s="36" t="s">
        <v>299</v>
      </c>
      <c r="K252" s="36" t="s">
        <v>154</v>
      </c>
      <c r="L252" s="74">
        <f>VLOOKUP(E252,Diccionario!C$2:AC$150,22,0)</f>
        <v>219060050</v>
      </c>
      <c r="M252" s="75">
        <f>VLOOKUP(E252,Diccionario!C$2:AC$150,24,0)</f>
        <v>45597</v>
      </c>
      <c r="N252" s="76">
        <f>VLOOKUP(E252,Diccionario!C$2:AC$150,25,0)</f>
        <v>45657</v>
      </c>
      <c r="O252" s="77">
        <f>VLOOKUP(E252,Diccionario!C$2:AC$150,26,0)</f>
        <v>2</v>
      </c>
      <c r="P252" s="77">
        <f t="shared" si="111"/>
        <v>0</v>
      </c>
      <c r="Q252" s="78">
        <v>2</v>
      </c>
      <c r="R252" s="36">
        <v>2</v>
      </c>
      <c r="S252" s="86">
        <v>1</v>
      </c>
      <c r="T252" s="86">
        <v>1</v>
      </c>
      <c r="U252" s="82">
        <v>109530025</v>
      </c>
      <c r="V252" s="82">
        <v>109530025</v>
      </c>
      <c r="W252" s="82">
        <f t="shared" si="87"/>
        <v>219060050</v>
      </c>
      <c r="X252" s="82">
        <f t="shared" si="112"/>
        <v>219060050</v>
      </c>
      <c r="Y252" s="82">
        <f t="shared" si="88"/>
        <v>109530025</v>
      </c>
      <c r="Z252" s="82">
        <f t="shared" si="113"/>
        <v>0</v>
      </c>
      <c r="AA252" s="83">
        <f t="shared" si="114"/>
        <v>2</v>
      </c>
      <c r="AB252" s="84" t="str">
        <f t="shared" si="115"/>
        <v>Costo eficiente: se está gastando menos de lo presupuestado</v>
      </c>
      <c r="AC252" s="84">
        <f t="shared" si="89"/>
        <v>1</v>
      </c>
      <c r="AD252" s="84" t="str">
        <f t="shared" si="116"/>
        <v>Proyecto a tiempo según lo planificado</v>
      </c>
      <c r="AE252" s="85">
        <f t="shared" si="90"/>
        <v>109530025</v>
      </c>
      <c r="AF252" s="85">
        <f t="shared" si="91"/>
        <v>-109530025</v>
      </c>
      <c r="AG252" s="40" t="str">
        <f>VLOOKUP(Indicador!E252,Diccionario!C$1:AC$150,27,0)</f>
        <v>https://growdatasas.sharepoint.com/:x:/r/sites/Gestiondocumental/Administrativa/GD/Financiera/_layouts/15/Doc.aspx?sourcedoc=%7BD278ABBE-F1D6-4C56-888E-6E01CED7BFDD%7D&amp;file=SNR%20MIGRACION%203%20CIUDADES%20V6%20FINAL.xlsm&amp;action=default&amp;mobileredirect=true</v>
      </c>
      <c r="AH252" s="40">
        <v>1</v>
      </c>
      <c r="AI252" s="40">
        <v>1</v>
      </c>
    </row>
    <row r="253" spans="1:35" ht="18.75" customHeight="1">
      <c r="A253" s="73">
        <v>2024</v>
      </c>
      <c r="B253" s="112" t="s">
        <v>32</v>
      </c>
      <c r="C253" s="36" t="s">
        <v>300</v>
      </c>
      <c r="D253" s="37">
        <v>45659.864735416668</v>
      </c>
      <c r="E253" s="36" t="s">
        <v>78</v>
      </c>
      <c r="F253" s="36" t="s">
        <v>149</v>
      </c>
      <c r="G253" s="36" t="s">
        <v>301</v>
      </c>
      <c r="H253" s="36" t="s">
        <v>302</v>
      </c>
      <c r="I253" s="36" t="s">
        <v>152</v>
      </c>
      <c r="J253" s="36" t="s">
        <v>303</v>
      </c>
      <c r="K253" s="36" t="s">
        <v>177</v>
      </c>
      <c r="L253" s="74">
        <f>VLOOKUP(E253,Diccionario!C$2:AC$150,22,0)</f>
        <v>4974784</v>
      </c>
      <c r="M253" s="75">
        <f>VLOOKUP(E253,Diccionario!C$2:AC$150,24,0)</f>
        <v>45627</v>
      </c>
      <c r="N253" s="76">
        <f>VLOOKUP(E253,Diccionario!C$2:AC$150,25,0)</f>
        <v>45657</v>
      </c>
      <c r="O253" s="77">
        <f>VLOOKUP(E253,Diccionario!C$2:AC$150,26,0)</f>
        <v>1</v>
      </c>
      <c r="P253" s="77">
        <f t="shared" si="111"/>
        <v>0</v>
      </c>
      <c r="Q253" s="78">
        <v>1</v>
      </c>
      <c r="R253" s="36">
        <v>1</v>
      </c>
      <c r="S253" s="86">
        <v>1</v>
      </c>
      <c r="T253" s="86">
        <v>0.5</v>
      </c>
      <c r="U253" s="82">
        <v>0</v>
      </c>
      <c r="V253" s="82">
        <v>0</v>
      </c>
      <c r="W253" s="82">
        <f t="shared" si="87"/>
        <v>2487392</v>
      </c>
      <c r="X253" s="82">
        <f t="shared" si="112"/>
        <v>4974784</v>
      </c>
      <c r="Y253" s="82">
        <f t="shared" si="88"/>
        <v>2487392</v>
      </c>
      <c r="Z253" s="82">
        <f t="shared" si="113"/>
        <v>-2487392</v>
      </c>
      <c r="AA253" s="83" t="str">
        <f t="shared" si="114"/>
        <v>No se realizó gasto en este corte</v>
      </c>
      <c r="AB253" s="84" t="str">
        <f t="shared" si="115"/>
        <v>Costo eficiente: se está gastando menos de lo presupuestado</v>
      </c>
      <c r="AC253" s="84">
        <f t="shared" si="89"/>
        <v>0.5</v>
      </c>
      <c r="AD253" s="84" t="str">
        <f t="shared" si="116"/>
        <v>Proyecto atrasado con respecto al cronograma</v>
      </c>
      <c r="AE253" s="85">
        <f t="shared" si="90"/>
        <v>0</v>
      </c>
      <c r="AF253" s="85">
        <f t="shared" si="91"/>
        <v>-4974784</v>
      </c>
      <c r="AG253" s="40" t="str">
        <f>VLOOKUP(Indicador!E253,Diccionario!C$1:AC$150,27,0)</f>
        <v>https://growdatasas.sharepoint.com/:x:/r/sites/Gestiondocumental/Administrativa/GD/Financiera/_layouts/15/Doc.aspx?sourcedoc=%7B64199AB1-933D-448B-A513-EAC54C1C777D%7D&amp;file=20241101%20MODELO%20FINANCIERO%20TRANSITO_PASTO_Fortigate_120G.xlsm&amp;action=default&amp;mobileredirect=true</v>
      </c>
      <c r="AH253" s="40">
        <v>1</v>
      </c>
      <c r="AI253" s="40">
        <v>1</v>
      </c>
    </row>
    <row r="254" spans="1:35" ht="18.75" customHeight="1">
      <c r="A254" s="73">
        <v>2024</v>
      </c>
      <c r="B254" s="112" t="s">
        <v>14</v>
      </c>
      <c r="C254" s="36" t="s">
        <v>300</v>
      </c>
      <c r="D254" s="37">
        <v>45659.864735416668</v>
      </c>
      <c r="E254" s="36" t="s">
        <v>78</v>
      </c>
      <c r="F254" s="36" t="s">
        <v>149</v>
      </c>
      <c r="G254" s="36" t="s">
        <v>301</v>
      </c>
      <c r="H254" s="36" t="s">
        <v>302</v>
      </c>
      <c r="I254" s="36" t="s">
        <v>152</v>
      </c>
      <c r="J254" s="36" t="s">
        <v>303</v>
      </c>
      <c r="K254" s="36" t="s">
        <v>177</v>
      </c>
      <c r="L254" s="74">
        <f>VLOOKUP(E254,Diccionario!C$2:AC$150,22,0)</f>
        <v>4974784</v>
      </c>
      <c r="M254" s="75">
        <f>VLOOKUP(E254,Diccionario!C$2:AC$150,24,0)</f>
        <v>45627</v>
      </c>
      <c r="N254" s="76">
        <f>VLOOKUP(E254,Diccionario!C$2:AC$150,25,0)</f>
        <v>45657</v>
      </c>
      <c r="O254" s="77">
        <f>VLOOKUP(E254,Diccionario!C$2:AC$150,26,0)</f>
        <v>1</v>
      </c>
      <c r="P254" s="77">
        <f t="shared" si="111"/>
        <v>1</v>
      </c>
      <c r="Q254" s="78">
        <v>2</v>
      </c>
      <c r="R254" s="36">
        <v>1</v>
      </c>
      <c r="S254" s="86">
        <v>1</v>
      </c>
      <c r="T254" s="86">
        <v>1</v>
      </c>
      <c r="U254" s="82">
        <v>40327077</v>
      </c>
      <c r="V254" s="82">
        <v>40327077</v>
      </c>
      <c r="W254" s="82">
        <f t="shared" si="87"/>
        <v>4974784</v>
      </c>
      <c r="X254" s="82">
        <f t="shared" si="112"/>
        <v>4974784</v>
      </c>
      <c r="Y254" s="82">
        <f t="shared" si="88"/>
        <v>-35352293</v>
      </c>
      <c r="Z254" s="82">
        <f t="shared" si="113"/>
        <v>0</v>
      </c>
      <c r="AA254" s="83">
        <f t="shared" si="114"/>
        <v>0.12336088727680412</v>
      </c>
      <c r="AB254" s="84" t="str">
        <f t="shared" si="115"/>
        <v>Costo ineficiente: se está gastando más de lo presupuestado</v>
      </c>
      <c r="AC254" s="84">
        <f t="shared" si="89"/>
        <v>1</v>
      </c>
      <c r="AD254" s="84" t="str">
        <f t="shared" si="116"/>
        <v>Proyecto a tiempo según lo planificado</v>
      </c>
      <c r="AE254" s="85">
        <f t="shared" si="90"/>
        <v>40327077</v>
      </c>
      <c r="AF254" s="85">
        <f t="shared" si="91"/>
        <v>35352293</v>
      </c>
      <c r="AG254" s="40" t="str">
        <f>VLOOKUP(Indicador!E254,Diccionario!C$1:AC$150,27,0)</f>
        <v>https://growdatasas.sharepoint.com/:x:/r/sites/Gestiondocumental/Administrativa/GD/Financiera/_layouts/15/Doc.aspx?sourcedoc=%7B64199AB1-933D-448B-A513-EAC54C1C777D%7D&amp;file=20241101%20MODELO%20FINANCIERO%20TRANSITO_PASTO_Fortigate_120G.xlsm&amp;action=default&amp;mobileredirect=true</v>
      </c>
      <c r="AH254" s="40">
        <v>1</v>
      </c>
      <c r="AI254" s="40">
        <v>1</v>
      </c>
    </row>
    <row r="255" spans="1:35" ht="18.75" customHeight="1">
      <c r="A255" s="73">
        <v>2024</v>
      </c>
      <c r="B255" s="112" t="s">
        <v>32</v>
      </c>
      <c r="C255" s="36" t="s">
        <v>304</v>
      </c>
      <c r="D255" s="37">
        <v>45644.888087002313</v>
      </c>
      <c r="E255" s="36" t="s">
        <v>79</v>
      </c>
      <c r="F255" s="36" t="s">
        <v>190</v>
      </c>
      <c r="G255" s="36" t="s">
        <v>305</v>
      </c>
      <c r="H255" s="36" t="s">
        <v>306</v>
      </c>
      <c r="I255" s="36" t="s">
        <v>165</v>
      </c>
      <c r="J255" s="36" t="s">
        <v>307</v>
      </c>
      <c r="K255" s="36" t="s">
        <v>154</v>
      </c>
      <c r="L255" s="74">
        <f>VLOOKUP(E255,Diccionario!C$2:AC$150,22,0)</f>
        <v>55501215</v>
      </c>
      <c r="M255" s="75">
        <f>VLOOKUP(E255,Diccionario!C$2:AC$150,24,0)</f>
        <v>45642</v>
      </c>
      <c r="N255" s="76">
        <f>VLOOKUP(E255,Diccionario!C$2:AC$150,25,0)</f>
        <v>45657</v>
      </c>
      <c r="O255" s="77">
        <f>VLOOKUP(E255,Diccionario!C$2:AC$150,26,0)</f>
        <v>0.5</v>
      </c>
      <c r="P255" s="77">
        <f t="shared" si="111"/>
        <v>0.5</v>
      </c>
      <c r="Q255" s="78">
        <v>1</v>
      </c>
      <c r="R255" s="36">
        <v>1</v>
      </c>
      <c r="S255" s="86">
        <v>1</v>
      </c>
      <c r="T255" s="86">
        <v>0.5</v>
      </c>
      <c r="U255" s="82">
        <v>9502698</v>
      </c>
      <c r="V255" s="82">
        <v>9502698</v>
      </c>
      <c r="W255" s="82">
        <f t="shared" si="87"/>
        <v>27750607.5</v>
      </c>
      <c r="X255" s="82">
        <f t="shared" si="112"/>
        <v>55501215</v>
      </c>
      <c r="Y255" s="82">
        <f t="shared" si="88"/>
        <v>18247909.5</v>
      </c>
      <c r="Z255" s="82">
        <f t="shared" si="113"/>
        <v>-27750607.5</v>
      </c>
      <c r="AA255" s="83">
        <f t="shared" si="114"/>
        <v>2.9202872173776333</v>
      </c>
      <c r="AB255" s="84" t="str">
        <f t="shared" si="115"/>
        <v>Costo eficiente: se está gastando menos de lo presupuestado</v>
      </c>
      <c r="AC255" s="84">
        <f t="shared" si="89"/>
        <v>0.5</v>
      </c>
      <c r="AD255" s="84" t="str">
        <f t="shared" si="116"/>
        <v>Proyecto atrasado con respecto al cronograma</v>
      </c>
      <c r="AE255" s="85">
        <f t="shared" si="90"/>
        <v>19005396</v>
      </c>
      <c r="AF255" s="85">
        <f t="shared" si="91"/>
        <v>-36495819</v>
      </c>
      <c r="AG255" s="40" t="str">
        <f>VLOOKUP(Indicador!E255,Diccionario!C$1:AC$150,27,0)</f>
        <v>https://growdatasas.sharepoint.com/:x:/r/sites/Gestiondocumental/Administrativa/GD/Financiera/_layouts/15/Doc.aspx?sourcedoc=%7BB7BAA080-4266-4F0B-BA53-BBE294612E30%7D&amp;file=MODELO%20FINANCIERO%20REFERENCIA%20V7_IDU_2024.xlsm&amp;action=default&amp;mobileredirect=true</v>
      </c>
      <c r="AH255" s="40">
        <v>1</v>
      </c>
      <c r="AI255" s="40">
        <v>1</v>
      </c>
    </row>
    <row r="256" spans="1:35" ht="18.75" customHeight="1">
      <c r="A256" s="73">
        <v>2025</v>
      </c>
      <c r="B256" s="112" t="s">
        <v>14</v>
      </c>
      <c r="C256" s="36" t="s">
        <v>304</v>
      </c>
      <c r="D256" s="37">
        <v>45644.888087002313</v>
      </c>
      <c r="E256" s="36" t="s">
        <v>79</v>
      </c>
      <c r="F256" s="36" t="s">
        <v>190</v>
      </c>
      <c r="G256" s="36" t="s">
        <v>305</v>
      </c>
      <c r="H256" s="36" t="s">
        <v>306</v>
      </c>
      <c r="I256" s="36" t="s">
        <v>165</v>
      </c>
      <c r="J256" s="36" t="s">
        <v>307</v>
      </c>
      <c r="K256" s="36" t="s">
        <v>154</v>
      </c>
      <c r="L256" s="74">
        <f>VLOOKUP(E256,Diccionario!C$2:AC$150,22,0)</f>
        <v>55501215</v>
      </c>
      <c r="M256" s="75">
        <f>VLOOKUP(E256,Diccionario!C$2:AC$150,24,0)</f>
        <v>45642</v>
      </c>
      <c r="N256" s="76">
        <f>VLOOKUP(E256,Diccionario!C$2:AC$150,25,0)</f>
        <v>45657</v>
      </c>
      <c r="O256" s="77">
        <f>VLOOKUP(E256,Diccionario!C$2:AC$150,26,0)</f>
        <v>0.5</v>
      </c>
      <c r="P256" s="77">
        <f t="shared" si="111"/>
        <v>1.5</v>
      </c>
      <c r="Q256" s="78">
        <v>2</v>
      </c>
      <c r="R256" s="36">
        <v>1</v>
      </c>
      <c r="S256" s="86">
        <v>1</v>
      </c>
      <c r="T256" s="86">
        <v>1</v>
      </c>
      <c r="U256" s="82">
        <v>45998517</v>
      </c>
      <c r="V256" s="82">
        <v>45998517</v>
      </c>
      <c r="W256" s="82">
        <f t="shared" si="87"/>
        <v>55501215</v>
      </c>
      <c r="X256" s="82">
        <f t="shared" si="112"/>
        <v>55501215</v>
      </c>
      <c r="Y256" s="82">
        <f t="shared" si="88"/>
        <v>9502698</v>
      </c>
      <c r="Z256" s="82">
        <f t="shared" si="113"/>
        <v>0</v>
      </c>
      <c r="AA256" s="83">
        <f t="shared" si="114"/>
        <v>1.2065870514912469</v>
      </c>
      <c r="AB256" s="84" t="str">
        <f t="shared" si="115"/>
        <v>Costo eficiente: se está gastando menos de lo presupuestado</v>
      </c>
      <c r="AC256" s="84">
        <f t="shared" si="89"/>
        <v>1</v>
      </c>
      <c r="AD256" s="84" t="str">
        <f t="shared" si="116"/>
        <v>Proyecto a tiempo según lo planificado</v>
      </c>
      <c r="AE256" s="85">
        <f t="shared" si="90"/>
        <v>45998517</v>
      </c>
      <c r="AF256" s="85">
        <f t="shared" si="91"/>
        <v>-9502698</v>
      </c>
      <c r="AG256" s="40" t="str">
        <f>VLOOKUP(Indicador!E256,Diccionario!C$1:AC$150,27,0)</f>
        <v>https://growdatasas.sharepoint.com/:x:/r/sites/Gestiondocumental/Administrativa/GD/Financiera/_layouts/15/Doc.aspx?sourcedoc=%7BB7BAA080-4266-4F0B-BA53-BBE294612E30%7D&amp;file=MODELO%20FINANCIERO%20REFERENCIA%20V7_IDU_2024.xlsm&amp;action=default&amp;mobileredirect=true</v>
      </c>
      <c r="AH256" s="40">
        <v>1</v>
      </c>
      <c r="AI256" s="40">
        <v>1</v>
      </c>
    </row>
    <row r="257" spans="1:35" ht="18.75" customHeight="1">
      <c r="A257" s="73">
        <v>2024</v>
      </c>
      <c r="B257" s="112" t="s">
        <v>32</v>
      </c>
      <c r="C257" s="36" t="s">
        <v>308</v>
      </c>
      <c r="D257" s="37">
        <v>45656.606922488427</v>
      </c>
      <c r="E257" s="36" t="s">
        <v>58</v>
      </c>
      <c r="F257" s="36" t="s">
        <v>309</v>
      </c>
      <c r="G257" s="36" t="s">
        <v>310</v>
      </c>
      <c r="H257" s="36" t="s">
        <v>311</v>
      </c>
      <c r="I257" s="36" t="s">
        <v>152</v>
      </c>
      <c r="J257" s="36" t="s">
        <v>312</v>
      </c>
      <c r="K257" s="36" t="s">
        <v>177</v>
      </c>
      <c r="L257" s="74">
        <f>VLOOKUP(E257,Diccionario!C$2:AC$150,22,0)</f>
        <v>3399664692</v>
      </c>
      <c r="M257" s="75">
        <f>VLOOKUP(E257,Diccionario!C$2:AC$150,24,0)</f>
        <v>45652</v>
      </c>
      <c r="N257" s="76">
        <f>VLOOKUP(E257,Diccionario!C$2:AC$150,25,0)</f>
        <v>45925</v>
      </c>
      <c r="O257" s="77">
        <f>VLOOKUP(E257,Diccionario!C$2:AC$150,26,0)</f>
        <v>8.9700000000000006</v>
      </c>
      <c r="P257" s="77">
        <f t="shared" si="111"/>
        <v>-7.9700000000000006</v>
      </c>
      <c r="Q257" s="78">
        <v>1</v>
      </c>
      <c r="R257" s="36">
        <v>10</v>
      </c>
      <c r="S257" s="86">
        <v>0.1</v>
      </c>
      <c r="T257" s="86">
        <v>0.1</v>
      </c>
      <c r="U257" s="82">
        <v>50095352</v>
      </c>
      <c r="V257" s="82">
        <v>50095352</v>
      </c>
      <c r="W257" s="82">
        <f t="shared" si="87"/>
        <v>339966469.20000005</v>
      </c>
      <c r="X257" s="82">
        <f t="shared" si="112"/>
        <v>339966469.20000005</v>
      </c>
      <c r="Y257" s="82">
        <f t="shared" si="88"/>
        <v>289871117.20000005</v>
      </c>
      <c r="Z257" s="82">
        <f t="shared" si="113"/>
        <v>0</v>
      </c>
      <c r="AA257" s="83">
        <f t="shared" si="114"/>
        <v>6.7863874716360924</v>
      </c>
      <c r="AB257" s="84" t="str">
        <f t="shared" si="115"/>
        <v>Costo eficiente: se está gastando menos de lo presupuestado</v>
      </c>
      <c r="AC257" s="84">
        <f t="shared" si="89"/>
        <v>1</v>
      </c>
      <c r="AD257" s="84" t="str">
        <f t="shared" si="116"/>
        <v>Proyecto a tiempo según lo planificado</v>
      </c>
      <c r="AE257" s="85">
        <f t="shared" si="90"/>
        <v>500953519.99999988</v>
      </c>
      <c r="AF257" s="85">
        <f t="shared" si="91"/>
        <v>-2898711172</v>
      </c>
      <c r="AG257" s="40" t="str">
        <f>VLOOKUP(Indicador!E257,Diccionario!C$1:AC$150,27,0)</f>
        <v>https://growdatasas.sharepoint.com/:x:/r/sites/Gestiondocumental/Administrativa/GD/Financiera/_layouts/15/Doc.aspx?sourcedoc=%7B0E336D45-736A-482E-8FD2-86305F4DA8CF%7D&amp;file=DNP%20MODELO%20FINANCIERO%20REFERENCIA%20V7%2024122024.xlsm&amp;action=default&amp;mobileredirect=true</v>
      </c>
      <c r="AH257" s="40">
        <v>1</v>
      </c>
      <c r="AI257" s="40">
        <v>1</v>
      </c>
    </row>
    <row r="258" spans="1:35" ht="18.75" customHeight="1">
      <c r="A258" s="73">
        <v>2025</v>
      </c>
      <c r="B258" s="112" t="s">
        <v>14</v>
      </c>
      <c r="C258" s="36" t="s">
        <v>308</v>
      </c>
      <c r="D258" s="37">
        <v>45656.606922488427</v>
      </c>
      <c r="E258" s="36" t="s">
        <v>58</v>
      </c>
      <c r="F258" s="36" t="s">
        <v>309</v>
      </c>
      <c r="G258" s="36" t="s">
        <v>310</v>
      </c>
      <c r="H258" s="36" t="s">
        <v>311</v>
      </c>
      <c r="I258" s="36" t="s">
        <v>152</v>
      </c>
      <c r="J258" s="36" t="s">
        <v>312</v>
      </c>
      <c r="K258" s="36" t="s">
        <v>177</v>
      </c>
      <c r="L258" s="74">
        <f>VLOOKUP(E258,Diccionario!C$2:AC$150,22,0)</f>
        <v>3399664692</v>
      </c>
      <c r="M258" s="75">
        <f>VLOOKUP(E258,Diccionario!C$2:AC$150,24,0)</f>
        <v>45652</v>
      </c>
      <c r="N258" s="76">
        <f>VLOOKUP(E258,Diccionario!C$2:AC$150,25,0)</f>
        <v>45925</v>
      </c>
      <c r="O258" s="77">
        <f>VLOOKUP(E258,Diccionario!C$2:AC$150,26,0)</f>
        <v>8.9700000000000006</v>
      </c>
      <c r="P258" s="77">
        <f t="shared" si="111"/>
        <v>-6.9700000000000006</v>
      </c>
      <c r="Q258" s="78">
        <v>2</v>
      </c>
      <c r="R258" s="36">
        <v>10</v>
      </c>
      <c r="S258" s="86">
        <v>0.2</v>
      </c>
      <c r="T258" s="86">
        <v>0.2</v>
      </c>
      <c r="U258" s="82">
        <v>536478499</v>
      </c>
      <c r="V258" s="82">
        <v>536478499</v>
      </c>
      <c r="W258" s="82">
        <f t="shared" ref="W258:W321" si="117">IFERROR(T258*L258,0)</f>
        <v>679932938.4000001</v>
      </c>
      <c r="X258" s="82">
        <f t="shared" si="112"/>
        <v>679932938.4000001</v>
      </c>
      <c r="Y258" s="82">
        <f t="shared" ref="Y258:Y321" si="118">IFERROR(W258-U258,0)</f>
        <v>143454439.4000001</v>
      </c>
      <c r="Z258" s="82">
        <f t="shared" si="113"/>
        <v>0</v>
      </c>
      <c r="AA258" s="83">
        <f t="shared" si="114"/>
        <v>1.2674001654631084</v>
      </c>
      <c r="AB258" s="84" t="str">
        <f t="shared" si="115"/>
        <v>Costo eficiente: se está gastando menos de lo presupuestado</v>
      </c>
      <c r="AC258" s="84">
        <f t="shared" ref="AC258:AC321" si="119">IFERROR(W258/X258,0)</f>
        <v>1</v>
      </c>
      <c r="AD258" s="84" t="str">
        <f t="shared" si="116"/>
        <v>Proyecto a tiempo según lo planificado</v>
      </c>
      <c r="AE258" s="85">
        <f t="shared" ref="AE258:AE321" si="120">IFERROR(L258/AA258,0)</f>
        <v>2682392495</v>
      </c>
      <c r="AF258" s="85">
        <f t="shared" ref="AF258:AF321" si="121">IFERROR(AE258-L258,0)</f>
        <v>-717272197</v>
      </c>
      <c r="AG258" s="40" t="str">
        <f>VLOOKUP(Indicador!E258,Diccionario!C$1:AC$150,27,0)</f>
        <v>https://growdatasas.sharepoint.com/:x:/r/sites/Gestiondocumental/Administrativa/GD/Financiera/_layouts/15/Doc.aspx?sourcedoc=%7B0E336D45-736A-482E-8FD2-86305F4DA8CF%7D&amp;file=DNP%20MODELO%20FINANCIERO%20REFERENCIA%20V7%2024122024.xlsm&amp;action=default&amp;mobileredirect=true</v>
      </c>
      <c r="AH258" s="40">
        <v>1</v>
      </c>
      <c r="AI258" s="40">
        <v>1</v>
      </c>
    </row>
    <row r="259" spans="1:35" ht="18.75" customHeight="1">
      <c r="A259" s="73">
        <v>2025</v>
      </c>
      <c r="B259" s="112" t="s">
        <v>22</v>
      </c>
      <c r="C259" s="36" t="s">
        <v>308</v>
      </c>
      <c r="D259" s="37">
        <v>45656.606922488427</v>
      </c>
      <c r="E259" s="36" t="s">
        <v>58</v>
      </c>
      <c r="F259" s="36" t="s">
        <v>309</v>
      </c>
      <c r="G259" s="36" t="s">
        <v>310</v>
      </c>
      <c r="H259" s="36" t="s">
        <v>311</v>
      </c>
      <c r="I259" s="36" t="s">
        <v>152</v>
      </c>
      <c r="J259" s="36" t="s">
        <v>312</v>
      </c>
      <c r="K259" s="36" t="s">
        <v>177</v>
      </c>
      <c r="L259" s="74">
        <f>VLOOKUP(E259,Diccionario!C$2:AC$150,22,0)</f>
        <v>3399664692</v>
      </c>
      <c r="M259" s="75">
        <f>VLOOKUP(E259,Diccionario!C$2:AC$150,24,0)</f>
        <v>45652</v>
      </c>
      <c r="N259" s="76">
        <f>VLOOKUP(E259,Diccionario!C$2:AC$150,25,0)</f>
        <v>45925</v>
      </c>
      <c r="O259" s="77">
        <f>VLOOKUP(E259,Diccionario!C$2:AC$150,26,0)</f>
        <v>8.9700000000000006</v>
      </c>
      <c r="P259" s="77">
        <f t="shared" si="111"/>
        <v>-5.9700000000000006</v>
      </c>
      <c r="Q259" s="78">
        <v>3</v>
      </c>
      <c r="R259" s="36">
        <v>10</v>
      </c>
      <c r="S259" s="86">
        <v>0.3</v>
      </c>
      <c r="T259" s="86">
        <v>0.3</v>
      </c>
      <c r="U259" s="82">
        <v>357898274</v>
      </c>
      <c r="V259" s="82">
        <v>357898274</v>
      </c>
      <c r="W259" s="82">
        <f t="shared" si="117"/>
        <v>1019899407.5999999</v>
      </c>
      <c r="X259" s="82">
        <f t="shared" si="112"/>
        <v>1019899407.5999999</v>
      </c>
      <c r="Y259" s="82">
        <f t="shared" si="118"/>
        <v>662001133.5999999</v>
      </c>
      <c r="Z259" s="82">
        <f t="shared" si="113"/>
        <v>0</v>
      </c>
      <c r="AA259" s="83">
        <f t="shared" si="114"/>
        <v>2.8496907688356159</v>
      </c>
      <c r="AB259" s="84" t="str">
        <f t="shared" si="115"/>
        <v>Costo eficiente: se está gastando menos de lo presupuestado</v>
      </c>
      <c r="AC259" s="84">
        <f t="shared" si="119"/>
        <v>1</v>
      </c>
      <c r="AD259" s="84" t="str">
        <f t="shared" si="116"/>
        <v>Proyecto a tiempo según lo planificado</v>
      </c>
      <c r="AE259" s="85">
        <f t="shared" si="120"/>
        <v>1192994246.6666667</v>
      </c>
      <c r="AF259" s="85">
        <f t="shared" si="121"/>
        <v>-2206670445.333333</v>
      </c>
      <c r="AG259" s="40" t="str">
        <f>VLOOKUP(Indicador!E259,Diccionario!C$1:AC$150,27,0)</f>
        <v>https://growdatasas.sharepoint.com/:x:/r/sites/Gestiondocumental/Administrativa/GD/Financiera/_layouts/15/Doc.aspx?sourcedoc=%7B0E336D45-736A-482E-8FD2-86305F4DA8CF%7D&amp;file=DNP%20MODELO%20FINANCIERO%20REFERENCIA%20V7%2024122024.xlsm&amp;action=default&amp;mobileredirect=true</v>
      </c>
      <c r="AH259" s="40">
        <v>1</v>
      </c>
      <c r="AI259" s="40">
        <v>1</v>
      </c>
    </row>
    <row r="260" spans="1:35" ht="18.75" customHeight="1">
      <c r="A260" s="73">
        <v>2025</v>
      </c>
      <c r="B260" s="112" t="s">
        <v>24</v>
      </c>
      <c r="C260" s="36" t="s">
        <v>308</v>
      </c>
      <c r="D260" s="37">
        <v>45656.606922488427</v>
      </c>
      <c r="E260" s="36" t="s">
        <v>58</v>
      </c>
      <c r="F260" s="36" t="s">
        <v>309</v>
      </c>
      <c r="G260" s="36" t="s">
        <v>310</v>
      </c>
      <c r="H260" s="36" t="s">
        <v>311</v>
      </c>
      <c r="I260" s="36" t="s">
        <v>152</v>
      </c>
      <c r="J260" s="36" t="s">
        <v>312</v>
      </c>
      <c r="K260" s="36" t="s">
        <v>177</v>
      </c>
      <c r="L260" s="74">
        <f>VLOOKUP(E260,Diccionario!C$2:AC$150,22,0)</f>
        <v>3399664692</v>
      </c>
      <c r="M260" s="75">
        <f>VLOOKUP(E260,Diccionario!C$2:AC$150,24,0)</f>
        <v>45652</v>
      </c>
      <c r="N260" s="76">
        <f>VLOOKUP(E260,Diccionario!C$2:AC$150,25,0)</f>
        <v>45925</v>
      </c>
      <c r="O260" s="77">
        <f>VLOOKUP(E260,Diccionario!C$2:AC$150,26,0)</f>
        <v>8.9700000000000006</v>
      </c>
      <c r="P260" s="77">
        <f t="shared" si="111"/>
        <v>-4.9700000000000006</v>
      </c>
      <c r="Q260" s="78">
        <v>4</v>
      </c>
      <c r="R260" s="36">
        <v>10</v>
      </c>
      <c r="S260" s="86">
        <v>0.4</v>
      </c>
      <c r="T260" s="86">
        <v>0.4</v>
      </c>
      <c r="U260" s="82">
        <v>357898274</v>
      </c>
      <c r="V260" s="82">
        <v>357898274</v>
      </c>
      <c r="W260" s="82">
        <f t="shared" si="117"/>
        <v>1359865876.8000002</v>
      </c>
      <c r="X260" s="82">
        <f t="shared" si="112"/>
        <v>1359865876.8000002</v>
      </c>
      <c r="Y260" s="82">
        <f t="shared" si="118"/>
        <v>1001967602.8000002</v>
      </c>
      <c r="Z260" s="82">
        <f t="shared" si="113"/>
        <v>0</v>
      </c>
      <c r="AA260" s="83">
        <f t="shared" si="114"/>
        <v>3.7995876917808222</v>
      </c>
      <c r="AB260" s="84" t="str">
        <f t="shared" si="115"/>
        <v>Costo eficiente: se está gastando menos de lo presupuestado</v>
      </c>
      <c r="AC260" s="84">
        <f t="shared" si="119"/>
        <v>1</v>
      </c>
      <c r="AD260" s="84" t="str">
        <f t="shared" si="116"/>
        <v>Proyecto a tiempo según lo planificado</v>
      </c>
      <c r="AE260" s="85">
        <f t="shared" si="120"/>
        <v>894745684.99999988</v>
      </c>
      <c r="AF260" s="85">
        <f t="shared" si="121"/>
        <v>-2504919007</v>
      </c>
      <c r="AG260" s="40" t="str">
        <f>VLOOKUP(Indicador!E260,Diccionario!C$1:AC$150,27,0)</f>
        <v>https://growdatasas.sharepoint.com/:x:/r/sites/Gestiondocumental/Administrativa/GD/Financiera/_layouts/15/Doc.aspx?sourcedoc=%7B0E336D45-736A-482E-8FD2-86305F4DA8CF%7D&amp;file=DNP%20MODELO%20FINANCIERO%20REFERENCIA%20V7%2024122024.xlsm&amp;action=default&amp;mobileredirect=true</v>
      </c>
      <c r="AH260" s="40">
        <v>1</v>
      </c>
      <c r="AI260" s="40">
        <v>1</v>
      </c>
    </row>
    <row r="261" spans="1:35" ht="18.75" customHeight="1">
      <c r="A261" s="73">
        <v>2025</v>
      </c>
      <c r="B261" s="112" t="s">
        <v>27</v>
      </c>
      <c r="C261" s="36" t="s">
        <v>308</v>
      </c>
      <c r="D261" s="37">
        <v>45656.606922488427</v>
      </c>
      <c r="E261" s="36" t="s">
        <v>58</v>
      </c>
      <c r="F261" s="36" t="s">
        <v>309</v>
      </c>
      <c r="G261" s="36" t="s">
        <v>310</v>
      </c>
      <c r="H261" s="36" t="s">
        <v>311</v>
      </c>
      <c r="I261" s="36" t="s">
        <v>152</v>
      </c>
      <c r="J261" s="36" t="s">
        <v>312</v>
      </c>
      <c r="K261" s="36" t="s">
        <v>177</v>
      </c>
      <c r="L261" s="74">
        <f>VLOOKUP(E261,Diccionario!C$2:AC$150,22,0)</f>
        <v>3399664692</v>
      </c>
      <c r="M261" s="75">
        <f>VLOOKUP(E261,Diccionario!C$2:AC$150,24,0)</f>
        <v>45652</v>
      </c>
      <c r="N261" s="76">
        <f>VLOOKUP(E261,Diccionario!C$2:AC$150,25,0)</f>
        <v>45925</v>
      </c>
      <c r="O261" s="77">
        <f>VLOOKUP(E261,Diccionario!C$2:AC$150,26,0)</f>
        <v>8.9700000000000006</v>
      </c>
      <c r="P261" s="77">
        <f t="shared" si="111"/>
        <v>-3.9700000000000006</v>
      </c>
      <c r="Q261" s="78">
        <v>5</v>
      </c>
      <c r="R261" s="36">
        <v>10</v>
      </c>
      <c r="S261" s="86">
        <v>0.5</v>
      </c>
      <c r="T261" s="86">
        <v>0.5</v>
      </c>
      <c r="U261" s="82">
        <v>357898274</v>
      </c>
      <c r="V261" s="82">
        <v>357898274</v>
      </c>
      <c r="W261" s="82">
        <f t="shared" si="117"/>
        <v>1699832346</v>
      </c>
      <c r="X261" s="82">
        <f t="shared" si="112"/>
        <v>1699832346</v>
      </c>
      <c r="Y261" s="82">
        <f t="shared" si="118"/>
        <v>1341934072</v>
      </c>
      <c r="Z261" s="82">
        <f t="shared" si="113"/>
        <v>0</v>
      </c>
      <c r="AA261" s="83">
        <f t="shared" si="114"/>
        <v>4.7494846147260272</v>
      </c>
      <c r="AB261" s="84" t="str">
        <f t="shared" si="115"/>
        <v>Costo eficiente: se está gastando menos de lo presupuestado</v>
      </c>
      <c r="AC261" s="84">
        <f t="shared" si="119"/>
        <v>1</v>
      </c>
      <c r="AD261" s="84" t="str">
        <f t="shared" si="116"/>
        <v>Proyecto a tiempo según lo planificado</v>
      </c>
      <c r="AE261" s="85">
        <f t="shared" si="120"/>
        <v>715796548</v>
      </c>
      <c r="AF261" s="85">
        <f t="shared" si="121"/>
        <v>-2683868144</v>
      </c>
      <c r="AG261" s="40" t="str">
        <f>VLOOKUP(Indicador!E261,Diccionario!C$1:AC$150,27,0)</f>
        <v>https://growdatasas.sharepoint.com/:x:/r/sites/Gestiondocumental/Administrativa/GD/Financiera/_layouts/15/Doc.aspx?sourcedoc=%7B0E336D45-736A-482E-8FD2-86305F4DA8CF%7D&amp;file=DNP%20MODELO%20FINANCIERO%20REFERENCIA%20V7%2024122024.xlsm&amp;action=default&amp;mobileredirect=true</v>
      </c>
      <c r="AH261" s="40">
        <v>1</v>
      </c>
      <c r="AI261" s="40">
        <v>1</v>
      </c>
    </row>
    <row r="262" spans="1:35" ht="18.75" customHeight="1">
      <c r="A262" s="73">
        <v>2025</v>
      </c>
      <c r="B262" s="112" t="s">
        <v>13</v>
      </c>
      <c r="C262" s="36" t="s">
        <v>308</v>
      </c>
      <c r="D262" s="37">
        <v>45656.606922488427</v>
      </c>
      <c r="E262" s="36" t="s">
        <v>58</v>
      </c>
      <c r="F262" s="36" t="s">
        <v>309</v>
      </c>
      <c r="G262" s="36" t="s">
        <v>310</v>
      </c>
      <c r="H262" s="36" t="s">
        <v>311</v>
      </c>
      <c r="I262" s="36" t="s">
        <v>152</v>
      </c>
      <c r="J262" s="36" t="s">
        <v>312</v>
      </c>
      <c r="K262" s="36" t="s">
        <v>177</v>
      </c>
      <c r="L262" s="74">
        <f>VLOOKUP(E262,Diccionario!C$2:AC$150,22,0)</f>
        <v>3399664692</v>
      </c>
      <c r="M262" s="75">
        <f>VLOOKUP(E262,Diccionario!C$2:AC$150,24,0)</f>
        <v>45652</v>
      </c>
      <c r="N262" s="76">
        <f>VLOOKUP(E262,Diccionario!C$2:AC$150,25,0)</f>
        <v>45925</v>
      </c>
      <c r="O262" s="77">
        <f>VLOOKUP(E262,Diccionario!C$2:AC$150,26,0)</f>
        <v>8.9700000000000006</v>
      </c>
      <c r="P262" s="77">
        <f t="shared" si="111"/>
        <v>-2.9700000000000006</v>
      </c>
      <c r="Q262" s="78">
        <v>6</v>
      </c>
      <c r="R262" s="36">
        <v>10</v>
      </c>
      <c r="S262" s="86">
        <v>0.6</v>
      </c>
      <c r="T262" s="86">
        <v>0.6</v>
      </c>
      <c r="U262" s="82">
        <v>357898274</v>
      </c>
      <c r="V262" s="82">
        <v>357898274</v>
      </c>
      <c r="W262" s="82">
        <f t="shared" si="117"/>
        <v>2039798815.1999998</v>
      </c>
      <c r="X262" s="82">
        <f t="shared" si="112"/>
        <v>2039798815.1999998</v>
      </c>
      <c r="Y262" s="82">
        <f t="shared" si="118"/>
        <v>1681900541.1999998</v>
      </c>
      <c r="Z262" s="82">
        <f t="shared" si="113"/>
        <v>0</v>
      </c>
      <c r="AA262" s="83">
        <f t="shared" si="114"/>
        <v>5.6993815376712318</v>
      </c>
      <c r="AB262" s="84" t="str">
        <f t="shared" si="115"/>
        <v>Costo eficiente: se está gastando menos de lo presupuestado</v>
      </c>
      <c r="AC262" s="84">
        <f t="shared" si="119"/>
        <v>1</v>
      </c>
      <c r="AD262" s="84" t="str">
        <f t="shared" si="116"/>
        <v>Proyecto a tiempo según lo planificado</v>
      </c>
      <c r="AE262" s="85">
        <f t="shared" si="120"/>
        <v>596497123.33333337</v>
      </c>
      <c r="AF262" s="85">
        <f t="shared" si="121"/>
        <v>-2803167568.6666665</v>
      </c>
      <c r="AG262" s="40" t="str">
        <f>VLOOKUP(Indicador!E262,Diccionario!C$1:AC$150,27,0)</f>
        <v>https://growdatasas.sharepoint.com/:x:/r/sites/Gestiondocumental/Administrativa/GD/Financiera/_layouts/15/Doc.aspx?sourcedoc=%7B0E336D45-736A-482E-8FD2-86305F4DA8CF%7D&amp;file=DNP%20MODELO%20FINANCIERO%20REFERENCIA%20V7%2024122024.xlsm&amp;action=default&amp;mobileredirect=true</v>
      </c>
      <c r="AH262" s="40">
        <v>1</v>
      </c>
      <c r="AI262" s="40">
        <v>1</v>
      </c>
    </row>
    <row r="263" spans="1:35" ht="18.75" customHeight="1">
      <c r="A263" s="73">
        <v>2025</v>
      </c>
      <c r="B263" s="112" t="s">
        <v>21</v>
      </c>
      <c r="C263" s="36" t="s">
        <v>308</v>
      </c>
      <c r="D263" s="37">
        <v>45656.606922488427</v>
      </c>
      <c r="E263" s="36" t="s">
        <v>58</v>
      </c>
      <c r="F263" s="36" t="s">
        <v>309</v>
      </c>
      <c r="G263" s="36" t="s">
        <v>310</v>
      </c>
      <c r="H263" s="36" t="s">
        <v>311</v>
      </c>
      <c r="I263" s="36" t="s">
        <v>152</v>
      </c>
      <c r="J263" s="36" t="s">
        <v>312</v>
      </c>
      <c r="K263" s="36" t="s">
        <v>177</v>
      </c>
      <c r="L263" s="74">
        <f>VLOOKUP(E263,Diccionario!C$2:AC$150,22,0)</f>
        <v>3399664692</v>
      </c>
      <c r="M263" s="75">
        <f>VLOOKUP(E263,Diccionario!C$2:AC$150,24,0)</f>
        <v>45652</v>
      </c>
      <c r="N263" s="76">
        <f>VLOOKUP(E263,Diccionario!C$2:AC$150,25,0)</f>
        <v>45925</v>
      </c>
      <c r="O263" s="77">
        <f>VLOOKUP(E263,Diccionario!C$2:AC$150,26,0)</f>
        <v>8.9700000000000006</v>
      </c>
      <c r="P263" s="77">
        <f t="shared" si="111"/>
        <v>-1.9700000000000006</v>
      </c>
      <c r="Q263" s="78">
        <v>7</v>
      </c>
      <c r="R263" s="36">
        <v>10</v>
      </c>
      <c r="S263" s="86">
        <v>0.7</v>
      </c>
      <c r="T263" s="86">
        <v>0.7</v>
      </c>
      <c r="U263" s="82">
        <v>357898274</v>
      </c>
      <c r="V263" s="82">
        <v>357898274</v>
      </c>
      <c r="W263" s="82">
        <f t="shared" si="117"/>
        <v>2379765284.3999996</v>
      </c>
      <c r="X263" s="82">
        <f t="shared" si="112"/>
        <v>2379765284.3999996</v>
      </c>
      <c r="Y263" s="82">
        <f t="shared" si="118"/>
        <v>2021867010.3999996</v>
      </c>
      <c r="Z263" s="82">
        <f t="shared" si="113"/>
        <v>0</v>
      </c>
      <c r="AA263" s="83">
        <f t="shared" si="114"/>
        <v>6.6492784606164363</v>
      </c>
      <c r="AB263" s="84" t="str">
        <f t="shared" si="115"/>
        <v>Costo eficiente: se está gastando menos de lo presupuestado</v>
      </c>
      <c r="AC263" s="84">
        <f t="shared" si="119"/>
        <v>1</v>
      </c>
      <c r="AD263" s="84" t="str">
        <f t="shared" si="116"/>
        <v>Proyecto a tiempo según lo planificado</v>
      </c>
      <c r="AE263" s="85">
        <f t="shared" si="120"/>
        <v>511283248.57142866</v>
      </c>
      <c r="AF263" s="85">
        <f t="shared" si="121"/>
        <v>-2888381443.4285712</v>
      </c>
      <c r="AG263" s="40" t="str">
        <f>VLOOKUP(Indicador!E263,Diccionario!C$1:AC$150,27,0)</f>
        <v>https://growdatasas.sharepoint.com/:x:/r/sites/Gestiondocumental/Administrativa/GD/Financiera/_layouts/15/Doc.aspx?sourcedoc=%7B0E336D45-736A-482E-8FD2-86305F4DA8CF%7D&amp;file=DNP%20MODELO%20FINANCIERO%20REFERENCIA%20V7%2024122024.xlsm&amp;action=default&amp;mobileredirect=true</v>
      </c>
      <c r="AH263" s="40">
        <v>1</v>
      </c>
      <c r="AI263" s="40">
        <v>1</v>
      </c>
    </row>
    <row r="264" spans="1:35" ht="18.75" customHeight="1">
      <c r="A264" s="73">
        <v>2025</v>
      </c>
      <c r="B264" s="112" t="s">
        <v>23</v>
      </c>
      <c r="C264" s="36" t="s">
        <v>308</v>
      </c>
      <c r="D264" s="37">
        <v>45656.606922488427</v>
      </c>
      <c r="E264" s="36" t="s">
        <v>58</v>
      </c>
      <c r="F264" s="36" t="s">
        <v>309</v>
      </c>
      <c r="G264" s="36" t="s">
        <v>310</v>
      </c>
      <c r="H264" s="36" t="s">
        <v>311</v>
      </c>
      <c r="I264" s="36" t="s">
        <v>152</v>
      </c>
      <c r="J264" s="36" t="s">
        <v>312</v>
      </c>
      <c r="K264" s="36" t="s">
        <v>177</v>
      </c>
      <c r="L264" s="74">
        <f>VLOOKUP(E264,Diccionario!C$2:AC$150,22,0)</f>
        <v>3399664692</v>
      </c>
      <c r="M264" s="75">
        <f>VLOOKUP(E264,Diccionario!C$2:AC$150,24,0)</f>
        <v>45652</v>
      </c>
      <c r="N264" s="76">
        <f>VLOOKUP(E264,Diccionario!C$2:AC$150,25,0)</f>
        <v>45925</v>
      </c>
      <c r="O264" s="77">
        <f>VLOOKUP(E264,Diccionario!C$2:AC$150,26,0)</f>
        <v>8.9700000000000006</v>
      </c>
      <c r="P264" s="77">
        <f t="shared" si="111"/>
        <v>-0.97000000000000064</v>
      </c>
      <c r="Q264" s="78">
        <v>8</v>
      </c>
      <c r="R264" s="36">
        <v>10</v>
      </c>
      <c r="S264" s="86">
        <v>0.8</v>
      </c>
      <c r="T264" s="86">
        <v>0.8</v>
      </c>
      <c r="U264" s="82">
        <v>357898274</v>
      </c>
      <c r="V264" s="82">
        <v>357898274</v>
      </c>
      <c r="W264" s="82">
        <f t="shared" si="117"/>
        <v>2719731753.6000004</v>
      </c>
      <c r="X264" s="82">
        <f t="shared" si="112"/>
        <v>2719731753.6000004</v>
      </c>
      <c r="Y264" s="82">
        <f t="shared" si="118"/>
        <v>2361833479.6000004</v>
      </c>
      <c r="Z264" s="82">
        <f t="shared" si="113"/>
        <v>0</v>
      </c>
      <c r="AA264" s="83">
        <f t="shared" si="114"/>
        <v>7.5991753835616445</v>
      </c>
      <c r="AB264" s="84" t="str">
        <f t="shared" si="115"/>
        <v>Costo eficiente: se está gastando menos de lo presupuestado</v>
      </c>
      <c r="AC264" s="84">
        <f t="shared" si="119"/>
        <v>1</v>
      </c>
      <c r="AD264" s="84" t="str">
        <f t="shared" si="116"/>
        <v>Proyecto a tiempo según lo planificado</v>
      </c>
      <c r="AE264" s="85">
        <f t="shared" si="120"/>
        <v>447372842.49999994</v>
      </c>
      <c r="AF264" s="85">
        <f t="shared" si="121"/>
        <v>-2952291849.5</v>
      </c>
      <c r="AG264" s="40" t="str">
        <f>VLOOKUP(Indicador!E264,Diccionario!C$1:AC$150,27,0)</f>
        <v>https://growdatasas.sharepoint.com/:x:/r/sites/Gestiondocumental/Administrativa/GD/Financiera/_layouts/15/Doc.aspx?sourcedoc=%7B0E336D45-736A-482E-8FD2-86305F4DA8CF%7D&amp;file=DNP%20MODELO%20FINANCIERO%20REFERENCIA%20V7%2024122024.xlsm&amp;action=default&amp;mobileredirect=true</v>
      </c>
      <c r="AH264" s="40">
        <v>1</v>
      </c>
      <c r="AI264" s="40">
        <v>1</v>
      </c>
    </row>
    <row r="265" spans="1:35" ht="18.75" customHeight="1">
      <c r="A265" s="73">
        <v>2025</v>
      </c>
      <c r="B265" s="112" t="s">
        <v>26</v>
      </c>
      <c r="C265" s="36" t="s">
        <v>308</v>
      </c>
      <c r="D265" s="37">
        <v>45656.606922488427</v>
      </c>
      <c r="E265" s="36" t="s">
        <v>58</v>
      </c>
      <c r="F265" s="36" t="s">
        <v>309</v>
      </c>
      <c r="G265" s="36" t="s">
        <v>310</v>
      </c>
      <c r="H265" s="36" t="s">
        <v>311</v>
      </c>
      <c r="I265" s="36" t="s">
        <v>152</v>
      </c>
      <c r="J265" s="36" t="s">
        <v>312</v>
      </c>
      <c r="K265" s="36" t="s">
        <v>177</v>
      </c>
      <c r="L265" s="74">
        <f>VLOOKUP(E265,Diccionario!C$2:AC$150,22,0)</f>
        <v>3399664692</v>
      </c>
      <c r="M265" s="75">
        <f>VLOOKUP(E265,Diccionario!C$2:AC$150,24,0)</f>
        <v>45652</v>
      </c>
      <c r="N265" s="76">
        <f>VLOOKUP(E265,Diccionario!C$2:AC$150,25,0)</f>
        <v>45925</v>
      </c>
      <c r="O265" s="77">
        <f>VLOOKUP(E265,Diccionario!C$2:AC$150,26,0)</f>
        <v>8.9700000000000006</v>
      </c>
      <c r="P265" s="77">
        <f t="shared" si="111"/>
        <v>2.9999999999999361E-2</v>
      </c>
      <c r="Q265" s="78">
        <v>9</v>
      </c>
      <c r="R265" s="36">
        <v>10</v>
      </c>
      <c r="S265" s="86">
        <v>0.9</v>
      </c>
      <c r="T265" s="86">
        <v>0.9</v>
      </c>
      <c r="U265" s="82">
        <v>357898274</v>
      </c>
      <c r="V265" s="82">
        <v>357898274</v>
      </c>
      <c r="W265" s="82">
        <f t="shared" si="117"/>
        <v>3059698222.8000002</v>
      </c>
      <c r="X265" s="82">
        <f t="shared" si="112"/>
        <v>3059698222.8000002</v>
      </c>
      <c r="Y265" s="82">
        <f t="shared" si="118"/>
        <v>2701799948.8000002</v>
      </c>
      <c r="Z265" s="82">
        <f t="shared" si="113"/>
        <v>0</v>
      </c>
      <c r="AA265" s="83">
        <f t="shared" si="114"/>
        <v>8.549072306506849</v>
      </c>
      <c r="AB265" s="84" t="str">
        <f t="shared" si="115"/>
        <v>Costo eficiente: se está gastando menos de lo presupuestado</v>
      </c>
      <c r="AC265" s="84">
        <f t="shared" si="119"/>
        <v>1</v>
      </c>
      <c r="AD265" s="84" t="str">
        <f t="shared" si="116"/>
        <v>Proyecto a tiempo según lo planificado</v>
      </c>
      <c r="AE265" s="85">
        <f t="shared" si="120"/>
        <v>397664748.88888884</v>
      </c>
      <c r="AF265" s="85">
        <f t="shared" si="121"/>
        <v>-3001999943.1111112</v>
      </c>
      <c r="AG265" s="40" t="str">
        <f>VLOOKUP(Indicador!E265,Diccionario!C$1:AC$150,27,0)</f>
        <v>https://growdatasas.sharepoint.com/:x:/r/sites/Gestiondocumental/Administrativa/GD/Financiera/_layouts/15/Doc.aspx?sourcedoc=%7B0E336D45-736A-482E-8FD2-86305F4DA8CF%7D&amp;file=DNP%20MODELO%20FINANCIERO%20REFERENCIA%20V7%2024122024.xlsm&amp;action=default&amp;mobileredirect=true</v>
      </c>
      <c r="AH265" s="40">
        <v>1</v>
      </c>
      <c r="AI265" s="40">
        <v>1</v>
      </c>
    </row>
    <row r="266" spans="1:35" ht="18.75" customHeight="1">
      <c r="A266" s="73">
        <v>2025</v>
      </c>
      <c r="B266" s="112" t="s">
        <v>28</v>
      </c>
      <c r="C266" s="36" t="s">
        <v>308</v>
      </c>
      <c r="D266" s="37">
        <v>45656.606922488427</v>
      </c>
      <c r="E266" s="36" t="s">
        <v>58</v>
      </c>
      <c r="F266" s="36" t="s">
        <v>309</v>
      </c>
      <c r="G266" s="36" t="s">
        <v>310</v>
      </c>
      <c r="H266" s="36" t="s">
        <v>311</v>
      </c>
      <c r="I266" s="36" t="s">
        <v>152</v>
      </c>
      <c r="J266" s="36" t="s">
        <v>312</v>
      </c>
      <c r="K266" s="36" t="s">
        <v>177</v>
      </c>
      <c r="L266" s="74">
        <f>VLOOKUP(E266,Diccionario!C$2:AC$150,22,0)</f>
        <v>3399664692</v>
      </c>
      <c r="M266" s="75">
        <f>VLOOKUP(E266,Diccionario!C$2:AC$150,24,0)</f>
        <v>45652</v>
      </c>
      <c r="N266" s="76">
        <f>VLOOKUP(E266,Diccionario!C$2:AC$150,25,0)</f>
        <v>45925</v>
      </c>
      <c r="O266" s="77">
        <f>VLOOKUP(E266,Diccionario!C$2:AC$150,26,0)</f>
        <v>8.9700000000000006</v>
      </c>
      <c r="P266" s="77">
        <f t="shared" si="111"/>
        <v>1.0299999999999994</v>
      </c>
      <c r="Q266" s="78">
        <v>10</v>
      </c>
      <c r="R266" s="36">
        <v>10</v>
      </c>
      <c r="S266" s="86">
        <v>1</v>
      </c>
      <c r="T266" s="86">
        <v>1</v>
      </c>
      <c r="U266" s="82">
        <v>307802922</v>
      </c>
      <c r="V266" s="82">
        <v>307802922</v>
      </c>
      <c r="W266" s="82">
        <f t="shared" si="117"/>
        <v>3399664692</v>
      </c>
      <c r="X266" s="82">
        <f t="shared" si="112"/>
        <v>3399664692</v>
      </c>
      <c r="Y266" s="82">
        <f t="shared" si="118"/>
        <v>3091861770</v>
      </c>
      <c r="Z266" s="82">
        <f t="shared" si="113"/>
        <v>0</v>
      </c>
      <c r="AA266" s="83">
        <f t="shared" si="114"/>
        <v>11.044939631859636</v>
      </c>
      <c r="AB266" s="84" t="str">
        <f t="shared" si="115"/>
        <v>Costo eficiente: se está gastando menos de lo presupuestado</v>
      </c>
      <c r="AC266" s="84">
        <f t="shared" si="119"/>
        <v>1</v>
      </c>
      <c r="AD266" s="84" t="str">
        <f t="shared" si="116"/>
        <v>Proyecto a tiempo según lo planificado</v>
      </c>
      <c r="AE266" s="85">
        <f t="shared" si="120"/>
        <v>307802922</v>
      </c>
      <c r="AF266" s="85">
        <f t="shared" si="121"/>
        <v>-3091861770</v>
      </c>
      <c r="AG266" s="40" t="str">
        <f>VLOOKUP(Indicador!E266,Diccionario!C$1:AC$150,27,0)</f>
        <v>https://growdatasas.sharepoint.com/:x:/r/sites/Gestiondocumental/Administrativa/GD/Financiera/_layouts/15/Doc.aspx?sourcedoc=%7B0E336D45-736A-482E-8FD2-86305F4DA8CF%7D&amp;file=DNP%20MODELO%20FINANCIERO%20REFERENCIA%20V7%2024122024.xlsm&amp;action=default&amp;mobileredirect=true</v>
      </c>
      <c r="AH266" s="40">
        <v>1</v>
      </c>
      <c r="AI266" s="40">
        <v>1</v>
      </c>
    </row>
    <row r="267" spans="1:35" ht="18.75" customHeight="1">
      <c r="A267" s="73">
        <v>2025</v>
      </c>
      <c r="B267" s="112" t="s">
        <v>22</v>
      </c>
      <c r="C267" s="36" t="s">
        <v>313</v>
      </c>
      <c r="D267" s="37">
        <v>45700.878398923611</v>
      </c>
      <c r="E267" s="36" t="s">
        <v>52</v>
      </c>
      <c r="F267" s="36" t="s">
        <v>149</v>
      </c>
      <c r="G267" s="36" t="s">
        <v>314</v>
      </c>
      <c r="H267" s="36" t="s">
        <v>315</v>
      </c>
      <c r="I267" s="36" t="s">
        <v>152</v>
      </c>
      <c r="J267" s="36" t="s">
        <v>316</v>
      </c>
      <c r="K267" s="36" t="s">
        <v>177</v>
      </c>
      <c r="L267" s="74">
        <f>VLOOKUP(E267,Diccionario!C$2:AC$150,22,0)</f>
        <v>40504918</v>
      </c>
      <c r="M267" s="75">
        <f>VLOOKUP(E267,Diccionario!C$2:AC$150,24,0)</f>
        <v>45689</v>
      </c>
      <c r="N267" s="76">
        <f>VLOOKUP(E267,Diccionario!C$2:AC$150,25,0)</f>
        <v>45716</v>
      </c>
      <c r="O267" s="77">
        <f>VLOOKUP(E267,Diccionario!C$2:AC$150,26,0)</f>
        <v>0.9</v>
      </c>
      <c r="P267" s="77">
        <f t="shared" si="111"/>
        <v>9.9999999999999978E-2</v>
      </c>
      <c r="Q267" s="78">
        <v>1</v>
      </c>
      <c r="R267" s="36">
        <v>1</v>
      </c>
      <c r="S267" s="86">
        <v>1</v>
      </c>
      <c r="T267" s="86">
        <v>1</v>
      </c>
      <c r="U267" s="82">
        <v>40504918</v>
      </c>
      <c r="V267" s="82">
        <v>40504918</v>
      </c>
      <c r="W267" s="82">
        <f t="shared" si="117"/>
        <v>40504918</v>
      </c>
      <c r="X267" s="82">
        <f t="shared" si="112"/>
        <v>40504918</v>
      </c>
      <c r="Y267" s="82">
        <f t="shared" si="118"/>
        <v>0</v>
      </c>
      <c r="Z267" s="82">
        <f t="shared" si="113"/>
        <v>0</v>
      </c>
      <c r="AA267" s="83">
        <f t="shared" si="114"/>
        <v>1</v>
      </c>
      <c r="AB267" s="84" t="str">
        <f t="shared" si="115"/>
        <v>Costo según lo presupuestado</v>
      </c>
      <c r="AC267" s="84">
        <f t="shared" si="119"/>
        <v>1</v>
      </c>
      <c r="AD267" s="84" t="str">
        <f t="shared" si="116"/>
        <v>Proyecto a tiempo según lo planificado</v>
      </c>
      <c r="AE267" s="85">
        <f t="shared" si="120"/>
        <v>40504918</v>
      </c>
      <c r="AF267" s="85">
        <f t="shared" si="121"/>
        <v>0</v>
      </c>
      <c r="AG267" s="40" t="str">
        <f>VLOOKUP(Indicador!E267,Diccionario!C$1:AC$150,27,0)</f>
        <v>https://growdatasas.sharepoint.com/:x:/r/sites/Gestiondocumental/Administrativa/GD/Financiera/_layouts/15/Doc.aspx?sourcedoc=%7B63ACCEFA-DDF2-4B3A-ACF3-AA1C9CA2E579%7D&amp;file=MODELO%20FINANCIERO%20PHARMBILLS%202025012281.xlsm&amp;action=default&amp;mobileredirect=true</v>
      </c>
      <c r="AH267" s="40">
        <v>1</v>
      </c>
      <c r="AI267" s="40">
        <v>1</v>
      </c>
    </row>
    <row r="268" spans="1:35" ht="18.75" customHeight="1">
      <c r="A268" s="73">
        <v>2025</v>
      </c>
      <c r="B268" s="112" t="s">
        <v>22</v>
      </c>
      <c r="C268" s="36" t="s">
        <v>317</v>
      </c>
      <c r="D268" s="37">
        <v>45691.638554201389</v>
      </c>
      <c r="E268" s="36" t="s">
        <v>45</v>
      </c>
      <c r="F268" s="36" t="s">
        <v>149</v>
      </c>
      <c r="G268" s="36" t="s">
        <v>318</v>
      </c>
      <c r="H268" s="36" t="s">
        <v>319</v>
      </c>
      <c r="I268" s="36" t="s">
        <v>152</v>
      </c>
      <c r="J268" s="36" t="s">
        <v>320</v>
      </c>
      <c r="K268" s="36" t="s">
        <v>177</v>
      </c>
      <c r="L268" s="74">
        <f>VLOOKUP(E268,Diccionario!C$2:AC$150,22,0)</f>
        <v>503460622</v>
      </c>
      <c r="M268" s="75">
        <f>VLOOKUP(E268,Diccionario!C$2:AC$150,24,0)</f>
        <v>45689</v>
      </c>
      <c r="N268" s="76">
        <f>VLOOKUP(E268,Diccionario!C$2:AC$150,25,0)</f>
        <v>45716</v>
      </c>
      <c r="O268" s="77">
        <f>VLOOKUP(E268,Diccionario!C$2:AC$150,26,0)</f>
        <v>0.9</v>
      </c>
      <c r="P268" s="77">
        <v>1</v>
      </c>
      <c r="Q268" s="78">
        <f ca="1">DATEDIF(M268,TODAY(),"m")</f>
        <v>17</v>
      </c>
      <c r="R268" s="36">
        <v>1</v>
      </c>
      <c r="S268" s="86">
        <v>1</v>
      </c>
      <c r="T268" s="86">
        <v>1</v>
      </c>
      <c r="U268" s="82">
        <v>503460622</v>
      </c>
      <c r="V268" s="82">
        <v>503460622</v>
      </c>
      <c r="W268" s="82">
        <f t="shared" si="117"/>
        <v>503460622</v>
      </c>
      <c r="X268" s="82">
        <f t="shared" si="112"/>
        <v>503460622</v>
      </c>
      <c r="Y268" s="82">
        <f t="shared" si="118"/>
        <v>0</v>
      </c>
      <c r="Z268" s="82">
        <f t="shared" si="113"/>
        <v>0</v>
      </c>
      <c r="AA268" s="83">
        <f t="shared" si="114"/>
        <v>1</v>
      </c>
      <c r="AB268" s="84" t="str">
        <f t="shared" si="115"/>
        <v>Costo según lo presupuestado</v>
      </c>
      <c r="AC268" s="84">
        <f t="shared" si="119"/>
        <v>1</v>
      </c>
      <c r="AD268" s="84" t="str">
        <f t="shared" si="116"/>
        <v>Proyecto a tiempo según lo planificado</v>
      </c>
      <c r="AE268" s="85">
        <f t="shared" si="120"/>
        <v>503460622</v>
      </c>
      <c r="AF268" s="85">
        <f t="shared" si="121"/>
        <v>0</v>
      </c>
      <c r="AG268" s="40" t="str">
        <f>VLOOKUP(Indicador!E268,Diccionario!C$1:AC$150,27,0)</f>
        <v>https://growdatasas.sharepoint.com/:x:/r/sites/Gestiondocumental/Administrativa/GD/Financiera/_layouts/15/Doc.aspx?sourcedoc=%7BB5DB12A1-D487-46F7-885A-EC149C252194%7D&amp;file=MODELO%20FINANCIERO%20-%20URT%20-%2020250124_v2.xlsm&amp;action=default&amp;mobileredirect=true</v>
      </c>
      <c r="AH268" s="40">
        <v>1</v>
      </c>
      <c r="AI268" s="40">
        <v>1</v>
      </c>
    </row>
    <row r="269" spans="1:35" ht="18.75" customHeight="1">
      <c r="A269" s="73">
        <v>2025</v>
      </c>
      <c r="B269" s="112" t="s">
        <v>22</v>
      </c>
      <c r="C269" s="36" t="s">
        <v>321</v>
      </c>
      <c r="D269" s="37">
        <v>45705.736462615743</v>
      </c>
      <c r="E269" s="36" t="s">
        <v>73</v>
      </c>
      <c r="F269" s="36" t="s">
        <v>270</v>
      </c>
      <c r="G269" s="36" t="s">
        <v>322</v>
      </c>
      <c r="H269" s="36" t="s">
        <v>323</v>
      </c>
      <c r="I269" s="36" t="s">
        <v>175</v>
      </c>
      <c r="J269" s="36" t="s">
        <v>324</v>
      </c>
      <c r="K269" s="36" t="s">
        <v>177</v>
      </c>
      <c r="L269" s="74">
        <f>VLOOKUP(E269,Diccionario!C$2:AC$150,22,0)</f>
        <v>2873641115</v>
      </c>
      <c r="M269" s="75">
        <f>VLOOKUP(E269,Diccionario!C$2:AC$150,24,0)</f>
        <v>45705</v>
      </c>
      <c r="N269" s="76">
        <f>VLOOKUP(E269,Diccionario!C$2:AC$150,25,0)</f>
        <v>46129</v>
      </c>
      <c r="O269" s="77">
        <f>VLOOKUP(E269,Diccionario!C$2:AC$150,26,0)</f>
        <v>14</v>
      </c>
      <c r="P269" s="77">
        <f t="shared" ref="P269:P293" si="122">Q269-O269</f>
        <v>-13</v>
      </c>
      <c r="Q269" s="78">
        <v>1</v>
      </c>
      <c r="R269" s="36">
        <v>15</v>
      </c>
      <c r="S269" s="86">
        <v>0.05</v>
      </c>
      <c r="T269" s="86">
        <v>0.05</v>
      </c>
      <c r="U269" s="82">
        <v>175941826</v>
      </c>
      <c r="V269" s="82">
        <v>175941826</v>
      </c>
      <c r="W269" s="82">
        <f t="shared" si="117"/>
        <v>143682055.75</v>
      </c>
      <c r="X269" s="82">
        <f t="shared" si="112"/>
        <v>143682055.75</v>
      </c>
      <c r="Y269" s="82">
        <f t="shared" si="118"/>
        <v>-32259770.25</v>
      </c>
      <c r="Z269" s="82">
        <f t="shared" si="113"/>
        <v>0</v>
      </c>
      <c r="AA269" s="83">
        <f t="shared" si="114"/>
        <v>0.81664524585529763</v>
      </c>
      <c r="AB269" s="84" t="str">
        <f t="shared" si="115"/>
        <v>Costo ineficiente: se está gastando más de lo presupuestado</v>
      </c>
      <c r="AC269" s="84">
        <f t="shared" si="119"/>
        <v>1</v>
      </c>
      <c r="AD269" s="84" t="str">
        <f t="shared" si="116"/>
        <v>Proyecto a tiempo según lo planificado</v>
      </c>
      <c r="AE269" s="85">
        <f t="shared" si="120"/>
        <v>3518836520</v>
      </c>
      <c r="AF269" s="85">
        <f t="shared" si="121"/>
        <v>645195405</v>
      </c>
      <c r="AG269" s="40" t="str">
        <f>VLOOKUP(Indicador!E269,Diccionario!C$1:AC$150,27,0)</f>
        <v>https://growdatasas.sharepoint.com/:x:/r/sites/Gestiondocumental/Administrativa/GD/Financiera/_layouts/15/Doc.aspx?sourcedoc=%7B1EA3B8D8-B0B8-48BF-BDD1-3151961F579B%7D&amp;file=MODELO%20FINANCIERO%20PLANILLA%20VIAJES%2018.11.25%20V7.xlsm&amp;action=default&amp;mobileredirect=true</v>
      </c>
      <c r="AH269" s="40">
        <v>1</v>
      </c>
      <c r="AI269" s="40">
        <v>1</v>
      </c>
    </row>
    <row r="270" spans="1:35" ht="18.75" customHeight="1">
      <c r="A270" s="73">
        <v>2025</v>
      </c>
      <c r="B270" s="112" t="s">
        <v>24</v>
      </c>
      <c r="C270" s="36" t="s">
        <v>321</v>
      </c>
      <c r="D270" s="37">
        <v>45705.736462615743</v>
      </c>
      <c r="E270" s="36" t="s">
        <v>73</v>
      </c>
      <c r="F270" s="36" t="s">
        <v>270</v>
      </c>
      <c r="G270" s="36" t="s">
        <v>322</v>
      </c>
      <c r="H270" s="36" t="s">
        <v>323</v>
      </c>
      <c r="I270" s="36" t="s">
        <v>175</v>
      </c>
      <c r="J270" s="36" t="s">
        <v>324</v>
      </c>
      <c r="K270" s="36" t="s">
        <v>177</v>
      </c>
      <c r="L270" s="74">
        <f>VLOOKUP(E270,Diccionario!C$2:AC$150,22,0)</f>
        <v>2873641115</v>
      </c>
      <c r="M270" s="75">
        <f>VLOOKUP(E270,Diccionario!C$2:AC$150,24,0)</f>
        <v>45705</v>
      </c>
      <c r="N270" s="76">
        <f>VLOOKUP(E270,Diccionario!C$2:AC$150,25,0)</f>
        <v>46129</v>
      </c>
      <c r="O270" s="77">
        <f>VLOOKUP(E270,Diccionario!C$2:AC$150,26,0)</f>
        <v>14</v>
      </c>
      <c r="P270" s="77">
        <f t="shared" si="122"/>
        <v>-12</v>
      </c>
      <c r="Q270" s="78">
        <v>2</v>
      </c>
      <c r="R270" s="36">
        <v>15</v>
      </c>
      <c r="S270" s="86">
        <v>0.1</v>
      </c>
      <c r="T270" s="86">
        <v>0.1</v>
      </c>
      <c r="U270" s="82">
        <v>175941826</v>
      </c>
      <c r="V270" s="82">
        <v>175941826</v>
      </c>
      <c r="W270" s="82">
        <f t="shared" si="117"/>
        <v>287364111.5</v>
      </c>
      <c r="X270" s="82">
        <f t="shared" si="112"/>
        <v>287364111.5</v>
      </c>
      <c r="Y270" s="82">
        <f t="shared" si="118"/>
        <v>111422285.5</v>
      </c>
      <c r="Z270" s="82">
        <f t="shared" si="113"/>
        <v>0</v>
      </c>
      <c r="AA270" s="83">
        <f t="shared" si="114"/>
        <v>1.6332904917105953</v>
      </c>
      <c r="AB270" s="84" t="str">
        <f t="shared" si="115"/>
        <v>Costo eficiente: se está gastando menos de lo presupuestado</v>
      </c>
      <c r="AC270" s="84">
        <f t="shared" si="119"/>
        <v>1</v>
      </c>
      <c r="AD270" s="84" t="str">
        <f t="shared" si="116"/>
        <v>Proyecto a tiempo según lo planificado</v>
      </c>
      <c r="AE270" s="85">
        <f t="shared" si="120"/>
        <v>1759418260</v>
      </c>
      <c r="AF270" s="85">
        <f t="shared" si="121"/>
        <v>-1114222855</v>
      </c>
      <c r="AG270" s="40" t="str">
        <f>VLOOKUP(Indicador!E270,Diccionario!C$1:AC$150,27,0)</f>
        <v>https://growdatasas.sharepoint.com/:x:/r/sites/Gestiondocumental/Administrativa/GD/Financiera/_layouts/15/Doc.aspx?sourcedoc=%7B1EA3B8D8-B0B8-48BF-BDD1-3151961F579B%7D&amp;file=MODELO%20FINANCIERO%20PLANILLA%20VIAJES%2018.11.25%20V7.xlsm&amp;action=default&amp;mobileredirect=true</v>
      </c>
      <c r="AH270" s="40">
        <v>1</v>
      </c>
      <c r="AI270" s="40">
        <v>1</v>
      </c>
    </row>
    <row r="271" spans="1:35" ht="18.75" customHeight="1">
      <c r="A271" s="73">
        <v>2025</v>
      </c>
      <c r="B271" s="112" t="s">
        <v>27</v>
      </c>
      <c r="C271" s="36" t="s">
        <v>321</v>
      </c>
      <c r="D271" s="37">
        <v>45705.736462615743</v>
      </c>
      <c r="E271" s="36" t="s">
        <v>73</v>
      </c>
      <c r="F271" s="36" t="s">
        <v>270</v>
      </c>
      <c r="G271" s="36" t="s">
        <v>322</v>
      </c>
      <c r="H271" s="36" t="s">
        <v>323</v>
      </c>
      <c r="I271" s="36" t="s">
        <v>175</v>
      </c>
      <c r="J271" s="36" t="s">
        <v>324</v>
      </c>
      <c r="K271" s="36" t="s">
        <v>177</v>
      </c>
      <c r="L271" s="74">
        <f>VLOOKUP(E271,Diccionario!C$2:AC$150,22,0)</f>
        <v>2873641115</v>
      </c>
      <c r="M271" s="75">
        <f>VLOOKUP(E271,Diccionario!C$2:AC$150,24,0)</f>
        <v>45705</v>
      </c>
      <c r="N271" s="76">
        <f>VLOOKUP(E271,Diccionario!C$2:AC$150,25,0)</f>
        <v>46129</v>
      </c>
      <c r="O271" s="77">
        <f>VLOOKUP(E271,Diccionario!C$2:AC$150,26,0)</f>
        <v>14</v>
      </c>
      <c r="P271" s="77">
        <f t="shared" si="122"/>
        <v>-11</v>
      </c>
      <c r="Q271" s="78">
        <v>3</v>
      </c>
      <c r="R271" s="36">
        <v>15</v>
      </c>
      <c r="S271" s="86">
        <v>0.15</v>
      </c>
      <c r="T271" s="86">
        <v>0.15</v>
      </c>
      <c r="U271" s="82">
        <v>175941826</v>
      </c>
      <c r="V271" s="82">
        <v>175941826</v>
      </c>
      <c r="W271" s="82">
        <f t="shared" si="117"/>
        <v>431046167.25</v>
      </c>
      <c r="X271" s="82">
        <f t="shared" si="112"/>
        <v>431046167.25</v>
      </c>
      <c r="Y271" s="82">
        <f t="shared" si="118"/>
        <v>255104341.25</v>
      </c>
      <c r="Z271" s="82">
        <f t="shared" si="113"/>
        <v>0</v>
      </c>
      <c r="AA271" s="83">
        <f t="shared" si="114"/>
        <v>2.4499357375658928</v>
      </c>
      <c r="AB271" s="84" t="str">
        <f t="shared" si="115"/>
        <v>Costo eficiente: se está gastando menos de lo presupuestado</v>
      </c>
      <c r="AC271" s="84">
        <f t="shared" si="119"/>
        <v>1</v>
      </c>
      <c r="AD271" s="84" t="str">
        <f t="shared" si="116"/>
        <v>Proyecto a tiempo según lo planificado</v>
      </c>
      <c r="AE271" s="85">
        <f t="shared" si="120"/>
        <v>1172945506.6666667</v>
      </c>
      <c r="AF271" s="85">
        <f t="shared" si="121"/>
        <v>-1700695608.3333333</v>
      </c>
      <c r="AG271" s="40" t="str">
        <f>VLOOKUP(Indicador!E271,Diccionario!C$1:AC$150,27,0)</f>
        <v>https://growdatasas.sharepoint.com/:x:/r/sites/Gestiondocumental/Administrativa/GD/Financiera/_layouts/15/Doc.aspx?sourcedoc=%7B1EA3B8D8-B0B8-48BF-BDD1-3151961F579B%7D&amp;file=MODELO%20FINANCIERO%20PLANILLA%20VIAJES%2018.11.25%20V7.xlsm&amp;action=default&amp;mobileredirect=true</v>
      </c>
      <c r="AH271" s="40">
        <v>1</v>
      </c>
      <c r="AI271" s="40">
        <v>1</v>
      </c>
    </row>
    <row r="272" spans="1:35" ht="18.75" customHeight="1">
      <c r="A272" s="73">
        <v>2025</v>
      </c>
      <c r="B272" s="112" t="s">
        <v>13</v>
      </c>
      <c r="C272" s="36" t="s">
        <v>321</v>
      </c>
      <c r="D272" s="37">
        <v>45705.736462615743</v>
      </c>
      <c r="E272" s="36" t="s">
        <v>73</v>
      </c>
      <c r="F272" s="36" t="s">
        <v>270</v>
      </c>
      <c r="G272" s="36" t="s">
        <v>322</v>
      </c>
      <c r="H272" s="36" t="s">
        <v>323</v>
      </c>
      <c r="I272" s="36" t="s">
        <v>175</v>
      </c>
      <c r="J272" s="36" t="s">
        <v>324</v>
      </c>
      <c r="K272" s="36" t="s">
        <v>177</v>
      </c>
      <c r="L272" s="74">
        <f>VLOOKUP(E272,Diccionario!C$2:AC$150,22,0)</f>
        <v>2873641115</v>
      </c>
      <c r="M272" s="75">
        <f>VLOOKUP(E272,Diccionario!C$2:AC$150,24,0)</f>
        <v>45705</v>
      </c>
      <c r="N272" s="76">
        <f>VLOOKUP(E272,Diccionario!C$2:AC$150,25,0)</f>
        <v>46129</v>
      </c>
      <c r="O272" s="77">
        <f>VLOOKUP(E272,Diccionario!C$2:AC$150,26,0)</f>
        <v>14</v>
      </c>
      <c r="P272" s="77">
        <f t="shared" ca="1" si="122"/>
        <v>3</v>
      </c>
      <c r="Q272" s="78">
        <f t="shared" ref="Q272" ca="1" si="123">DATEDIF(M272,TODAY(),"m")</f>
        <v>17</v>
      </c>
      <c r="R272" s="36">
        <v>15</v>
      </c>
      <c r="S272" s="86">
        <v>0.2</v>
      </c>
      <c r="T272" s="86">
        <v>0.2</v>
      </c>
      <c r="U272" s="82">
        <v>175941826</v>
      </c>
      <c r="V272" s="82">
        <v>175941826</v>
      </c>
      <c r="W272" s="82">
        <f t="shared" si="117"/>
        <v>574728223</v>
      </c>
      <c r="X272" s="82">
        <f t="shared" ref="X272:X298" si="124">S272*L272</f>
        <v>574728223</v>
      </c>
      <c r="Y272" s="82">
        <f t="shared" si="118"/>
        <v>398786397</v>
      </c>
      <c r="Z272" s="82">
        <f t="shared" ref="Z272:Z298" si="125">W272-X272</f>
        <v>0</v>
      </c>
      <c r="AA272" s="83">
        <f t="shared" si="114"/>
        <v>3.2665809834211905</v>
      </c>
      <c r="AB272" s="84" t="str">
        <f t="shared" ref="AB272:AB298" si="126">IFERROR(
  IF(OR(AA272="",AA272=0),
    "No calculado",
    IF(AA272&gt;1,"Costo eficiente: se está gastando menos de lo presupuestado",
      IF(AA272=1,"Costo según lo presupuestado",
        "Costo ineficiente: se está gastando más de lo presupuestado"))),
"No calculado")</f>
        <v>Costo eficiente: se está gastando menos de lo presupuestado</v>
      </c>
      <c r="AC272" s="84">
        <f t="shared" si="119"/>
        <v>1</v>
      </c>
      <c r="AD272" s="84" t="str">
        <f t="shared" ref="AD272:AD298" si="127">IF(OR(AC272="",AC272=0),"Sin Línea Base",
IF(AC272&gt;1,"Proyecto adelantado respecto al cronograma",
IF(AC272=1,"Proyecto a tiempo según lo planificado",
IF(AC272&lt;1,"Proyecto atrasado con respecto al cronograma",
"No calculado"))))</f>
        <v>Proyecto a tiempo según lo planificado</v>
      </c>
      <c r="AE272" s="85">
        <f t="shared" si="120"/>
        <v>879709130</v>
      </c>
      <c r="AF272" s="85">
        <f t="shared" si="121"/>
        <v>-1993931985</v>
      </c>
      <c r="AG272" s="40" t="str">
        <f>VLOOKUP(Indicador!E272,Diccionario!C$1:AC$150,27,0)</f>
        <v>https://growdatasas.sharepoint.com/:x:/r/sites/Gestiondocumental/Administrativa/GD/Financiera/_layouts/15/Doc.aspx?sourcedoc=%7B1EA3B8D8-B0B8-48BF-BDD1-3151961F579B%7D&amp;file=MODELO%20FINANCIERO%20PLANILLA%20VIAJES%2018.11.25%20V7.xlsm&amp;action=default&amp;mobileredirect=true</v>
      </c>
      <c r="AH272" s="40">
        <v>1</v>
      </c>
      <c r="AI272" s="40">
        <v>1</v>
      </c>
    </row>
    <row r="273" spans="1:35" ht="18.75" customHeight="1">
      <c r="A273" s="73">
        <v>2025</v>
      </c>
      <c r="B273" s="112" t="s">
        <v>21</v>
      </c>
      <c r="C273" s="36" t="s">
        <v>321</v>
      </c>
      <c r="D273" s="37">
        <v>45705.736462615743</v>
      </c>
      <c r="E273" s="36" t="s">
        <v>73</v>
      </c>
      <c r="F273" s="36" t="s">
        <v>270</v>
      </c>
      <c r="G273" s="36" t="s">
        <v>322</v>
      </c>
      <c r="H273" s="36" t="s">
        <v>323</v>
      </c>
      <c r="I273" s="36" t="s">
        <v>175</v>
      </c>
      <c r="J273" s="36" t="s">
        <v>324</v>
      </c>
      <c r="K273" s="36" t="s">
        <v>177</v>
      </c>
      <c r="L273" s="74">
        <f>VLOOKUP(E273,Diccionario!C$2:AC$150,22,0)</f>
        <v>2873641115</v>
      </c>
      <c r="M273" s="75">
        <f>VLOOKUP(E273,Diccionario!C$2:AC$150,24,0)</f>
        <v>45705</v>
      </c>
      <c r="N273" s="76">
        <f>VLOOKUP(E273,Diccionario!C$2:AC$150,25,0)</f>
        <v>46129</v>
      </c>
      <c r="O273" s="77">
        <f>VLOOKUP(E273,Diccionario!C$2:AC$150,26,0)</f>
        <v>14</v>
      </c>
      <c r="P273" s="77">
        <f t="shared" si="122"/>
        <v>-10</v>
      </c>
      <c r="Q273" s="78">
        <v>4</v>
      </c>
      <c r="R273" s="36">
        <v>15</v>
      </c>
      <c r="S273" s="86">
        <v>0.3</v>
      </c>
      <c r="T273" s="86">
        <v>0.3</v>
      </c>
      <c r="U273" s="82">
        <v>175941826</v>
      </c>
      <c r="V273" s="82">
        <v>175941826</v>
      </c>
      <c r="W273" s="82">
        <f t="shared" si="117"/>
        <v>862092334.5</v>
      </c>
      <c r="X273" s="82">
        <f t="shared" si="124"/>
        <v>862092334.5</v>
      </c>
      <c r="Y273" s="82">
        <f t="shared" si="118"/>
        <v>686150508.5</v>
      </c>
      <c r="Z273" s="82">
        <f t="shared" si="125"/>
        <v>0</v>
      </c>
      <c r="AA273" s="83">
        <f t="shared" si="114"/>
        <v>4.8998714751317856</v>
      </c>
      <c r="AB273" s="84" t="str">
        <f t="shared" si="126"/>
        <v>Costo eficiente: se está gastando menos de lo presupuestado</v>
      </c>
      <c r="AC273" s="84">
        <f t="shared" si="119"/>
        <v>1</v>
      </c>
      <c r="AD273" s="84" t="str">
        <f t="shared" si="127"/>
        <v>Proyecto a tiempo según lo planificado</v>
      </c>
      <c r="AE273" s="85">
        <f t="shared" si="120"/>
        <v>586472753.33333337</v>
      </c>
      <c r="AF273" s="85">
        <f t="shared" si="121"/>
        <v>-2287168361.6666665</v>
      </c>
      <c r="AG273" s="40" t="str">
        <f>VLOOKUP(Indicador!E273,Diccionario!C$1:AC$150,27,0)</f>
        <v>https://growdatasas.sharepoint.com/:x:/r/sites/Gestiondocumental/Administrativa/GD/Financiera/_layouts/15/Doc.aspx?sourcedoc=%7B1EA3B8D8-B0B8-48BF-BDD1-3151961F579B%7D&amp;file=MODELO%20FINANCIERO%20PLANILLA%20VIAJES%2018.11.25%20V7.xlsm&amp;action=default&amp;mobileredirect=true</v>
      </c>
      <c r="AH273" s="40">
        <v>1</v>
      </c>
      <c r="AI273" s="40">
        <v>1</v>
      </c>
    </row>
    <row r="274" spans="1:35" ht="18.75" customHeight="1">
      <c r="A274" s="73">
        <v>2025</v>
      </c>
      <c r="B274" s="112" t="s">
        <v>23</v>
      </c>
      <c r="C274" s="36" t="s">
        <v>321</v>
      </c>
      <c r="D274" s="37">
        <v>45705.736462615743</v>
      </c>
      <c r="E274" s="36" t="s">
        <v>73</v>
      </c>
      <c r="F274" s="36" t="s">
        <v>270</v>
      </c>
      <c r="G274" s="36" t="s">
        <v>322</v>
      </c>
      <c r="H274" s="36" t="s">
        <v>323</v>
      </c>
      <c r="I274" s="36" t="s">
        <v>175</v>
      </c>
      <c r="J274" s="36" t="s">
        <v>324</v>
      </c>
      <c r="K274" s="36" t="s">
        <v>177</v>
      </c>
      <c r="L274" s="74">
        <f>VLOOKUP(E274,Diccionario!C$2:AC$150,22,0)</f>
        <v>2873641115</v>
      </c>
      <c r="M274" s="75">
        <f>VLOOKUP(E274,Diccionario!C$2:AC$150,24,0)</f>
        <v>45705</v>
      </c>
      <c r="N274" s="76">
        <f>VLOOKUP(E274,Diccionario!C$2:AC$150,25,0)</f>
        <v>46129</v>
      </c>
      <c r="O274" s="77">
        <f>VLOOKUP(E274,Diccionario!C$2:AC$150,26,0)</f>
        <v>14</v>
      </c>
      <c r="P274" s="77">
        <f t="shared" si="122"/>
        <v>-9</v>
      </c>
      <c r="Q274" s="78">
        <v>5</v>
      </c>
      <c r="R274" s="36">
        <v>15</v>
      </c>
      <c r="S274" s="86">
        <v>0.36666666666666697</v>
      </c>
      <c r="T274" s="86">
        <v>0.36666666666666697</v>
      </c>
      <c r="U274" s="82">
        <v>175941826</v>
      </c>
      <c r="V274" s="82">
        <v>175941826</v>
      </c>
      <c r="W274" s="82">
        <f t="shared" si="117"/>
        <v>1053668408.8333342</v>
      </c>
      <c r="X274" s="82">
        <f t="shared" si="124"/>
        <v>1053668408.8333342</v>
      </c>
      <c r="Y274" s="82">
        <f t="shared" si="118"/>
        <v>877726582.83333421</v>
      </c>
      <c r="Z274" s="82">
        <f t="shared" si="125"/>
        <v>0</v>
      </c>
      <c r="AA274" s="83">
        <f t="shared" si="114"/>
        <v>5.9887318029388545</v>
      </c>
      <c r="AB274" s="84" t="str">
        <f t="shared" si="126"/>
        <v>Costo eficiente: se está gastando menos de lo presupuestado</v>
      </c>
      <c r="AC274" s="84">
        <f t="shared" si="119"/>
        <v>1</v>
      </c>
      <c r="AD274" s="84" t="str">
        <f t="shared" si="127"/>
        <v>Proyecto a tiempo según lo planificado</v>
      </c>
      <c r="AE274" s="85">
        <f t="shared" si="120"/>
        <v>479841343.63636321</v>
      </c>
      <c r="AF274" s="85">
        <f t="shared" si="121"/>
        <v>-2393799771.363637</v>
      </c>
      <c r="AG274" s="40" t="str">
        <f>VLOOKUP(Indicador!E274,Diccionario!C$1:AC$150,27,0)</f>
        <v>https://growdatasas.sharepoint.com/:x:/r/sites/Gestiondocumental/Administrativa/GD/Financiera/_layouts/15/Doc.aspx?sourcedoc=%7B1EA3B8D8-B0B8-48BF-BDD1-3151961F579B%7D&amp;file=MODELO%20FINANCIERO%20PLANILLA%20VIAJES%2018.11.25%20V7.xlsm&amp;action=default&amp;mobileredirect=true</v>
      </c>
      <c r="AH274" s="40">
        <v>1</v>
      </c>
      <c r="AI274" s="40">
        <v>1</v>
      </c>
    </row>
    <row r="275" spans="1:35" ht="18.75" customHeight="1">
      <c r="A275" s="73">
        <v>2025</v>
      </c>
      <c r="B275" s="112" t="s">
        <v>26</v>
      </c>
      <c r="C275" s="36" t="s">
        <v>321</v>
      </c>
      <c r="D275" s="37">
        <v>45705.736462615743</v>
      </c>
      <c r="E275" s="36" t="s">
        <v>73</v>
      </c>
      <c r="F275" s="36" t="s">
        <v>270</v>
      </c>
      <c r="G275" s="36" t="s">
        <v>322</v>
      </c>
      <c r="H275" s="36" t="s">
        <v>323</v>
      </c>
      <c r="I275" s="36" t="s">
        <v>175</v>
      </c>
      <c r="J275" s="36" t="s">
        <v>324</v>
      </c>
      <c r="K275" s="36" t="s">
        <v>177</v>
      </c>
      <c r="L275" s="74">
        <f>VLOOKUP(E275,Diccionario!C$2:AC$150,22,0)</f>
        <v>2873641115</v>
      </c>
      <c r="M275" s="75">
        <f>VLOOKUP(E275,Diccionario!C$2:AC$150,24,0)</f>
        <v>45705</v>
      </c>
      <c r="N275" s="76">
        <f>VLOOKUP(E275,Diccionario!C$2:AC$150,25,0)</f>
        <v>46129</v>
      </c>
      <c r="O275" s="77">
        <f>VLOOKUP(E275,Diccionario!C$2:AC$150,26,0)</f>
        <v>14</v>
      </c>
      <c r="P275" s="77">
        <f t="shared" si="122"/>
        <v>-8</v>
      </c>
      <c r="Q275" s="78">
        <v>6</v>
      </c>
      <c r="R275" s="36">
        <v>15</v>
      </c>
      <c r="S275" s="86">
        <v>0.44166666666666698</v>
      </c>
      <c r="T275" s="86">
        <v>0.44166666666666698</v>
      </c>
      <c r="U275" s="82">
        <v>175941826</v>
      </c>
      <c r="V275" s="82">
        <v>175941826</v>
      </c>
      <c r="W275" s="82">
        <f t="shared" si="117"/>
        <v>1269191492.4583342</v>
      </c>
      <c r="X275" s="82">
        <f t="shared" si="124"/>
        <v>1269191492.4583342</v>
      </c>
      <c r="Y275" s="82">
        <f t="shared" si="118"/>
        <v>1093249666.4583342</v>
      </c>
      <c r="Z275" s="82">
        <f t="shared" si="125"/>
        <v>0</v>
      </c>
      <c r="AA275" s="83">
        <f t="shared" si="114"/>
        <v>7.2136996717218009</v>
      </c>
      <c r="AB275" s="84" t="str">
        <f t="shared" si="126"/>
        <v>Costo eficiente: se está gastando menos de lo presupuestado</v>
      </c>
      <c r="AC275" s="84">
        <f t="shared" si="119"/>
        <v>1</v>
      </c>
      <c r="AD275" s="84" t="str">
        <f t="shared" si="127"/>
        <v>Proyecto a tiempo según lo planificado</v>
      </c>
      <c r="AE275" s="85">
        <f t="shared" si="120"/>
        <v>398358851.32075447</v>
      </c>
      <c r="AF275" s="85">
        <f t="shared" si="121"/>
        <v>-2475282263.6792455</v>
      </c>
      <c r="AG275" s="40" t="str">
        <f>VLOOKUP(Indicador!E275,Diccionario!C$1:AC$150,27,0)</f>
        <v>https://growdatasas.sharepoint.com/:x:/r/sites/Gestiondocumental/Administrativa/GD/Financiera/_layouts/15/Doc.aspx?sourcedoc=%7B1EA3B8D8-B0B8-48BF-BDD1-3151961F579B%7D&amp;file=MODELO%20FINANCIERO%20PLANILLA%20VIAJES%2018.11.25%20V7.xlsm&amp;action=default&amp;mobileredirect=true</v>
      </c>
      <c r="AH275" s="40">
        <v>1</v>
      </c>
      <c r="AI275" s="40">
        <v>1</v>
      </c>
    </row>
    <row r="276" spans="1:35" ht="18.75" customHeight="1">
      <c r="A276" s="73">
        <v>2025</v>
      </c>
      <c r="B276" s="112" t="s">
        <v>28</v>
      </c>
      <c r="C276" s="36" t="s">
        <v>321</v>
      </c>
      <c r="D276" s="37">
        <v>45705.736462615743</v>
      </c>
      <c r="E276" s="36" t="s">
        <v>73</v>
      </c>
      <c r="F276" s="36" t="s">
        <v>270</v>
      </c>
      <c r="G276" s="36" t="s">
        <v>322</v>
      </c>
      <c r="H276" s="36" t="s">
        <v>323</v>
      </c>
      <c r="I276" s="36" t="s">
        <v>175</v>
      </c>
      <c r="J276" s="36" t="s">
        <v>324</v>
      </c>
      <c r="K276" s="36" t="s">
        <v>177</v>
      </c>
      <c r="L276" s="74">
        <f>VLOOKUP(E276,Diccionario!C$2:AC$150,22,0)</f>
        <v>2873641115</v>
      </c>
      <c r="M276" s="75">
        <f>VLOOKUP(E276,Diccionario!C$2:AC$150,24,0)</f>
        <v>45705</v>
      </c>
      <c r="N276" s="76">
        <f>VLOOKUP(E276,Diccionario!C$2:AC$150,25,0)</f>
        <v>46129</v>
      </c>
      <c r="O276" s="77">
        <f>VLOOKUP(E276,Diccionario!C$2:AC$150,26,0)</f>
        <v>14</v>
      </c>
      <c r="P276" s="77">
        <f t="shared" ca="1" si="122"/>
        <v>3</v>
      </c>
      <c r="Q276" s="78">
        <f t="shared" ref="Q276" ca="1" si="128">DATEDIF(M276,TODAY(),"m")</f>
        <v>17</v>
      </c>
      <c r="R276" s="36">
        <v>15</v>
      </c>
      <c r="S276" s="86">
        <v>0.51666666666666705</v>
      </c>
      <c r="T276" s="86">
        <v>0.51666666666666705</v>
      </c>
      <c r="U276" s="82">
        <v>175941826</v>
      </c>
      <c r="V276" s="82">
        <v>175941826</v>
      </c>
      <c r="W276" s="82">
        <f t="shared" si="117"/>
        <v>1484714576.0833344</v>
      </c>
      <c r="X276" s="82">
        <f t="shared" si="124"/>
        <v>1484714576.0833344</v>
      </c>
      <c r="Y276" s="82">
        <f t="shared" si="118"/>
        <v>1308772750.0833344</v>
      </c>
      <c r="Z276" s="82">
        <f t="shared" si="125"/>
        <v>0</v>
      </c>
      <c r="AA276" s="83">
        <f t="shared" si="114"/>
        <v>8.4386675405047491</v>
      </c>
      <c r="AB276" s="84" t="str">
        <f t="shared" si="126"/>
        <v>Costo eficiente: se está gastando menos de lo presupuestado</v>
      </c>
      <c r="AC276" s="84">
        <f t="shared" si="119"/>
        <v>1</v>
      </c>
      <c r="AD276" s="84" t="str">
        <f t="shared" si="127"/>
        <v>Proyecto a tiempo según lo planificado</v>
      </c>
      <c r="AE276" s="85">
        <f t="shared" si="120"/>
        <v>340532566.45161265</v>
      </c>
      <c r="AF276" s="85">
        <f t="shared" si="121"/>
        <v>-2533108548.5483875</v>
      </c>
      <c r="AG276" s="40" t="str">
        <f>VLOOKUP(Indicador!E276,Diccionario!C$1:AC$150,27,0)</f>
        <v>https://growdatasas.sharepoint.com/:x:/r/sites/Gestiondocumental/Administrativa/GD/Financiera/_layouts/15/Doc.aspx?sourcedoc=%7B1EA3B8D8-B0B8-48BF-BDD1-3151961F579B%7D&amp;file=MODELO%20FINANCIERO%20PLANILLA%20VIAJES%2018.11.25%20V7.xlsm&amp;action=default&amp;mobileredirect=true</v>
      </c>
      <c r="AH276" s="40">
        <v>1</v>
      </c>
      <c r="AI276" s="40">
        <v>1</v>
      </c>
    </row>
    <row r="277" spans="1:35" ht="18.75" customHeight="1">
      <c r="A277" s="73">
        <v>2025</v>
      </c>
      <c r="B277" s="112" t="s">
        <v>30</v>
      </c>
      <c r="C277" s="36" t="s">
        <v>321</v>
      </c>
      <c r="D277" s="37">
        <v>45705.736462615743</v>
      </c>
      <c r="E277" s="36" t="s">
        <v>73</v>
      </c>
      <c r="F277" s="36" t="s">
        <v>270</v>
      </c>
      <c r="G277" s="36" t="s">
        <v>322</v>
      </c>
      <c r="H277" s="36" t="s">
        <v>323</v>
      </c>
      <c r="I277" s="36" t="s">
        <v>175</v>
      </c>
      <c r="J277" s="36" t="s">
        <v>324</v>
      </c>
      <c r="K277" s="36" t="s">
        <v>177</v>
      </c>
      <c r="L277" s="74">
        <f>VLOOKUP(E277,Diccionario!C$2:AC$150,22,0)</f>
        <v>2873641115</v>
      </c>
      <c r="M277" s="75">
        <f>VLOOKUP(E277,Diccionario!C$2:AC$150,24,0)</f>
        <v>45705</v>
      </c>
      <c r="N277" s="76">
        <f>VLOOKUP(E277,Diccionario!C$2:AC$150,25,0)</f>
        <v>46129</v>
      </c>
      <c r="O277" s="77">
        <f>VLOOKUP(E277,Diccionario!C$2:AC$150,26,0)</f>
        <v>14</v>
      </c>
      <c r="P277" s="77">
        <f t="shared" si="122"/>
        <v>-7</v>
      </c>
      <c r="Q277" s="78">
        <v>7</v>
      </c>
      <c r="R277" s="36">
        <v>15</v>
      </c>
      <c r="S277" s="86">
        <v>0.59166666666666701</v>
      </c>
      <c r="T277" s="86">
        <v>0.59166666666666701</v>
      </c>
      <c r="U277" s="82">
        <v>175941826</v>
      </c>
      <c r="V277" s="82">
        <v>175941826</v>
      </c>
      <c r="W277" s="82">
        <f t="shared" si="117"/>
        <v>1700237659.7083342</v>
      </c>
      <c r="X277" s="82">
        <f t="shared" si="124"/>
        <v>1700237659.7083342</v>
      </c>
      <c r="Y277" s="82">
        <f t="shared" si="118"/>
        <v>1524295833.7083342</v>
      </c>
      <c r="Z277" s="82">
        <f t="shared" si="125"/>
        <v>0</v>
      </c>
      <c r="AA277" s="83">
        <f t="shared" ref="AA277:AA337" si="129">IFERROR(W277/U277,"No se realizó gasto en este corte")</f>
        <v>9.6636354092876946</v>
      </c>
      <c r="AB277" s="84" t="str">
        <f t="shared" si="126"/>
        <v>Costo eficiente: se está gastando menos de lo presupuestado</v>
      </c>
      <c r="AC277" s="84">
        <f t="shared" si="119"/>
        <v>1</v>
      </c>
      <c r="AD277" s="84" t="str">
        <f t="shared" si="127"/>
        <v>Proyecto a tiempo según lo planificado</v>
      </c>
      <c r="AE277" s="85">
        <f t="shared" si="120"/>
        <v>297366466.47887307</v>
      </c>
      <c r="AF277" s="85">
        <f t="shared" si="121"/>
        <v>-2576274648.5211267</v>
      </c>
      <c r="AG277" s="40" t="str">
        <f>VLOOKUP(Indicador!E277,Diccionario!C$1:AC$150,27,0)</f>
        <v>https://growdatasas.sharepoint.com/:x:/r/sites/Gestiondocumental/Administrativa/GD/Financiera/_layouts/15/Doc.aspx?sourcedoc=%7B1EA3B8D8-B0B8-48BF-BDD1-3151961F579B%7D&amp;file=MODELO%20FINANCIERO%20PLANILLA%20VIAJES%2018.11.25%20V7.xlsm&amp;action=default&amp;mobileredirect=true</v>
      </c>
      <c r="AH277" s="40">
        <v>1</v>
      </c>
      <c r="AI277" s="40">
        <v>1</v>
      </c>
    </row>
    <row r="278" spans="1:35" ht="18.75" customHeight="1">
      <c r="A278" s="73">
        <v>2025</v>
      </c>
      <c r="B278" s="112" t="s">
        <v>31</v>
      </c>
      <c r="C278" s="36" t="s">
        <v>321</v>
      </c>
      <c r="D278" s="37">
        <v>45705.736462615743</v>
      </c>
      <c r="E278" s="36" t="s">
        <v>73</v>
      </c>
      <c r="F278" s="36" t="s">
        <v>270</v>
      </c>
      <c r="G278" s="36" t="s">
        <v>322</v>
      </c>
      <c r="H278" s="36" t="s">
        <v>323</v>
      </c>
      <c r="I278" s="36" t="s">
        <v>175</v>
      </c>
      <c r="J278" s="36" t="s">
        <v>324</v>
      </c>
      <c r="K278" s="36" t="s">
        <v>177</v>
      </c>
      <c r="L278" s="74">
        <f>VLOOKUP(E278,Diccionario!C$2:AC$150,22,0)</f>
        <v>2873641115</v>
      </c>
      <c r="M278" s="75">
        <f>VLOOKUP(E278,Diccionario!C$2:AC$150,24,0)</f>
        <v>45705</v>
      </c>
      <c r="N278" s="76">
        <f>VLOOKUP(E278,Diccionario!C$2:AC$150,25,0)</f>
        <v>46129</v>
      </c>
      <c r="O278" s="77">
        <f>VLOOKUP(E278,Diccionario!C$2:AC$150,26,0)</f>
        <v>14</v>
      </c>
      <c r="P278" s="77">
        <f t="shared" si="122"/>
        <v>-6</v>
      </c>
      <c r="Q278" s="78">
        <v>8</v>
      </c>
      <c r="R278" s="36">
        <v>15</v>
      </c>
      <c r="S278" s="86">
        <v>0.66666666666666696</v>
      </c>
      <c r="T278" s="86">
        <v>0.66666666666666696</v>
      </c>
      <c r="U278" s="82">
        <v>175941826</v>
      </c>
      <c r="V278" s="82">
        <v>175941826</v>
      </c>
      <c r="W278" s="82">
        <f t="shared" si="117"/>
        <v>1915760743.3333342</v>
      </c>
      <c r="X278" s="82">
        <f t="shared" si="124"/>
        <v>1915760743.3333342</v>
      </c>
      <c r="Y278" s="82">
        <f t="shared" si="118"/>
        <v>1739818917.3333342</v>
      </c>
      <c r="Z278" s="82">
        <f t="shared" si="125"/>
        <v>0</v>
      </c>
      <c r="AA278" s="83">
        <f t="shared" si="129"/>
        <v>10.88860327807064</v>
      </c>
      <c r="AB278" s="84" t="str">
        <f t="shared" si="126"/>
        <v>Costo eficiente: se está gastando menos de lo presupuestado</v>
      </c>
      <c r="AC278" s="84">
        <f t="shared" si="119"/>
        <v>1</v>
      </c>
      <c r="AD278" s="84" t="str">
        <f t="shared" si="127"/>
        <v>Proyecto a tiempo según lo planificado</v>
      </c>
      <c r="AE278" s="85">
        <f t="shared" si="120"/>
        <v>263912738.99999988</v>
      </c>
      <c r="AF278" s="85">
        <f t="shared" si="121"/>
        <v>-2609728376</v>
      </c>
      <c r="AG278" s="40" t="str">
        <f>VLOOKUP(Indicador!E278,Diccionario!C$1:AC$150,27,0)</f>
        <v>https://growdatasas.sharepoint.com/:x:/r/sites/Gestiondocumental/Administrativa/GD/Financiera/_layouts/15/Doc.aspx?sourcedoc=%7B1EA3B8D8-B0B8-48BF-BDD1-3151961F579B%7D&amp;file=MODELO%20FINANCIERO%20PLANILLA%20VIAJES%2018.11.25%20V7.xlsm&amp;action=default&amp;mobileredirect=true</v>
      </c>
      <c r="AH278" s="40">
        <v>1</v>
      </c>
      <c r="AI278" s="40">
        <v>1</v>
      </c>
    </row>
    <row r="279" spans="1:35" ht="18.75" customHeight="1">
      <c r="A279" s="73">
        <v>2025</v>
      </c>
      <c r="B279" s="112" t="s">
        <v>32</v>
      </c>
      <c r="C279" s="36" t="s">
        <v>321</v>
      </c>
      <c r="D279" s="37">
        <v>45705.736462615743</v>
      </c>
      <c r="E279" s="36" t="s">
        <v>73</v>
      </c>
      <c r="F279" s="36" t="s">
        <v>270</v>
      </c>
      <c r="G279" s="36" t="s">
        <v>322</v>
      </c>
      <c r="H279" s="36" t="s">
        <v>323</v>
      </c>
      <c r="I279" s="36" t="s">
        <v>175</v>
      </c>
      <c r="J279" s="36" t="s">
        <v>324</v>
      </c>
      <c r="K279" s="36" t="s">
        <v>177</v>
      </c>
      <c r="L279" s="74">
        <f>VLOOKUP(E279,Diccionario!C$2:AC$150,22,0)</f>
        <v>2873641115</v>
      </c>
      <c r="M279" s="75">
        <f>VLOOKUP(E279,Diccionario!C$2:AC$150,24,0)</f>
        <v>45705</v>
      </c>
      <c r="N279" s="76">
        <f>VLOOKUP(E279,Diccionario!C$2:AC$150,25,0)</f>
        <v>46129</v>
      </c>
      <c r="O279" s="77">
        <f>VLOOKUP(E279,Diccionario!C$2:AC$150,26,0)</f>
        <v>14</v>
      </c>
      <c r="P279" s="77">
        <f t="shared" si="122"/>
        <v>-5</v>
      </c>
      <c r="Q279" s="78">
        <v>9</v>
      </c>
      <c r="R279" s="36">
        <v>15</v>
      </c>
      <c r="S279" s="86">
        <v>0.74166666666666703</v>
      </c>
      <c r="T279" s="86">
        <v>0.74166666666666703</v>
      </c>
      <c r="U279" s="82">
        <v>175941826</v>
      </c>
      <c r="V279" s="82">
        <v>175941826</v>
      </c>
      <c r="W279" s="82">
        <f t="shared" si="117"/>
        <v>2131283826.9583344</v>
      </c>
      <c r="X279" s="82">
        <f t="shared" si="124"/>
        <v>2131283826.9583344</v>
      </c>
      <c r="Y279" s="82">
        <f t="shared" si="118"/>
        <v>1955342000.9583344</v>
      </c>
      <c r="Z279" s="82">
        <f t="shared" si="125"/>
        <v>0</v>
      </c>
      <c r="AA279" s="83">
        <f t="shared" si="129"/>
        <v>12.113571146853587</v>
      </c>
      <c r="AB279" s="84" t="str">
        <f t="shared" si="126"/>
        <v>Costo eficiente: se está gastando menos de lo presupuestado</v>
      </c>
      <c r="AC279" s="84">
        <f t="shared" si="119"/>
        <v>1</v>
      </c>
      <c r="AD279" s="84" t="str">
        <f t="shared" si="127"/>
        <v>Proyecto a tiempo según lo planificado</v>
      </c>
      <c r="AE279" s="85">
        <f t="shared" si="120"/>
        <v>237224933.93258417</v>
      </c>
      <c r="AF279" s="85">
        <f t="shared" si="121"/>
        <v>-2636416181.0674157</v>
      </c>
      <c r="AG279" s="40" t="str">
        <f>VLOOKUP(Indicador!E279,Diccionario!C$1:AC$150,27,0)</f>
        <v>https://growdatasas.sharepoint.com/:x:/r/sites/Gestiondocumental/Administrativa/GD/Financiera/_layouts/15/Doc.aspx?sourcedoc=%7B1EA3B8D8-B0B8-48BF-BDD1-3151961F579B%7D&amp;file=MODELO%20FINANCIERO%20PLANILLA%20VIAJES%2018.11.25%20V7.xlsm&amp;action=default&amp;mobileredirect=true</v>
      </c>
      <c r="AH279" s="40">
        <v>1</v>
      </c>
      <c r="AI279" s="40">
        <v>1</v>
      </c>
    </row>
    <row r="280" spans="1:35" ht="18.75" customHeight="1">
      <c r="A280" s="73">
        <v>2026</v>
      </c>
      <c r="B280" s="112" t="s">
        <v>14</v>
      </c>
      <c r="C280" s="36" t="s">
        <v>321</v>
      </c>
      <c r="D280" s="37">
        <v>45705.736462615743</v>
      </c>
      <c r="E280" s="36" t="s">
        <v>73</v>
      </c>
      <c r="F280" s="36" t="s">
        <v>270</v>
      </c>
      <c r="G280" s="36" t="s">
        <v>322</v>
      </c>
      <c r="H280" s="36" t="s">
        <v>323</v>
      </c>
      <c r="I280" s="36" t="s">
        <v>175</v>
      </c>
      <c r="J280" s="36" t="s">
        <v>324</v>
      </c>
      <c r="K280" s="36" t="s">
        <v>177</v>
      </c>
      <c r="L280" s="74">
        <f>VLOOKUP(E280,Diccionario!C$2:AC$150,22,0)</f>
        <v>2873641115</v>
      </c>
      <c r="M280" s="75">
        <f>VLOOKUP(E280,Diccionario!C$2:AC$150,24,0)</f>
        <v>45705</v>
      </c>
      <c r="N280" s="76">
        <f>VLOOKUP(E280,Diccionario!C$2:AC$150,25,0)</f>
        <v>46129</v>
      </c>
      <c r="O280" s="77">
        <f>VLOOKUP(E280,Diccionario!C$2:AC$150,26,0)</f>
        <v>14</v>
      </c>
      <c r="P280" s="77">
        <f t="shared" ca="1" si="122"/>
        <v>3</v>
      </c>
      <c r="Q280" s="78">
        <f t="shared" ref="Q280" ca="1" si="130">DATEDIF(M280,TODAY(),"m")</f>
        <v>17</v>
      </c>
      <c r="R280" s="36">
        <v>15</v>
      </c>
      <c r="S280" s="86">
        <v>0.81666666666666698</v>
      </c>
      <c r="T280" s="86">
        <v>0.81666666666666698</v>
      </c>
      <c r="U280" s="82">
        <v>175941826</v>
      </c>
      <c r="V280" s="82">
        <v>175941826</v>
      </c>
      <c r="W280" s="82">
        <f t="shared" si="117"/>
        <v>2346806910.5833344</v>
      </c>
      <c r="X280" s="82">
        <f t="shared" si="124"/>
        <v>2346806910.5833344</v>
      </c>
      <c r="Y280" s="82">
        <f t="shared" si="118"/>
        <v>2170865084.5833344</v>
      </c>
      <c r="Z280" s="82">
        <f t="shared" si="125"/>
        <v>0</v>
      </c>
      <c r="AA280" s="83">
        <f t="shared" si="129"/>
        <v>13.338539015636535</v>
      </c>
      <c r="AB280" s="84" t="str">
        <f t="shared" si="126"/>
        <v>Costo eficiente: se está gastando menos de lo presupuestado</v>
      </c>
      <c r="AC280" s="84">
        <f t="shared" si="119"/>
        <v>1</v>
      </c>
      <c r="AD280" s="84" t="str">
        <f t="shared" si="127"/>
        <v>Proyecto a tiempo según lo planificado</v>
      </c>
      <c r="AE280" s="85">
        <f t="shared" si="120"/>
        <v>215438970.61224478</v>
      </c>
      <c r="AF280" s="85">
        <f t="shared" si="121"/>
        <v>-2658202144.3877554</v>
      </c>
      <c r="AG280" s="40" t="str">
        <f>VLOOKUP(Indicador!E280,Diccionario!C$1:AC$150,27,0)</f>
        <v>https://growdatasas.sharepoint.com/:x:/r/sites/Gestiondocumental/Administrativa/GD/Financiera/_layouts/15/Doc.aspx?sourcedoc=%7B1EA3B8D8-B0B8-48BF-BDD1-3151961F579B%7D&amp;file=MODELO%20FINANCIERO%20PLANILLA%20VIAJES%2018.11.25%20V7.xlsm&amp;action=default&amp;mobileredirect=true</v>
      </c>
      <c r="AH280" s="40">
        <v>1</v>
      </c>
      <c r="AI280" s="40">
        <v>1</v>
      </c>
    </row>
    <row r="281" spans="1:35" ht="18.75" customHeight="1">
      <c r="A281" s="73">
        <v>2026</v>
      </c>
      <c r="B281" s="112" t="s">
        <v>22</v>
      </c>
      <c r="C281" s="36" t="s">
        <v>321</v>
      </c>
      <c r="D281" s="37">
        <v>45705.736462615743</v>
      </c>
      <c r="E281" s="36" t="s">
        <v>73</v>
      </c>
      <c r="F281" s="36" t="s">
        <v>270</v>
      </c>
      <c r="G281" s="36" t="s">
        <v>322</v>
      </c>
      <c r="H281" s="36" t="s">
        <v>323</v>
      </c>
      <c r="I281" s="36" t="s">
        <v>175</v>
      </c>
      <c r="J281" s="36" t="s">
        <v>324</v>
      </c>
      <c r="K281" s="36" t="s">
        <v>177</v>
      </c>
      <c r="L281" s="74">
        <f>VLOOKUP(E281,Diccionario!C$2:AC$150,22,0)</f>
        <v>2873641115</v>
      </c>
      <c r="M281" s="75">
        <f>VLOOKUP(E281,Diccionario!C$2:AC$150,24,0)</f>
        <v>45705</v>
      </c>
      <c r="N281" s="76">
        <f>VLOOKUP(E281,Diccionario!C$2:AC$150,25,0)</f>
        <v>46129</v>
      </c>
      <c r="O281" s="77">
        <f>VLOOKUP(E281,Diccionario!C$2:AC$150,26,0)</f>
        <v>14</v>
      </c>
      <c r="P281" s="77">
        <f t="shared" si="122"/>
        <v>-4</v>
      </c>
      <c r="Q281" s="78">
        <v>10</v>
      </c>
      <c r="R281" s="36">
        <v>15</v>
      </c>
      <c r="S281" s="86">
        <v>0.89166666666666705</v>
      </c>
      <c r="T281" s="86">
        <v>0.89166666666666705</v>
      </c>
      <c r="U281" s="82">
        <v>176057823</v>
      </c>
      <c r="V281" s="82">
        <v>176057823</v>
      </c>
      <c r="W281" s="82">
        <f t="shared" si="117"/>
        <v>2562329994.2083344</v>
      </c>
      <c r="X281" s="82">
        <f t="shared" si="124"/>
        <v>2562329994.2083344</v>
      </c>
      <c r="Y281" s="82">
        <f t="shared" si="118"/>
        <v>2386272171.2083344</v>
      </c>
      <c r="Z281" s="82">
        <f t="shared" si="125"/>
        <v>0</v>
      </c>
      <c r="AA281" s="83">
        <f t="shared" si="129"/>
        <v>14.553911610098316</v>
      </c>
      <c r="AB281" s="84" t="str">
        <f t="shared" si="126"/>
        <v>Costo eficiente: se está gastando menos de lo presupuestado</v>
      </c>
      <c r="AC281" s="84">
        <f t="shared" si="119"/>
        <v>1</v>
      </c>
      <c r="AD281" s="84" t="str">
        <f t="shared" si="127"/>
        <v>Proyecto a tiempo según lo planificado</v>
      </c>
      <c r="AE281" s="85">
        <f t="shared" si="120"/>
        <v>197448025.79439244</v>
      </c>
      <c r="AF281" s="85">
        <f t="shared" si="121"/>
        <v>-2676193089.2056074</v>
      </c>
      <c r="AG281" s="40" t="str">
        <f>VLOOKUP(Indicador!E281,Diccionario!C$1:AC$150,27,0)</f>
        <v>https://growdatasas.sharepoint.com/:x:/r/sites/Gestiondocumental/Administrativa/GD/Financiera/_layouts/15/Doc.aspx?sourcedoc=%7B1EA3B8D8-B0B8-48BF-BDD1-3151961F579B%7D&amp;file=MODELO%20FINANCIERO%20PLANILLA%20VIAJES%2018.11.25%20V7.xlsm&amp;action=default&amp;mobileredirect=true</v>
      </c>
      <c r="AH281" s="40">
        <v>1</v>
      </c>
      <c r="AI281" s="40">
        <v>1</v>
      </c>
    </row>
    <row r="282" spans="1:35" ht="18.75" customHeight="1">
      <c r="A282" s="73">
        <v>2026</v>
      </c>
      <c r="B282" s="112" t="s">
        <v>24</v>
      </c>
      <c r="C282" s="36" t="s">
        <v>321</v>
      </c>
      <c r="D282" s="37">
        <v>45705.736462615743</v>
      </c>
      <c r="E282" s="36" t="s">
        <v>73</v>
      </c>
      <c r="F282" s="36" t="s">
        <v>270</v>
      </c>
      <c r="G282" s="36" t="s">
        <v>322</v>
      </c>
      <c r="H282" s="36" t="s">
        <v>323</v>
      </c>
      <c r="I282" s="36" t="s">
        <v>175</v>
      </c>
      <c r="J282" s="36" t="s">
        <v>324</v>
      </c>
      <c r="K282" s="36" t="s">
        <v>177</v>
      </c>
      <c r="L282" s="74">
        <f>VLOOKUP(E282,Diccionario!C$2:AC$150,22,0)</f>
        <v>2873641115</v>
      </c>
      <c r="M282" s="75">
        <f>VLOOKUP(E282,Diccionario!C$2:AC$150,24,0)</f>
        <v>45705</v>
      </c>
      <c r="N282" s="76">
        <f>VLOOKUP(E282,Diccionario!C$2:AC$150,25,0)</f>
        <v>46129</v>
      </c>
      <c r="O282" s="77">
        <f>VLOOKUP(E282,Diccionario!C$2:AC$150,26,0)</f>
        <v>14</v>
      </c>
      <c r="P282" s="77">
        <f t="shared" si="122"/>
        <v>-3</v>
      </c>
      <c r="Q282" s="78">
        <v>11</v>
      </c>
      <c r="R282" s="36">
        <v>15</v>
      </c>
      <c r="S282" s="86">
        <v>0.96666666666666701</v>
      </c>
      <c r="T282" s="86">
        <v>0</v>
      </c>
      <c r="U282" s="82">
        <v>0</v>
      </c>
      <c r="V282" s="82">
        <v>0</v>
      </c>
      <c r="W282" s="82">
        <f t="shared" si="117"/>
        <v>0</v>
      </c>
      <c r="X282" s="82">
        <f t="shared" si="124"/>
        <v>2777853077.8333344</v>
      </c>
      <c r="Y282" s="82">
        <f t="shared" si="118"/>
        <v>0</v>
      </c>
      <c r="Z282" s="82">
        <f t="shared" si="125"/>
        <v>-2777853077.8333344</v>
      </c>
      <c r="AA282" s="83" t="str">
        <f t="shared" si="129"/>
        <v>No se realizó gasto en este corte</v>
      </c>
      <c r="AB282" s="84" t="str">
        <f t="shared" si="126"/>
        <v>Costo eficiente: se está gastando menos de lo presupuestado</v>
      </c>
      <c r="AC282" s="84">
        <f t="shared" si="119"/>
        <v>0</v>
      </c>
      <c r="AD282" s="84" t="str">
        <f t="shared" si="127"/>
        <v>Sin Línea Base</v>
      </c>
      <c r="AE282" s="85">
        <f t="shared" si="120"/>
        <v>0</v>
      </c>
      <c r="AF282" s="85">
        <f t="shared" si="121"/>
        <v>-2873641115</v>
      </c>
      <c r="AG282" s="40" t="str">
        <f>VLOOKUP(Indicador!E282,Diccionario!C$1:AC$150,27,0)</f>
        <v>https://growdatasas.sharepoint.com/:x:/r/sites/Gestiondocumental/Administrativa/GD/Financiera/_layouts/15/Doc.aspx?sourcedoc=%7B1EA3B8D8-B0B8-48BF-BDD1-3151961F579B%7D&amp;file=MODELO%20FINANCIERO%20PLANILLA%20VIAJES%2018.11.25%20V7.xlsm&amp;action=default&amp;mobileredirect=true</v>
      </c>
      <c r="AH282" s="40">
        <v>1</v>
      </c>
      <c r="AI282" s="40">
        <v>1</v>
      </c>
    </row>
    <row r="283" spans="1:35" ht="18.75" customHeight="1">
      <c r="A283" s="73">
        <v>2026</v>
      </c>
      <c r="B283" s="112" t="s">
        <v>27</v>
      </c>
      <c r="C283" s="36" t="s">
        <v>321</v>
      </c>
      <c r="D283" s="37">
        <v>45705.736462615743</v>
      </c>
      <c r="E283" s="36" t="s">
        <v>73</v>
      </c>
      <c r="F283" s="36" t="s">
        <v>270</v>
      </c>
      <c r="G283" s="36" t="s">
        <v>322</v>
      </c>
      <c r="H283" s="36" t="s">
        <v>323</v>
      </c>
      <c r="I283" s="36" t="s">
        <v>175</v>
      </c>
      <c r="J283" s="36" t="s">
        <v>324</v>
      </c>
      <c r="K283" s="36" t="s">
        <v>177</v>
      </c>
      <c r="L283" s="74">
        <f>VLOOKUP(E283,Diccionario!C$2:AC$150,22,0)</f>
        <v>2873641115</v>
      </c>
      <c r="M283" s="75">
        <f>VLOOKUP(E283,Diccionario!C$2:AC$150,24,0)</f>
        <v>45705</v>
      </c>
      <c r="N283" s="76">
        <f>VLOOKUP(E283,Diccionario!C$2:AC$150,25,0)</f>
        <v>46129</v>
      </c>
      <c r="O283" s="77">
        <f>VLOOKUP(E283,Diccionario!C$2:AC$150,26,0)</f>
        <v>14</v>
      </c>
      <c r="P283" s="77">
        <f t="shared" si="122"/>
        <v>-2</v>
      </c>
      <c r="Q283" s="78">
        <v>12</v>
      </c>
      <c r="R283" s="36">
        <v>15</v>
      </c>
      <c r="S283" s="86">
        <v>1</v>
      </c>
      <c r="T283" s="86">
        <v>0</v>
      </c>
      <c r="U283" s="82">
        <v>0</v>
      </c>
      <c r="V283" s="82">
        <v>0</v>
      </c>
      <c r="W283" s="82">
        <f t="shared" si="117"/>
        <v>0</v>
      </c>
      <c r="X283" s="82">
        <f t="shared" si="124"/>
        <v>2873641115</v>
      </c>
      <c r="Y283" s="82">
        <f t="shared" si="118"/>
        <v>0</v>
      </c>
      <c r="Z283" s="82">
        <f t="shared" si="125"/>
        <v>-2873641115</v>
      </c>
      <c r="AA283" s="83" t="str">
        <f t="shared" si="129"/>
        <v>No se realizó gasto en este corte</v>
      </c>
      <c r="AB283" s="84" t="str">
        <f t="shared" si="126"/>
        <v>Costo eficiente: se está gastando menos de lo presupuestado</v>
      </c>
      <c r="AC283" s="84">
        <f t="shared" si="119"/>
        <v>0</v>
      </c>
      <c r="AD283" s="84" t="str">
        <f t="shared" si="127"/>
        <v>Sin Línea Base</v>
      </c>
      <c r="AE283" s="85">
        <f t="shared" si="120"/>
        <v>0</v>
      </c>
      <c r="AF283" s="85">
        <f t="shared" si="121"/>
        <v>-2873641115</v>
      </c>
      <c r="AG283" s="40" t="str">
        <f>VLOOKUP(Indicador!E283,Diccionario!C$1:AC$150,27,0)</f>
        <v>https://growdatasas.sharepoint.com/:x:/r/sites/Gestiondocumental/Administrativa/GD/Financiera/_layouts/15/Doc.aspx?sourcedoc=%7B1EA3B8D8-B0B8-48BF-BDD1-3151961F579B%7D&amp;file=MODELO%20FINANCIERO%20PLANILLA%20VIAJES%2018.11.25%20V7.xlsm&amp;action=default&amp;mobileredirect=true</v>
      </c>
      <c r="AH283" s="40">
        <v>1</v>
      </c>
      <c r="AI283" s="40">
        <v>1</v>
      </c>
    </row>
    <row r="284" spans="1:35" ht="18.75" customHeight="1">
      <c r="A284" s="73">
        <v>2025</v>
      </c>
      <c r="B284" s="112" t="s">
        <v>24</v>
      </c>
      <c r="C284" s="36" t="s">
        <v>325</v>
      </c>
      <c r="D284" s="37">
        <v>45726.538149618056</v>
      </c>
      <c r="E284" s="36" t="s">
        <v>48</v>
      </c>
      <c r="F284" s="36" t="s">
        <v>326</v>
      </c>
      <c r="G284" s="36" t="s">
        <v>327</v>
      </c>
      <c r="H284" s="36" t="s">
        <v>328</v>
      </c>
      <c r="I284" s="36" t="s">
        <v>152</v>
      </c>
      <c r="J284" s="36" t="s">
        <v>329</v>
      </c>
      <c r="K284" s="36" t="s">
        <v>177</v>
      </c>
      <c r="L284" s="74">
        <f>VLOOKUP(E284,Diccionario!C$2:AC$150,22,0)</f>
        <v>10862267536</v>
      </c>
      <c r="M284" s="75">
        <f>VLOOKUP(E284,Diccionario!C$2:AC$150,24,0)</f>
        <v>45717</v>
      </c>
      <c r="N284" s="76">
        <f>VLOOKUP(E284,Diccionario!C$2:AC$150,25,0)</f>
        <v>46203</v>
      </c>
      <c r="O284" s="77">
        <f>VLOOKUP(E284,Diccionario!C$2:AC$150,26,0)</f>
        <v>15.97</v>
      </c>
      <c r="P284" s="77">
        <f t="shared" si="122"/>
        <v>-14.97</v>
      </c>
      <c r="Q284" s="78">
        <v>1</v>
      </c>
      <c r="R284" s="36">
        <v>16</v>
      </c>
      <c r="S284" s="86">
        <v>0.15</v>
      </c>
      <c r="T284" s="86">
        <v>0.15</v>
      </c>
      <c r="U284" s="82">
        <v>246271024</v>
      </c>
      <c r="V284" s="82">
        <v>246271024</v>
      </c>
      <c r="W284" s="82">
        <f t="shared" si="117"/>
        <v>1629340130.3999999</v>
      </c>
      <c r="X284" s="82">
        <f t="shared" si="124"/>
        <v>1629340130.3999999</v>
      </c>
      <c r="Y284" s="82">
        <f t="shared" si="118"/>
        <v>1383069106.3999999</v>
      </c>
      <c r="Z284" s="82">
        <f t="shared" si="125"/>
        <v>0</v>
      </c>
      <c r="AA284" s="83">
        <f t="shared" si="129"/>
        <v>6.6160448108584626</v>
      </c>
      <c r="AB284" s="84" t="str">
        <f t="shared" si="126"/>
        <v>Costo eficiente: se está gastando menos de lo presupuestado</v>
      </c>
      <c r="AC284" s="84">
        <f t="shared" si="119"/>
        <v>1</v>
      </c>
      <c r="AD284" s="84" t="str">
        <f t="shared" si="127"/>
        <v>Proyecto a tiempo según lo planificado</v>
      </c>
      <c r="AE284" s="85">
        <f t="shared" si="120"/>
        <v>1641806826.6666667</v>
      </c>
      <c r="AF284" s="85">
        <f t="shared" si="121"/>
        <v>-9220460709.333334</v>
      </c>
      <c r="AG284" s="40" t="str">
        <f>VLOOKUP(Indicador!E284,Diccionario!C$1:AC$150,27,0)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84" s="40">
        <v>1</v>
      </c>
      <c r="AI284" s="40">
        <v>1</v>
      </c>
    </row>
    <row r="285" spans="1:35" ht="18.75" customHeight="1">
      <c r="A285" s="73">
        <v>2025</v>
      </c>
      <c r="B285" s="112" t="s">
        <v>27</v>
      </c>
      <c r="C285" s="36" t="s">
        <v>325</v>
      </c>
      <c r="D285" s="37">
        <v>45726.538149618056</v>
      </c>
      <c r="E285" s="36" t="s">
        <v>48</v>
      </c>
      <c r="F285" s="36" t="s">
        <v>326</v>
      </c>
      <c r="G285" s="36" t="s">
        <v>327</v>
      </c>
      <c r="H285" s="36" t="s">
        <v>328</v>
      </c>
      <c r="I285" s="36" t="s">
        <v>152</v>
      </c>
      <c r="J285" s="36" t="s">
        <v>329</v>
      </c>
      <c r="K285" s="36" t="s">
        <v>177</v>
      </c>
      <c r="L285" s="74">
        <f>VLOOKUP(E285,Diccionario!C$2:AC$150,22,0)</f>
        <v>10862267536</v>
      </c>
      <c r="M285" s="75">
        <f>VLOOKUP(E285,Diccionario!C$2:AC$150,24,0)</f>
        <v>45717</v>
      </c>
      <c r="N285" s="76">
        <f>VLOOKUP(E285,Diccionario!C$2:AC$150,25,0)</f>
        <v>46203</v>
      </c>
      <c r="O285" s="77">
        <f>VLOOKUP(E285,Diccionario!C$2:AC$150,26,0)</f>
        <v>15.97</v>
      </c>
      <c r="P285" s="77">
        <f t="shared" si="122"/>
        <v>-13.97</v>
      </c>
      <c r="Q285" s="78">
        <v>2</v>
      </c>
      <c r="R285" s="36">
        <v>16</v>
      </c>
      <c r="S285" s="86">
        <v>0.2</v>
      </c>
      <c r="T285" s="86">
        <v>0.2</v>
      </c>
      <c r="U285" s="82">
        <v>653084711</v>
      </c>
      <c r="V285" s="82">
        <v>653084711</v>
      </c>
      <c r="W285" s="82">
        <f t="shared" si="117"/>
        <v>2172453507.2000003</v>
      </c>
      <c r="X285" s="82">
        <f t="shared" si="124"/>
        <v>2172453507.2000003</v>
      </c>
      <c r="Y285" s="82">
        <f t="shared" si="118"/>
        <v>1519368796.2000003</v>
      </c>
      <c r="Z285" s="82">
        <f t="shared" si="125"/>
        <v>0</v>
      </c>
      <c r="AA285" s="83">
        <f t="shared" si="129"/>
        <v>3.3264498013949071</v>
      </c>
      <c r="AB285" s="84" t="str">
        <f t="shared" si="126"/>
        <v>Costo eficiente: se está gastando menos de lo presupuestado</v>
      </c>
      <c r="AC285" s="84">
        <f t="shared" si="119"/>
        <v>1</v>
      </c>
      <c r="AD285" s="84" t="str">
        <f t="shared" si="127"/>
        <v>Proyecto a tiempo según lo planificado</v>
      </c>
      <c r="AE285" s="85">
        <f t="shared" si="120"/>
        <v>3265423554.9999995</v>
      </c>
      <c r="AF285" s="85">
        <f t="shared" si="121"/>
        <v>-7596843981</v>
      </c>
      <c r="AG285" s="40" t="str">
        <f>VLOOKUP(Indicador!E285,Diccionario!C$1:AC$150,27,0)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85" s="40">
        <v>1</v>
      </c>
      <c r="AI285" s="40">
        <v>1</v>
      </c>
    </row>
    <row r="286" spans="1:35" ht="18.75" customHeight="1">
      <c r="A286" s="73">
        <v>2025</v>
      </c>
      <c r="B286" s="112" t="s">
        <v>13</v>
      </c>
      <c r="C286" s="36" t="s">
        <v>325</v>
      </c>
      <c r="D286" s="37">
        <v>45726.538149618056</v>
      </c>
      <c r="E286" s="36" t="s">
        <v>48</v>
      </c>
      <c r="F286" s="36" t="s">
        <v>326</v>
      </c>
      <c r="G286" s="36" t="s">
        <v>327</v>
      </c>
      <c r="H286" s="36" t="s">
        <v>328</v>
      </c>
      <c r="I286" s="36" t="s">
        <v>152</v>
      </c>
      <c r="J286" s="36" t="s">
        <v>329</v>
      </c>
      <c r="K286" s="36" t="s">
        <v>177</v>
      </c>
      <c r="L286" s="74">
        <f>VLOOKUP(E286,Diccionario!C$2:AC$150,22,0)</f>
        <v>10862267536</v>
      </c>
      <c r="M286" s="75">
        <f>VLOOKUP(E286,Diccionario!C$2:AC$150,24,0)</f>
        <v>45717</v>
      </c>
      <c r="N286" s="76">
        <f>VLOOKUP(E286,Diccionario!C$2:AC$150,25,0)</f>
        <v>46203</v>
      </c>
      <c r="O286" s="77">
        <f>VLOOKUP(E286,Diccionario!C$2:AC$150,26,0)</f>
        <v>15.97</v>
      </c>
      <c r="P286" s="77">
        <f t="shared" si="122"/>
        <v>-12.97</v>
      </c>
      <c r="Q286" s="78">
        <v>3</v>
      </c>
      <c r="R286" s="36">
        <v>16</v>
      </c>
      <c r="S286" s="86">
        <v>0.23</v>
      </c>
      <c r="T286" s="86">
        <v>0.23</v>
      </c>
      <c r="U286" s="82">
        <v>1508926165</v>
      </c>
      <c r="V286" s="82">
        <v>1508926165</v>
      </c>
      <c r="W286" s="82">
        <f t="shared" si="117"/>
        <v>2498321533.2800002</v>
      </c>
      <c r="X286" s="82">
        <f t="shared" si="124"/>
        <v>2498321533.2800002</v>
      </c>
      <c r="Y286" s="82">
        <f t="shared" si="118"/>
        <v>989395368.28000021</v>
      </c>
      <c r="Z286" s="82">
        <f t="shared" si="125"/>
        <v>0</v>
      </c>
      <c r="AA286" s="83">
        <f t="shared" si="129"/>
        <v>1.6556950175756282</v>
      </c>
      <c r="AB286" s="84" t="str">
        <f t="shared" si="126"/>
        <v>Costo eficiente: se está gastando menos de lo presupuestado</v>
      </c>
      <c r="AC286" s="84">
        <f t="shared" si="119"/>
        <v>1</v>
      </c>
      <c r="AD286" s="84" t="str">
        <f t="shared" si="127"/>
        <v>Proyecto a tiempo según lo planificado</v>
      </c>
      <c r="AE286" s="85">
        <f t="shared" si="120"/>
        <v>6560548543.47826</v>
      </c>
      <c r="AF286" s="85">
        <f t="shared" si="121"/>
        <v>-4301718992.52174</v>
      </c>
      <c r="AG286" s="40" t="str">
        <f>VLOOKUP(Indicador!E286,Diccionario!C$1:AC$150,27,0)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86" s="40">
        <v>1</v>
      </c>
      <c r="AI286" s="40">
        <v>1</v>
      </c>
    </row>
    <row r="287" spans="1:35" ht="18.75" customHeight="1">
      <c r="A287" s="73">
        <v>2025</v>
      </c>
      <c r="B287" s="112" t="s">
        <v>21</v>
      </c>
      <c r="C287" s="36" t="s">
        <v>325</v>
      </c>
      <c r="D287" s="37">
        <v>45726.538149618056</v>
      </c>
      <c r="E287" s="36" t="s">
        <v>48</v>
      </c>
      <c r="F287" s="36" t="s">
        <v>326</v>
      </c>
      <c r="G287" s="36" t="s">
        <v>327</v>
      </c>
      <c r="H287" s="36" t="s">
        <v>328</v>
      </c>
      <c r="I287" s="36" t="s">
        <v>152</v>
      </c>
      <c r="J287" s="36" t="s">
        <v>329</v>
      </c>
      <c r="K287" s="36" t="s">
        <v>177</v>
      </c>
      <c r="L287" s="74">
        <f>VLOOKUP(E287,Diccionario!C$2:AC$150,22,0)</f>
        <v>10862267536</v>
      </c>
      <c r="M287" s="75">
        <f>VLOOKUP(E287,Diccionario!C$2:AC$150,24,0)</f>
        <v>45717</v>
      </c>
      <c r="N287" s="76">
        <f>VLOOKUP(E287,Diccionario!C$2:AC$150,25,0)</f>
        <v>46203</v>
      </c>
      <c r="O287" s="77">
        <f>VLOOKUP(E287,Diccionario!C$2:AC$150,26,0)</f>
        <v>15.97</v>
      </c>
      <c r="P287" s="77">
        <f t="shared" si="122"/>
        <v>-11.97</v>
      </c>
      <c r="Q287" s="78">
        <v>4</v>
      </c>
      <c r="R287" s="36">
        <v>16</v>
      </c>
      <c r="S287" s="86">
        <v>0.3</v>
      </c>
      <c r="T287" s="86">
        <v>0.3</v>
      </c>
      <c r="U287" s="82">
        <v>653084711</v>
      </c>
      <c r="V287" s="82">
        <v>653084711</v>
      </c>
      <c r="W287" s="82">
        <f t="shared" si="117"/>
        <v>3258680260.7999997</v>
      </c>
      <c r="X287" s="82">
        <f t="shared" si="124"/>
        <v>3258680260.7999997</v>
      </c>
      <c r="Y287" s="82">
        <f t="shared" si="118"/>
        <v>2605595549.7999997</v>
      </c>
      <c r="Z287" s="82">
        <f t="shared" si="125"/>
        <v>0</v>
      </c>
      <c r="AA287" s="83">
        <f t="shared" si="129"/>
        <v>4.9896747020923593</v>
      </c>
      <c r="AB287" s="84" t="str">
        <f t="shared" si="126"/>
        <v>Costo eficiente: se está gastando menos de lo presupuestado</v>
      </c>
      <c r="AC287" s="84">
        <f t="shared" si="119"/>
        <v>1</v>
      </c>
      <c r="AD287" s="84" t="str">
        <f t="shared" si="127"/>
        <v>Proyecto a tiempo según lo planificado</v>
      </c>
      <c r="AE287" s="85">
        <f t="shared" si="120"/>
        <v>2176949036.666667</v>
      </c>
      <c r="AF287" s="85">
        <f t="shared" si="121"/>
        <v>-8685318499.3333321</v>
      </c>
      <c r="AG287" s="40" t="str">
        <f>VLOOKUP(Indicador!E287,Diccionario!C$1:AC$150,27,0)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87" s="40">
        <v>1</v>
      </c>
      <c r="AI287" s="40">
        <v>1</v>
      </c>
    </row>
    <row r="288" spans="1:35" ht="18.75" customHeight="1">
      <c r="A288" s="73">
        <v>2025</v>
      </c>
      <c r="B288" s="112" t="s">
        <v>23</v>
      </c>
      <c r="C288" s="36" t="s">
        <v>325</v>
      </c>
      <c r="D288" s="37">
        <v>45726.538149618056</v>
      </c>
      <c r="E288" s="36" t="s">
        <v>48</v>
      </c>
      <c r="F288" s="36" t="s">
        <v>326</v>
      </c>
      <c r="G288" s="36" t="s">
        <v>327</v>
      </c>
      <c r="H288" s="36" t="s">
        <v>328</v>
      </c>
      <c r="I288" s="36" t="s">
        <v>152</v>
      </c>
      <c r="J288" s="36" t="s">
        <v>329</v>
      </c>
      <c r="K288" s="36" t="s">
        <v>177</v>
      </c>
      <c r="L288" s="74">
        <f>VLOOKUP(E288,Diccionario!C$2:AC$150,22,0)</f>
        <v>10862267536</v>
      </c>
      <c r="M288" s="75">
        <f>VLOOKUP(E288,Diccionario!C$2:AC$150,24,0)</f>
        <v>45717</v>
      </c>
      <c r="N288" s="76">
        <f>VLOOKUP(E288,Diccionario!C$2:AC$150,25,0)</f>
        <v>46203</v>
      </c>
      <c r="O288" s="77">
        <f>VLOOKUP(E288,Diccionario!C$2:AC$150,26,0)</f>
        <v>15.97</v>
      </c>
      <c r="P288" s="77">
        <f t="shared" si="122"/>
        <v>-10.97</v>
      </c>
      <c r="Q288" s="78">
        <v>5</v>
      </c>
      <c r="R288" s="36">
        <v>16</v>
      </c>
      <c r="S288" s="86">
        <v>0.37</v>
      </c>
      <c r="T288" s="86">
        <v>0.37</v>
      </c>
      <c r="U288" s="82">
        <v>653084711</v>
      </c>
      <c r="V288" s="82">
        <v>653084711</v>
      </c>
      <c r="W288" s="82">
        <f t="shared" si="117"/>
        <v>4019038988.3200002</v>
      </c>
      <c r="X288" s="82">
        <f t="shared" si="124"/>
        <v>4019038988.3200002</v>
      </c>
      <c r="Y288" s="82">
        <f t="shared" si="118"/>
        <v>3365954277.3200002</v>
      </c>
      <c r="Z288" s="82">
        <f t="shared" si="125"/>
        <v>0</v>
      </c>
      <c r="AA288" s="83">
        <f t="shared" si="129"/>
        <v>6.1539321325805778</v>
      </c>
      <c r="AB288" s="84" t="str">
        <f t="shared" si="126"/>
        <v>Costo eficiente: se está gastando menos de lo presupuestado</v>
      </c>
      <c r="AC288" s="84">
        <f t="shared" si="119"/>
        <v>1</v>
      </c>
      <c r="AD288" s="84" t="str">
        <f t="shared" si="127"/>
        <v>Proyecto a tiempo según lo planificado</v>
      </c>
      <c r="AE288" s="85">
        <f t="shared" si="120"/>
        <v>1765093813.5135133</v>
      </c>
      <c r="AF288" s="85">
        <f t="shared" si="121"/>
        <v>-9097173722.4864864</v>
      </c>
      <c r="AG288" s="40" t="str">
        <f>VLOOKUP(Indicador!E288,Diccionario!C$1:AC$150,27,0)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88" s="40">
        <v>1</v>
      </c>
      <c r="AI288" s="40">
        <v>1</v>
      </c>
    </row>
    <row r="289" spans="1:35" ht="18.75" customHeight="1">
      <c r="A289" s="73">
        <v>2025</v>
      </c>
      <c r="B289" s="112" t="s">
        <v>26</v>
      </c>
      <c r="C289" s="36" t="s">
        <v>325</v>
      </c>
      <c r="D289" s="37">
        <v>45726.538149618056</v>
      </c>
      <c r="E289" s="36" t="s">
        <v>48</v>
      </c>
      <c r="F289" s="36" t="s">
        <v>326</v>
      </c>
      <c r="G289" s="36" t="s">
        <v>327</v>
      </c>
      <c r="H289" s="36" t="s">
        <v>328</v>
      </c>
      <c r="I289" s="36" t="s">
        <v>152</v>
      </c>
      <c r="J289" s="36" t="s">
        <v>329</v>
      </c>
      <c r="K289" s="36" t="s">
        <v>177</v>
      </c>
      <c r="L289" s="74">
        <f>VLOOKUP(E289,Diccionario!C$2:AC$150,22,0)</f>
        <v>10862267536</v>
      </c>
      <c r="M289" s="75">
        <f>VLOOKUP(E289,Diccionario!C$2:AC$150,24,0)</f>
        <v>45717</v>
      </c>
      <c r="N289" s="76">
        <f>VLOOKUP(E289,Diccionario!C$2:AC$150,25,0)</f>
        <v>46203</v>
      </c>
      <c r="O289" s="77">
        <f>VLOOKUP(E289,Diccionario!C$2:AC$150,26,0)</f>
        <v>15.97</v>
      </c>
      <c r="P289" s="77">
        <f t="shared" si="122"/>
        <v>-9.9700000000000006</v>
      </c>
      <c r="Q289" s="78">
        <v>6</v>
      </c>
      <c r="R289" s="36">
        <v>16</v>
      </c>
      <c r="S289" s="86">
        <v>0.44</v>
      </c>
      <c r="T289" s="86">
        <v>0.44</v>
      </c>
      <c r="U289" s="82">
        <v>653084711</v>
      </c>
      <c r="V289" s="82">
        <v>653084711</v>
      </c>
      <c r="W289" s="82">
        <f t="shared" si="117"/>
        <v>4779397715.8400002</v>
      </c>
      <c r="X289" s="82">
        <f t="shared" si="124"/>
        <v>4779397715.8400002</v>
      </c>
      <c r="Y289" s="82">
        <f t="shared" si="118"/>
        <v>4126313004.8400002</v>
      </c>
      <c r="Z289" s="82">
        <f t="shared" si="125"/>
        <v>0</v>
      </c>
      <c r="AA289" s="83">
        <f t="shared" si="129"/>
        <v>7.3181895630687945</v>
      </c>
      <c r="AB289" s="84" t="str">
        <f t="shared" si="126"/>
        <v>Costo eficiente: se está gastando menos de lo presupuestado</v>
      </c>
      <c r="AC289" s="84">
        <f t="shared" si="119"/>
        <v>1</v>
      </c>
      <c r="AD289" s="84" t="str">
        <f t="shared" si="127"/>
        <v>Proyecto a tiempo según lo planificado</v>
      </c>
      <c r="AE289" s="85">
        <f t="shared" si="120"/>
        <v>1484283434.090909</v>
      </c>
      <c r="AF289" s="85">
        <f t="shared" si="121"/>
        <v>-9377984101.9090919</v>
      </c>
      <c r="AG289" s="40" t="str">
        <f>VLOOKUP(Indicador!E289,Diccionario!C$1:AC$150,27,0)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89" s="40">
        <v>1</v>
      </c>
      <c r="AI289" s="40">
        <v>1</v>
      </c>
    </row>
    <row r="290" spans="1:35" ht="18.75" customHeight="1">
      <c r="A290" s="73">
        <v>2025</v>
      </c>
      <c r="B290" s="112" t="s">
        <v>28</v>
      </c>
      <c r="C290" s="36" t="s">
        <v>325</v>
      </c>
      <c r="D290" s="37">
        <v>45726.538149618056</v>
      </c>
      <c r="E290" s="36" t="s">
        <v>48</v>
      </c>
      <c r="F290" s="36" t="s">
        <v>326</v>
      </c>
      <c r="G290" s="36" t="s">
        <v>327</v>
      </c>
      <c r="H290" s="36" t="s">
        <v>328</v>
      </c>
      <c r="I290" s="36" t="s">
        <v>152</v>
      </c>
      <c r="J290" s="36" t="s">
        <v>329</v>
      </c>
      <c r="K290" s="36" t="s">
        <v>177</v>
      </c>
      <c r="L290" s="74">
        <f>VLOOKUP(E290,Diccionario!C$2:AC$150,22,0)</f>
        <v>10862267536</v>
      </c>
      <c r="M290" s="75">
        <f>VLOOKUP(E290,Diccionario!C$2:AC$150,24,0)</f>
        <v>45717</v>
      </c>
      <c r="N290" s="76">
        <f>VLOOKUP(E290,Diccionario!C$2:AC$150,25,0)</f>
        <v>46203</v>
      </c>
      <c r="O290" s="77">
        <f>VLOOKUP(E290,Diccionario!C$2:AC$150,26,0)</f>
        <v>15.97</v>
      </c>
      <c r="P290" s="77">
        <f t="shared" si="122"/>
        <v>-8.9700000000000006</v>
      </c>
      <c r="Q290" s="78">
        <v>7</v>
      </c>
      <c r="R290" s="36">
        <v>16</v>
      </c>
      <c r="S290" s="86">
        <v>0.51</v>
      </c>
      <c r="T290" s="86">
        <v>0.51</v>
      </c>
      <c r="U290" s="82">
        <v>653084711</v>
      </c>
      <c r="V290" s="82">
        <v>653084711</v>
      </c>
      <c r="W290" s="82">
        <f t="shared" si="117"/>
        <v>5539756443.3599997</v>
      </c>
      <c r="X290" s="82">
        <f t="shared" si="124"/>
        <v>5539756443.3599997</v>
      </c>
      <c r="Y290" s="82">
        <f t="shared" si="118"/>
        <v>4886671732.3599997</v>
      </c>
      <c r="Z290" s="82">
        <f t="shared" si="125"/>
        <v>0</v>
      </c>
      <c r="AA290" s="83">
        <f t="shared" si="129"/>
        <v>8.4824469935570121</v>
      </c>
      <c r="AB290" s="84" t="str">
        <f t="shared" si="126"/>
        <v>Costo eficiente: se está gastando menos de lo presupuestado</v>
      </c>
      <c r="AC290" s="84">
        <f t="shared" si="119"/>
        <v>1</v>
      </c>
      <c r="AD290" s="84" t="str">
        <f t="shared" si="127"/>
        <v>Proyecto a tiempo según lo planificado</v>
      </c>
      <c r="AE290" s="85">
        <f t="shared" si="120"/>
        <v>1280558256.862745</v>
      </c>
      <c r="AF290" s="85">
        <f t="shared" si="121"/>
        <v>-9581709279.1372547</v>
      </c>
      <c r="AG290" s="40" t="str">
        <f>VLOOKUP(Indicador!E290,Diccionario!C$1:AC$150,27,0)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0" s="40">
        <v>1</v>
      </c>
      <c r="AI290" s="40">
        <v>1</v>
      </c>
    </row>
    <row r="291" spans="1:35" ht="18.75" customHeight="1">
      <c r="A291" s="73">
        <v>2025</v>
      </c>
      <c r="B291" s="112" t="s">
        <v>30</v>
      </c>
      <c r="C291" s="36" t="s">
        <v>325</v>
      </c>
      <c r="D291" s="37">
        <v>45726.538149618056</v>
      </c>
      <c r="E291" s="36" t="s">
        <v>48</v>
      </c>
      <c r="F291" s="36" t="s">
        <v>326</v>
      </c>
      <c r="G291" s="36" t="s">
        <v>327</v>
      </c>
      <c r="H291" s="36" t="s">
        <v>328</v>
      </c>
      <c r="I291" s="36" t="s">
        <v>152</v>
      </c>
      <c r="J291" s="36" t="s">
        <v>329</v>
      </c>
      <c r="K291" s="36" t="s">
        <v>177</v>
      </c>
      <c r="L291" s="74">
        <f>VLOOKUP(E291,Diccionario!C$2:AC$150,22,0)</f>
        <v>10862267536</v>
      </c>
      <c r="M291" s="75">
        <f>VLOOKUP(E291,Diccionario!C$2:AC$150,24,0)</f>
        <v>45717</v>
      </c>
      <c r="N291" s="76">
        <f>VLOOKUP(E291,Diccionario!C$2:AC$150,25,0)</f>
        <v>46203</v>
      </c>
      <c r="O291" s="77">
        <f>VLOOKUP(E291,Diccionario!C$2:AC$150,26,0)</f>
        <v>15.97</v>
      </c>
      <c r="P291" s="77">
        <f t="shared" si="122"/>
        <v>-7.9700000000000006</v>
      </c>
      <c r="Q291" s="78">
        <v>8</v>
      </c>
      <c r="R291" s="36">
        <v>16</v>
      </c>
      <c r="S291" s="86">
        <v>0.57999999999999996</v>
      </c>
      <c r="T291" s="86">
        <v>0.57999999999999996</v>
      </c>
      <c r="U291" s="82">
        <v>653084711</v>
      </c>
      <c r="V291" s="82">
        <v>653084711</v>
      </c>
      <c r="W291" s="82">
        <f t="shared" si="117"/>
        <v>6300115170.8799992</v>
      </c>
      <c r="X291" s="82">
        <f t="shared" si="124"/>
        <v>6300115170.8799992</v>
      </c>
      <c r="Y291" s="82">
        <f t="shared" si="118"/>
        <v>5647030459.8799992</v>
      </c>
      <c r="Z291" s="82">
        <f t="shared" si="125"/>
        <v>0</v>
      </c>
      <c r="AA291" s="83">
        <f t="shared" si="129"/>
        <v>9.6467044240452271</v>
      </c>
      <c r="AB291" s="84" t="str">
        <f t="shared" si="126"/>
        <v>Costo eficiente: se está gastando menos de lo presupuestado</v>
      </c>
      <c r="AC291" s="84">
        <f t="shared" si="119"/>
        <v>1</v>
      </c>
      <c r="AD291" s="84" t="str">
        <f t="shared" si="127"/>
        <v>Proyecto a tiempo según lo planificado</v>
      </c>
      <c r="AE291" s="85">
        <f t="shared" si="120"/>
        <v>1126008122.4137933</v>
      </c>
      <c r="AF291" s="85">
        <f t="shared" si="121"/>
        <v>-9736259413.5862064</v>
      </c>
      <c r="AG291" s="40" t="str">
        <f>VLOOKUP(Indicador!E291,Diccionario!C$1:AC$150,27,0)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1" s="40">
        <v>1</v>
      </c>
      <c r="AI291" s="40">
        <v>1</v>
      </c>
    </row>
    <row r="292" spans="1:35" ht="18.75" customHeight="1">
      <c r="A292" s="73">
        <v>2025</v>
      </c>
      <c r="B292" s="112" t="s">
        <v>31</v>
      </c>
      <c r="C292" s="36" t="s">
        <v>325</v>
      </c>
      <c r="D292" s="37">
        <v>45726.538149618056</v>
      </c>
      <c r="E292" s="36" t="s">
        <v>48</v>
      </c>
      <c r="F292" s="36" t="s">
        <v>326</v>
      </c>
      <c r="G292" s="36" t="s">
        <v>327</v>
      </c>
      <c r="H292" s="36" t="s">
        <v>328</v>
      </c>
      <c r="I292" s="36" t="s">
        <v>152</v>
      </c>
      <c r="J292" s="36" t="s">
        <v>329</v>
      </c>
      <c r="K292" s="36" t="s">
        <v>177</v>
      </c>
      <c r="L292" s="74">
        <f>VLOOKUP(E292,Diccionario!C$2:AC$150,22,0)</f>
        <v>10862267536</v>
      </c>
      <c r="M292" s="75">
        <f>VLOOKUP(E292,Diccionario!C$2:AC$150,24,0)</f>
        <v>45717</v>
      </c>
      <c r="N292" s="76">
        <f>VLOOKUP(E292,Diccionario!C$2:AC$150,25,0)</f>
        <v>46203</v>
      </c>
      <c r="O292" s="77">
        <f>VLOOKUP(E292,Diccionario!C$2:AC$150,26,0)</f>
        <v>15.97</v>
      </c>
      <c r="P292" s="77">
        <f t="shared" si="122"/>
        <v>-6.9700000000000006</v>
      </c>
      <c r="Q292" s="78">
        <v>9</v>
      </c>
      <c r="R292" s="36">
        <v>16</v>
      </c>
      <c r="S292" s="86">
        <v>0.65</v>
      </c>
      <c r="T292" s="86">
        <v>0.65</v>
      </c>
      <c r="U292" s="82">
        <v>653084711</v>
      </c>
      <c r="V292" s="82">
        <v>653084711</v>
      </c>
      <c r="W292" s="82">
        <f t="shared" si="117"/>
        <v>7060473898.4000006</v>
      </c>
      <c r="X292" s="82">
        <f t="shared" si="124"/>
        <v>7060473898.4000006</v>
      </c>
      <c r="Y292" s="82">
        <f t="shared" si="118"/>
        <v>6407389187.4000006</v>
      </c>
      <c r="Z292" s="82">
        <f t="shared" si="125"/>
        <v>0</v>
      </c>
      <c r="AA292" s="83">
        <f t="shared" si="129"/>
        <v>10.810961854533447</v>
      </c>
      <c r="AB292" s="84" t="str">
        <f t="shared" si="126"/>
        <v>Costo eficiente: se está gastando menos de lo presupuestado</v>
      </c>
      <c r="AC292" s="84">
        <f t="shared" si="119"/>
        <v>1</v>
      </c>
      <c r="AD292" s="84" t="str">
        <f t="shared" si="127"/>
        <v>Proyecto a tiempo según lo planificado</v>
      </c>
      <c r="AE292" s="85">
        <f t="shared" si="120"/>
        <v>1004745709.2307692</v>
      </c>
      <c r="AF292" s="85">
        <f t="shared" si="121"/>
        <v>-9857521826.7692299</v>
      </c>
      <c r="AG292" s="40" t="str">
        <f>VLOOKUP(Indicador!E292,Diccionario!C$1:AC$150,27,0)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2" s="40">
        <v>1</v>
      </c>
      <c r="AI292" s="40">
        <v>1</v>
      </c>
    </row>
    <row r="293" spans="1:35" ht="18.75" customHeight="1">
      <c r="A293" s="73">
        <v>2025</v>
      </c>
      <c r="B293" s="112" t="s">
        <v>32</v>
      </c>
      <c r="C293" s="36" t="s">
        <v>325</v>
      </c>
      <c r="D293" s="37">
        <v>45726.538149618056</v>
      </c>
      <c r="E293" s="36" t="s">
        <v>48</v>
      </c>
      <c r="F293" s="36" t="s">
        <v>326</v>
      </c>
      <c r="G293" s="36" t="s">
        <v>327</v>
      </c>
      <c r="H293" s="36" t="s">
        <v>328</v>
      </c>
      <c r="I293" s="36" t="s">
        <v>152</v>
      </c>
      <c r="J293" s="36" t="s">
        <v>329</v>
      </c>
      <c r="K293" s="36" t="s">
        <v>177</v>
      </c>
      <c r="L293" s="74">
        <f>VLOOKUP(E293,Diccionario!C$2:AC$150,22,0)</f>
        <v>10862267536</v>
      </c>
      <c r="M293" s="75">
        <f>VLOOKUP(E293,Diccionario!C$2:AC$150,24,0)</f>
        <v>45717</v>
      </c>
      <c r="N293" s="76">
        <f>VLOOKUP(E293,Diccionario!C$2:AC$150,25,0)</f>
        <v>46203</v>
      </c>
      <c r="O293" s="77">
        <f>VLOOKUP(E293,Diccionario!C$2:AC$150,26,0)</f>
        <v>15.97</v>
      </c>
      <c r="P293" s="77">
        <f t="shared" si="122"/>
        <v>-5.9700000000000006</v>
      </c>
      <c r="Q293" s="78">
        <v>10</v>
      </c>
      <c r="R293" s="36">
        <v>16</v>
      </c>
      <c r="S293" s="86">
        <v>0.75</v>
      </c>
      <c r="T293" s="86">
        <v>0.75</v>
      </c>
      <c r="U293" s="82">
        <v>670884711</v>
      </c>
      <c r="V293" s="82">
        <v>670884711</v>
      </c>
      <c r="W293" s="82">
        <f t="shared" si="117"/>
        <v>8146700652</v>
      </c>
      <c r="X293" s="82">
        <f t="shared" si="124"/>
        <v>8146700652</v>
      </c>
      <c r="Y293" s="82">
        <f t="shared" si="118"/>
        <v>7475815941</v>
      </c>
      <c r="Z293" s="82">
        <f t="shared" si="125"/>
        <v>0</v>
      </c>
      <c r="AA293" s="83">
        <f t="shared" si="129"/>
        <v>12.143220017425618</v>
      </c>
      <c r="AB293" s="84" t="str">
        <f t="shared" si="126"/>
        <v>Costo eficiente: se está gastando menos de lo presupuestado</v>
      </c>
      <c r="AC293" s="84">
        <f t="shared" si="119"/>
        <v>1</v>
      </c>
      <c r="AD293" s="84" t="str">
        <f t="shared" si="127"/>
        <v>Proyecto a tiempo según lo planificado</v>
      </c>
      <c r="AE293" s="85">
        <f t="shared" si="120"/>
        <v>894512948</v>
      </c>
      <c r="AF293" s="85">
        <f t="shared" si="121"/>
        <v>-9967754588</v>
      </c>
      <c r="AG293" s="40" t="str">
        <f>VLOOKUP(Indicador!E293,Diccionario!C$1:AC$150,27,0)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3" s="40">
        <v>1</v>
      </c>
      <c r="AI293" s="40">
        <v>1</v>
      </c>
    </row>
    <row r="294" spans="1:35" ht="18.75" customHeight="1">
      <c r="A294" s="73">
        <v>2026</v>
      </c>
      <c r="B294" s="112" t="s">
        <v>14</v>
      </c>
      <c r="C294" s="36" t="s">
        <v>325</v>
      </c>
      <c r="D294" s="37">
        <v>45726.538149618056</v>
      </c>
      <c r="E294" s="36" t="s">
        <v>48</v>
      </c>
      <c r="F294" s="36" t="s">
        <v>326</v>
      </c>
      <c r="G294" s="36" t="s">
        <v>327</v>
      </c>
      <c r="H294" s="36" t="s">
        <v>328</v>
      </c>
      <c r="I294" s="36" t="s">
        <v>152</v>
      </c>
      <c r="J294" s="36" t="s">
        <v>329</v>
      </c>
      <c r="K294" s="36" t="s">
        <v>177</v>
      </c>
      <c r="L294" s="74">
        <f>VLOOKUP(E294,Diccionario!C$2:AC$150,22,0)</f>
        <v>10862267536</v>
      </c>
      <c r="M294" s="75">
        <f>VLOOKUP(E294,Diccionario!C$2:AC$150,24,0)</f>
        <v>45717</v>
      </c>
      <c r="N294" s="76">
        <f>VLOOKUP(E294,Diccionario!C$2:AC$150,25,0)</f>
        <v>46203</v>
      </c>
      <c r="O294" s="77">
        <f>VLOOKUP(E294,Diccionario!C$2:AC$150,26,0)</f>
        <v>15.97</v>
      </c>
      <c r="P294" s="77">
        <f t="shared" ref="P294:P354" si="131">Q294-O294</f>
        <v>-4.9700000000000006</v>
      </c>
      <c r="Q294" s="78">
        <v>11</v>
      </c>
      <c r="R294" s="36">
        <v>16</v>
      </c>
      <c r="S294" s="86">
        <v>0.8</v>
      </c>
      <c r="T294" s="86">
        <v>0.8</v>
      </c>
      <c r="U294" s="82">
        <f>406813687+563675829</f>
        <v>970489516</v>
      </c>
      <c r="V294" s="82">
        <f>406813687+563675829</f>
        <v>970489516</v>
      </c>
      <c r="W294" s="82">
        <f t="shared" si="117"/>
        <v>8689814028.8000011</v>
      </c>
      <c r="X294" s="82">
        <f t="shared" si="124"/>
        <v>8689814028.8000011</v>
      </c>
      <c r="Y294" s="82">
        <f t="shared" si="118"/>
        <v>7719324512.8000011</v>
      </c>
      <c r="Z294" s="82">
        <f t="shared" si="125"/>
        <v>0</v>
      </c>
      <c r="AA294" s="83">
        <f t="shared" si="129"/>
        <v>8.9540524503718615</v>
      </c>
      <c r="AB294" s="84" t="str">
        <f t="shared" si="126"/>
        <v>Costo eficiente: se está gastando menos de lo presupuestado</v>
      </c>
      <c r="AC294" s="84">
        <f t="shared" si="119"/>
        <v>1</v>
      </c>
      <c r="AD294" s="84" t="str">
        <f t="shared" si="127"/>
        <v>Proyecto a tiempo según lo planificado</v>
      </c>
      <c r="AE294" s="85">
        <f t="shared" si="120"/>
        <v>1213111894.9999998</v>
      </c>
      <c r="AF294" s="85">
        <f t="shared" si="121"/>
        <v>-9649155641</v>
      </c>
      <c r="AG294" s="40" t="str">
        <f>VLOOKUP(Indicador!E294,Diccionario!C$1:AC$150,27,0)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4" s="40">
        <v>1</v>
      </c>
      <c r="AI294" s="40">
        <v>1</v>
      </c>
    </row>
    <row r="295" spans="1:35" ht="18.75" customHeight="1">
      <c r="A295" s="73">
        <v>2026</v>
      </c>
      <c r="B295" s="112" t="s">
        <v>22</v>
      </c>
      <c r="C295" s="36" t="s">
        <v>325</v>
      </c>
      <c r="D295" s="37">
        <v>45726.538149618056</v>
      </c>
      <c r="E295" s="36" t="s">
        <v>48</v>
      </c>
      <c r="F295" s="36" t="s">
        <v>326</v>
      </c>
      <c r="G295" s="36" t="s">
        <v>327</v>
      </c>
      <c r="H295" s="36" t="s">
        <v>328</v>
      </c>
      <c r="I295" s="36" t="s">
        <v>152</v>
      </c>
      <c r="J295" s="36" t="s">
        <v>329</v>
      </c>
      <c r="K295" s="36" t="s">
        <v>177</v>
      </c>
      <c r="L295" s="74">
        <f>VLOOKUP(E295,Diccionario!C$2:AC$150,22,0)</f>
        <v>10862267536</v>
      </c>
      <c r="M295" s="75">
        <f>VLOOKUP(E295,Diccionario!C$2:AC$150,24,0)</f>
        <v>45717</v>
      </c>
      <c r="N295" s="76">
        <f>VLOOKUP(E295,Diccionario!C$2:AC$150,25,0)</f>
        <v>46203</v>
      </c>
      <c r="O295" s="77">
        <f>VLOOKUP(E295,Diccionario!C$2:AC$150,26,0)</f>
        <v>15.97</v>
      </c>
      <c r="P295" s="77">
        <f t="shared" si="131"/>
        <v>-3.9700000000000006</v>
      </c>
      <c r="Q295" s="78">
        <v>12</v>
      </c>
      <c r="R295" s="36">
        <v>16</v>
      </c>
      <c r="S295" s="86">
        <v>0.85</v>
      </c>
      <c r="T295" s="86">
        <v>0.85</v>
      </c>
      <c r="U295" s="82"/>
      <c r="V295" s="82"/>
      <c r="W295" s="82">
        <f t="shared" si="117"/>
        <v>9232927405.6000004</v>
      </c>
      <c r="X295" s="82">
        <f t="shared" si="124"/>
        <v>9232927405.6000004</v>
      </c>
      <c r="Y295" s="82">
        <f t="shared" si="118"/>
        <v>9232927405.6000004</v>
      </c>
      <c r="Z295" s="82">
        <f t="shared" si="125"/>
        <v>0</v>
      </c>
      <c r="AA295" s="83" t="str">
        <f t="shared" si="129"/>
        <v>No se realizó gasto en este corte</v>
      </c>
      <c r="AB295" s="84" t="str">
        <f t="shared" si="126"/>
        <v>Costo eficiente: se está gastando menos de lo presupuestado</v>
      </c>
      <c r="AC295" s="84">
        <f t="shared" si="119"/>
        <v>1</v>
      </c>
      <c r="AD295" s="84" t="str">
        <f t="shared" si="127"/>
        <v>Proyecto a tiempo según lo planificado</v>
      </c>
      <c r="AE295" s="85">
        <f t="shared" si="120"/>
        <v>0</v>
      </c>
      <c r="AF295" s="85">
        <f t="shared" si="121"/>
        <v>-10862267536</v>
      </c>
      <c r="AG295" s="40" t="str">
        <f>VLOOKUP(Indicador!E295,Diccionario!C$1:AC$150,27,0)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5" s="40">
        <v>1</v>
      </c>
      <c r="AI295" s="40">
        <v>1</v>
      </c>
    </row>
    <row r="296" spans="1:35" ht="18.75" customHeight="1">
      <c r="A296" s="73">
        <v>2026</v>
      </c>
      <c r="B296" s="112" t="s">
        <v>24</v>
      </c>
      <c r="C296" s="36" t="s">
        <v>325</v>
      </c>
      <c r="D296" s="37">
        <v>45726.538149618056</v>
      </c>
      <c r="E296" s="36" t="s">
        <v>48</v>
      </c>
      <c r="F296" s="36" t="s">
        <v>326</v>
      </c>
      <c r="G296" s="36" t="s">
        <v>327</v>
      </c>
      <c r="H296" s="36" t="s">
        <v>328</v>
      </c>
      <c r="I296" s="36" t="s">
        <v>152</v>
      </c>
      <c r="J296" s="36" t="s">
        <v>329</v>
      </c>
      <c r="K296" s="36" t="s">
        <v>177</v>
      </c>
      <c r="L296" s="74">
        <f>VLOOKUP(E296,Diccionario!C$2:AC$150,22,0)</f>
        <v>10862267536</v>
      </c>
      <c r="M296" s="75">
        <f>VLOOKUP(E296,Diccionario!C$2:AC$150,24,0)</f>
        <v>45717</v>
      </c>
      <c r="N296" s="76">
        <f>VLOOKUP(E296,Diccionario!C$2:AC$150,25,0)</f>
        <v>46203</v>
      </c>
      <c r="O296" s="77">
        <f>VLOOKUP(E296,Diccionario!C$2:AC$150,26,0)</f>
        <v>15.97</v>
      </c>
      <c r="P296" s="77">
        <f t="shared" si="131"/>
        <v>-2.9700000000000006</v>
      </c>
      <c r="Q296" s="78">
        <v>13</v>
      </c>
      <c r="R296" s="36">
        <v>16</v>
      </c>
      <c r="S296" s="86">
        <v>0.87</v>
      </c>
      <c r="T296" s="86">
        <v>0.87</v>
      </c>
      <c r="U296" s="82"/>
      <c r="V296" s="82"/>
      <c r="W296" s="82">
        <f t="shared" si="117"/>
        <v>9450172756.3199997</v>
      </c>
      <c r="X296" s="82">
        <f t="shared" si="124"/>
        <v>9450172756.3199997</v>
      </c>
      <c r="Y296" s="82">
        <f t="shared" si="118"/>
        <v>9450172756.3199997</v>
      </c>
      <c r="Z296" s="82">
        <f t="shared" si="125"/>
        <v>0</v>
      </c>
      <c r="AA296" s="83" t="str">
        <f t="shared" si="129"/>
        <v>No se realizó gasto en este corte</v>
      </c>
      <c r="AB296" s="84" t="str">
        <f t="shared" si="126"/>
        <v>Costo eficiente: se está gastando menos de lo presupuestado</v>
      </c>
      <c r="AC296" s="84">
        <f t="shared" si="119"/>
        <v>1</v>
      </c>
      <c r="AD296" s="84" t="str">
        <f t="shared" si="127"/>
        <v>Proyecto a tiempo según lo planificado</v>
      </c>
      <c r="AE296" s="85">
        <f t="shared" si="120"/>
        <v>0</v>
      </c>
      <c r="AF296" s="85">
        <f t="shared" si="121"/>
        <v>-10862267536</v>
      </c>
      <c r="AG296" s="40" t="str">
        <f>VLOOKUP(Indicador!E296,Diccionario!C$1:AC$150,27,0)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6" s="40">
        <v>1</v>
      </c>
      <c r="AI296" s="40">
        <v>1</v>
      </c>
    </row>
    <row r="297" spans="1:35" ht="18.75" customHeight="1">
      <c r="A297" s="73">
        <v>2026</v>
      </c>
      <c r="B297" s="112" t="s">
        <v>27</v>
      </c>
      <c r="C297" s="36" t="s">
        <v>325</v>
      </c>
      <c r="D297" s="37">
        <v>45726.538149618056</v>
      </c>
      <c r="E297" s="36" t="s">
        <v>48</v>
      </c>
      <c r="F297" s="36" t="s">
        <v>326</v>
      </c>
      <c r="G297" s="36" t="s">
        <v>327</v>
      </c>
      <c r="H297" s="36" t="s">
        <v>328</v>
      </c>
      <c r="I297" s="36" t="s">
        <v>152</v>
      </c>
      <c r="J297" s="36" t="s">
        <v>329</v>
      </c>
      <c r="K297" s="36" t="s">
        <v>177</v>
      </c>
      <c r="L297" s="74">
        <f>VLOOKUP(E297,Diccionario!C$2:AC$150,22,0)</f>
        <v>10862267536</v>
      </c>
      <c r="M297" s="75">
        <f>VLOOKUP(E297,Diccionario!C$2:AC$150,24,0)</f>
        <v>45717</v>
      </c>
      <c r="N297" s="76">
        <f>VLOOKUP(E297,Diccionario!C$2:AC$150,25,0)</f>
        <v>46203</v>
      </c>
      <c r="O297" s="77">
        <f>VLOOKUP(E297,Diccionario!C$2:AC$150,26,0)</f>
        <v>15.97</v>
      </c>
      <c r="P297" s="77">
        <f t="shared" si="131"/>
        <v>-1.9700000000000006</v>
      </c>
      <c r="Q297" s="78">
        <v>14</v>
      </c>
      <c r="R297" s="36">
        <v>16</v>
      </c>
      <c r="S297" s="86">
        <v>0.9</v>
      </c>
      <c r="T297" s="86">
        <v>0.9</v>
      </c>
      <c r="U297" s="82"/>
      <c r="V297" s="82"/>
      <c r="W297" s="82">
        <f t="shared" si="117"/>
        <v>9776040782.3999996</v>
      </c>
      <c r="X297" s="82">
        <f t="shared" si="124"/>
        <v>9776040782.3999996</v>
      </c>
      <c r="Y297" s="82">
        <f t="shared" si="118"/>
        <v>9776040782.3999996</v>
      </c>
      <c r="Z297" s="82">
        <f t="shared" si="125"/>
        <v>0</v>
      </c>
      <c r="AA297" s="83" t="str">
        <f t="shared" si="129"/>
        <v>No se realizó gasto en este corte</v>
      </c>
      <c r="AB297" s="84" t="str">
        <f t="shared" si="126"/>
        <v>Costo eficiente: se está gastando menos de lo presupuestado</v>
      </c>
      <c r="AC297" s="84">
        <f t="shared" si="119"/>
        <v>1</v>
      </c>
      <c r="AD297" s="84" t="str">
        <f t="shared" si="127"/>
        <v>Proyecto a tiempo según lo planificado</v>
      </c>
      <c r="AE297" s="85">
        <f t="shared" si="120"/>
        <v>0</v>
      </c>
      <c r="AF297" s="85">
        <f t="shared" si="121"/>
        <v>-10862267536</v>
      </c>
      <c r="AG297" s="40" t="str">
        <f>VLOOKUP(Indicador!E297,Diccionario!C$1:AC$150,27,0)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7" s="40">
        <v>1</v>
      </c>
      <c r="AI297" s="40">
        <v>1</v>
      </c>
    </row>
    <row r="298" spans="1:35" ht="18.75" customHeight="1">
      <c r="A298" s="73">
        <v>2026</v>
      </c>
      <c r="B298" s="112" t="s">
        <v>13</v>
      </c>
      <c r="C298" s="36" t="s">
        <v>325</v>
      </c>
      <c r="D298" s="37">
        <v>45726.538149618056</v>
      </c>
      <c r="E298" s="36" t="s">
        <v>48</v>
      </c>
      <c r="F298" s="36" t="s">
        <v>326</v>
      </c>
      <c r="G298" s="36" t="s">
        <v>327</v>
      </c>
      <c r="H298" s="36" t="s">
        <v>328</v>
      </c>
      <c r="I298" s="36" t="s">
        <v>152</v>
      </c>
      <c r="J298" s="36" t="s">
        <v>329</v>
      </c>
      <c r="K298" s="36" t="s">
        <v>177</v>
      </c>
      <c r="L298" s="74">
        <f>VLOOKUP(E298,Diccionario!C$2:AC$150,22,0)</f>
        <v>10862267536</v>
      </c>
      <c r="M298" s="75">
        <f>VLOOKUP(E298,Diccionario!C$2:AC$150,24,0)</f>
        <v>45717</v>
      </c>
      <c r="N298" s="76">
        <f>VLOOKUP(E298,Diccionario!C$2:AC$150,25,0)</f>
        <v>46203</v>
      </c>
      <c r="O298" s="77">
        <f>VLOOKUP(E298,Diccionario!C$2:AC$150,26,0)</f>
        <v>15.97</v>
      </c>
      <c r="P298" s="77">
        <f t="shared" si="131"/>
        <v>-0.97000000000000064</v>
      </c>
      <c r="Q298" s="78">
        <v>15</v>
      </c>
      <c r="R298" s="36">
        <v>16</v>
      </c>
      <c r="S298" s="86">
        <v>0.92</v>
      </c>
      <c r="T298" s="86">
        <v>0.92</v>
      </c>
      <c r="U298" s="82"/>
      <c r="V298" s="82"/>
      <c r="W298" s="82">
        <f t="shared" si="117"/>
        <v>9993286133.1200008</v>
      </c>
      <c r="X298" s="82">
        <f t="shared" si="124"/>
        <v>9993286133.1200008</v>
      </c>
      <c r="Y298" s="82">
        <f t="shared" si="118"/>
        <v>9993286133.1200008</v>
      </c>
      <c r="Z298" s="82">
        <f t="shared" si="125"/>
        <v>0</v>
      </c>
      <c r="AA298" s="83" t="str">
        <f t="shared" si="129"/>
        <v>No se realizó gasto en este corte</v>
      </c>
      <c r="AB298" s="84" t="str">
        <f t="shared" si="126"/>
        <v>Costo eficiente: se está gastando menos de lo presupuestado</v>
      </c>
      <c r="AC298" s="84">
        <f t="shared" si="119"/>
        <v>1</v>
      </c>
      <c r="AD298" s="84" t="str">
        <f t="shared" si="127"/>
        <v>Proyecto a tiempo según lo planificado</v>
      </c>
      <c r="AE298" s="85">
        <f t="shared" si="120"/>
        <v>0</v>
      </c>
      <c r="AF298" s="85">
        <f t="shared" si="121"/>
        <v>-10862267536</v>
      </c>
      <c r="AG298" s="40" t="str">
        <f>VLOOKUP(Indicador!E298,Diccionario!C$1:AC$150,27,0)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8" s="40">
        <v>1</v>
      </c>
      <c r="AI298" s="40">
        <v>1</v>
      </c>
    </row>
    <row r="299" spans="1:35" ht="18.75" customHeight="1">
      <c r="A299" s="73">
        <v>2026</v>
      </c>
      <c r="B299" s="112" t="s">
        <v>21</v>
      </c>
      <c r="C299" s="36" t="s">
        <v>325</v>
      </c>
      <c r="D299" s="37">
        <v>45726.538149618056</v>
      </c>
      <c r="E299" s="36" t="s">
        <v>48</v>
      </c>
      <c r="F299" s="36" t="s">
        <v>326</v>
      </c>
      <c r="G299" s="36" t="s">
        <v>327</v>
      </c>
      <c r="H299" s="36" t="s">
        <v>328</v>
      </c>
      <c r="I299" s="36" t="s">
        <v>152</v>
      </c>
      <c r="J299" s="36" t="s">
        <v>329</v>
      </c>
      <c r="K299" s="36" t="s">
        <v>177</v>
      </c>
      <c r="L299" s="74">
        <f>VLOOKUP(E299,Diccionario!C$2:AC$150,22,0)</f>
        <v>10862267536</v>
      </c>
      <c r="M299" s="75">
        <f>VLOOKUP(E299,Diccionario!C$2:AC$150,24,0)</f>
        <v>45717</v>
      </c>
      <c r="N299" s="76">
        <f>VLOOKUP(E299,Diccionario!C$2:AC$150,25,0)</f>
        <v>46203</v>
      </c>
      <c r="O299" s="77">
        <f>VLOOKUP(E299,Diccionario!C$2:AC$150,26,0)</f>
        <v>15.97</v>
      </c>
      <c r="P299" s="77">
        <f t="shared" si="131"/>
        <v>2.9999999999999361E-2</v>
      </c>
      <c r="Q299" s="78">
        <v>16</v>
      </c>
      <c r="R299" s="36">
        <v>16</v>
      </c>
      <c r="S299" s="86">
        <v>1</v>
      </c>
      <c r="T299" s="86">
        <v>1</v>
      </c>
      <c r="U299" s="82"/>
      <c r="V299" s="82"/>
      <c r="W299" s="82">
        <f t="shared" si="117"/>
        <v>10862267536</v>
      </c>
      <c r="X299" s="82">
        <f t="shared" ref="X299:X359" si="132">S299*L299</f>
        <v>10862267536</v>
      </c>
      <c r="Y299" s="82">
        <f t="shared" si="118"/>
        <v>10862267536</v>
      </c>
      <c r="Z299" s="82">
        <f t="shared" ref="Z299:Z359" si="133">W299-X299</f>
        <v>0</v>
      </c>
      <c r="AA299" s="83" t="str">
        <f t="shared" si="129"/>
        <v>No se realizó gasto en este corte</v>
      </c>
      <c r="AB299" s="84" t="str">
        <f t="shared" ref="AB299:AB359" si="134">IFERROR(
  IF(OR(AA299="",AA299=0),
    "No calculado",
    IF(AA299&gt;1,"Costo eficiente: se está gastando menos de lo presupuestado",
      IF(AA299=1,"Costo según lo presupuestado",
        "Costo ineficiente: se está gastando más de lo presupuestado"))),
"No calculado")</f>
        <v>Costo eficiente: se está gastando menos de lo presupuestado</v>
      </c>
      <c r="AC299" s="84">
        <f t="shared" si="119"/>
        <v>1</v>
      </c>
      <c r="AD299" s="84" t="str">
        <f t="shared" ref="AD299:AD359" si="135">IF(OR(AC299="",AC299=0),"Sin Línea Base",
IF(AC299&gt;1,"Proyecto adelantado respecto al cronograma",
IF(AC299=1,"Proyecto a tiempo según lo planificado",
IF(AC299&lt;1,"Proyecto atrasado con respecto al cronograma",
"No calculado"))))</f>
        <v>Proyecto a tiempo según lo planificado</v>
      </c>
      <c r="AE299" s="85">
        <f t="shared" si="120"/>
        <v>0</v>
      </c>
      <c r="AF299" s="85">
        <f t="shared" si="121"/>
        <v>-10862267536</v>
      </c>
      <c r="AG299" s="40" t="str">
        <f>VLOOKUP(Indicador!E299,Diccionario!C$1:AC$150,27,0)</f>
        <v>https://growdatasas.sharepoint.com/:x:/r/sites/Gestiondocumental/Administrativa/GD/Financiera/_layouts/15/Doc.aspx?sourcedoc=%7BCE42BF27-1737-44F1-916A-DC83C8242696%7D&amp;file=20260122%20MODELO%20FINANCIERO%20REFERENCIA%20V7.6%20(adici%C3%B3n%202).xlsm&amp;action=default&amp;mobileredirect=true</v>
      </c>
      <c r="AH299" s="40">
        <v>1</v>
      </c>
      <c r="AI299" s="40">
        <v>1</v>
      </c>
    </row>
    <row r="300" spans="1:35" ht="18.75" customHeight="1">
      <c r="A300" s="73">
        <v>2025</v>
      </c>
      <c r="B300" s="112" t="s">
        <v>24</v>
      </c>
      <c r="C300" s="36" t="s">
        <v>330</v>
      </c>
      <c r="D300" s="37">
        <v>45747.049514548613</v>
      </c>
      <c r="E300" s="36" t="s">
        <v>51</v>
      </c>
      <c r="F300" s="36" t="s">
        <v>331</v>
      </c>
      <c r="G300" s="36" t="s">
        <v>332</v>
      </c>
      <c r="H300" s="36" t="s">
        <v>333</v>
      </c>
      <c r="I300" s="36" t="s">
        <v>152</v>
      </c>
      <c r="J300" s="36" t="s">
        <v>334</v>
      </c>
      <c r="K300" s="36" t="s">
        <v>177</v>
      </c>
      <c r="L300" s="74">
        <f>VLOOKUP(E300,Diccionario!C$2:AC$150,22,0)</f>
        <v>7578354145</v>
      </c>
      <c r="M300" s="75">
        <f>VLOOKUP(E300,Diccionario!C$2:AC$150,24,0)</f>
        <v>45734</v>
      </c>
      <c r="N300" s="76">
        <f>VLOOKUP(E300,Diccionario!C$2:AC$150,25,0)</f>
        <v>46234</v>
      </c>
      <c r="O300" s="77">
        <f>VLOOKUP(E300,Diccionario!C$2:AC$150,26,0)</f>
        <v>16.43</v>
      </c>
      <c r="P300" s="77">
        <f t="shared" ca="1" si="131"/>
        <v>-1.4299999999999997</v>
      </c>
      <c r="Q300" s="78">
        <f t="shared" ref="Q300:Q327" ca="1" si="136">DATEDIF(M300,TODAY(),"m")</f>
        <v>15</v>
      </c>
      <c r="R300" s="36">
        <v>16</v>
      </c>
      <c r="S300" s="86">
        <v>0.15</v>
      </c>
      <c r="T300" s="86">
        <v>0.15</v>
      </c>
      <c r="U300" s="82">
        <v>162422393</v>
      </c>
      <c r="V300" s="82">
        <v>162422393</v>
      </c>
      <c r="W300" s="82">
        <f t="shared" si="117"/>
        <v>1136753121.75</v>
      </c>
      <c r="X300" s="82">
        <f t="shared" si="132"/>
        <v>1136753121.75</v>
      </c>
      <c r="Y300" s="82">
        <f t="shared" si="118"/>
        <v>974330728.75</v>
      </c>
      <c r="Z300" s="82">
        <f t="shared" si="133"/>
        <v>0</v>
      </c>
      <c r="AA300" s="83">
        <f t="shared" si="129"/>
        <v>6.998746298178232</v>
      </c>
      <c r="AB300" s="84" t="str">
        <f t="shared" si="134"/>
        <v>Costo eficiente: se está gastando menos de lo presupuestado</v>
      </c>
      <c r="AC300" s="84">
        <f t="shared" si="119"/>
        <v>1</v>
      </c>
      <c r="AD300" s="84" t="str">
        <f t="shared" si="135"/>
        <v>Proyecto a tiempo según lo planificado</v>
      </c>
      <c r="AE300" s="85">
        <f t="shared" si="120"/>
        <v>1082815953.3333333</v>
      </c>
      <c r="AF300" s="85">
        <f t="shared" si="121"/>
        <v>-6495538191.666667</v>
      </c>
      <c r="AG300" s="40" t="str">
        <f>VLOOKUP(Indicador!E300,Diccionario!C$1:AC$150,27,0)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0" s="40">
        <v>1</v>
      </c>
      <c r="AI300" s="40">
        <v>1</v>
      </c>
    </row>
    <row r="301" spans="1:35" ht="18.75" customHeight="1">
      <c r="A301" s="73">
        <v>2025</v>
      </c>
      <c r="B301" s="112" t="s">
        <v>27</v>
      </c>
      <c r="C301" s="36" t="s">
        <v>330</v>
      </c>
      <c r="D301" s="37">
        <v>45747.049514548613</v>
      </c>
      <c r="E301" s="36" t="s">
        <v>51</v>
      </c>
      <c r="F301" s="36" t="s">
        <v>331</v>
      </c>
      <c r="G301" s="36" t="s">
        <v>332</v>
      </c>
      <c r="H301" s="36" t="s">
        <v>333</v>
      </c>
      <c r="I301" s="36" t="s">
        <v>152</v>
      </c>
      <c r="J301" s="36" t="s">
        <v>334</v>
      </c>
      <c r="K301" s="36" t="s">
        <v>177</v>
      </c>
      <c r="L301" s="74">
        <f>VLOOKUP(E301,Diccionario!C$2:AC$150,22,0)</f>
        <v>7578354145</v>
      </c>
      <c r="M301" s="75">
        <f>VLOOKUP(E301,Diccionario!C$2:AC$150,24,0)</f>
        <v>45734</v>
      </c>
      <c r="N301" s="76">
        <f>VLOOKUP(E301,Diccionario!C$2:AC$150,25,0)</f>
        <v>46234</v>
      </c>
      <c r="O301" s="77">
        <f>VLOOKUP(E301,Diccionario!C$2:AC$150,26,0)</f>
        <v>16.43</v>
      </c>
      <c r="P301" s="77">
        <f t="shared" ca="1" si="131"/>
        <v>-1.4299999999999997</v>
      </c>
      <c r="Q301" s="78">
        <f t="shared" ca="1" si="136"/>
        <v>15</v>
      </c>
      <c r="R301" s="36">
        <v>16</v>
      </c>
      <c r="S301" s="86">
        <v>0.2</v>
      </c>
      <c r="T301" s="86">
        <v>0.2</v>
      </c>
      <c r="U301" s="82">
        <v>932894347</v>
      </c>
      <c r="V301" s="82">
        <v>932894347</v>
      </c>
      <c r="W301" s="82">
        <f t="shared" si="117"/>
        <v>1515670829</v>
      </c>
      <c r="X301" s="82">
        <f t="shared" si="132"/>
        <v>1515670829</v>
      </c>
      <c r="Y301" s="82">
        <f t="shared" si="118"/>
        <v>582776482</v>
      </c>
      <c r="Z301" s="82">
        <f t="shared" si="133"/>
        <v>0</v>
      </c>
      <c r="AA301" s="83">
        <f t="shared" si="129"/>
        <v>1.6246971952119675</v>
      </c>
      <c r="AB301" s="84" t="str">
        <f t="shared" si="134"/>
        <v>Costo eficiente: se está gastando menos de lo presupuestado</v>
      </c>
      <c r="AC301" s="84">
        <f t="shared" si="119"/>
        <v>1</v>
      </c>
      <c r="AD301" s="84" t="str">
        <f t="shared" si="135"/>
        <v>Proyecto a tiempo según lo planificado</v>
      </c>
      <c r="AE301" s="85">
        <f t="shared" si="120"/>
        <v>4664471735</v>
      </c>
      <c r="AF301" s="85">
        <f t="shared" si="121"/>
        <v>-2913882410</v>
      </c>
      <c r="AG301" s="40" t="str">
        <f>VLOOKUP(Indicador!E301,Diccionario!C$1:AC$150,27,0)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1" s="40">
        <v>1</v>
      </c>
      <c r="AI301" s="40">
        <v>1</v>
      </c>
    </row>
    <row r="302" spans="1:35" ht="18.75" customHeight="1">
      <c r="A302" s="73">
        <v>2025</v>
      </c>
      <c r="B302" s="112" t="s">
        <v>13</v>
      </c>
      <c r="C302" s="36" t="s">
        <v>330</v>
      </c>
      <c r="D302" s="37">
        <v>45747.049514548613</v>
      </c>
      <c r="E302" s="36" t="s">
        <v>51</v>
      </c>
      <c r="F302" s="36" t="s">
        <v>331</v>
      </c>
      <c r="G302" s="36" t="s">
        <v>332</v>
      </c>
      <c r="H302" s="36" t="s">
        <v>333</v>
      </c>
      <c r="I302" s="36" t="s">
        <v>152</v>
      </c>
      <c r="J302" s="36" t="s">
        <v>334</v>
      </c>
      <c r="K302" s="36" t="s">
        <v>177</v>
      </c>
      <c r="L302" s="74">
        <f>VLOOKUP(E302,Diccionario!C$2:AC$150,22,0)</f>
        <v>7578354145</v>
      </c>
      <c r="M302" s="75">
        <f>VLOOKUP(E302,Diccionario!C$2:AC$150,24,0)</f>
        <v>45734</v>
      </c>
      <c r="N302" s="76">
        <f>VLOOKUP(E302,Diccionario!C$2:AC$150,25,0)</f>
        <v>46234</v>
      </c>
      <c r="O302" s="77">
        <f>VLOOKUP(E302,Diccionario!C$2:AC$150,26,0)</f>
        <v>16.43</v>
      </c>
      <c r="P302" s="77">
        <f t="shared" ca="1" si="131"/>
        <v>-1.4299999999999997</v>
      </c>
      <c r="Q302" s="78">
        <f t="shared" ca="1" si="136"/>
        <v>15</v>
      </c>
      <c r="R302" s="36">
        <v>16</v>
      </c>
      <c r="S302" s="86">
        <v>0.23</v>
      </c>
      <c r="T302" s="86">
        <v>0.23</v>
      </c>
      <c r="U302" s="82">
        <v>489855784</v>
      </c>
      <c r="V302" s="82">
        <v>489855784</v>
      </c>
      <c r="W302" s="82">
        <f t="shared" si="117"/>
        <v>1743021453.3500001</v>
      </c>
      <c r="X302" s="82">
        <f t="shared" si="132"/>
        <v>1743021453.3500001</v>
      </c>
      <c r="Y302" s="82">
        <f t="shared" si="118"/>
        <v>1253165669.3500001</v>
      </c>
      <c r="Z302" s="82">
        <f t="shared" si="133"/>
        <v>0</v>
      </c>
      <c r="AA302" s="83">
        <f t="shared" si="129"/>
        <v>3.5582338930798461</v>
      </c>
      <c r="AB302" s="84" t="str">
        <f t="shared" si="134"/>
        <v>Costo eficiente: se está gastando menos de lo presupuestado</v>
      </c>
      <c r="AC302" s="84">
        <f t="shared" si="119"/>
        <v>1</v>
      </c>
      <c r="AD302" s="84" t="str">
        <f t="shared" si="135"/>
        <v>Proyecto a tiempo según lo planificado</v>
      </c>
      <c r="AE302" s="85">
        <f t="shared" si="120"/>
        <v>2129807756.521739</v>
      </c>
      <c r="AF302" s="85">
        <f t="shared" si="121"/>
        <v>-5448546388.478261</v>
      </c>
      <c r="AG302" s="40" t="str">
        <f>VLOOKUP(Indicador!E302,Diccionario!C$1:AC$150,27,0)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2" s="40">
        <v>1</v>
      </c>
      <c r="AI302" s="40">
        <v>1</v>
      </c>
    </row>
    <row r="303" spans="1:35" ht="18.75" customHeight="1">
      <c r="A303" s="73">
        <v>2025</v>
      </c>
      <c r="B303" s="112" t="s">
        <v>21</v>
      </c>
      <c r="C303" s="36" t="s">
        <v>330</v>
      </c>
      <c r="D303" s="37">
        <v>45747.049514548613</v>
      </c>
      <c r="E303" s="36" t="s">
        <v>51</v>
      </c>
      <c r="F303" s="36" t="s">
        <v>331</v>
      </c>
      <c r="G303" s="36" t="s">
        <v>332</v>
      </c>
      <c r="H303" s="36" t="s">
        <v>333</v>
      </c>
      <c r="I303" s="36" t="s">
        <v>152</v>
      </c>
      <c r="J303" s="36" t="s">
        <v>334</v>
      </c>
      <c r="K303" s="36" t="s">
        <v>177</v>
      </c>
      <c r="L303" s="74">
        <f>VLOOKUP(E303,Diccionario!C$2:AC$150,22,0)</f>
        <v>7578354145</v>
      </c>
      <c r="M303" s="75">
        <f>VLOOKUP(E303,Diccionario!C$2:AC$150,24,0)</f>
        <v>45734</v>
      </c>
      <c r="N303" s="76">
        <f>VLOOKUP(E303,Diccionario!C$2:AC$150,25,0)</f>
        <v>46234</v>
      </c>
      <c r="O303" s="77">
        <f>VLOOKUP(E303,Diccionario!C$2:AC$150,26,0)</f>
        <v>16.43</v>
      </c>
      <c r="P303" s="77">
        <f t="shared" ca="1" si="131"/>
        <v>-1.4299999999999997</v>
      </c>
      <c r="Q303" s="78">
        <f t="shared" ca="1" si="136"/>
        <v>15</v>
      </c>
      <c r="R303" s="36">
        <v>16</v>
      </c>
      <c r="S303" s="86">
        <v>0.3</v>
      </c>
      <c r="T303" s="86">
        <v>0.3</v>
      </c>
      <c r="U303" s="82">
        <v>284665413</v>
      </c>
      <c r="V303" s="82">
        <v>284665413</v>
      </c>
      <c r="W303" s="82">
        <f t="shared" si="117"/>
        <v>2273506243.5</v>
      </c>
      <c r="X303" s="82">
        <f t="shared" si="132"/>
        <v>2273506243.5</v>
      </c>
      <c r="Y303" s="82">
        <f t="shared" si="118"/>
        <v>1988840830.5</v>
      </c>
      <c r="Z303" s="82">
        <f t="shared" si="133"/>
        <v>0</v>
      </c>
      <c r="AA303" s="83">
        <f t="shared" si="129"/>
        <v>7.986591063312634</v>
      </c>
      <c r="AB303" s="84" t="str">
        <f t="shared" si="134"/>
        <v>Costo eficiente: se está gastando menos de lo presupuestado</v>
      </c>
      <c r="AC303" s="84">
        <f t="shared" si="119"/>
        <v>1</v>
      </c>
      <c r="AD303" s="84" t="str">
        <f t="shared" si="135"/>
        <v>Proyecto a tiempo según lo planificado</v>
      </c>
      <c r="AE303" s="85">
        <f t="shared" si="120"/>
        <v>948884710</v>
      </c>
      <c r="AF303" s="85">
        <f t="shared" si="121"/>
        <v>-6629469435</v>
      </c>
      <c r="AG303" s="40" t="str">
        <f>VLOOKUP(Indicador!E303,Diccionario!C$1:AC$150,27,0)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3" s="40">
        <v>1</v>
      </c>
      <c r="AI303" s="40">
        <v>1</v>
      </c>
    </row>
    <row r="304" spans="1:35" ht="18.75" customHeight="1">
      <c r="A304" s="73">
        <v>2025</v>
      </c>
      <c r="B304" s="112" t="s">
        <v>23</v>
      </c>
      <c r="C304" s="36" t="s">
        <v>330</v>
      </c>
      <c r="D304" s="37">
        <v>45747.049514548613</v>
      </c>
      <c r="E304" s="36" t="s">
        <v>51</v>
      </c>
      <c r="F304" s="36" t="s">
        <v>331</v>
      </c>
      <c r="G304" s="36" t="s">
        <v>332</v>
      </c>
      <c r="H304" s="36" t="s">
        <v>333</v>
      </c>
      <c r="I304" s="36" t="s">
        <v>152</v>
      </c>
      <c r="J304" s="36" t="s">
        <v>334</v>
      </c>
      <c r="K304" s="36" t="s">
        <v>177</v>
      </c>
      <c r="L304" s="74">
        <f>VLOOKUP(E304,Diccionario!C$2:AC$150,22,0)</f>
        <v>7578354145</v>
      </c>
      <c r="M304" s="75">
        <f>VLOOKUP(E304,Diccionario!C$2:AC$150,24,0)</f>
        <v>45734</v>
      </c>
      <c r="N304" s="76">
        <f>VLOOKUP(E304,Diccionario!C$2:AC$150,25,0)</f>
        <v>46234</v>
      </c>
      <c r="O304" s="77">
        <f>VLOOKUP(E304,Diccionario!C$2:AC$150,26,0)</f>
        <v>16.43</v>
      </c>
      <c r="P304" s="77">
        <f t="shared" ca="1" si="131"/>
        <v>-1.4299999999999997</v>
      </c>
      <c r="Q304" s="78">
        <f t="shared" ca="1" si="136"/>
        <v>15</v>
      </c>
      <c r="R304" s="36">
        <v>16</v>
      </c>
      <c r="S304" s="86">
        <v>0.37</v>
      </c>
      <c r="T304" s="86">
        <v>0.37</v>
      </c>
      <c r="U304" s="82">
        <v>389803413</v>
      </c>
      <c r="V304" s="82">
        <v>389803413</v>
      </c>
      <c r="W304" s="82">
        <f t="shared" si="117"/>
        <v>2803991033.6500001</v>
      </c>
      <c r="X304" s="82">
        <f t="shared" si="132"/>
        <v>2803991033.6500001</v>
      </c>
      <c r="Y304" s="82">
        <f t="shared" si="118"/>
        <v>2414187620.6500001</v>
      </c>
      <c r="Z304" s="82">
        <f t="shared" si="133"/>
        <v>0</v>
      </c>
      <c r="AA304" s="83">
        <f t="shared" si="129"/>
        <v>7.1933465437615345</v>
      </c>
      <c r="AB304" s="84" t="str">
        <f t="shared" si="134"/>
        <v>Costo eficiente: se está gastando menos de lo presupuestado</v>
      </c>
      <c r="AC304" s="84">
        <f t="shared" si="119"/>
        <v>1</v>
      </c>
      <c r="AD304" s="84" t="str">
        <f t="shared" si="135"/>
        <v>Proyecto a tiempo según lo planificado</v>
      </c>
      <c r="AE304" s="85">
        <f t="shared" si="120"/>
        <v>1053522737.8378378</v>
      </c>
      <c r="AF304" s="85">
        <f t="shared" si="121"/>
        <v>-6524831407.1621618</v>
      </c>
      <c r="AG304" s="40" t="str">
        <f>VLOOKUP(Indicador!E304,Diccionario!C$1:AC$150,27,0)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4" s="40">
        <v>1</v>
      </c>
      <c r="AI304" s="40">
        <v>1</v>
      </c>
    </row>
    <row r="305" spans="1:35" ht="18.75" customHeight="1">
      <c r="A305" s="73">
        <v>2025</v>
      </c>
      <c r="B305" s="112" t="s">
        <v>26</v>
      </c>
      <c r="C305" s="36" t="s">
        <v>330</v>
      </c>
      <c r="D305" s="37">
        <v>45747.049514548613</v>
      </c>
      <c r="E305" s="36" t="s">
        <v>51</v>
      </c>
      <c r="F305" s="36" t="s">
        <v>331</v>
      </c>
      <c r="G305" s="36" t="s">
        <v>332</v>
      </c>
      <c r="H305" s="36" t="s">
        <v>333</v>
      </c>
      <c r="I305" s="36" t="s">
        <v>152</v>
      </c>
      <c r="J305" s="36" t="s">
        <v>334</v>
      </c>
      <c r="K305" s="36" t="s">
        <v>177</v>
      </c>
      <c r="L305" s="74">
        <f>VLOOKUP(E305,Diccionario!C$2:AC$150,22,0)</f>
        <v>7578354145</v>
      </c>
      <c r="M305" s="75">
        <f>VLOOKUP(E305,Diccionario!C$2:AC$150,24,0)</f>
        <v>45734</v>
      </c>
      <c r="N305" s="76">
        <f>VLOOKUP(E305,Diccionario!C$2:AC$150,25,0)</f>
        <v>46234</v>
      </c>
      <c r="O305" s="77">
        <f>VLOOKUP(E305,Diccionario!C$2:AC$150,26,0)</f>
        <v>16.43</v>
      </c>
      <c r="P305" s="77">
        <f t="shared" ca="1" si="131"/>
        <v>-1.4299999999999997</v>
      </c>
      <c r="Q305" s="78">
        <f t="shared" ca="1" si="136"/>
        <v>15</v>
      </c>
      <c r="R305" s="36">
        <v>16</v>
      </c>
      <c r="S305" s="86">
        <v>0.44</v>
      </c>
      <c r="T305" s="86">
        <v>0.44</v>
      </c>
      <c r="U305" s="82">
        <v>389803413</v>
      </c>
      <c r="V305" s="82">
        <v>389803413</v>
      </c>
      <c r="W305" s="82">
        <f t="shared" si="117"/>
        <v>3334475823.8000002</v>
      </c>
      <c r="X305" s="82">
        <f t="shared" si="132"/>
        <v>3334475823.8000002</v>
      </c>
      <c r="Y305" s="82">
        <f t="shared" si="118"/>
        <v>2944672410.8000002</v>
      </c>
      <c r="Z305" s="82">
        <f t="shared" si="133"/>
        <v>0</v>
      </c>
      <c r="AA305" s="83">
        <f t="shared" si="129"/>
        <v>8.5542499439326356</v>
      </c>
      <c r="AB305" s="84" t="str">
        <f t="shared" si="134"/>
        <v>Costo eficiente: se está gastando menos de lo presupuestado</v>
      </c>
      <c r="AC305" s="84">
        <f t="shared" si="119"/>
        <v>1</v>
      </c>
      <c r="AD305" s="84" t="str">
        <f t="shared" si="135"/>
        <v>Proyecto a tiempo según lo planificado</v>
      </c>
      <c r="AE305" s="85">
        <f t="shared" si="120"/>
        <v>885916847.72727275</v>
      </c>
      <c r="AF305" s="85">
        <f t="shared" si="121"/>
        <v>-6692437297.272727</v>
      </c>
      <c r="AG305" s="40" t="str">
        <f>VLOOKUP(Indicador!E305,Diccionario!C$1:AC$150,27,0)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5" s="40">
        <v>1</v>
      </c>
      <c r="AI305" s="40">
        <v>1</v>
      </c>
    </row>
    <row r="306" spans="1:35" ht="18.75" customHeight="1">
      <c r="A306" s="73">
        <v>2025</v>
      </c>
      <c r="B306" s="112" t="s">
        <v>28</v>
      </c>
      <c r="C306" s="36" t="s">
        <v>330</v>
      </c>
      <c r="D306" s="37">
        <v>45747.049514548613</v>
      </c>
      <c r="E306" s="36" t="s">
        <v>51</v>
      </c>
      <c r="F306" s="36" t="s">
        <v>331</v>
      </c>
      <c r="G306" s="36" t="s">
        <v>332</v>
      </c>
      <c r="H306" s="36" t="s">
        <v>333</v>
      </c>
      <c r="I306" s="36" t="s">
        <v>152</v>
      </c>
      <c r="J306" s="36" t="s">
        <v>334</v>
      </c>
      <c r="K306" s="36" t="s">
        <v>177</v>
      </c>
      <c r="L306" s="74">
        <f>VLOOKUP(E306,Diccionario!C$2:AC$150,22,0)</f>
        <v>7578354145</v>
      </c>
      <c r="M306" s="75">
        <f>VLOOKUP(E306,Diccionario!C$2:AC$150,24,0)</f>
        <v>45734</v>
      </c>
      <c r="N306" s="76">
        <f>VLOOKUP(E306,Diccionario!C$2:AC$150,25,0)</f>
        <v>46234</v>
      </c>
      <c r="O306" s="77">
        <f>VLOOKUP(E306,Diccionario!C$2:AC$150,26,0)</f>
        <v>16.43</v>
      </c>
      <c r="P306" s="77">
        <f t="shared" ca="1" si="131"/>
        <v>-1.4299999999999997</v>
      </c>
      <c r="Q306" s="78">
        <f t="shared" ca="1" si="136"/>
        <v>15</v>
      </c>
      <c r="R306" s="36">
        <v>16</v>
      </c>
      <c r="S306" s="86">
        <v>0.51</v>
      </c>
      <c r="T306" s="86">
        <v>0.51</v>
      </c>
      <c r="U306" s="82">
        <v>389803413</v>
      </c>
      <c r="V306" s="82">
        <v>389803413</v>
      </c>
      <c r="W306" s="82">
        <f t="shared" si="117"/>
        <v>3864960613.9500003</v>
      </c>
      <c r="X306" s="82">
        <f t="shared" si="132"/>
        <v>3864960613.9500003</v>
      </c>
      <c r="Y306" s="82">
        <f t="shared" si="118"/>
        <v>3475157200.9500003</v>
      </c>
      <c r="Z306" s="82">
        <f t="shared" si="133"/>
        <v>0</v>
      </c>
      <c r="AA306" s="83">
        <f t="shared" si="129"/>
        <v>9.9151533441037376</v>
      </c>
      <c r="AB306" s="84" t="str">
        <f t="shared" si="134"/>
        <v>Costo eficiente: se está gastando menos de lo presupuestado</v>
      </c>
      <c r="AC306" s="84">
        <f t="shared" si="119"/>
        <v>1</v>
      </c>
      <c r="AD306" s="84" t="str">
        <f t="shared" si="135"/>
        <v>Proyecto a tiempo según lo planificado</v>
      </c>
      <c r="AE306" s="85">
        <f t="shared" si="120"/>
        <v>764320417.64705873</v>
      </c>
      <c r="AF306" s="85">
        <f t="shared" si="121"/>
        <v>-6814033727.3529415</v>
      </c>
      <c r="AG306" s="40" t="str">
        <f>VLOOKUP(Indicador!E306,Diccionario!C$1:AC$150,27,0)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6" s="40">
        <v>1</v>
      </c>
      <c r="AI306" s="40">
        <v>1</v>
      </c>
    </row>
    <row r="307" spans="1:35" ht="18.75" customHeight="1">
      <c r="A307" s="73">
        <v>2025</v>
      </c>
      <c r="B307" s="112" t="s">
        <v>30</v>
      </c>
      <c r="C307" s="36" t="s">
        <v>330</v>
      </c>
      <c r="D307" s="37">
        <v>45747.049514548613</v>
      </c>
      <c r="E307" s="36" t="s">
        <v>51</v>
      </c>
      <c r="F307" s="36" t="s">
        <v>331</v>
      </c>
      <c r="G307" s="36" t="s">
        <v>332</v>
      </c>
      <c r="H307" s="36" t="s">
        <v>333</v>
      </c>
      <c r="I307" s="36" t="s">
        <v>152</v>
      </c>
      <c r="J307" s="36" t="s">
        <v>334</v>
      </c>
      <c r="K307" s="36" t="s">
        <v>177</v>
      </c>
      <c r="L307" s="74">
        <f>VLOOKUP(E307,Diccionario!C$2:AC$150,22,0)</f>
        <v>7578354145</v>
      </c>
      <c r="M307" s="75">
        <f>VLOOKUP(E307,Diccionario!C$2:AC$150,24,0)</f>
        <v>45734</v>
      </c>
      <c r="N307" s="76">
        <f>VLOOKUP(E307,Diccionario!C$2:AC$150,25,0)</f>
        <v>46234</v>
      </c>
      <c r="O307" s="77">
        <f>VLOOKUP(E307,Diccionario!C$2:AC$150,26,0)</f>
        <v>16.43</v>
      </c>
      <c r="P307" s="77">
        <f t="shared" ca="1" si="131"/>
        <v>-1.4299999999999997</v>
      </c>
      <c r="Q307" s="78">
        <f t="shared" ca="1" si="136"/>
        <v>15</v>
      </c>
      <c r="R307" s="36">
        <v>16</v>
      </c>
      <c r="S307" s="86">
        <v>0.57999999999999996</v>
      </c>
      <c r="T307" s="86">
        <v>0.57999999999999996</v>
      </c>
      <c r="U307" s="82">
        <v>389803413</v>
      </c>
      <c r="V307" s="82">
        <v>389803413</v>
      </c>
      <c r="W307" s="82">
        <f t="shared" si="117"/>
        <v>4395445404.0999994</v>
      </c>
      <c r="X307" s="82">
        <f t="shared" si="132"/>
        <v>4395445404.0999994</v>
      </c>
      <c r="Y307" s="82">
        <f t="shared" si="118"/>
        <v>4005641991.0999994</v>
      </c>
      <c r="Z307" s="82">
        <f t="shared" si="133"/>
        <v>0</v>
      </c>
      <c r="AA307" s="83">
        <f t="shared" si="129"/>
        <v>11.276056744274836</v>
      </c>
      <c r="AB307" s="84" t="str">
        <f t="shared" si="134"/>
        <v>Costo eficiente: se está gastando menos de lo presupuestado</v>
      </c>
      <c r="AC307" s="84">
        <f t="shared" si="119"/>
        <v>1</v>
      </c>
      <c r="AD307" s="84" t="str">
        <f t="shared" si="135"/>
        <v>Proyecto a tiempo según lo planificado</v>
      </c>
      <c r="AE307" s="85">
        <f t="shared" si="120"/>
        <v>672074850.00000012</v>
      </c>
      <c r="AF307" s="85">
        <f t="shared" si="121"/>
        <v>-6906279295</v>
      </c>
      <c r="AG307" s="40" t="str">
        <f>VLOOKUP(Indicador!E307,Diccionario!C$1:AC$150,27,0)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7" s="40">
        <v>1</v>
      </c>
      <c r="AI307" s="40">
        <v>1</v>
      </c>
    </row>
    <row r="308" spans="1:35" ht="18.75" customHeight="1">
      <c r="A308" s="73">
        <v>2025</v>
      </c>
      <c r="B308" s="112" t="s">
        <v>31</v>
      </c>
      <c r="C308" s="36" t="s">
        <v>330</v>
      </c>
      <c r="D308" s="37">
        <v>45747.049514548613</v>
      </c>
      <c r="E308" s="36" t="s">
        <v>51</v>
      </c>
      <c r="F308" s="36" t="s">
        <v>331</v>
      </c>
      <c r="G308" s="36" t="s">
        <v>332</v>
      </c>
      <c r="H308" s="36" t="s">
        <v>333</v>
      </c>
      <c r="I308" s="36" t="s">
        <v>152</v>
      </c>
      <c r="J308" s="36" t="s">
        <v>334</v>
      </c>
      <c r="K308" s="36" t="s">
        <v>177</v>
      </c>
      <c r="L308" s="74">
        <f>VLOOKUP(E308,Diccionario!C$2:AC$150,22,0)</f>
        <v>7578354145</v>
      </c>
      <c r="M308" s="75">
        <f>VLOOKUP(E308,Diccionario!C$2:AC$150,24,0)</f>
        <v>45734</v>
      </c>
      <c r="N308" s="76">
        <f>VLOOKUP(E308,Diccionario!C$2:AC$150,25,0)</f>
        <v>46234</v>
      </c>
      <c r="O308" s="77">
        <f>VLOOKUP(E308,Diccionario!C$2:AC$150,26,0)</f>
        <v>16.43</v>
      </c>
      <c r="P308" s="77">
        <f t="shared" ca="1" si="131"/>
        <v>-1.4299999999999997</v>
      </c>
      <c r="Q308" s="78">
        <f t="shared" ca="1" si="136"/>
        <v>15</v>
      </c>
      <c r="R308" s="36">
        <v>16</v>
      </c>
      <c r="S308" s="86">
        <v>0.65</v>
      </c>
      <c r="T308" s="86">
        <v>0.65</v>
      </c>
      <c r="U308" s="82">
        <v>377303413</v>
      </c>
      <c r="V308" s="82">
        <v>377303413</v>
      </c>
      <c r="W308" s="82">
        <f t="shared" si="117"/>
        <v>4925930194.25</v>
      </c>
      <c r="X308" s="82">
        <f t="shared" si="132"/>
        <v>4925930194.25</v>
      </c>
      <c r="Y308" s="82">
        <f t="shared" si="118"/>
        <v>4548626781.25</v>
      </c>
      <c r="Z308" s="82">
        <f t="shared" si="133"/>
        <v>0</v>
      </c>
      <c r="AA308" s="83">
        <f t="shared" si="129"/>
        <v>13.055620555041202</v>
      </c>
      <c r="AB308" s="84" t="str">
        <f t="shared" si="134"/>
        <v>Costo eficiente: se está gastando menos de lo presupuestado</v>
      </c>
      <c r="AC308" s="84">
        <f t="shared" si="119"/>
        <v>1</v>
      </c>
      <c r="AD308" s="84" t="str">
        <f t="shared" si="135"/>
        <v>Proyecto a tiempo según lo planificado</v>
      </c>
      <c r="AE308" s="85">
        <f t="shared" si="120"/>
        <v>580466789.23076928</v>
      </c>
      <c r="AF308" s="85">
        <f t="shared" si="121"/>
        <v>-6997887355.7692308</v>
      </c>
      <c r="AG308" s="40" t="str">
        <f>VLOOKUP(Indicador!E308,Diccionario!C$1:AC$150,27,0)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8" s="40">
        <v>1</v>
      </c>
      <c r="AI308" s="40">
        <v>1</v>
      </c>
    </row>
    <row r="309" spans="1:35" ht="18.75" customHeight="1">
      <c r="A309" s="73">
        <v>2025</v>
      </c>
      <c r="B309" s="112" t="s">
        <v>32</v>
      </c>
      <c r="C309" s="36" t="s">
        <v>330</v>
      </c>
      <c r="D309" s="37">
        <v>45747.049514548613</v>
      </c>
      <c r="E309" s="36" t="s">
        <v>51</v>
      </c>
      <c r="F309" s="36" t="s">
        <v>331</v>
      </c>
      <c r="G309" s="36" t="s">
        <v>332</v>
      </c>
      <c r="H309" s="36" t="s">
        <v>333</v>
      </c>
      <c r="I309" s="36" t="s">
        <v>152</v>
      </c>
      <c r="J309" s="36" t="s">
        <v>334</v>
      </c>
      <c r="K309" s="36" t="s">
        <v>177</v>
      </c>
      <c r="L309" s="74">
        <f>VLOOKUP(E309,Diccionario!C$2:AC$150,22,0)</f>
        <v>7578354145</v>
      </c>
      <c r="M309" s="75">
        <f>VLOOKUP(E309,Diccionario!C$2:AC$150,24,0)</f>
        <v>45734</v>
      </c>
      <c r="N309" s="76">
        <f>VLOOKUP(E309,Diccionario!C$2:AC$150,25,0)</f>
        <v>46234</v>
      </c>
      <c r="O309" s="77">
        <f>VLOOKUP(E309,Diccionario!C$2:AC$150,26,0)</f>
        <v>16.43</v>
      </c>
      <c r="P309" s="77">
        <f t="shared" ca="1" si="131"/>
        <v>-1.4299999999999997</v>
      </c>
      <c r="Q309" s="78">
        <f t="shared" ca="1" si="136"/>
        <v>15</v>
      </c>
      <c r="R309" s="36">
        <v>16</v>
      </c>
      <c r="S309" s="86">
        <v>0.75</v>
      </c>
      <c r="T309" s="86">
        <v>0.75</v>
      </c>
      <c r="U309" s="82">
        <v>762092127</v>
      </c>
      <c r="V309" s="82">
        <v>762092127</v>
      </c>
      <c r="W309" s="82">
        <f t="shared" si="117"/>
        <v>5683765608.75</v>
      </c>
      <c r="X309" s="82">
        <f t="shared" si="132"/>
        <v>5683765608.75</v>
      </c>
      <c r="Y309" s="82">
        <f t="shared" si="118"/>
        <v>4921673481.75</v>
      </c>
      <c r="Z309" s="82">
        <f t="shared" si="133"/>
        <v>0</v>
      </c>
      <c r="AA309" s="83">
        <f t="shared" si="129"/>
        <v>7.4581082881991252</v>
      </c>
      <c r="AB309" s="84" t="str">
        <f t="shared" si="134"/>
        <v>Costo eficiente: se está gastando menos de lo presupuestado</v>
      </c>
      <c r="AC309" s="84">
        <f t="shared" si="119"/>
        <v>1</v>
      </c>
      <c r="AD309" s="84" t="str">
        <f t="shared" si="135"/>
        <v>Proyecto a tiempo según lo planificado</v>
      </c>
      <c r="AE309" s="85">
        <f t="shared" si="120"/>
        <v>1016122836</v>
      </c>
      <c r="AF309" s="85">
        <f t="shared" si="121"/>
        <v>-6562231309</v>
      </c>
      <c r="AG309" s="40" t="str">
        <f>VLOOKUP(Indicador!E309,Diccionario!C$1:AC$150,27,0)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09" s="40">
        <v>1</v>
      </c>
      <c r="AI309" s="40">
        <v>1</v>
      </c>
    </row>
    <row r="310" spans="1:35" ht="18.75" customHeight="1">
      <c r="A310" s="73">
        <v>2026</v>
      </c>
      <c r="B310" s="112" t="s">
        <v>14</v>
      </c>
      <c r="C310" s="36" t="s">
        <v>330</v>
      </c>
      <c r="D310" s="37">
        <v>45747.049514548613</v>
      </c>
      <c r="E310" s="36" t="s">
        <v>51</v>
      </c>
      <c r="F310" s="36" t="s">
        <v>331</v>
      </c>
      <c r="G310" s="36" t="s">
        <v>332</v>
      </c>
      <c r="H310" s="36" t="s">
        <v>333</v>
      </c>
      <c r="I310" s="36" t="s">
        <v>152</v>
      </c>
      <c r="J310" s="36" t="s">
        <v>334</v>
      </c>
      <c r="K310" s="36" t="s">
        <v>177</v>
      </c>
      <c r="L310" s="74">
        <f>VLOOKUP(E310,Diccionario!C$2:AC$150,22,0)</f>
        <v>7578354145</v>
      </c>
      <c r="M310" s="75">
        <f>VLOOKUP(E310,Diccionario!C$2:AC$150,24,0)</f>
        <v>45734</v>
      </c>
      <c r="N310" s="76">
        <f>VLOOKUP(E310,Diccionario!C$2:AC$150,25,0)</f>
        <v>46234</v>
      </c>
      <c r="O310" s="77">
        <f>VLOOKUP(E310,Diccionario!C$2:AC$150,26,0)</f>
        <v>16.43</v>
      </c>
      <c r="P310" s="77">
        <f t="shared" ca="1" si="131"/>
        <v>-1.4299999999999997</v>
      </c>
      <c r="Q310" s="78">
        <f t="shared" ca="1" si="136"/>
        <v>15</v>
      </c>
      <c r="R310" s="36">
        <v>16</v>
      </c>
      <c r="S310" s="86">
        <v>0.8</v>
      </c>
      <c r="T310" s="86">
        <v>0.8</v>
      </c>
      <c r="U310" s="82">
        <f>884821730+499585670</f>
        <v>1384407400</v>
      </c>
      <c r="V310" s="82">
        <f>884821730+499585670</f>
        <v>1384407400</v>
      </c>
      <c r="W310" s="82">
        <f t="shared" si="117"/>
        <v>6062683316</v>
      </c>
      <c r="X310" s="82">
        <f t="shared" si="132"/>
        <v>6062683316</v>
      </c>
      <c r="Y310" s="82">
        <f t="shared" si="118"/>
        <v>4678275916</v>
      </c>
      <c r="Z310" s="82">
        <f t="shared" si="133"/>
        <v>0</v>
      </c>
      <c r="AA310" s="83">
        <f t="shared" si="129"/>
        <v>4.3792624309867172</v>
      </c>
      <c r="AB310" s="84" t="str">
        <f t="shared" si="134"/>
        <v>Costo eficiente: se está gastando menos de lo presupuestado</v>
      </c>
      <c r="AC310" s="84">
        <f t="shared" si="119"/>
        <v>1</v>
      </c>
      <c r="AD310" s="84" t="str">
        <f t="shared" si="135"/>
        <v>Proyecto a tiempo según lo planificado</v>
      </c>
      <c r="AE310" s="85">
        <f t="shared" si="120"/>
        <v>1730509249.9999998</v>
      </c>
      <c r="AF310" s="85">
        <f t="shared" si="121"/>
        <v>-5847844895</v>
      </c>
      <c r="AG310" s="40" t="str">
        <f>VLOOKUP(Indicador!E310,Diccionario!C$1:AC$150,27,0)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10" s="40">
        <v>1</v>
      </c>
      <c r="AI310" s="40">
        <v>1</v>
      </c>
    </row>
    <row r="311" spans="1:35" ht="18.75" customHeight="1">
      <c r="A311" s="73">
        <v>2026</v>
      </c>
      <c r="B311" s="112" t="s">
        <v>22</v>
      </c>
      <c r="C311" s="36" t="s">
        <v>330</v>
      </c>
      <c r="D311" s="37">
        <v>45747.049514548613</v>
      </c>
      <c r="E311" s="36" t="s">
        <v>51</v>
      </c>
      <c r="F311" s="36" t="s">
        <v>331</v>
      </c>
      <c r="G311" s="36" t="s">
        <v>332</v>
      </c>
      <c r="H311" s="36" t="s">
        <v>333</v>
      </c>
      <c r="I311" s="36" t="s">
        <v>152</v>
      </c>
      <c r="J311" s="36" t="s">
        <v>334</v>
      </c>
      <c r="K311" s="36" t="s">
        <v>177</v>
      </c>
      <c r="L311" s="74">
        <f>VLOOKUP(E311,Diccionario!C$2:AC$150,22,0)</f>
        <v>7578354145</v>
      </c>
      <c r="M311" s="75">
        <f>VLOOKUP(E311,Diccionario!C$2:AC$150,24,0)</f>
        <v>45734</v>
      </c>
      <c r="N311" s="76">
        <f>VLOOKUP(E311,Diccionario!C$2:AC$150,25,0)</f>
        <v>46234</v>
      </c>
      <c r="O311" s="77">
        <f>VLOOKUP(E311,Diccionario!C$2:AC$150,26,0)</f>
        <v>16.43</v>
      </c>
      <c r="P311" s="77">
        <f t="shared" ca="1" si="131"/>
        <v>-1.4299999999999997</v>
      </c>
      <c r="Q311" s="78">
        <f t="shared" ca="1" si="136"/>
        <v>15</v>
      </c>
      <c r="R311" s="36">
        <v>16</v>
      </c>
      <c r="S311" s="86">
        <v>0.85</v>
      </c>
      <c r="T311" s="86">
        <v>0.85</v>
      </c>
      <c r="U311" s="82"/>
      <c r="V311" s="82"/>
      <c r="W311" s="82">
        <f t="shared" si="117"/>
        <v>6441601023.25</v>
      </c>
      <c r="X311" s="82">
        <f t="shared" si="132"/>
        <v>6441601023.25</v>
      </c>
      <c r="Y311" s="82">
        <f t="shared" si="118"/>
        <v>6441601023.25</v>
      </c>
      <c r="Z311" s="82">
        <f t="shared" si="133"/>
        <v>0</v>
      </c>
      <c r="AA311" s="83" t="str">
        <f t="shared" si="129"/>
        <v>No se realizó gasto en este corte</v>
      </c>
      <c r="AB311" s="84" t="str">
        <f t="shared" si="134"/>
        <v>Costo eficiente: se está gastando menos de lo presupuestado</v>
      </c>
      <c r="AC311" s="84">
        <f t="shared" si="119"/>
        <v>1</v>
      </c>
      <c r="AD311" s="84" t="str">
        <f t="shared" si="135"/>
        <v>Proyecto a tiempo según lo planificado</v>
      </c>
      <c r="AE311" s="85">
        <f t="shared" si="120"/>
        <v>0</v>
      </c>
      <c r="AF311" s="85">
        <f t="shared" si="121"/>
        <v>-7578354145</v>
      </c>
      <c r="AG311" s="40" t="str">
        <f>VLOOKUP(Indicador!E311,Diccionario!C$1:AC$150,27,0)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11" s="40">
        <v>1</v>
      </c>
      <c r="AI311" s="40">
        <v>1</v>
      </c>
    </row>
    <row r="312" spans="1:35" ht="18.75" customHeight="1">
      <c r="A312" s="73">
        <v>2026</v>
      </c>
      <c r="B312" s="112" t="s">
        <v>24</v>
      </c>
      <c r="C312" s="36" t="s">
        <v>330</v>
      </c>
      <c r="D312" s="37">
        <v>45747.049514548613</v>
      </c>
      <c r="E312" s="36" t="s">
        <v>51</v>
      </c>
      <c r="F312" s="36" t="s">
        <v>331</v>
      </c>
      <c r="G312" s="36" t="s">
        <v>332</v>
      </c>
      <c r="H312" s="36" t="s">
        <v>333</v>
      </c>
      <c r="I312" s="36" t="s">
        <v>152</v>
      </c>
      <c r="J312" s="36" t="s">
        <v>334</v>
      </c>
      <c r="K312" s="36" t="s">
        <v>177</v>
      </c>
      <c r="L312" s="74">
        <f>VLOOKUP(E312,Diccionario!C$2:AC$150,22,0)</f>
        <v>7578354145</v>
      </c>
      <c r="M312" s="75">
        <f>VLOOKUP(E312,Diccionario!C$2:AC$150,24,0)</f>
        <v>45734</v>
      </c>
      <c r="N312" s="76">
        <f>VLOOKUP(E312,Diccionario!C$2:AC$150,25,0)</f>
        <v>46234</v>
      </c>
      <c r="O312" s="77">
        <f>VLOOKUP(E312,Diccionario!C$2:AC$150,26,0)</f>
        <v>16.43</v>
      </c>
      <c r="P312" s="77">
        <f t="shared" ca="1" si="131"/>
        <v>-1.4299999999999997</v>
      </c>
      <c r="Q312" s="78">
        <f t="shared" ca="1" si="136"/>
        <v>15</v>
      </c>
      <c r="R312" s="36">
        <v>16</v>
      </c>
      <c r="S312" s="86">
        <v>0.87</v>
      </c>
      <c r="T312" s="86">
        <v>0.87</v>
      </c>
      <c r="U312" s="82"/>
      <c r="V312" s="82"/>
      <c r="W312" s="82">
        <f t="shared" si="117"/>
        <v>6593168106.1499996</v>
      </c>
      <c r="X312" s="82">
        <f t="shared" si="132"/>
        <v>6593168106.1499996</v>
      </c>
      <c r="Y312" s="82">
        <f t="shared" si="118"/>
        <v>6593168106.1499996</v>
      </c>
      <c r="Z312" s="82">
        <f t="shared" si="133"/>
        <v>0</v>
      </c>
      <c r="AA312" s="83" t="str">
        <f t="shared" si="129"/>
        <v>No se realizó gasto en este corte</v>
      </c>
      <c r="AB312" s="84" t="str">
        <f t="shared" si="134"/>
        <v>Costo eficiente: se está gastando menos de lo presupuestado</v>
      </c>
      <c r="AC312" s="84">
        <f t="shared" si="119"/>
        <v>1</v>
      </c>
      <c r="AD312" s="84" t="str">
        <f t="shared" si="135"/>
        <v>Proyecto a tiempo según lo planificado</v>
      </c>
      <c r="AE312" s="85">
        <f t="shared" si="120"/>
        <v>0</v>
      </c>
      <c r="AF312" s="85">
        <f t="shared" si="121"/>
        <v>-7578354145</v>
      </c>
      <c r="AG312" s="40" t="str">
        <f>VLOOKUP(Indicador!E312,Diccionario!C$1:AC$150,27,0)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12" s="40">
        <v>1</v>
      </c>
      <c r="AI312" s="40">
        <v>1</v>
      </c>
    </row>
    <row r="313" spans="1:35" ht="18.75" customHeight="1">
      <c r="A313" s="73">
        <v>2026</v>
      </c>
      <c r="B313" s="112" t="s">
        <v>27</v>
      </c>
      <c r="C313" s="36" t="s">
        <v>330</v>
      </c>
      <c r="D313" s="37">
        <v>45747.049514548613</v>
      </c>
      <c r="E313" s="36" t="s">
        <v>51</v>
      </c>
      <c r="F313" s="36" t="s">
        <v>331</v>
      </c>
      <c r="G313" s="36" t="s">
        <v>332</v>
      </c>
      <c r="H313" s="36" t="s">
        <v>333</v>
      </c>
      <c r="I313" s="36" t="s">
        <v>152</v>
      </c>
      <c r="J313" s="36" t="s">
        <v>334</v>
      </c>
      <c r="K313" s="36" t="s">
        <v>177</v>
      </c>
      <c r="L313" s="74">
        <f>VLOOKUP(E313,Diccionario!C$2:AC$150,22,0)</f>
        <v>7578354145</v>
      </c>
      <c r="M313" s="75">
        <f>VLOOKUP(E313,Diccionario!C$2:AC$150,24,0)</f>
        <v>45734</v>
      </c>
      <c r="N313" s="76">
        <f>VLOOKUP(E313,Diccionario!C$2:AC$150,25,0)</f>
        <v>46234</v>
      </c>
      <c r="O313" s="77">
        <f>VLOOKUP(E313,Diccionario!C$2:AC$150,26,0)</f>
        <v>16.43</v>
      </c>
      <c r="P313" s="77">
        <f t="shared" ca="1" si="131"/>
        <v>-1.4299999999999997</v>
      </c>
      <c r="Q313" s="78">
        <f t="shared" ca="1" si="136"/>
        <v>15</v>
      </c>
      <c r="R313" s="36">
        <v>16</v>
      </c>
      <c r="S313" s="86">
        <v>0.9</v>
      </c>
      <c r="T313" s="86">
        <v>0.9</v>
      </c>
      <c r="U313" s="82"/>
      <c r="V313" s="82"/>
      <c r="W313" s="82">
        <f t="shared" si="117"/>
        <v>6820518730.5</v>
      </c>
      <c r="X313" s="82">
        <f t="shared" si="132"/>
        <v>6820518730.5</v>
      </c>
      <c r="Y313" s="82">
        <f t="shared" si="118"/>
        <v>6820518730.5</v>
      </c>
      <c r="Z313" s="82">
        <f t="shared" si="133"/>
        <v>0</v>
      </c>
      <c r="AA313" s="83" t="str">
        <f t="shared" si="129"/>
        <v>No se realizó gasto en este corte</v>
      </c>
      <c r="AB313" s="84" t="str">
        <f t="shared" si="134"/>
        <v>Costo eficiente: se está gastando menos de lo presupuestado</v>
      </c>
      <c r="AC313" s="84">
        <f t="shared" si="119"/>
        <v>1</v>
      </c>
      <c r="AD313" s="84" t="str">
        <f t="shared" si="135"/>
        <v>Proyecto a tiempo según lo planificado</v>
      </c>
      <c r="AE313" s="85">
        <f t="shared" si="120"/>
        <v>0</v>
      </c>
      <c r="AF313" s="85">
        <f t="shared" si="121"/>
        <v>-7578354145</v>
      </c>
      <c r="AG313" s="40" t="str">
        <f>VLOOKUP(Indicador!E313,Diccionario!C$1:AC$150,27,0)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13" s="40">
        <v>1</v>
      </c>
      <c r="AI313" s="40">
        <v>1</v>
      </c>
    </row>
    <row r="314" spans="1:35" ht="18.75" customHeight="1">
      <c r="A314" s="73">
        <v>2026</v>
      </c>
      <c r="B314" s="112" t="s">
        <v>13</v>
      </c>
      <c r="C314" s="36" t="s">
        <v>330</v>
      </c>
      <c r="D314" s="37">
        <v>45747.049514548613</v>
      </c>
      <c r="E314" s="36" t="s">
        <v>51</v>
      </c>
      <c r="F314" s="36" t="s">
        <v>331</v>
      </c>
      <c r="G314" s="36" t="s">
        <v>332</v>
      </c>
      <c r="H314" s="36" t="s">
        <v>333</v>
      </c>
      <c r="I314" s="36" t="s">
        <v>152</v>
      </c>
      <c r="J314" s="36" t="s">
        <v>334</v>
      </c>
      <c r="K314" s="36" t="s">
        <v>177</v>
      </c>
      <c r="L314" s="74">
        <f>VLOOKUP(E314,Diccionario!C$2:AC$150,22,0)</f>
        <v>7578354145</v>
      </c>
      <c r="M314" s="75">
        <f>VLOOKUP(E314,Diccionario!C$2:AC$150,24,0)</f>
        <v>45734</v>
      </c>
      <c r="N314" s="76">
        <f>VLOOKUP(E314,Diccionario!C$2:AC$150,25,0)</f>
        <v>46234</v>
      </c>
      <c r="O314" s="77">
        <f>VLOOKUP(E314,Diccionario!C$2:AC$150,26,0)</f>
        <v>16.43</v>
      </c>
      <c r="P314" s="77">
        <f t="shared" ca="1" si="131"/>
        <v>-1.4299999999999997</v>
      </c>
      <c r="Q314" s="78">
        <f t="shared" ca="1" si="136"/>
        <v>15</v>
      </c>
      <c r="R314" s="36">
        <v>16</v>
      </c>
      <c r="S314" s="86">
        <v>0.92</v>
      </c>
      <c r="T314" s="86">
        <v>0.92</v>
      </c>
      <c r="U314" s="82"/>
      <c r="V314" s="82"/>
      <c r="W314" s="82">
        <f t="shared" si="117"/>
        <v>6972085813.4000006</v>
      </c>
      <c r="X314" s="82">
        <f t="shared" si="132"/>
        <v>6972085813.4000006</v>
      </c>
      <c r="Y314" s="82">
        <f t="shared" si="118"/>
        <v>6972085813.4000006</v>
      </c>
      <c r="Z314" s="82">
        <f t="shared" si="133"/>
        <v>0</v>
      </c>
      <c r="AA314" s="83" t="str">
        <f t="shared" si="129"/>
        <v>No se realizó gasto en este corte</v>
      </c>
      <c r="AB314" s="84" t="str">
        <f t="shared" si="134"/>
        <v>Costo eficiente: se está gastando menos de lo presupuestado</v>
      </c>
      <c r="AC314" s="84">
        <f t="shared" si="119"/>
        <v>1</v>
      </c>
      <c r="AD314" s="84" t="str">
        <f t="shared" si="135"/>
        <v>Proyecto a tiempo según lo planificado</v>
      </c>
      <c r="AE314" s="85">
        <f t="shared" si="120"/>
        <v>0</v>
      </c>
      <c r="AF314" s="85">
        <f t="shared" si="121"/>
        <v>-7578354145</v>
      </c>
      <c r="AG314" s="40" t="str">
        <f>VLOOKUP(Indicador!E314,Diccionario!C$1:AC$150,27,0)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14" s="40">
        <v>1</v>
      </c>
      <c r="AI314" s="40">
        <v>1</v>
      </c>
    </row>
    <row r="315" spans="1:35" ht="18.75" customHeight="1">
      <c r="A315" s="73">
        <v>2026</v>
      </c>
      <c r="B315" s="112" t="s">
        <v>21</v>
      </c>
      <c r="C315" s="36" t="s">
        <v>330</v>
      </c>
      <c r="D315" s="37">
        <v>45747.049514548613</v>
      </c>
      <c r="E315" s="36" t="s">
        <v>51</v>
      </c>
      <c r="F315" s="36" t="s">
        <v>331</v>
      </c>
      <c r="G315" s="36" t="s">
        <v>332</v>
      </c>
      <c r="H315" s="36" t="s">
        <v>333</v>
      </c>
      <c r="I315" s="36" t="s">
        <v>152</v>
      </c>
      <c r="J315" s="36" t="s">
        <v>334</v>
      </c>
      <c r="K315" s="36" t="s">
        <v>177</v>
      </c>
      <c r="L315" s="74">
        <f>VLOOKUP(E315,Diccionario!C$2:AC$150,22,0)</f>
        <v>7578354145</v>
      </c>
      <c r="M315" s="75">
        <f>VLOOKUP(E315,Diccionario!C$2:AC$150,24,0)</f>
        <v>45734</v>
      </c>
      <c r="N315" s="76">
        <f>VLOOKUP(E315,Diccionario!C$2:AC$150,25,0)</f>
        <v>46234</v>
      </c>
      <c r="O315" s="77">
        <f>VLOOKUP(E315,Diccionario!C$2:AC$150,26,0)</f>
        <v>16.43</v>
      </c>
      <c r="P315" s="77">
        <f t="shared" ca="1" si="131"/>
        <v>-1.4299999999999997</v>
      </c>
      <c r="Q315" s="78">
        <f t="shared" ca="1" si="136"/>
        <v>15</v>
      </c>
      <c r="R315" s="36">
        <v>16</v>
      </c>
      <c r="S315" s="86">
        <v>1</v>
      </c>
      <c r="T315" s="86">
        <v>1</v>
      </c>
      <c r="U315" s="82"/>
      <c r="V315" s="82"/>
      <c r="W315" s="82">
        <f t="shared" si="117"/>
        <v>7578354145</v>
      </c>
      <c r="X315" s="82">
        <f t="shared" si="132"/>
        <v>7578354145</v>
      </c>
      <c r="Y315" s="82">
        <f t="shared" si="118"/>
        <v>7578354145</v>
      </c>
      <c r="Z315" s="82">
        <f t="shared" si="133"/>
        <v>0</v>
      </c>
      <c r="AA315" s="83" t="str">
        <f t="shared" si="129"/>
        <v>No se realizó gasto en este corte</v>
      </c>
      <c r="AB315" s="84" t="str">
        <f t="shared" si="134"/>
        <v>Costo eficiente: se está gastando menos de lo presupuestado</v>
      </c>
      <c r="AC315" s="84">
        <f t="shared" si="119"/>
        <v>1</v>
      </c>
      <c r="AD315" s="84" t="str">
        <f t="shared" si="135"/>
        <v>Proyecto a tiempo según lo planificado</v>
      </c>
      <c r="AE315" s="85">
        <f t="shared" si="120"/>
        <v>0</v>
      </c>
      <c r="AF315" s="85">
        <f t="shared" si="121"/>
        <v>-7578354145</v>
      </c>
      <c r="AG315" s="40" t="str">
        <f>VLOOKUP(Indicador!E315,Diccionario!C$1:AC$150,27,0)</f>
        <v>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v>
      </c>
      <c r="AH315" s="40">
        <v>1</v>
      </c>
      <c r="AI315" s="40">
        <v>1</v>
      </c>
    </row>
    <row r="316" spans="1:35" ht="18.75" customHeight="1">
      <c r="A316" s="73">
        <v>2025</v>
      </c>
      <c r="B316" s="112" t="s">
        <v>13</v>
      </c>
      <c r="C316" s="36" t="s">
        <v>335</v>
      </c>
      <c r="D316" s="37">
        <v>45806.582142789353</v>
      </c>
      <c r="E316" s="36" t="s">
        <v>80</v>
      </c>
      <c r="F316" s="36" t="s">
        <v>235</v>
      </c>
      <c r="G316" s="36" t="s">
        <v>336</v>
      </c>
      <c r="H316" s="36" t="s">
        <v>337</v>
      </c>
      <c r="I316" s="36" t="s">
        <v>165</v>
      </c>
      <c r="J316" s="36" t="s">
        <v>338</v>
      </c>
      <c r="K316" s="36" t="s">
        <v>339</v>
      </c>
      <c r="L316" s="74">
        <f>VLOOKUP(E316,Diccionario!C$2:AC$150,22,0)</f>
        <v>332116783</v>
      </c>
      <c r="M316" s="75">
        <f>VLOOKUP(E316,Diccionario!C$2:AC$150,24,0)</f>
        <v>45778</v>
      </c>
      <c r="N316" s="76">
        <f>VLOOKUP(E316,Diccionario!C$2:AC$150,25,0)</f>
        <v>46127</v>
      </c>
      <c r="O316" s="77">
        <f>VLOOKUP(E316,Diccionario!C$2:AC$150,26,0)</f>
        <v>11.47</v>
      </c>
      <c r="P316" s="77">
        <f t="shared" si="131"/>
        <v>-10.47</v>
      </c>
      <c r="Q316" s="78">
        <v>1</v>
      </c>
      <c r="R316" s="36">
        <v>12</v>
      </c>
      <c r="S316" s="86">
        <v>0.25</v>
      </c>
      <c r="T316" s="86">
        <v>0.15</v>
      </c>
      <c r="U316" s="82">
        <v>40764598</v>
      </c>
      <c r="V316" s="82">
        <v>40764598</v>
      </c>
      <c r="W316" s="82">
        <f t="shared" si="117"/>
        <v>49817517.449999996</v>
      </c>
      <c r="X316" s="82">
        <f t="shared" si="132"/>
        <v>83029195.75</v>
      </c>
      <c r="Y316" s="82">
        <f t="shared" si="118"/>
        <v>9052919.4499999955</v>
      </c>
      <c r="Z316" s="82">
        <f t="shared" si="133"/>
        <v>-33211678.300000004</v>
      </c>
      <c r="AA316" s="83">
        <f t="shared" si="129"/>
        <v>1.2220779768268535</v>
      </c>
      <c r="AB316" s="84" t="str">
        <f t="shared" si="134"/>
        <v>Costo eficiente: se está gastando menos de lo presupuestado</v>
      </c>
      <c r="AC316" s="84">
        <f t="shared" si="119"/>
        <v>0.6</v>
      </c>
      <c r="AD316" s="84" t="str">
        <f t="shared" si="135"/>
        <v>Proyecto atrasado con respecto al cronograma</v>
      </c>
      <c r="AE316" s="85">
        <f t="shared" si="120"/>
        <v>271763986.66666669</v>
      </c>
      <c r="AF316" s="85">
        <f t="shared" si="121"/>
        <v>-60352796.333333313</v>
      </c>
      <c r="AG316" s="40" t="str">
        <f>VLOOKUP(Indicador!E316,Diccionario!C$1:AC$150,27,0)</f>
        <v>https://growdatasas.sharepoint.com/:x:/r/sites/Gestiondocumental/Administrativa/GD/Financiera/_layouts/15/Doc.aspx?sourcedoc=%7B992F7B45-9CC9-43D2-9E9D-0F8A68C8C555%7D&amp;file=22052025%20MODELO%20FINANCIERO%20REFERENCIA%20V7.4_ANSV_V1.0.xlsm&amp;action=default&amp;mobileredirect=true</v>
      </c>
      <c r="AH316" s="40">
        <v>1</v>
      </c>
      <c r="AI316" s="40">
        <v>1</v>
      </c>
    </row>
    <row r="317" spans="1:35" ht="18.75" customHeight="1">
      <c r="A317" s="73">
        <v>2025</v>
      </c>
      <c r="B317" s="112" t="s">
        <v>21</v>
      </c>
      <c r="C317" s="36" t="s">
        <v>335</v>
      </c>
      <c r="D317" s="37">
        <v>45806.582142789353</v>
      </c>
      <c r="E317" s="36" t="s">
        <v>80</v>
      </c>
      <c r="F317" s="36" t="s">
        <v>235</v>
      </c>
      <c r="G317" s="36" t="s">
        <v>336</v>
      </c>
      <c r="H317" s="36" t="s">
        <v>337</v>
      </c>
      <c r="I317" s="36" t="s">
        <v>165</v>
      </c>
      <c r="J317" s="36" t="s">
        <v>338</v>
      </c>
      <c r="K317" s="36" t="s">
        <v>339</v>
      </c>
      <c r="L317" s="74">
        <f>VLOOKUP(E317,Diccionario!C$2:AC$150,22,0)</f>
        <v>332116783</v>
      </c>
      <c r="M317" s="75">
        <f>VLOOKUP(E317,Diccionario!C$2:AC$150,24,0)</f>
        <v>45778</v>
      </c>
      <c r="N317" s="76">
        <f>VLOOKUP(E317,Diccionario!C$2:AC$150,25,0)</f>
        <v>46127</v>
      </c>
      <c r="O317" s="77">
        <f>VLOOKUP(E317,Diccionario!C$2:AC$150,26,0)</f>
        <v>11.47</v>
      </c>
      <c r="P317" s="77">
        <f t="shared" si="131"/>
        <v>-9.4700000000000006</v>
      </c>
      <c r="Q317" s="78">
        <v>2</v>
      </c>
      <c r="R317" s="36">
        <v>12</v>
      </c>
      <c r="S317" s="86">
        <v>0.35</v>
      </c>
      <c r="T317" s="86">
        <v>0.25</v>
      </c>
      <c r="U317" s="82">
        <v>46764598</v>
      </c>
      <c r="V317" s="82">
        <v>46764598</v>
      </c>
      <c r="W317" s="82">
        <f t="shared" si="117"/>
        <v>83029195.75</v>
      </c>
      <c r="X317" s="82">
        <f t="shared" si="132"/>
        <v>116240874.05</v>
      </c>
      <c r="Y317" s="82">
        <f t="shared" si="118"/>
        <v>36264597.75</v>
      </c>
      <c r="Z317" s="82">
        <f t="shared" si="133"/>
        <v>-33211678.299999997</v>
      </c>
      <c r="AA317" s="83">
        <f t="shared" si="129"/>
        <v>1.7754711747976535</v>
      </c>
      <c r="AB317" s="84" t="str">
        <f t="shared" si="134"/>
        <v>Costo eficiente: se está gastando menos de lo presupuestado</v>
      </c>
      <c r="AC317" s="84">
        <f t="shared" si="119"/>
        <v>0.7142857142857143</v>
      </c>
      <c r="AD317" s="84" t="str">
        <f t="shared" si="135"/>
        <v>Proyecto atrasado con respecto al cronograma</v>
      </c>
      <c r="AE317" s="85">
        <f t="shared" si="120"/>
        <v>187058392</v>
      </c>
      <c r="AF317" s="85">
        <f t="shared" si="121"/>
        <v>-145058391</v>
      </c>
      <c r="AG317" s="40" t="str">
        <f>VLOOKUP(Indicador!E317,Diccionario!C$1:AC$150,27,0)</f>
        <v>https://growdatasas.sharepoint.com/:x:/r/sites/Gestiondocumental/Administrativa/GD/Financiera/_layouts/15/Doc.aspx?sourcedoc=%7B992F7B45-9CC9-43D2-9E9D-0F8A68C8C555%7D&amp;file=22052025%20MODELO%20FINANCIERO%20REFERENCIA%20V7.4_ANSV_V1.0.xlsm&amp;action=default&amp;mobileredirect=true</v>
      </c>
      <c r="AH317" s="40">
        <v>1</v>
      </c>
      <c r="AI317" s="40">
        <v>1</v>
      </c>
    </row>
    <row r="318" spans="1:35" ht="18.75" customHeight="1">
      <c r="A318" s="73">
        <v>2025</v>
      </c>
      <c r="B318" s="112" t="s">
        <v>23</v>
      </c>
      <c r="C318" s="36" t="s">
        <v>335</v>
      </c>
      <c r="D318" s="37">
        <v>45806.582142789353</v>
      </c>
      <c r="E318" s="36" t="s">
        <v>80</v>
      </c>
      <c r="F318" s="36" t="s">
        <v>235</v>
      </c>
      <c r="G318" s="36" t="s">
        <v>336</v>
      </c>
      <c r="H318" s="36" t="s">
        <v>337</v>
      </c>
      <c r="I318" s="36" t="s">
        <v>165</v>
      </c>
      <c r="J318" s="36" t="s">
        <v>338</v>
      </c>
      <c r="K318" s="36" t="s">
        <v>339</v>
      </c>
      <c r="L318" s="74">
        <f>VLOOKUP(E318,Diccionario!C$2:AC$150,22,0)</f>
        <v>332116783</v>
      </c>
      <c r="M318" s="75">
        <f>VLOOKUP(E318,Diccionario!C$2:AC$150,24,0)</f>
        <v>45778</v>
      </c>
      <c r="N318" s="76">
        <f>VLOOKUP(E318,Diccionario!C$2:AC$150,25,0)</f>
        <v>46127</v>
      </c>
      <c r="O318" s="77">
        <f>VLOOKUP(E318,Diccionario!C$2:AC$150,26,0)</f>
        <v>11.47</v>
      </c>
      <c r="P318" s="77">
        <f t="shared" si="131"/>
        <v>-8.4700000000000006</v>
      </c>
      <c r="Q318" s="78">
        <v>3</v>
      </c>
      <c r="R318" s="36">
        <v>12</v>
      </c>
      <c r="S318" s="86">
        <v>0.47</v>
      </c>
      <c r="T318" s="86">
        <v>0.3</v>
      </c>
      <c r="U318" s="82">
        <v>40764598</v>
      </c>
      <c r="V318" s="82">
        <v>40764598</v>
      </c>
      <c r="W318" s="82">
        <f t="shared" si="117"/>
        <v>99635034.899999991</v>
      </c>
      <c r="X318" s="82">
        <f t="shared" si="132"/>
        <v>156094888.00999999</v>
      </c>
      <c r="Y318" s="82">
        <f t="shared" si="118"/>
        <v>58870436.899999991</v>
      </c>
      <c r="Z318" s="82">
        <f t="shared" si="133"/>
        <v>-56459853.109999999</v>
      </c>
      <c r="AA318" s="83">
        <f t="shared" si="129"/>
        <v>2.444155953653707</v>
      </c>
      <c r="AB318" s="84" t="str">
        <f t="shared" si="134"/>
        <v>Costo eficiente: se está gastando menos de lo presupuestado</v>
      </c>
      <c r="AC318" s="84">
        <f t="shared" si="119"/>
        <v>0.63829787234042556</v>
      </c>
      <c r="AD318" s="84" t="str">
        <f t="shared" si="135"/>
        <v>Proyecto atrasado con respecto al cronograma</v>
      </c>
      <c r="AE318" s="85">
        <f t="shared" si="120"/>
        <v>135881993.33333334</v>
      </c>
      <c r="AF318" s="85">
        <f t="shared" si="121"/>
        <v>-196234789.66666666</v>
      </c>
      <c r="AG318" s="40" t="str">
        <f>VLOOKUP(Indicador!E318,Diccionario!C$1:AC$150,27,0)</f>
        <v>https://growdatasas.sharepoint.com/:x:/r/sites/Gestiondocumental/Administrativa/GD/Financiera/_layouts/15/Doc.aspx?sourcedoc=%7B992F7B45-9CC9-43D2-9E9D-0F8A68C8C555%7D&amp;file=22052025%20MODELO%20FINANCIERO%20REFERENCIA%20V7.4_ANSV_V1.0.xlsm&amp;action=default&amp;mobileredirect=true</v>
      </c>
      <c r="AH318" s="40">
        <v>1</v>
      </c>
      <c r="AI318" s="40">
        <v>1</v>
      </c>
    </row>
    <row r="319" spans="1:35" ht="18.75" customHeight="1">
      <c r="A319" s="73">
        <v>2025</v>
      </c>
      <c r="B319" s="112" t="s">
        <v>26</v>
      </c>
      <c r="C319" s="36" t="s">
        <v>335</v>
      </c>
      <c r="D319" s="37">
        <v>45806.582142789353</v>
      </c>
      <c r="E319" s="36" t="s">
        <v>80</v>
      </c>
      <c r="F319" s="36" t="s">
        <v>235</v>
      </c>
      <c r="G319" s="36" t="s">
        <v>336</v>
      </c>
      <c r="H319" s="36" t="s">
        <v>337</v>
      </c>
      <c r="I319" s="36" t="s">
        <v>165</v>
      </c>
      <c r="J319" s="36" t="s">
        <v>338</v>
      </c>
      <c r="K319" s="36" t="s">
        <v>339</v>
      </c>
      <c r="L319" s="74">
        <f>VLOOKUP(E319,Diccionario!C$2:AC$150,22,0)</f>
        <v>332116783</v>
      </c>
      <c r="M319" s="75">
        <f>VLOOKUP(E319,Diccionario!C$2:AC$150,24,0)</f>
        <v>45778</v>
      </c>
      <c r="N319" s="76">
        <f>VLOOKUP(E319,Diccionario!C$2:AC$150,25,0)</f>
        <v>46127</v>
      </c>
      <c r="O319" s="77">
        <f>VLOOKUP(E319,Diccionario!C$2:AC$150,26,0)</f>
        <v>11.47</v>
      </c>
      <c r="P319" s="77">
        <f t="shared" si="131"/>
        <v>-7.4700000000000006</v>
      </c>
      <c r="Q319" s="78">
        <v>4</v>
      </c>
      <c r="R319" s="36">
        <v>12</v>
      </c>
      <c r="S319" s="86">
        <v>0.52</v>
      </c>
      <c r="T319" s="86">
        <v>0.35</v>
      </c>
      <c r="U319" s="82">
        <v>40764598</v>
      </c>
      <c r="V319" s="82">
        <v>40764598</v>
      </c>
      <c r="W319" s="82">
        <f t="shared" si="117"/>
        <v>116240874.05</v>
      </c>
      <c r="X319" s="82">
        <f t="shared" si="132"/>
        <v>172700727.16</v>
      </c>
      <c r="Y319" s="82">
        <f t="shared" si="118"/>
        <v>75476276.049999997</v>
      </c>
      <c r="Z319" s="82">
        <f t="shared" si="133"/>
        <v>-56459853.109999999</v>
      </c>
      <c r="AA319" s="83">
        <f t="shared" si="129"/>
        <v>2.8515152792626584</v>
      </c>
      <c r="AB319" s="84" t="str">
        <f t="shared" si="134"/>
        <v>Costo eficiente: se está gastando menos de lo presupuestado</v>
      </c>
      <c r="AC319" s="84">
        <f t="shared" si="119"/>
        <v>0.67307692307692313</v>
      </c>
      <c r="AD319" s="84" t="str">
        <f t="shared" si="135"/>
        <v>Proyecto atrasado con respecto al cronograma</v>
      </c>
      <c r="AE319" s="85">
        <f t="shared" si="120"/>
        <v>116470280</v>
      </c>
      <c r="AF319" s="85">
        <f t="shared" si="121"/>
        <v>-215646503</v>
      </c>
      <c r="AG319" s="40" t="str">
        <f>VLOOKUP(Indicador!E319,Diccionario!C$1:AC$150,27,0)</f>
        <v>https://growdatasas.sharepoint.com/:x:/r/sites/Gestiondocumental/Administrativa/GD/Financiera/_layouts/15/Doc.aspx?sourcedoc=%7B992F7B45-9CC9-43D2-9E9D-0F8A68C8C555%7D&amp;file=22052025%20MODELO%20FINANCIERO%20REFERENCIA%20V7.4_ANSV_V1.0.xlsm&amp;action=default&amp;mobileredirect=true</v>
      </c>
      <c r="AH319" s="40">
        <v>1</v>
      </c>
      <c r="AI319" s="40">
        <v>1</v>
      </c>
    </row>
    <row r="320" spans="1:35" ht="18.75" customHeight="1">
      <c r="A320" s="73">
        <v>2025</v>
      </c>
      <c r="B320" s="112" t="s">
        <v>28</v>
      </c>
      <c r="C320" s="36" t="s">
        <v>335</v>
      </c>
      <c r="D320" s="37">
        <v>45806.582142789353</v>
      </c>
      <c r="E320" s="36" t="s">
        <v>80</v>
      </c>
      <c r="F320" s="36" t="s">
        <v>235</v>
      </c>
      <c r="G320" s="36" t="s">
        <v>336</v>
      </c>
      <c r="H320" s="36" t="s">
        <v>337</v>
      </c>
      <c r="I320" s="36" t="s">
        <v>165</v>
      </c>
      <c r="J320" s="36" t="s">
        <v>338</v>
      </c>
      <c r="K320" s="36" t="s">
        <v>339</v>
      </c>
      <c r="L320" s="74">
        <f>VLOOKUP(E320,Diccionario!C$2:AC$150,22,0)</f>
        <v>332116783</v>
      </c>
      <c r="M320" s="75">
        <f>VLOOKUP(E320,Diccionario!C$2:AC$150,24,0)</f>
        <v>45778</v>
      </c>
      <c r="N320" s="76">
        <f>VLOOKUP(E320,Diccionario!C$2:AC$150,25,0)</f>
        <v>46127</v>
      </c>
      <c r="O320" s="77">
        <f>VLOOKUP(E320,Diccionario!C$2:AC$150,26,0)</f>
        <v>11.47</v>
      </c>
      <c r="P320" s="77">
        <f t="shared" si="131"/>
        <v>-6.4700000000000006</v>
      </c>
      <c r="Q320" s="78">
        <v>5</v>
      </c>
      <c r="R320" s="36">
        <v>12</v>
      </c>
      <c r="S320" s="86">
        <v>0.65</v>
      </c>
      <c r="T320" s="86">
        <v>0.45</v>
      </c>
      <c r="U320" s="82">
        <v>40764598</v>
      </c>
      <c r="V320" s="82">
        <v>40764598</v>
      </c>
      <c r="W320" s="82">
        <f t="shared" si="117"/>
        <v>149452552.34999999</v>
      </c>
      <c r="X320" s="82">
        <f t="shared" si="132"/>
        <v>215875908.95000002</v>
      </c>
      <c r="Y320" s="82">
        <f t="shared" si="118"/>
        <v>108687954.34999999</v>
      </c>
      <c r="Z320" s="82">
        <f t="shared" si="133"/>
        <v>-66423356.600000024</v>
      </c>
      <c r="AA320" s="83">
        <f t="shared" si="129"/>
        <v>3.6662339304805607</v>
      </c>
      <c r="AB320" s="84" t="str">
        <f t="shared" si="134"/>
        <v>Costo eficiente: se está gastando menos de lo presupuestado</v>
      </c>
      <c r="AC320" s="84">
        <f t="shared" si="119"/>
        <v>0.69230769230769218</v>
      </c>
      <c r="AD320" s="84" t="str">
        <f t="shared" si="135"/>
        <v>Proyecto atrasado con respecto al cronograma</v>
      </c>
      <c r="AE320" s="85">
        <f t="shared" si="120"/>
        <v>90587995.555555552</v>
      </c>
      <c r="AF320" s="85">
        <f t="shared" si="121"/>
        <v>-241528787.44444445</v>
      </c>
      <c r="AG320" s="40" t="str">
        <f>VLOOKUP(Indicador!E320,Diccionario!C$1:AC$150,27,0)</f>
        <v>https://growdatasas.sharepoint.com/:x:/r/sites/Gestiondocumental/Administrativa/GD/Financiera/_layouts/15/Doc.aspx?sourcedoc=%7B992F7B45-9CC9-43D2-9E9D-0F8A68C8C555%7D&amp;file=22052025%20MODELO%20FINANCIERO%20REFERENCIA%20V7.4_ANSV_V1.0.xlsm&amp;action=default&amp;mobileredirect=true</v>
      </c>
      <c r="AH320" s="40">
        <v>1</v>
      </c>
      <c r="AI320" s="40">
        <v>1</v>
      </c>
    </row>
    <row r="321" spans="1:35" ht="18.75" customHeight="1">
      <c r="A321" s="73">
        <v>2025</v>
      </c>
      <c r="B321" s="112" t="s">
        <v>30</v>
      </c>
      <c r="C321" s="36" t="s">
        <v>335</v>
      </c>
      <c r="D321" s="37">
        <v>45806.582142789353</v>
      </c>
      <c r="E321" s="36" t="s">
        <v>80</v>
      </c>
      <c r="F321" s="36" t="s">
        <v>235</v>
      </c>
      <c r="G321" s="36" t="s">
        <v>336</v>
      </c>
      <c r="H321" s="36" t="s">
        <v>337</v>
      </c>
      <c r="I321" s="36" t="s">
        <v>165</v>
      </c>
      <c r="J321" s="36" t="s">
        <v>338</v>
      </c>
      <c r="K321" s="36" t="s">
        <v>339</v>
      </c>
      <c r="L321" s="74">
        <f>VLOOKUP(E321,Diccionario!C$2:AC$150,22,0)</f>
        <v>332116783</v>
      </c>
      <c r="M321" s="75">
        <f>VLOOKUP(E321,Diccionario!C$2:AC$150,24,0)</f>
        <v>45778</v>
      </c>
      <c r="N321" s="76">
        <f>VLOOKUP(E321,Diccionario!C$2:AC$150,25,0)</f>
        <v>46127</v>
      </c>
      <c r="O321" s="77">
        <f>VLOOKUP(E321,Diccionario!C$2:AC$150,26,0)</f>
        <v>11.47</v>
      </c>
      <c r="P321" s="77">
        <f t="shared" si="131"/>
        <v>-5.4700000000000006</v>
      </c>
      <c r="Q321" s="78">
        <v>6</v>
      </c>
      <c r="R321" s="36">
        <v>12</v>
      </c>
      <c r="S321" s="86">
        <v>0.72</v>
      </c>
      <c r="T321" s="86">
        <v>0.5</v>
      </c>
      <c r="U321" s="82">
        <v>40764598</v>
      </c>
      <c r="V321" s="82">
        <v>40764598</v>
      </c>
      <c r="W321" s="82">
        <f t="shared" si="117"/>
        <v>166058391.5</v>
      </c>
      <c r="X321" s="82">
        <f t="shared" si="132"/>
        <v>239124083.75999999</v>
      </c>
      <c r="Y321" s="82">
        <f t="shared" si="118"/>
        <v>125293793.5</v>
      </c>
      <c r="Z321" s="82">
        <f t="shared" si="133"/>
        <v>-73065692.25999999</v>
      </c>
      <c r="AA321" s="83">
        <f t="shared" si="129"/>
        <v>4.0735932560895121</v>
      </c>
      <c r="AB321" s="84" t="str">
        <f t="shared" si="134"/>
        <v>Costo eficiente: se está gastando menos de lo presupuestado</v>
      </c>
      <c r="AC321" s="84">
        <f t="shared" si="119"/>
        <v>0.69444444444444442</v>
      </c>
      <c r="AD321" s="84" t="str">
        <f t="shared" si="135"/>
        <v>Proyecto atrasado con respecto al cronograma</v>
      </c>
      <c r="AE321" s="85">
        <f t="shared" si="120"/>
        <v>81529196</v>
      </c>
      <c r="AF321" s="85">
        <f t="shared" si="121"/>
        <v>-250587587</v>
      </c>
      <c r="AG321" s="40" t="str">
        <f>VLOOKUP(Indicador!E321,Diccionario!C$1:AC$150,27,0)</f>
        <v>https://growdatasas.sharepoint.com/:x:/r/sites/Gestiondocumental/Administrativa/GD/Financiera/_layouts/15/Doc.aspx?sourcedoc=%7B992F7B45-9CC9-43D2-9E9D-0F8A68C8C555%7D&amp;file=22052025%20MODELO%20FINANCIERO%20REFERENCIA%20V7.4_ANSV_V1.0.xlsm&amp;action=default&amp;mobileredirect=true</v>
      </c>
      <c r="AH321" s="40">
        <v>1</v>
      </c>
      <c r="AI321" s="40">
        <v>1</v>
      </c>
    </row>
    <row r="322" spans="1:35" ht="18.75" customHeight="1">
      <c r="A322" s="73">
        <v>2025</v>
      </c>
      <c r="B322" s="112" t="s">
        <v>31</v>
      </c>
      <c r="C322" s="36" t="s">
        <v>335</v>
      </c>
      <c r="D322" s="37">
        <v>45806.582142789353</v>
      </c>
      <c r="E322" s="36" t="s">
        <v>80</v>
      </c>
      <c r="F322" s="36" t="s">
        <v>235</v>
      </c>
      <c r="G322" s="36" t="s">
        <v>336</v>
      </c>
      <c r="H322" s="36" t="s">
        <v>337</v>
      </c>
      <c r="I322" s="36" t="s">
        <v>165</v>
      </c>
      <c r="J322" s="36" t="s">
        <v>338</v>
      </c>
      <c r="K322" s="36" t="s">
        <v>339</v>
      </c>
      <c r="L322" s="74">
        <f>VLOOKUP(E322,Diccionario!C$2:AC$150,22,0)</f>
        <v>332116783</v>
      </c>
      <c r="M322" s="75">
        <f>VLOOKUP(E322,Diccionario!C$2:AC$150,24,0)</f>
        <v>45778</v>
      </c>
      <c r="N322" s="76">
        <f>VLOOKUP(E322,Diccionario!C$2:AC$150,25,0)</f>
        <v>46127</v>
      </c>
      <c r="O322" s="77">
        <f>VLOOKUP(E322,Diccionario!C$2:AC$150,26,0)</f>
        <v>11.47</v>
      </c>
      <c r="P322" s="77">
        <f t="shared" si="131"/>
        <v>-4.4700000000000006</v>
      </c>
      <c r="Q322" s="78">
        <v>7</v>
      </c>
      <c r="R322" s="36">
        <v>12</v>
      </c>
      <c r="S322" s="86">
        <v>0.85</v>
      </c>
      <c r="T322" s="86">
        <v>0.56999999999999995</v>
      </c>
      <c r="U322" s="82">
        <v>40764598</v>
      </c>
      <c r="V322" s="82">
        <v>40764598</v>
      </c>
      <c r="W322" s="82">
        <f t="shared" ref="W322:W385" si="137">IFERROR(T322*L322,0)</f>
        <v>189306566.30999997</v>
      </c>
      <c r="X322" s="82">
        <f t="shared" si="132"/>
        <v>282299265.55000001</v>
      </c>
      <c r="Y322" s="82">
        <f t="shared" ref="Y322:Y385" si="138">IFERROR(W322-U322,0)</f>
        <v>148541968.30999997</v>
      </c>
      <c r="Z322" s="82">
        <f t="shared" si="133"/>
        <v>-92992699.240000039</v>
      </c>
      <c r="AA322" s="83">
        <f t="shared" si="129"/>
        <v>4.6438963119420427</v>
      </c>
      <c r="AB322" s="84" t="str">
        <f t="shared" si="134"/>
        <v>Costo eficiente: se está gastando menos de lo presupuestado</v>
      </c>
      <c r="AC322" s="84">
        <f t="shared" ref="AC322:AC385" si="139">IFERROR(W322/X322,0)</f>
        <v>0.67058823529411749</v>
      </c>
      <c r="AD322" s="84" t="str">
        <f t="shared" si="135"/>
        <v>Proyecto atrasado con respecto al cronograma</v>
      </c>
      <c r="AE322" s="85">
        <f t="shared" ref="AE322:AE385" si="140">IFERROR(L322/AA322,0)</f>
        <v>71516838.596491233</v>
      </c>
      <c r="AF322" s="85">
        <f t="shared" ref="AF322:AF385" si="141">IFERROR(AE322-L322,0)</f>
        <v>-260599944.40350878</v>
      </c>
      <c r="AG322" s="40" t="str">
        <f>VLOOKUP(Indicador!E322,Diccionario!C$1:AC$150,27,0)</f>
        <v>https://growdatasas.sharepoint.com/:x:/r/sites/Gestiondocumental/Administrativa/GD/Financiera/_layouts/15/Doc.aspx?sourcedoc=%7B992F7B45-9CC9-43D2-9E9D-0F8A68C8C555%7D&amp;file=22052025%20MODELO%20FINANCIERO%20REFERENCIA%20V7.4_ANSV_V1.0.xlsm&amp;action=default&amp;mobileredirect=true</v>
      </c>
      <c r="AH322" s="40">
        <v>1</v>
      </c>
      <c r="AI322" s="40">
        <v>1</v>
      </c>
    </row>
    <row r="323" spans="1:35" ht="18.75" customHeight="1">
      <c r="A323" s="73">
        <v>2025</v>
      </c>
      <c r="B323" s="112" t="s">
        <v>32</v>
      </c>
      <c r="C323" s="36" t="s">
        <v>335</v>
      </c>
      <c r="D323" s="37">
        <v>45806.582142789353</v>
      </c>
      <c r="E323" s="36" t="s">
        <v>80</v>
      </c>
      <c r="F323" s="36" t="s">
        <v>235</v>
      </c>
      <c r="G323" s="36" t="s">
        <v>336</v>
      </c>
      <c r="H323" s="36" t="s">
        <v>337</v>
      </c>
      <c r="I323" s="36" t="s">
        <v>165</v>
      </c>
      <c r="J323" s="36" t="s">
        <v>338</v>
      </c>
      <c r="K323" s="36" t="s">
        <v>339</v>
      </c>
      <c r="L323" s="74">
        <f>VLOOKUP(E323,Diccionario!C$2:AC$150,22,0)</f>
        <v>332116783</v>
      </c>
      <c r="M323" s="75">
        <f>VLOOKUP(E323,Diccionario!C$2:AC$150,24,0)</f>
        <v>45778</v>
      </c>
      <c r="N323" s="76">
        <f>VLOOKUP(E323,Diccionario!C$2:AC$150,25,0)</f>
        <v>46127</v>
      </c>
      <c r="O323" s="77">
        <f>VLOOKUP(E323,Diccionario!C$2:AC$150,26,0)</f>
        <v>11.47</v>
      </c>
      <c r="P323" s="77">
        <f t="shared" si="131"/>
        <v>-3.4700000000000006</v>
      </c>
      <c r="Q323" s="78">
        <v>8</v>
      </c>
      <c r="R323" s="36">
        <v>12</v>
      </c>
      <c r="S323" s="86">
        <v>0.95</v>
      </c>
      <c r="T323" s="86">
        <v>0.65</v>
      </c>
      <c r="U323" s="82">
        <v>40764598</v>
      </c>
      <c r="V323" s="82">
        <v>40764598</v>
      </c>
      <c r="W323" s="82">
        <f t="shared" si="137"/>
        <v>215875908.95000002</v>
      </c>
      <c r="X323" s="82">
        <f t="shared" si="132"/>
        <v>315510943.84999996</v>
      </c>
      <c r="Y323" s="82">
        <f t="shared" si="138"/>
        <v>175111310.95000002</v>
      </c>
      <c r="Z323" s="82">
        <f t="shared" si="133"/>
        <v>-99635034.899999946</v>
      </c>
      <c r="AA323" s="83">
        <f t="shared" si="129"/>
        <v>5.2956712329163658</v>
      </c>
      <c r="AB323" s="84" t="str">
        <f t="shared" si="134"/>
        <v>Costo eficiente: se está gastando menos de lo presupuestado</v>
      </c>
      <c r="AC323" s="84">
        <f t="shared" si="139"/>
        <v>0.6842105263157896</v>
      </c>
      <c r="AD323" s="84" t="str">
        <f t="shared" si="135"/>
        <v>Proyecto atrasado con respecto al cronograma</v>
      </c>
      <c r="AE323" s="85">
        <f t="shared" si="140"/>
        <v>62714766.153846152</v>
      </c>
      <c r="AF323" s="85">
        <f t="shared" si="141"/>
        <v>-269402016.84615386</v>
      </c>
      <c r="AG323" s="40" t="str">
        <f>VLOOKUP(Indicador!E323,Diccionario!C$1:AC$150,27,0)</f>
        <v>https://growdatasas.sharepoint.com/:x:/r/sites/Gestiondocumental/Administrativa/GD/Financiera/_layouts/15/Doc.aspx?sourcedoc=%7B992F7B45-9CC9-43D2-9E9D-0F8A68C8C555%7D&amp;file=22052025%20MODELO%20FINANCIERO%20REFERENCIA%20V7.4_ANSV_V1.0.xlsm&amp;action=default&amp;mobileredirect=true</v>
      </c>
      <c r="AH323" s="40">
        <v>1</v>
      </c>
      <c r="AI323" s="40">
        <v>1</v>
      </c>
    </row>
    <row r="324" spans="1:35" ht="18.75" customHeight="1">
      <c r="A324" s="73">
        <v>2026</v>
      </c>
      <c r="B324" s="112" t="s">
        <v>14</v>
      </c>
      <c r="C324" s="36" t="s">
        <v>335</v>
      </c>
      <c r="D324" s="37">
        <v>45806.582142789353</v>
      </c>
      <c r="E324" s="36" t="s">
        <v>80</v>
      </c>
      <c r="F324" s="36" t="s">
        <v>235</v>
      </c>
      <c r="G324" s="36" t="s">
        <v>336</v>
      </c>
      <c r="H324" s="36" t="s">
        <v>337</v>
      </c>
      <c r="I324" s="36" t="s">
        <v>165</v>
      </c>
      <c r="J324" s="36" t="s">
        <v>338</v>
      </c>
      <c r="K324" s="36" t="s">
        <v>339</v>
      </c>
      <c r="L324" s="74">
        <f>VLOOKUP(E324,Diccionario!C$2:AC$150,22,0)</f>
        <v>332116783</v>
      </c>
      <c r="M324" s="75">
        <f>VLOOKUP(E324,Diccionario!C$2:AC$150,24,0)</f>
        <v>45778</v>
      </c>
      <c r="N324" s="76">
        <f>VLOOKUP(E324,Diccionario!C$2:AC$150,25,0)</f>
        <v>46127</v>
      </c>
      <c r="O324" s="77">
        <f>VLOOKUP(E324,Diccionario!C$2:AC$150,26,0)</f>
        <v>11.47</v>
      </c>
      <c r="P324" s="77">
        <f t="shared" si="131"/>
        <v>-2.4700000000000006</v>
      </c>
      <c r="Q324" s="78">
        <v>9</v>
      </c>
      <c r="R324" s="36">
        <v>12</v>
      </c>
      <c r="S324" s="86">
        <v>1</v>
      </c>
      <c r="T324" s="86">
        <v>0.78</v>
      </c>
      <c r="U324" s="82"/>
      <c r="V324" s="82"/>
      <c r="W324" s="82">
        <f t="shared" si="137"/>
        <v>259051090.74000001</v>
      </c>
      <c r="X324" s="82">
        <f t="shared" si="132"/>
        <v>332116783</v>
      </c>
      <c r="Y324" s="82">
        <f t="shared" si="138"/>
        <v>259051090.74000001</v>
      </c>
      <c r="Z324" s="82">
        <f t="shared" si="133"/>
        <v>-73065692.25999999</v>
      </c>
      <c r="AA324" s="83" t="str">
        <f t="shared" si="129"/>
        <v>No se realizó gasto en este corte</v>
      </c>
      <c r="AB324" s="84" t="str">
        <f t="shared" si="134"/>
        <v>Costo eficiente: se está gastando menos de lo presupuestado</v>
      </c>
      <c r="AC324" s="84">
        <f t="shared" si="139"/>
        <v>0.78</v>
      </c>
      <c r="AD324" s="84" t="str">
        <f t="shared" si="135"/>
        <v>Proyecto atrasado con respecto al cronograma</v>
      </c>
      <c r="AE324" s="85">
        <f t="shared" si="140"/>
        <v>0</v>
      </c>
      <c r="AF324" s="85">
        <f t="shared" si="141"/>
        <v>-332116783</v>
      </c>
      <c r="AG324" s="40" t="str">
        <f>VLOOKUP(Indicador!E324,Diccionario!C$1:AC$150,27,0)</f>
        <v>https://growdatasas.sharepoint.com/:x:/r/sites/Gestiondocumental/Administrativa/GD/Financiera/_layouts/15/Doc.aspx?sourcedoc=%7B992F7B45-9CC9-43D2-9E9D-0F8A68C8C555%7D&amp;file=22052025%20MODELO%20FINANCIERO%20REFERENCIA%20V7.4_ANSV_V1.0.xlsm&amp;action=default&amp;mobileredirect=true</v>
      </c>
      <c r="AH324" s="40">
        <v>1</v>
      </c>
      <c r="AI324" s="40">
        <v>1</v>
      </c>
    </row>
    <row r="325" spans="1:35" ht="18.75" customHeight="1">
      <c r="A325" s="73">
        <v>2026</v>
      </c>
      <c r="B325" s="112" t="s">
        <v>22</v>
      </c>
      <c r="C325" s="36" t="s">
        <v>335</v>
      </c>
      <c r="D325" s="37">
        <v>45806.582142789353</v>
      </c>
      <c r="E325" s="36" t="s">
        <v>80</v>
      </c>
      <c r="F325" s="36" t="s">
        <v>235</v>
      </c>
      <c r="G325" s="36" t="s">
        <v>336</v>
      </c>
      <c r="H325" s="36" t="s">
        <v>337</v>
      </c>
      <c r="I325" s="36" t="s">
        <v>165</v>
      </c>
      <c r="J325" s="36" t="s">
        <v>338</v>
      </c>
      <c r="K325" s="36" t="s">
        <v>339</v>
      </c>
      <c r="L325" s="74">
        <f>VLOOKUP(E325,Diccionario!C$2:AC$150,22,0)</f>
        <v>332116783</v>
      </c>
      <c r="M325" s="75">
        <f>VLOOKUP(E325,Diccionario!C$2:AC$150,24,0)</f>
        <v>45778</v>
      </c>
      <c r="N325" s="76">
        <f>VLOOKUP(E325,Diccionario!C$2:AC$150,25,0)</f>
        <v>46127</v>
      </c>
      <c r="O325" s="77">
        <f>VLOOKUP(E325,Diccionario!C$2:AC$150,26,0)</f>
        <v>11.47</v>
      </c>
      <c r="P325" s="77">
        <f t="shared" ca="1" si="131"/>
        <v>2.5299999999999994</v>
      </c>
      <c r="Q325" s="78">
        <f t="shared" ca="1" si="136"/>
        <v>14</v>
      </c>
      <c r="R325" s="36">
        <v>12</v>
      </c>
      <c r="S325" s="86">
        <v>1</v>
      </c>
      <c r="T325" s="86">
        <v>0.85</v>
      </c>
      <c r="U325" s="82"/>
      <c r="V325" s="82"/>
      <c r="W325" s="82">
        <f t="shared" si="137"/>
        <v>282299265.55000001</v>
      </c>
      <c r="X325" s="82">
        <f t="shared" si="132"/>
        <v>332116783</v>
      </c>
      <c r="Y325" s="82">
        <f t="shared" si="138"/>
        <v>282299265.55000001</v>
      </c>
      <c r="Z325" s="82">
        <f t="shared" si="133"/>
        <v>-49817517.449999988</v>
      </c>
      <c r="AA325" s="83" t="str">
        <f t="shared" si="129"/>
        <v>No se realizó gasto en este corte</v>
      </c>
      <c r="AB325" s="84" t="str">
        <f t="shared" si="134"/>
        <v>Costo eficiente: se está gastando menos de lo presupuestado</v>
      </c>
      <c r="AC325" s="84">
        <f t="shared" si="139"/>
        <v>0.85000000000000009</v>
      </c>
      <c r="AD325" s="84" t="str">
        <f t="shared" si="135"/>
        <v>Proyecto atrasado con respecto al cronograma</v>
      </c>
      <c r="AE325" s="85">
        <f t="shared" si="140"/>
        <v>0</v>
      </c>
      <c r="AF325" s="85">
        <f t="shared" si="141"/>
        <v>-332116783</v>
      </c>
      <c r="AG325" s="40" t="str">
        <f>VLOOKUP(Indicador!E325,Diccionario!C$1:AC$150,27,0)</f>
        <v>https://growdatasas.sharepoint.com/:x:/r/sites/Gestiondocumental/Administrativa/GD/Financiera/_layouts/15/Doc.aspx?sourcedoc=%7B992F7B45-9CC9-43D2-9E9D-0F8A68C8C555%7D&amp;file=22052025%20MODELO%20FINANCIERO%20REFERENCIA%20V7.4_ANSV_V1.0.xlsm&amp;action=default&amp;mobileredirect=true</v>
      </c>
      <c r="AH325" s="40">
        <v>1</v>
      </c>
      <c r="AI325" s="40">
        <v>1</v>
      </c>
    </row>
    <row r="326" spans="1:35" ht="18.75" customHeight="1">
      <c r="A326" s="73">
        <v>2026</v>
      </c>
      <c r="B326" s="112" t="s">
        <v>24</v>
      </c>
      <c r="C326" s="36" t="s">
        <v>335</v>
      </c>
      <c r="D326" s="37">
        <v>45806.582142789353</v>
      </c>
      <c r="E326" s="36" t="s">
        <v>80</v>
      </c>
      <c r="F326" s="36" t="s">
        <v>235</v>
      </c>
      <c r="G326" s="36" t="s">
        <v>336</v>
      </c>
      <c r="H326" s="36" t="s">
        <v>337</v>
      </c>
      <c r="I326" s="36" t="s">
        <v>165</v>
      </c>
      <c r="J326" s="36" t="s">
        <v>338</v>
      </c>
      <c r="K326" s="36" t="s">
        <v>339</v>
      </c>
      <c r="L326" s="74">
        <f>VLOOKUP(E326,Diccionario!C$2:AC$150,22,0)</f>
        <v>332116783</v>
      </c>
      <c r="M326" s="75">
        <f>VLOOKUP(E326,Diccionario!C$2:AC$150,24,0)</f>
        <v>45778</v>
      </c>
      <c r="N326" s="76">
        <f>VLOOKUP(E326,Diccionario!C$2:AC$150,25,0)</f>
        <v>46127</v>
      </c>
      <c r="O326" s="77">
        <f>VLOOKUP(E326,Diccionario!C$2:AC$150,26,0)</f>
        <v>11.47</v>
      </c>
      <c r="P326" s="77">
        <f t="shared" ca="1" si="131"/>
        <v>2.5299999999999994</v>
      </c>
      <c r="Q326" s="78">
        <f t="shared" ca="1" si="136"/>
        <v>14</v>
      </c>
      <c r="R326" s="36">
        <v>12</v>
      </c>
      <c r="S326" s="86">
        <v>1</v>
      </c>
      <c r="T326" s="86">
        <v>0.95</v>
      </c>
      <c r="U326" s="82"/>
      <c r="V326" s="82"/>
      <c r="W326" s="82">
        <f t="shared" si="137"/>
        <v>315510943.84999996</v>
      </c>
      <c r="X326" s="82">
        <f t="shared" si="132"/>
        <v>332116783</v>
      </c>
      <c r="Y326" s="82">
        <f t="shared" si="138"/>
        <v>315510943.84999996</v>
      </c>
      <c r="Z326" s="82">
        <f t="shared" si="133"/>
        <v>-16605839.150000036</v>
      </c>
      <c r="AA326" s="83" t="str">
        <f t="shared" si="129"/>
        <v>No se realizó gasto en este corte</v>
      </c>
      <c r="AB326" s="84" t="str">
        <f t="shared" si="134"/>
        <v>Costo eficiente: se está gastando menos de lo presupuestado</v>
      </c>
      <c r="AC326" s="84">
        <f t="shared" si="139"/>
        <v>0.94999999999999984</v>
      </c>
      <c r="AD326" s="84" t="str">
        <f t="shared" si="135"/>
        <v>Proyecto atrasado con respecto al cronograma</v>
      </c>
      <c r="AE326" s="85">
        <f t="shared" si="140"/>
        <v>0</v>
      </c>
      <c r="AF326" s="85">
        <f t="shared" si="141"/>
        <v>-332116783</v>
      </c>
      <c r="AG326" s="40" t="str">
        <f>VLOOKUP(Indicador!E326,Diccionario!C$1:AC$150,27,0)</f>
        <v>https://growdatasas.sharepoint.com/:x:/r/sites/Gestiondocumental/Administrativa/GD/Financiera/_layouts/15/Doc.aspx?sourcedoc=%7B992F7B45-9CC9-43D2-9E9D-0F8A68C8C555%7D&amp;file=22052025%20MODELO%20FINANCIERO%20REFERENCIA%20V7.4_ANSV_V1.0.xlsm&amp;action=default&amp;mobileredirect=true</v>
      </c>
      <c r="AH326" s="40">
        <v>1</v>
      </c>
      <c r="AI326" s="40">
        <v>1</v>
      </c>
    </row>
    <row r="327" spans="1:35" ht="18.75" customHeight="1">
      <c r="A327" s="73">
        <v>2026</v>
      </c>
      <c r="B327" s="112" t="s">
        <v>27</v>
      </c>
      <c r="C327" s="36" t="s">
        <v>335</v>
      </c>
      <c r="D327" s="37">
        <v>45806.582142789353</v>
      </c>
      <c r="E327" s="36" t="s">
        <v>80</v>
      </c>
      <c r="F327" s="36" t="s">
        <v>235</v>
      </c>
      <c r="G327" s="36" t="s">
        <v>336</v>
      </c>
      <c r="H327" s="36" t="s">
        <v>337</v>
      </c>
      <c r="I327" s="36" t="s">
        <v>165</v>
      </c>
      <c r="J327" s="36" t="s">
        <v>338</v>
      </c>
      <c r="K327" s="36" t="s">
        <v>339</v>
      </c>
      <c r="L327" s="74">
        <f>VLOOKUP(E327,Diccionario!C$2:AC$150,22,0)</f>
        <v>332116783</v>
      </c>
      <c r="M327" s="75">
        <f>VLOOKUP(E327,Diccionario!C$2:AC$150,24,0)</f>
        <v>45778</v>
      </c>
      <c r="N327" s="76">
        <f>VLOOKUP(E327,Diccionario!C$2:AC$150,25,0)</f>
        <v>46127</v>
      </c>
      <c r="O327" s="77">
        <f>VLOOKUP(E327,Diccionario!C$2:AC$150,26,0)</f>
        <v>11.47</v>
      </c>
      <c r="P327" s="77">
        <f t="shared" ca="1" si="131"/>
        <v>2.5299999999999994</v>
      </c>
      <c r="Q327" s="78">
        <f t="shared" ca="1" si="136"/>
        <v>14</v>
      </c>
      <c r="R327" s="36">
        <v>12</v>
      </c>
      <c r="S327" s="86">
        <v>1</v>
      </c>
      <c r="T327" s="86">
        <v>1</v>
      </c>
      <c r="U327" s="82"/>
      <c r="V327" s="82"/>
      <c r="W327" s="82">
        <f t="shared" si="137"/>
        <v>332116783</v>
      </c>
      <c r="X327" s="82">
        <f t="shared" si="132"/>
        <v>332116783</v>
      </c>
      <c r="Y327" s="82">
        <f t="shared" si="138"/>
        <v>332116783</v>
      </c>
      <c r="Z327" s="82">
        <f t="shared" si="133"/>
        <v>0</v>
      </c>
      <c r="AA327" s="83" t="str">
        <f t="shared" si="129"/>
        <v>No se realizó gasto en este corte</v>
      </c>
      <c r="AB327" s="84" t="str">
        <f t="shared" si="134"/>
        <v>Costo eficiente: se está gastando menos de lo presupuestado</v>
      </c>
      <c r="AC327" s="84">
        <f t="shared" si="139"/>
        <v>1</v>
      </c>
      <c r="AD327" s="84" t="str">
        <f t="shared" si="135"/>
        <v>Proyecto a tiempo según lo planificado</v>
      </c>
      <c r="AE327" s="85">
        <f t="shared" si="140"/>
        <v>0</v>
      </c>
      <c r="AF327" s="85">
        <f t="shared" si="141"/>
        <v>-332116783</v>
      </c>
      <c r="AG327" s="40" t="str">
        <f>VLOOKUP(Indicador!E327,Diccionario!C$1:AC$150,27,0)</f>
        <v>https://growdatasas.sharepoint.com/:x:/r/sites/Gestiondocumental/Administrativa/GD/Financiera/_layouts/15/Doc.aspx?sourcedoc=%7B992F7B45-9CC9-43D2-9E9D-0F8A68C8C555%7D&amp;file=22052025%20MODELO%20FINANCIERO%20REFERENCIA%20V7.4_ANSV_V1.0.xlsm&amp;action=default&amp;mobileredirect=true</v>
      </c>
      <c r="AH327" s="40">
        <v>1</v>
      </c>
      <c r="AI327" s="40">
        <v>1</v>
      </c>
    </row>
    <row r="328" spans="1:35" ht="18.75" customHeight="1">
      <c r="A328" s="73">
        <v>2025</v>
      </c>
      <c r="B328" s="112" t="s">
        <v>23</v>
      </c>
      <c r="C328" s="36" t="s">
        <v>340</v>
      </c>
      <c r="D328" s="37">
        <v>45845.610437002317</v>
      </c>
      <c r="E328" s="36" t="s">
        <v>53</v>
      </c>
      <c r="F328" s="36" t="s">
        <v>190</v>
      </c>
      <c r="G328" s="36" t="s">
        <v>341</v>
      </c>
      <c r="H328" s="36" t="s">
        <v>342</v>
      </c>
      <c r="I328" s="36" t="s">
        <v>165</v>
      </c>
      <c r="J328" s="36" t="s">
        <v>343</v>
      </c>
      <c r="K328" s="36" t="s">
        <v>177</v>
      </c>
      <c r="L328" s="74">
        <f>VLOOKUP(E328,Diccionario!C$2:AC$150,22,0)</f>
        <v>589176956</v>
      </c>
      <c r="M328" s="75">
        <f>VLOOKUP(E328,Diccionario!C$2:AC$150,24,0)</f>
        <v>45834</v>
      </c>
      <c r="N328" s="76">
        <f>VLOOKUP(E328,Diccionario!C$2:AC$150,25,0)</f>
        <v>46006</v>
      </c>
      <c r="O328" s="77">
        <f>VLOOKUP(E328,Diccionario!C$2:AC$150,26,0)</f>
        <v>5.63</v>
      </c>
      <c r="P328" s="77">
        <f t="shared" si="131"/>
        <v>-4.63</v>
      </c>
      <c r="Q328" s="78">
        <v>1</v>
      </c>
      <c r="R328" s="36">
        <v>6</v>
      </c>
      <c r="S328" s="86">
        <v>0.1</v>
      </c>
      <c r="T328" s="86">
        <v>0.1</v>
      </c>
      <c r="U328" s="82">
        <v>17471780</v>
      </c>
      <c r="V328" s="82">
        <v>17471780</v>
      </c>
      <c r="W328" s="82">
        <f t="shared" si="137"/>
        <v>58917695.600000001</v>
      </c>
      <c r="X328" s="82">
        <f t="shared" si="132"/>
        <v>58917695.600000001</v>
      </c>
      <c r="Y328" s="82">
        <f t="shared" si="138"/>
        <v>41445915.600000001</v>
      </c>
      <c r="Z328" s="82">
        <f t="shared" si="133"/>
        <v>0</v>
      </c>
      <c r="AA328" s="83">
        <f t="shared" si="129"/>
        <v>3.3721633170747345</v>
      </c>
      <c r="AB328" s="84" t="str">
        <f t="shared" si="134"/>
        <v>Costo eficiente: se está gastando menos de lo presupuestado</v>
      </c>
      <c r="AC328" s="84">
        <f t="shared" si="139"/>
        <v>1</v>
      </c>
      <c r="AD328" s="84" t="str">
        <f t="shared" si="135"/>
        <v>Proyecto a tiempo según lo planificado</v>
      </c>
      <c r="AE328" s="85">
        <f t="shared" si="140"/>
        <v>174717800</v>
      </c>
      <c r="AF328" s="85">
        <f t="shared" si="141"/>
        <v>-414459156</v>
      </c>
      <c r="AG328" s="40" t="str">
        <f>VLOOKUP(Indicador!E328,Diccionario!C$1:AC$150,27,0)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328" s="40">
        <v>1</v>
      </c>
      <c r="AI328" s="40">
        <v>1</v>
      </c>
    </row>
    <row r="329" spans="1:35" ht="18.75" customHeight="1">
      <c r="A329" s="73">
        <v>2025</v>
      </c>
      <c r="B329" s="112" t="s">
        <v>26</v>
      </c>
      <c r="C329" s="36" t="s">
        <v>340</v>
      </c>
      <c r="D329" s="37">
        <v>45845.610437002317</v>
      </c>
      <c r="E329" s="36" t="s">
        <v>53</v>
      </c>
      <c r="F329" s="36" t="s">
        <v>190</v>
      </c>
      <c r="G329" s="36" t="s">
        <v>341</v>
      </c>
      <c r="H329" s="36" t="s">
        <v>342</v>
      </c>
      <c r="I329" s="36" t="s">
        <v>165</v>
      </c>
      <c r="J329" s="36" t="s">
        <v>343</v>
      </c>
      <c r="K329" s="36" t="s">
        <v>177</v>
      </c>
      <c r="L329" s="74">
        <f>VLOOKUP(E329,Diccionario!C$2:AC$150,22,0)</f>
        <v>589176956</v>
      </c>
      <c r="M329" s="75">
        <f>VLOOKUP(E329,Diccionario!C$2:AC$150,24,0)</f>
        <v>45834</v>
      </c>
      <c r="N329" s="76">
        <f>VLOOKUP(E329,Diccionario!C$2:AC$150,25,0)</f>
        <v>46006</v>
      </c>
      <c r="O329" s="77">
        <f>VLOOKUP(E329,Diccionario!C$2:AC$150,26,0)</f>
        <v>5.63</v>
      </c>
      <c r="P329" s="77">
        <f t="shared" si="131"/>
        <v>-3.63</v>
      </c>
      <c r="Q329" s="78">
        <v>2</v>
      </c>
      <c r="R329" s="36">
        <v>6</v>
      </c>
      <c r="S329" s="86">
        <v>0.3</v>
      </c>
      <c r="T329" s="86">
        <v>0.3</v>
      </c>
      <c r="U329" s="82">
        <v>50762995</v>
      </c>
      <c r="V329" s="82">
        <v>50762995</v>
      </c>
      <c r="W329" s="82">
        <f t="shared" si="137"/>
        <v>176753086.79999998</v>
      </c>
      <c r="X329" s="82">
        <f t="shared" si="132"/>
        <v>176753086.79999998</v>
      </c>
      <c r="Y329" s="82">
        <f t="shared" si="138"/>
        <v>125990091.79999998</v>
      </c>
      <c r="Z329" s="82">
        <f t="shared" si="133"/>
        <v>0</v>
      </c>
      <c r="AA329" s="83">
        <f t="shared" si="129"/>
        <v>3.4819278649732937</v>
      </c>
      <c r="AB329" s="84" t="str">
        <f t="shared" si="134"/>
        <v>Costo eficiente: se está gastando menos de lo presupuestado</v>
      </c>
      <c r="AC329" s="84">
        <f t="shared" si="139"/>
        <v>1</v>
      </c>
      <c r="AD329" s="84" t="str">
        <f t="shared" si="135"/>
        <v>Proyecto a tiempo según lo planificado</v>
      </c>
      <c r="AE329" s="85">
        <f t="shared" si="140"/>
        <v>169209983.33333334</v>
      </c>
      <c r="AF329" s="85">
        <f t="shared" si="141"/>
        <v>-419966972.66666663</v>
      </c>
      <c r="AG329" s="40" t="str">
        <f>VLOOKUP(Indicador!E329,Diccionario!C$1:AC$150,27,0)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329" s="40">
        <v>1</v>
      </c>
      <c r="AI329" s="40">
        <v>1</v>
      </c>
    </row>
    <row r="330" spans="1:35" ht="18.75" customHeight="1">
      <c r="A330" s="73">
        <v>2025</v>
      </c>
      <c r="B330" s="112" t="s">
        <v>28</v>
      </c>
      <c r="C330" s="36" t="s">
        <v>340</v>
      </c>
      <c r="D330" s="37">
        <v>45845.610437002317</v>
      </c>
      <c r="E330" s="36" t="s">
        <v>53</v>
      </c>
      <c r="F330" s="36" t="s">
        <v>190</v>
      </c>
      <c r="G330" s="36" t="s">
        <v>341</v>
      </c>
      <c r="H330" s="36" t="s">
        <v>342</v>
      </c>
      <c r="I330" s="36" t="s">
        <v>165</v>
      </c>
      <c r="J330" s="36" t="s">
        <v>343</v>
      </c>
      <c r="K330" s="36" t="s">
        <v>177</v>
      </c>
      <c r="L330" s="74">
        <f>VLOOKUP(E330,Diccionario!C$2:AC$150,22,0)</f>
        <v>589176956</v>
      </c>
      <c r="M330" s="75">
        <f>VLOOKUP(E330,Diccionario!C$2:AC$150,24,0)</f>
        <v>45834</v>
      </c>
      <c r="N330" s="76">
        <f>VLOOKUP(E330,Diccionario!C$2:AC$150,25,0)</f>
        <v>46006</v>
      </c>
      <c r="O330" s="77">
        <f>VLOOKUP(E330,Diccionario!C$2:AC$150,26,0)</f>
        <v>5.63</v>
      </c>
      <c r="P330" s="77">
        <f t="shared" si="131"/>
        <v>-2.63</v>
      </c>
      <c r="Q330" s="78">
        <v>3</v>
      </c>
      <c r="R330" s="36">
        <v>6</v>
      </c>
      <c r="S330" s="86">
        <v>0.5</v>
      </c>
      <c r="T330" s="86">
        <v>0.5</v>
      </c>
      <c r="U330" s="82">
        <v>330740262</v>
      </c>
      <c r="V330" s="82">
        <v>330740262</v>
      </c>
      <c r="W330" s="82">
        <f t="shared" si="137"/>
        <v>294588478</v>
      </c>
      <c r="X330" s="82">
        <f t="shared" si="132"/>
        <v>294588478</v>
      </c>
      <c r="Y330" s="82">
        <f t="shared" si="138"/>
        <v>-36151784</v>
      </c>
      <c r="Z330" s="82">
        <f t="shared" si="133"/>
        <v>0</v>
      </c>
      <c r="AA330" s="83">
        <f t="shared" si="129"/>
        <v>0.89069433584714275</v>
      </c>
      <c r="AB330" s="84" t="str">
        <f t="shared" si="134"/>
        <v>Costo ineficiente: se está gastando más de lo presupuestado</v>
      </c>
      <c r="AC330" s="84">
        <f t="shared" si="139"/>
        <v>1</v>
      </c>
      <c r="AD330" s="84" t="str">
        <f t="shared" si="135"/>
        <v>Proyecto a tiempo según lo planificado</v>
      </c>
      <c r="AE330" s="85">
        <f t="shared" si="140"/>
        <v>661480524</v>
      </c>
      <c r="AF330" s="85">
        <f t="shared" si="141"/>
        <v>72303568</v>
      </c>
      <c r="AG330" s="40" t="str">
        <f>VLOOKUP(Indicador!E330,Diccionario!C$1:AC$150,27,0)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330" s="40">
        <v>1</v>
      </c>
      <c r="AI330" s="40">
        <v>1</v>
      </c>
    </row>
    <row r="331" spans="1:35" ht="18.75" customHeight="1">
      <c r="A331" s="73">
        <v>2025</v>
      </c>
      <c r="B331" s="112" t="s">
        <v>30</v>
      </c>
      <c r="C331" s="36" t="s">
        <v>340</v>
      </c>
      <c r="D331" s="37">
        <v>45845.610437002317</v>
      </c>
      <c r="E331" s="36" t="s">
        <v>53</v>
      </c>
      <c r="F331" s="36" t="s">
        <v>190</v>
      </c>
      <c r="G331" s="36" t="s">
        <v>341</v>
      </c>
      <c r="H331" s="36" t="s">
        <v>342</v>
      </c>
      <c r="I331" s="36" t="s">
        <v>165</v>
      </c>
      <c r="J331" s="36" t="s">
        <v>343</v>
      </c>
      <c r="K331" s="36" t="s">
        <v>177</v>
      </c>
      <c r="L331" s="74">
        <f>VLOOKUP(E331,Diccionario!C$2:AC$150,22,0)</f>
        <v>589176956</v>
      </c>
      <c r="M331" s="75">
        <f>VLOOKUP(E331,Diccionario!C$2:AC$150,24,0)</f>
        <v>45834</v>
      </c>
      <c r="N331" s="76">
        <f>VLOOKUP(E331,Diccionario!C$2:AC$150,25,0)</f>
        <v>46006</v>
      </c>
      <c r="O331" s="77">
        <f>VLOOKUP(E331,Diccionario!C$2:AC$150,26,0)</f>
        <v>5.63</v>
      </c>
      <c r="P331" s="77">
        <f t="shared" si="131"/>
        <v>-1.63</v>
      </c>
      <c r="Q331" s="78">
        <v>4</v>
      </c>
      <c r="R331" s="36">
        <v>6</v>
      </c>
      <c r="S331" s="86">
        <v>0.65</v>
      </c>
      <c r="T331" s="86">
        <v>0.65</v>
      </c>
      <c r="U331" s="82">
        <v>69719462</v>
      </c>
      <c r="V331" s="82">
        <v>69719462</v>
      </c>
      <c r="W331" s="82">
        <f t="shared" si="137"/>
        <v>382965021.40000004</v>
      </c>
      <c r="X331" s="82">
        <f t="shared" si="132"/>
        <v>382965021.40000004</v>
      </c>
      <c r="Y331" s="82">
        <f t="shared" si="138"/>
        <v>313245559.40000004</v>
      </c>
      <c r="Z331" s="82">
        <f t="shared" si="133"/>
        <v>0</v>
      </c>
      <c r="AA331" s="83">
        <f t="shared" si="129"/>
        <v>5.4929428657954942</v>
      </c>
      <c r="AB331" s="84" t="str">
        <f t="shared" si="134"/>
        <v>Costo eficiente: se está gastando menos de lo presupuestado</v>
      </c>
      <c r="AC331" s="84">
        <f t="shared" si="139"/>
        <v>1</v>
      </c>
      <c r="AD331" s="84" t="str">
        <f t="shared" si="135"/>
        <v>Proyecto a tiempo según lo planificado</v>
      </c>
      <c r="AE331" s="85">
        <f t="shared" si="140"/>
        <v>107260710.76923075</v>
      </c>
      <c r="AF331" s="85">
        <f t="shared" si="141"/>
        <v>-481916245.23076928</v>
      </c>
      <c r="AG331" s="40" t="str">
        <f>VLOOKUP(Indicador!E331,Diccionario!C$1:AC$150,27,0)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331" s="40">
        <v>1</v>
      </c>
      <c r="AI331" s="40">
        <v>1</v>
      </c>
    </row>
    <row r="332" spans="1:35" ht="18.75" customHeight="1">
      <c r="A332" s="73">
        <v>2025</v>
      </c>
      <c r="B332" s="112" t="s">
        <v>31</v>
      </c>
      <c r="C332" s="36" t="s">
        <v>340</v>
      </c>
      <c r="D332" s="37">
        <v>45845.610437002317</v>
      </c>
      <c r="E332" s="36" t="s">
        <v>53</v>
      </c>
      <c r="F332" s="36" t="s">
        <v>190</v>
      </c>
      <c r="G332" s="36" t="s">
        <v>341</v>
      </c>
      <c r="H332" s="36" t="s">
        <v>342</v>
      </c>
      <c r="I332" s="36" t="s">
        <v>165</v>
      </c>
      <c r="J332" s="36" t="s">
        <v>343</v>
      </c>
      <c r="K332" s="36" t="s">
        <v>177</v>
      </c>
      <c r="L332" s="74">
        <f>VLOOKUP(E332,Diccionario!C$2:AC$150,22,0)</f>
        <v>589176956</v>
      </c>
      <c r="M332" s="75">
        <f>VLOOKUP(E332,Diccionario!C$2:AC$150,24,0)</f>
        <v>45834</v>
      </c>
      <c r="N332" s="76">
        <f>VLOOKUP(E332,Diccionario!C$2:AC$150,25,0)</f>
        <v>46006</v>
      </c>
      <c r="O332" s="77">
        <f>VLOOKUP(E332,Diccionario!C$2:AC$150,26,0)</f>
        <v>5.63</v>
      </c>
      <c r="P332" s="77">
        <f t="shared" si="131"/>
        <v>-0.62999999999999989</v>
      </c>
      <c r="Q332" s="78">
        <v>5</v>
      </c>
      <c r="R332" s="36">
        <v>6</v>
      </c>
      <c r="S332" s="86">
        <v>0.85</v>
      </c>
      <c r="T332" s="86">
        <v>0.85</v>
      </c>
      <c r="U332" s="82">
        <v>107632395</v>
      </c>
      <c r="V332" s="82">
        <v>107632395</v>
      </c>
      <c r="W332" s="82">
        <f t="shared" si="137"/>
        <v>500800412.59999996</v>
      </c>
      <c r="X332" s="82">
        <f t="shared" si="132"/>
        <v>500800412.59999996</v>
      </c>
      <c r="Y332" s="82">
        <f t="shared" si="138"/>
        <v>393168017.59999996</v>
      </c>
      <c r="Z332" s="82">
        <f t="shared" si="133"/>
        <v>0</v>
      </c>
      <c r="AA332" s="83">
        <f t="shared" si="129"/>
        <v>4.652878091210364</v>
      </c>
      <c r="AB332" s="84" t="str">
        <f t="shared" si="134"/>
        <v>Costo eficiente: se está gastando menos de lo presupuestado</v>
      </c>
      <c r="AC332" s="84">
        <f t="shared" si="139"/>
        <v>1</v>
      </c>
      <c r="AD332" s="84" t="str">
        <f t="shared" si="135"/>
        <v>Proyecto a tiempo según lo planificado</v>
      </c>
      <c r="AE332" s="85">
        <f t="shared" si="140"/>
        <v>126626347.05882354</v>
      </c>
      <c r="AF332" s="85">
        <f t="shared" si="141"/>
        <v>-462550608.94117647</v>
      </c>
      <c r="AG332" s="40" t="str">
        <f>VLOOKUP(Indicador!E332,Diccionario!C$1:AC$150,27,0)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332" s="40">
        <v>1</v>
      </c>
      <c r="AI332" s="40">
        <v>1</v>
      </c>
    </row>
    <row r="333" spans="1:35" ht="18.75" customHeight="1">
      <c r="A333" s="73">
        <v>2025</v>
      </c>
      <c r="B333" s="112" t="s">
        <v>32</v>
      </c>
      <c r="C333" s="36" t="s">
        <v>340</v>
      </c>
      <c r="D333" s="37">
        <v>45845.610437002317</v>
      </c>
      <c r="E333" s="36" t="s">
        <v>53</v>
      </c>
      <c r="F333" s="36" t="s">
        <v>190</v>
      </c>
      <c r="G333" s="36" t="s">
        <v>341</v>
      </c>
      <c r="H333" s="36" t="s">
        <v>342</v>
      </c>
      <c r="I333" s="36" t="s">
        <v>165</v>
      </c>
      <c r="J333" s="36" t="s">
        <v>343</v>
      </c>
      <c r="K333" s="36" t="s">
        <v>177</v>
      </c>
      <c r="L333" s="74">
        <f>VLOOKUP(E333,Diccionario!C$2:AC$150,22,0)</f>
        <v>589176956</v>
      </c>
      <c r="M333" s="75">
        <f>VLOOKUP(E333,Diccionario!C$2:AC$150,24,0)</f>
        <v>45834</v>
      </c>
      <c r="N333" s="76">
        <f>VLOOKUP(E333,Diccionario!C$2:AC$150,25,0)</f>
        <v>46006</v>
      </c>
      <c r="O333" s="77">
        <f>VLOOKUP(E333,Diccionario!C$2:AC$150,26,0)</f>
        <v>5.63</v>
      </c>
      <c r="P333" s="77">
        <f t="shared" si="131"/>
        <v>0.37000000000000011</v>
      </c>
      <c r="Q333" s="78">
        <v>6</v>
      </c>
      <c r="R333" s="36">
        <v>6</v>
      </c>
      <c r="S333" s="86">
        <v>1</v>
      </c>
      <c r="T333" s="86">
        <v>1</v>
      </c>
      <c r="U333" s="82">
        <v>12850063</v>
      </c>
      <c r="V333" s="82">
        <v>12850063</v>
      </c>
      <c r="W333" s="82">
        <f t="shared" si="137"/>
        <v>589176956</v>
      </c>
      <c r="X333" s="82">
        <f t="shared" si="132"/>
        <v>589176956</v>
      </c>
      <c r="Y333" s="82">
        <f t="shared" si="138"/>
        <v>576326893</v>
      </c>
      <c r="Z333" s="82">
        <f t="shared" si="133"/>
        <v>0</v>
      </c>
      <c r="AA333" s="83">
        <f t="shared" si="129"/>
        <v>45.850121979946714</v>
      </c>
      <c r="AB333" s="84" t="str">
        <f t="shared" si="134"/>
        <v>Costo eficiente: se está gastando menos de lo presupuestado</v>
      </c>
      <c r="AC333" s="84">
        <f t="shared" si="139"/>
        <v>1</v>
      </c>
      <c r="AD333" s="84" t="str">
        <f t="shared" si="135"/>
        <v>Proyecto a tiempo según lo planificado</v>
      </c>
      <c r="AE333" s="85">
        <f t="shared" si="140"/>
        <v>12850063</v>
      </c>
      <c r="AF333" s="85">
        <f t="shared" si="141"/>
        <v>-576326893</v>
      </c>
      <c r="AG333" s="40" t="str">
        <f>VLOOKUP(Indicador!E333,Diccionario!C$1:AC$150,27,0)</f>
        <v>https://growdatasas.sharepoint.com/:x:/r/sites/Gestiondocumental/Administrativa/GD/Financiera/_layouts/15/Doc.aspx?sourcedoc=%7B9C76270D-595C-496E-97BB-8004054AF14A%7D&amp;file=20251301%20MODELO%20FINANCIERO%20REFERENCIA%20V7.4_ADRES_2A%C3%91OS_VF.xlsm&amp;action=default&amp;mobileredirect=true</v>
      </c>
      <c r="AH333" s="40">
        <v>1</v>
      </c>
      <c r="AI333" s="40">
        <v>1</v>
      </c>
    </row>
    <row r="334" spans="1:35" ht="18.75" customHeight="1">
      <c r="A334" s="73">
        <v>2025</v>
      </c>
      <c r="B334" s="112" t="s">
        <v>23</v>
      </c>
      <c r="C334" s="36" t="s">
        <v>344</v>
      </c>
      <c r="D334" s="37">
        <v>45845.584573807871</v>
      </c>
      <c r="E334" s="36" t="s">
        <v>62</v>
      </c>
      <c r="F334" s="36" t="s">
        <v>345</v>
      </c>
      <c r="G334" s="36" t="s">
        <v>346</v>
      </c>
      <c r="H334" s="36" t="s">
        <v>347</v>
      </c>
      <c r="I334" s="36" t="s">
        <v>152</v>
      </c>
      <c r="J334" s="36" t="s">
        <v>348</v>
      </c>
      <c r="K334" s="36" t="s">
        <v>177</v>
      </c>
      <c r="L334" s="74">
        <f>VLOOKUP(E334,Diccionario!C$2:AC$150,22,0)</f>
        <v>5155459063</v>
      </c>
      <c r="M334" s="75">
        <f>VLOOKUP(E334,Diccionario!C$2:AC$150,24,0)</f>
        <v>45836</v>
      </c>
      <c r="N334" s="76">
        <f>VLOOKUP(E334,Diccionario!C$2:AC$150,25,0)</f>
        <v>46112</v>
      </c>
      <c r="O334" s="77">
        <f>VLOOKUP(E334,Diccionario!C$2:AC$150,26,0)</f>
        <v>9.1</v>
      </c>
      <c r="P334" s="77">
        <f t="shared" si="131"/>
        <v>-7.1</v>
      </c>
      <c r="Q334" s="78">
        <v>2</v>
      </c>
      <c r="R334" s="36">
        <v>11</v>
      </c>
      <c r="S334" s="86">
        <v>0.19</v>
      </c>
      <c r="T334" s="86">
        <v>0.19</v>
      </c>
      <c r="U334" s="82">
        <v>1753299905</v>
      </c>
      <c r="V334" s="82">
        <v>1753299905</v>
      </c>
      <c r="W334" s="82">
        <f t="shared" si="137"/>
        <v>979537221.97000003</v>
      </c>
      <c r="X334" s="82">
        <f t="shared" si="132"/>
        <v>979537221.97000003</v>
      </c>
      <c r="Y334" s="82">
        <f t="shared" si="138"/>
        <v>-773762683.02999997</v>
      </c>
      <c r="Z334" s="82">
        <f t="shared" si="133"/>
        <v>0</v>
      </c>
      <c r="AA334" s="83">
        <f t="shared" si="129"/>
        <v>0.55868207097746925</v>
      </c>
      <c r="AB334" s="84" t="str">
        <f t="shared" si="134"/>
        <v>Costo ineficiente: se está gastando más de lo presupuestado</v>
      </c>
      <c r="AC334" s="84">
        <f t="shared" si="139"/>
        <v>1</v>
      </c>
      <c r="AD334" s="84" t="str">
        <f t="shared" si="135"/>
        <v>Proyecto a tiempo según lo planificado</v>
      </c>
      <c r="AE334" s="85">
        <f t="shared" si="140"/>
        <v>9227894236.842104</v>
      </c>
      <c r="AF334" s="85">
        <f t="shared" si="141"/>
        <v>4072435173.842104</v>
      </c>
      <c r="AG334" s="40" t="str">
        <f>VLOOKUP(Indicador!E334,Diccionario!C$1:AC$150,27,0)</f>
        <v>https://growdatasas.sharepoint.com/:x:/r/sites/Gestiondocumental/Administrativa/GD/Financiera/_layouts/15/Doc.aspx?sourcedoc=%7BCBD85F36-19B3-4585-A509-7CFC7A30BABA%7D&amp;file=MODELO%20FINANCIERO%20CNE%202025_8%20(Fase%205%20aprobado).xlsm&amp;action=default&amp;mobileredirect=true</v>
      </c>
      <c r="AH334" s="40">
        <v>1</v>
      </c>
      <c r="AI334" s="40">
        <v>1</v>
      </c>
    </row>
    <row r="335" spans="1:35" ht="18.75" customHeight="1">
      <c r="A335" s="73">
        <v>2025</v>
      </c>
      <c r="B335" s="112" t="s">
        <v>26</v>
      </c>
      <c r="C335" s="36" t="s">
        <v>344</v>
      </c>
      <c r="D335" s="37">
        <v>45845.584573807871</v>
      </c>
      <c r="E335" s="36" t="s">
        <v>62</v>
      </c>
      <c r="F335" s="36" t="s">
        <v>345</v>
      </c>
      <c r="G335" s="36" t="s">
        <v>346</v>
      </c>
      <c r="H335" s="36" t="s">
        <v>347</v>
      </c>
      <c r="I335" s="36" t="s">
        <v>152</v>
      </c>
      <c r="J335" s="36" t="s">
        <v>348</v>
      </c>
      <c r="K335" s="36" t="s">
        <v>177</v>
      </c>
      <c r="L335" s="74">
        <f>VLOOKUP(E335,Diccionario!C$2:AC$150,22,0)</f>
        <v>5155459063</v>
      </c>
      <c r="M335" s="75">
        <f>VLOOKUP(E335,Diccionario!C$2:AC$150,24,0)</f>
        <v>45836</v>
      </c>
      <c r="N335" s="76">
        <f>VLOOKUP(E335,Diccionario!C$2:AC$150,25,0)</f>
        <v>46112</v>
      </c>
      <c r="O335" s="77">
        <f>VLOOKUP(E335,Diccionario!C$2:AC$150,26,0)</f>
        <v>9.1</v>
      </c>
      <c r="P335" s="77">
        <f t="shared" si="131"/>
        <v>-6.1</v>
      </c>
      <c r="Q335" s="78">
        <v>3</v>
      </c>
      <c r="R335" s="36">
        <v>11</v>
      </c>
      <c r="S335" s="86">
        <v>0.31</v>
      </c>
      <c r="T335" s="86">
        <v>0.31</v>
      </c>
      <c r="U335" s="82">
        <v>448273673</v>
      </c>
      <c r="V335" s="82">
        <v>448273673</v>
      </c>
      <c r="W335" s="82">
        <f t="shared" si="137"/>
        <v>1598192309.53</v>
      </c>
      <c r="X335" s="82">
        <f t="shared" si="132"/>
        <v>1598192309.53</v>
      </c>
      <c r="Y335" s="82">
        <f t="shared" si="138"/>
        <v>1149918636.53</v>
      </c>
      <c r="Z335" s="82">
        <f t="shared" si="133"/>
        <v>0</v>
      </c>
      <c r="AA335" s="83">
        <f t="shared" si="129"/>
        <v>3.5652156389964929</v>
      </c>
      <c r="AB335" s="84" t="str">
        <f t="shared" si="134"/>
        <v>Costo eficiente: se está gastando menos de lo presupuestado</v>
      </c>
      <c r="AC335" s="84">
        <f t="shared" si="139"/>
        <v>1</v>
      </c>
      <c r="AD335" s="84" t="str">
        <f t="shared" si="135"/>
        <v>Proyecto a tiempo según lo planificado</v>
      </c>
      <c r="AE335" s="85">
        <f t="shared" si="140"/>
        <v>1446044106.4516129</v>
      </c>
      <c r="AF335" s="85">
        <f t="shared" si="141"/>
        <v>-3709414956.5483871</v>
      </c>
      <c r="AG335" s="40" t="str">
        <f>VLOOKUP(Indicador!E335,Diccionario!C$1:AC$150,27,0)</f>
        <v>https://growdatasas.sharepoint.com/:x:/r/sites/Gestiondocumental/Administrativa/GD/Financiera/_layouts/15/Doc.aspx?sourcedoc=%7BCBD85F36-19B3-4585-A509-7CFC7A30BABA%7D&amp;file=MODELO%20FINANCIERO%20CNE%202025_8%20(Fase%205%20aprobado).xlsm&amp;action=default&amp;mobileredirect=true</v>
      </c>
      <c r="AH335" s="40">
        <v>1</v>
      </c>
      <c r="AI335" s="40">
        <v>1</v>
      </c>
    </row>
    <row r="336" spans="1:35" ht="18.75" customHeight="1">
      <c r="A336" s="73">
        <v>2025</v>
      </c>
      <c r="B336" s="112" t="s">
        <v>28</v>
      </c>
      <c r="C336" s="36" t="s">
        <v>344</v>
      </c>
      <c r="D336" s="37">
        <v>45845.584573807871</v>
      </c>
      <c r="E336" s="36" t="s">
        <v>62</v>
      </c>
      <c r="F336" s="36" t="s">
        <v>345</v>
      </c>
      <c r="G336" s="36" t="s">
        <v>346</v>
      </c>
      <c r="H336" s="36" t="s">
        <v>347</v>
      </c>
      <c r="I336" s="36" t="s">
        <v>152</v>
      </c>
      <c r="J336" s="36" t="s">
        <v>348</v>
      </c>
      <c r="K336" s="36" t="s">
        <v>177</v>
      </c>
      <c r="L336" s="74">
        <f>VLOOKUP(E336,Diccionario!C$2:AC$150,22,0)</f>
        <v>5155459063</v>
      </c>
      <c r="M336" s="75">
        <f>VLOOKUP(E336,Diccionario!C$2:AC$150,24,0)</f>
        <v>45836</v>
      </c>
      <c r="N336" s="76">
        <f>VLOOKUP(E336,Diccionario!C$2:AC$150,25,0)</f>
        <v>46112</v>
      </c>
      <c r="O336" s="77">
        <f>VLOOKUP(E336,Diccionario!C$2:AC$150,26,0)</f>
        <v>9.1</v>
      </c>
      <c r="P336" s="77">
        <f t="shared" si="131"/>
        <v>-5.0999999999999996</v>
      </c>
      <c r="Q336" s="78">
        <v>4</v>
      </c>
      <c r="R336" s="36">
        <v>11</v>
      </c>
      <c r="S336" s="86">
        <v>0.43</v>
      </c>
      <c r="T336" s="86">
        <v>0.43</v>
      </c>
      <c r="U336" s="82">
        <v>378745034</v>
      </c>
      <c r="V336" s="82">
        <v>378745034</v>
      </c>
      <c r="W336" s="82">
        <f t="shared" si="137"/>
        <v>2216847397.0900002</v>
      </c>
      <c r="X336" s="82">
        <f t="shared" si="132"/>
        <v>2216847397.0900002</v>
      </c>
      <c r="Y336" s="82">
        <f t="shared" si="138"/>
        <v>1838102363.0900002</v>
      </c>
      <c r="Z336" s="82">
        <f t="shared" si="133"/>
        <v>0</v>
      </c>
      <c r="AA336" s="83">
        <f t="shared" si="129"/>
        <v>5.8531391782948106</v>
      </c>
      <c r="AB336" s="84" t="str">
        <f t="shared" si="134"/>
        <v>Costo eficiente: se está gastando menos de lo presupuestado</v>
      </c>
      <c r="AC336" s="84">
        <f t="shared" si="139"/>
        <v>1</v>
      </c>
      <c r="AD336" s="84" t="str">
        <f t="shared" si="135"/>
        <v>Proyecto a tiempo según lo planificado</v>
      </c>
      <c r="AE336" s="85">
        <f t="shared" si="140"/>
        <v>880802404.65116274</v>
      </c>
      <c r="AF336" s="85">
        <f t="shared" si="141"/>
        <v>-4274656658.3488374</v>
      </c>
      <c r="AG336" s="40" t="str">
        <f>VLOOKUP(Indicador!E336,Diccionario!C$1:AC$150,27,0)</f>
        <v>https://growdatasas.sharepoint.com/:x:/r/sites/Gestiondocumental/Administrativa/GD/Financiera/_layouts/15/Doc.aspx?sourcedoc=%7BCBD85F36-19B3-4585-A509-7CFC7A30BABA%7D&amp;file=MODELO%20FINANCIERO%20CNE%202025_8%20(Fase%205%20aprobado).xlsm&amp;action=default&amp;mobileredirect=true</v>
      </c>
      <c r="AH336" s="40">
        <v>1</v>
      </c>
      <c r="AI336" s="40">
        <v>1</v>
      </c>
    </row>
    <row r="337" spans="1:35" ht="18.75" customHeight="1">
      <c r="A337" s="73">
        <v>2025</v>
      </c>
      <c r="B337" s="112" t="s">
        <v>30</v>
      </c>
      <c r="C337" s="36" t="s">
        <v>344</v>
      </c>
      <c r="D337" s="37">
        <v>45845.584573807871</v>
      </c>
      <c r="E337" s="36" t="s">
        <v>62</v>
      </c>
      <c r="F337" s="36" t="s">
        <v>345</v>
      </c>
      <c r="G337" s="36" t="s">
        <v>346</v>
      </c>
      <c r="H337" s="36" t="s">
        <v>347</v>
      </c>
      <c r="I337" s="36" t="s">
        <v>152</v>
      </c>
      <c r="J337" s="36" t="s">
        <v>348</v>
      </c>
      <c r="K337" s="36" t="s">
        <v>177</v>
      </c>
      <c r="L337" s="74">
        <f>VLOOKUP(E337,Diccionario!C$2:AC$150,22,0)</f>
        <v>5155459063</v>
      </c>
      <c r="M337" s="75">
        <f>VLOOKUP(E337,Diccionario!C$2:AC$150,24,0)</f>
        <v>45836</v>
      </c>
      <c r="N337" s="76">
        <f>VLOOKUP(E337,Diccionario!C$2:AC$150,25,0)</f>
        <v>46112</v>
      </c>
      <c r="O337" s="77">
        <f>VLOOKUP(E337,Diccionario!C$2:AC$150,26,0)</f>
        <v>9.1</v>
      </c>
      <c r="P337" s="77">
        <f t="shared" si="131"/>
        <v>-4.0999999999999996</v>
      </c>
      <c r="Q337" s="78">
        <v>5</v>
      </c>
      <c r="R337" s="36">
        <v>11</v>
      </c>
      <c r="S337" s="86">
        <v>0.5</v>
      </c>
      <c r="T337" s="86">
        <v>0.5</v>
      </c>
      <c r="U337" s="82">
        <v>378745034</v>
      </c>
      <c r="V337" s="82">
        <v>378745034</v>
      </c>
      <c r="W337" s="82">
        <f t="shared" si="137"/>
        <v>2577729531.5</v>
      </c>
      <c r="X337" s="82">
        <f t="shared" si="132"/>
        <v>2577729531.5</v>
      </c>
      <c r="Y337" s="82">
        <f t="shared" si="138"/>
        <v>2198984497.5</v>
      </c>
      <c r="Z337" s="82">
        <f t="shared" si="133"/>
        <v>0</v>
      </c>
      <c r="AA337" s="83">
        <f t="shared" si="129"/>
        <v>6.8059757887148962</v>
      </c>
      <c r="AB337" s="84" t="str">
        <f t="shared" si="134"/>
        <v>Costo eficiente: se está gastando menos de lo presupuestado</v>
      </c>
      <c r="AC337" s="84">
        <f t="shared" si="139"/>
        <v>1</v>
      </c>
      <c r="AD337" s="84" t="str">
        <f t="shared" si="135"/>
        <v>Proyecto a tiempo según lo planificado</v>
      </c>
      <c r="AE337" s="85">
        <f t="shared" si="140"/>
        <v>757490068</v>
      </c>
      <c r="AF337" s="85">
        <f t="shared" si="141"/>
        <v>-4397968995</v>
      </c>
      <c r="AG337" s="40" t="str">
        <f>VLOOKUP(Indicador!E337,Diccionario!C$1:AC$150,27,0)</f>
        <v>https://growdatasas.sharepoint.com/:x:/r/sites/Gestiondocumental/Administrativa/GD/Financiera/_layouts/15/Doc.aspx?sourcedoc=%7BCBD85F36-19B3-4585-A509-7CFC7A30BABA%7D&amp;file=MODELO%20FINANCIERO%20CNE%202025_8%20(Fase%205%20aprobado).xlsm&amp;action=default&amp;mobileredirect=true</v>
      </c>
      <c r="AH337" s="40">
        <v>1</v>
      </c>
      <c r="AI337" s="40">
        <v>1</v>
      </c>
    </row>
    <row r="338" spans="1:35" ht="18.75" customHeight="1">
      <c r="A338" s="73">
        <v>2025</v>
      </c>
      <c r="B338" s="112" t="s">
        <v>31</v>
      </c>
      <c r="C338" s="36" t="s">
        <v>344</v>
      </c>
      <c r="D338" s="37">
        <v>45845.584573807871</v>
      </c>
      <c r="E338" s="36" t="s">
        <v>62</v>
      </c>
      <c r="F338" s="36" t="s">
        <v>345</v>
      </c>
      <c r="G338" s="36" t="s">
        <v>346</v>
      </c>
      <c r="H338" s="36" t="s">
        <v>347</v>
      </c>
      <c r="I338" s="36" t="s">
        <v>152</v>
      </c>
      <c r="J338" s="36" t="s">
        <v>348</v>
      </c>
      <c r="K338" s="36" t="s">
        <v>177</v>
      </c>
      <c r="L338" s="74">
        <f>VLOOKUP(E338,Diccionario!C$2:AC$150,22,0)</f>
        <v>5155459063</v>
      </c>
      <c r="M338" s="75">
        <f>VLOOKUP(E338,Diccionario!C$2:AC$150,24,0)</f>
        <v>45836</v>
      </c>
      <c r="N338" s="76">
        <f>VLOOKUP(E338,Diccionario!C$2:AC$150,25,0)</f>
        <v>46112</v>
      </c>
      <c r="O338" s="77">
        <f>VLOOKUP(E338,Diccionario!C$2:AC$150,26,0)</f>
        <v>9.1</v>
      </c>
      <c r="P338" s="77">
        <f t="shared" si="131"/>
        <v>-3.0999999999999996</v>
      </c>
      <c r="Q338" s="78">
        <v>6</v>
      </c>
      <c r="R338" s="36">
        <v>11</v>
      </c>
      <c r="S338" s="86">
        <v>0.65</v>
      </c>
      <c r="T338" s="86">
        <v>0.65</v>
      </c>
      <c r="U338" s="82">
        <v>378745034</v>
      </c>
      <c r="V338" s="82">
        <v>378745034</v>
      </c>
      <c r="W338" s="82">
        <f t="shared" si="137"/>
        <v>3351048390.9500003</v>
      </c>
      <c r="X338" s="82">
        <f t="shared" si="132"/>
        <v>3351048390.9500003</v>
      </c>
      <c r="Y338" s="82">
        <f t="shared" si="138"/>
        <v>2972303356.9500003</v>
      </c>
      <c r="Z338" s="82">
        <f t="shared" si="133"/>
        <v>0</v>
      </c>
      <c r="AA338" s="83">
        <f t="shared" ref="AA338:AA395" si="142">IFERROR(W338/U338,"No se realizó gasto en este corte")</f>
        <v>8.8477685253293661</v>
      </c>
      <c r="AB338" s="84" t="str">
        <f t="shared" si="134"/>
        <v>Costo eficiente: se está gastando menos de lo presupuestado</v>
      </c>
      <c r="AC338" s="84">
        <f t="shared" si="139"/>
        <v>1</v>
      </c>
      <c r="AD338" s="84" t="str">
        <f t="shared" si="135"/>
        <v>Proyecto a tiempo según lo planificado</v>
      </c>
      <c r="AE338" s="85">
        <f t="shared" si="140"/>
        <v>582684667.69230759</v>
      </c>
      <c r="AF338" s="85">
        <f t="shared" si="141"/>
        <v>-4572774395.3076925</v>
      </c>
      <c r="AG338" s="40" t="str">
        <f>VLOOKUP(Indicador!E338,Diccionario!C$1:AC$150,27,0)</f>
        <v>https://growdatasas.sharepoint.com/:x:/r/sites/Gestiondocumental/Administrativa/GD/Financiera/_layouts/15/Doc.aspx?sourcedoc=%7BCBD85F36-19B3-4585-A509-7CFC7A30BABA%7D&amp;file=MODELO%20FINANCIERO%20CNE%202025_8%20(Fase%205%20aprobado).xlsm&amp;action=default&amp;mobileredirect=true</v>
      </c>
      <c r="AH338" s="40">
        <v>1</v>
      </c>
      <c r="AI338" s="40">
        <v>1</v>
      </c>
    </row>
    <row r="339" spans="1:35" ht="18.75" customHeight="1">
      <c r="A339" s="73">
        <v>2025</v>
      </c>
      <c r="B339" s="112" t="s">
        <v>32</v>
      </c>
      <c r="C339" s="36" t="s">
        <v>344</v>
      </c>
      <c r="D339" s="37">
        <v>45845.584573807871</v>
      </c>
      <c r="E339" s="36" t="s">
        <v>62</v>
      </c>
      <c r="F339" s="36" t="s">
        <v>345</v>
      </c>
      <c r="G339" s="36" t="s">
        <v>346</v>
      </c>
      <c r="H339" s="36" t="s">
        <v>347</v>
      </c>
      <c r="I339" s="36" t="s">
        <v>152</v>
      </c>
      <c r="J339" s="36" t="s">
        <v>348</v>
      </c>
      <c r="K339" s="36" t="s">
        <v>177</v>
      </c>
      <c r="L339" s="74">
        <f>VLOOKUP(E339,Diccionario!C$2:AC$150,22,0)</f>
        <v>5155459063</v>
      </c>
      <c r="M339" s="75">
        <f>VLOOKUP(E339,Diccionario!C$2:AC$150,24,0)</f>
        <v>45836</v>
      </c>
      <c r="N339" s="76">
        <f>VLOOKUP(E339,Diccionario!C$2:AC$150,25,0)</f>
        <v>46112</v>
      </c>
      <c r="O339" s="77">
        <f>VLOOKUP(E339,Diccionario!C$2:AC$150,26,0)</f>
        <v>9.1</v>
      </c>
      <c r="P339" s="77">
        <f t="shared" si="131"/>
        <v>-2.0999999999999996</v>
      </c>
      <c r="Q339" s="78">
        <v>7</v>
      </c>
      <c r="R339" s="36">
        <v>11</v>
      </c>
      <c r="S339" s="86">
        <v>0.7</v>
      </c>
      <c r="T339" s="86">
        <v>0.7</v>
      </c>
      <c r="U339" s="82">
        <v>378745034</v>
      </c>
      <c r="V339" s="82">
        <v>378745034</v>
      </c>
      <c r="W339" s="82">
        <f t="shared" si="137"/>
        <v>3608821344.0999999</v>
      </c>
      <c r="X339" s="82">
        <f t="shared" si="132"/>
        <v>3608821344.0999999</v>
      </c>
      <c r="Y339" s="82">
        <f t="shared" si="138"/>
        <v>3230076310.0999999</v>
      </c>
      <c r="Z339" s="82">
        <f t="shared" si="133"/>
        <v>0</v>
      </c>
      <c r="AA339" s="83">
        <f t="shared" si="142"/>
        <v>9.5283661042008543</v>
      </c>
      <c r="AB339" s="84" t="str">
        <f t="shared" si="134"/>
        <v>Costo eficiente: se está gastando menos de lo presupuestado</v>
      </c>
      <c r="AC339" s="84">
        <f t="shared" si="139"/>
        <v>1</v>
      </c>
      <c r="AD339" s="84" t="str">
        <f t="shared" si="135"/>
        <v>Proyecto a tiempo según lo planificado</v>
      </c>
      <c r="AE339" s="85">
        <f t="shared" si="140"/>
        <v>541064334.28571427</v>
      </c>
      <c r="AF339" s="85">
        <f t="shared" si="141"/>
        <v>-4614394728.7142859</v>
      </c>
      <c r="AG339" s="40" t="str">
        <f>VLOOKUP(Indicador!E339,Diccionario!C$1:AC$150,27,0)</f>
        <v>https://growdatasas.sharepoint.com/:x:/r/sites/Gestiondocumental/Administrativa/GD/Financiera/_layouts/15/Doc.aspx?sourcedoc=%7BCBD85F36-19B3-4585-A509-7CFC7A30BABA%7D&amp;file=MODELO%20FINANCIERO%20CNE%202025_8%20(Fase%205%20aprobado).xlsm&amp;action=default&amp;mobileredirect=true</v>
      </c>
      <c r="AH339" s="40">
        <v>1</v>
      </c>
      <c r="AI339" s="40">
        <v>1</v>
      </c>
    </row>
    <row r="340" spans="1:35" ht="18.75" customHeight="1">
      <c r="A340" s="73">
        <v>2026</v>
      </c>
      <c r="B340" s="112" t="s">
        <v>14</v>
      </c>
      <c r="C340" s="36" t="s">
        <v>344</v>
      </c>
      <c r="D340" s="37">
        <v>45845.584573807871</v>
      </c>
      <c r="E340" s="36" t="s">
        <v>62</v>
      </c>
      <c r="F340" s="36" t="s">
        <v>345</v>
      </c>
      <c r="G340" s="36" t="s">
        <v>346</v>
      </c>
      <c r="H340" s="36" t="s">
        <v>347</v>
      </c>
      <c r="I340" s="36" t="s">
        <v>152</v>
      </c>
      <c r="J340" s="36" t="s">
        <v>348</v>
      </c>
      <c r="K340" s="36" t="s">
        <v>177</v>
      </c>
      <c r="L340" s="74">
        <f>VLOOKUP(E340,Diccionario!C$2:AC$150,22,0)</f>
        <v>5155459063</v>
      </c>
      <c r="M340" s="75">
        <f>VLOOKUP(E340,Diccionario!C$2:AC$150,24,0)</f>
        <v>45836</v>
      </c>
      <c r="N340" s="76">
        <f>VLOOKUP(E340,Diccionario!C$2:AC$150,25,0)</f>
        <v>46112</v>
      </c>
      <c r="O340" s="77">
        <f>VLOOKUP(E340,Diccionario!C$2:AC$150,26,0)</f>
        <v>9.1</v>
      </c>
      <c r="P340" s="77">
        <f t="shared" si="131"/>
        <v>-1.0999999999999996</v>
      </c>
      <c r="Q340" s="78">
        <v>8</v>
      </c>
      <c r="R340" s="36">
        <v>11</v>
      </c>
      <c r="S340" s="86">
        <v>0.75</v>
      </c>
      <c r="T340" s="86">
        <v>0.75</v>
      </c>
      <c r="U340" s="82">
        <v>772290883</v>
      </c>
      <c r="V340" s="82">
        <v>772290883</v>
      </c>
      <c r="W340" s="82">
        <f t="shared" si="137"/>
        <v>3866594297.25</v>
      </c>
      <c r="X340" s="82">
        <f t="shared" si="132"/>
        <v>3866594297.25</v>
      </c>
      <c r="Y340" s="82">
        <f t="shared" si="138"/>
        <v>3094303414.25</v>
      </c>
      <c r="Z340" s="82">
        <f t="shared" si="133"/>
        <v>0</v>
      </c>
      <c r="AA340" s="83">
        <f t="shared" si="142"/>
        <v>5.006655370875329</v>
      </c>
      <c r="AB340" s="84" t="str">
        <f t="shared" si="134"/>
        <v>Costo eficiente: se está gastando menos de lo presupuestado</v>
      </c>
      <c r="AC340" s="84">
        <f t="shared" si="139"/>
        <v>1</v>
      </c>
      <c r="AD340" s="84" t="str">
        <f t="shared" si="135"/>
        <v>Proyecto a tiempo según lo planificado</v>
      </c>
      <c r="AE340" s="85">
        <f t="shared" si="140"/>
        <v>1029721177.3333333</v>
      </c>
      <c r="AF340" s="85">
        <f t="shared" si="141"/>
        <v>-4125737885.666667</v>
      </c>
      <c r="AG340" s="40" t="str">
        <f>VLOOKUP(Indicador!E340,Diccionario!C$1:AC$150,27,0)</f>
        <v>https://growdatasas.sharepoint.com/:x:/r/sites/Gestiondocumental/Administrativa/GD/Financiera/_layouts/15/Doc.aspx?sourcedoc=%7BCBD85F36-19B3-4585-A509-7CFC7A30BABA%7D&amp;file=MODELO%20FINANCIERO%20CNE%202025_8%20(Fase%205%20aprobado).xlsm&amp;action=default&amp;mobileredirect=true</v>
      </c>
      <c r="AH340" s="40">
        <v>1</v>
      </c>
      <c r="AI340" s="40">
        <v>1</v>
      </c>
    </row>
    <row r="341" spans="1:35" ht="18.75" customHeight="1">
      <c r="A341" s="73">
        <v>2026</v>
      </c>
      <c r="B341" s="112" t="s">
        <v>22</v>
      </c>
      <c r="C341" s="36" t="s">
        <v>344</v>
      </c>
      <c r="D341" s="37">
        <v>45845.584573807871</v>
      </c>
      <c r="E341" s="36" t="s">
        <v>62</v>
      </c>
      <c r="F341" s="36" t="s">
        <v>345</v>
      </c>
      <c r="G341" s="36" t="s">
        <v>346</v>
      </c>
      <c r="H341" s="36" t="s">
        <v>347</v>
      </c>
      <c r="I341" s="36" t="s">
        <v>152</v>
      </c>
      <c r="J341" s="36" t="s">
        <v>348</v>
      </c>
      <c r="K341" s="36" t="s">
        <v>177</v>
      </c>
      <c r="L341" s="74">
        <f>VLOOKUP(E341,Diccionario!C$2:AC$150,22,0)</f>
        <v>5155459063</v>
      </c>
      <c r="M341" s="75">
        <f>VLOOKUP(E341,Diccionario!C$2:AC$150,24,0)</f>
        <v>45836</v>
      </c>
      <c r="N341" s="76">
        <f>VLOOKUP(E341,Diccionario!C$2:AC$150,25,0)</f>
        <v>46112</v>
      </c>
      <c r="O341" s="77">
        <f>VLOOKUP(E341,Diccionario!C$2:AC$150,26,0)</f>
        <v>9.1</v>
      </c>
      <c r="P341" s="77">
        <f t="shared" si="131"/>
        <v>-9.9999999999999645E-2</v>
      </c>
      <c r="Q341" s="78">
        <v>9</v>
      </c>
      <c r="R341" s="36">
        <v>11</v>
      </c>
      <c r="S341" s="86">
        <v>0.85</v>
      </c>
      <c r="T341" s="86">
        <v>0.85</v>
      </c>
      <c r="U341" s="82"/>
      <c r="V341" s="82"/>
      <c r="W341" s="82">
        <f t="shared" si="137"/>
        <v>4382140203.5500002</v>
      </c>
      <c r="X341" s="82">
        <f t="shared" si="132"/>
        <v>4382140203.5500002</v>
      </c>
      <c r="Y341" s="82">
        <f t="shared" si="138"/>
        <v>4382140203.5500002</v>
      </c>
      <c r="Z341" s="82">
        <f t="shared" si="133"/>
        <v>0</v>
      </c>
      <c r="AA341" s="83" t="str">
        <f t="shared" si="142"/>
        <v>No se realizó gasto en este corte</v>
      </c>
      <c r="AB341" s="84" t="str">
        <f t="shared" si="134"/>
        <v>Costo eficiente: se está gastando menos de lo presupuestado</v>
      </c>
      <c r="AC341" s="84">
        <f t="shared" si="139"/>
        <v>1</v>
      </c>
      <c r="AD341" s="84" t="str">
        <f t="shared" si="135"/>
        <v>Proyecto a tiempo según lo planificado</v>
      </c>
      <c r="AE341" s="85">
        <f t="shared" si="140"/>
        <v>0</v>
      </c>
      <c r="AF341" s="85">
        <f t="shared" si="141"/>
        <v>-5155459063</v>
      </c>
      <c r="AG341" s="40" t="str">
        <f>VLOOKUP(Indicador!E341,Diccionario!C$1:AC$150,27,0)</f>
        <v>https://growdatasas.sharepoint.com/:x:/r/sites/Gestiondocumental/Administrativa/GD/Financiera/_layouts/15/Doc.aspx?sourcedoc=%7BCBD85F36-19B3-4585-A509-7CFC7A30BABA%7D&amp;file=MODELO%20FINANCIERO%20CNE%202025_8%20(Fase%205%20aprobado).xlsm&amp;action=default&amp;mobileredirect=true</v>
      </c>
      <c r="AH341" s="40">
        <v>1</v>
      </c>
      <c r="AI341" s="40">
        <v>1</v>
      </c>
    </row>
    <row r="342" spans="1:35" ht="18.75" customHeight="1">
      <c r="A342" s="73">
        <v>2026</v>
      </c>
      <c r="B342" s="112" t="s">
        <v>24</v>
      </c>
      <c r="C342" s="36" t="s">
        <v>344</v>
      </c>
      <c r="D342" s="37">
        <v>45845.584573807871</v>
      </c>
      <c r="E342" s="36" t="s">
        <v>62</v>
      </c>
      <c r="F342" s="36" t="s">
        <v>345</v>
      </c>
      <c r="G342" s="36" t="s">
        <v>346</v>
      </c>
      <c r="H342" s="36" t="s">
        <v>347</v>
      </c>
      <c r="I342" s="36" t="s">
        <v>152</v>
      </c>
      <c r="J342" s="36" t="s">
        <v>348</v>
      </c>
      <c r="K342" s="36" t="s">
        <v>177</v>
      </c>
      <c r="L342" s="74">
        <f>VLOOKUP(E342,Diccionario!C$2:AC$150,22,0)</f>
        <v>5155459063</v>
      </c>
      <c r="M342" s="75">
        <f>VLOOKUP(E342,Diccionario!C$2:AC$150,24,0)</f>
        <v>45836</v>
      </c>
      <c r="N342" s="76">
        <f>VLOOKUP(E342,Diccionario!C$2:AC$150,25,0)</f>
        <v>46112</v>
      </c>
      <c r="O342" s="77">
        <f>VLOOKUP(E342,Diccionario!C$2:AC$150,26,0)</f>
        <v>9.1</v>
      </c>
      <c r="P342" s="77">
        <f t="shared" si="131"/>
        <v>0.90000000000000036</v>
      </c>
      <c r="Q342" s="78">
        <v>10</v>
      </c>
      <c r="R342" s="36">
        <v>11</v>
      </c>
      <c r="S342" s="86">
        <v>1</v>
      </c>
      <c r="T342" s="86">
        <v>1</v>
      </c>
      <c r="U342" s="82"/>
      <c r="V342" s="82"/>
      <c r="W342" s="82">
        <f t="shared" si="137"/>
        <v>5155459063</v>
      </c>
      <c r="X342" s="82">
        <f t="shared" si="132"/>
        <v>5155459063</v>
      </c>
      <c r="Y342" s="82">
        <f t="shared" si="138"/>
        <v>5155459063</v>
      </c>
      <c r="Z342" s="82">
        <f t="shared" si="133"/>
        <v>0</v>
      </c>
      <c r="AA342" s="83" t="str">
        <f t="shared" si="142"/>
        <v>No se realizó gasto en este corte</v>
      </c>
      <c r="AB342" s="84" t="str">
        <f t="shared" si="134"/>
        <v>Costo eficiente: se está gastando menos de lo presupuestado</v>
      </c>
      <c r="AC342" s="84">
        <f t="shared" si="139"/>
        <v>1</v>
      </c>
      <c r="AD342" s="84" t="str">
        <f t="shared" si="135"/>
        <v>Proyecto a tiempo según lo planificado</v>
      </c>
      <c r="AE342" s="85">
        <f t="shared" si="140"/>
        <v>0</v>
      </c>
      <c r="AF342" s="85">
        <f t="shared" si="141"/>
        <v>-5155459063</v>
      </c>
      <c r="AG342" s="40" t="str">
        <f>VLOOKUP(Indicador!E342,Diccionario!C$1:AC$150,27,0)</f>
        <v>https://growdatasas.sharepoint.com/:x:/r/sites/Gestiondocumental/Administrativa/GD/Financiera/_layouts/15/Doc.aspx?sourcedoc=%7BCBD85F36-19B3-4585-A509-7CFC7A30BABA%7D&amp;file=MODELO%20FINANCIERO%20CNE%202025_8%20(Fase%205%20aprobado).xlsm&amp;action=default&amp;mobileredirect=true</v>
      </c>
      <c r="AH342" s="40">
        <v>1</v>
      </c>
      <c r="AI342" s="40">
        <v>1</v>
      </c>
    </row>
    <row r="343" spans="1:35" ht="18.75" customHeight="1">
      <c r="A343" s="73">
        <v>2025</v>
      </c>
      <c r="B343" s="112" t="s">
        <v>26</v>
      </c>
      <c r="C343" s="36" t="s">
        <v>349</v>
      </c>
      <c r="D343" s="37">
        <v>45901.854656446762</v>
      </c>
      <c r="E343" s="36" t="s">
        <v>54</v>
      </c>
      <c r="F343" s="36" t="s">
        <v>185</v>
      </c>
      <c r="G343" s="36" t="s">
        <v>350</v>
      </c>
      <c r="H343" s="36" t="s">
        <v>351</v>
      </c>
      <c r="I343" s="36" t="s">
        <v>175</v>
      </c>
      <c r="J343" s="36" t="s">
        <v>352</v>
      </c>
      <c r="K343" s="36" t="s">
        <v>177</v>
      </c>
      <c r="L343" s="74">
        <f>VLOOKUP(E343,Diccionario!C$2:AC$150,22,0)</f>
        <v>5018888965</v>
      </c>
      <c r="M343" s="75">
        <f>VLOOKUP(E343,Diccionario!C$2:AC$150,24,0)</f>
        <v>45870</v>
      </c>
      <c r="N343" s="76">
        <f>VLOOKUP(E343,Diccionario!C$2:AC$150,25,0)</f>
        <v>46022</v>
      </c>
      <c r="O343" s="77">
        <f>VLOOKUP(E343,Diccionario!C$2:AC$150,26,0)</f>
        <v>5</v>
      </c>
      <c r="P343" s="77">
        <f t="shared" si="131"/>
        <v>-4</v>
      </c>
      <c r="Q343" s="78">
        <v>1</v>
      </c>
      <c r="R343" s="36">
        <v>5</v>
      </c>
      <c r="S343" s="86">
        <v>0.1</v>
      </c>
      <c r="T343" s="86">
        <v>0.1</v>
      </c>
      <c r="U343" s="82">
        <v>1003777793</v>
      </c>
      <c r="V343" s="82">
        <v>1003777793</v>
      </c>
      <c r="W343" s="82">
        <f t="shared" si="137"/>
        <v>501888896.5</v>
      </c>
      <c r="X343" s="82">
        <f t="shared" si="132"/>
        <v>501888896.5</v>
      </c>
      <c r="Y343" s="82">
        <f t="shared" si="138"/>
        <v>-501888896.5</v>
      </c>
      <c r="Z343" s="82">
        <f t="shared" si="133"/>
        <v>0</v>
      </c>
      <c r="AA343" s="83">
        <f t="shared" si="142"/>
        <v>0.5</v>
      </c>
      <c r="AB343" s="84" t="str">
        <f t="shared" si="134"/>
        <v>Costo ineficiente: se está gastando más de lo presupuestado</v>
      </c>
      <c r="AC343" s="84">
        <f t="shared" si="139"/>
        <v>1</v>
      </c>
      <c r="AD343" s="84" t="str">
        <f t="shared" si="135"/>
        <v>Proyecto a tiempo según lo planificado</v>
      </c>
      <c r="AE343" s="85">
        <f t="shared" si="140"/>
        <v>10037777930</v>
      </c>
      <c r="AF343" s="85">
        <f t="shared" si="141"/>
        <v>5018888965</v>
      </c>
      <c r="AG343" s="40" t="str">
        <f>VLOOKUP(Indicador!E343,Diccionario!C$1:AC$150,27,0)</f>
        <v>https://growdatasas.sharepoint.com/:x:/r/sites/Gestiondocumental/Administrativa/GD/Financiera/_layouts/15/Doc.aspx?sourcedoc=%7B43DBCCF8-194C-47D3-A7AD-28487A0065F6%7D&amp;file=MODELO%20FINANCIERO%20SNR%20MIGRACIONES%202025%2022.08.25%20v3.xlsm&amp;action=default&amp;mobileredirect=true</v>
      </c>
      <c r="AH343" s="40">
        <v>1</v>
      </c>
      <c r="AI343" s="40">
        <v>1</v>
      </c>
    </row>
    <row r="344" spans="1:35" ht="18.75" customHeight="1">
      <c r="A344" s="73">
        <v>2025</v>
      </c>
      <c r="B344" s="112" t="s">
        <v>28</v>
      </c>
      <c r="C344" s="36" t="s">
        <v>349</v>
      </c>
      <c r="D344" s="37">
        <v>45901.854656446762</v>
      </c>
      <c r="E344" s="36" t="s">
        <v>54</v>
      </c>
      <c r="F344" s="36" t="s">
        <v>185</v>
      </c>
      <c r="G344" s="36" t="s">
        <v>350</v>
      </c>
      <c r="H344" s="36" t="s">
        <v>351</v>
      </c>
      <c r="I344" s="36" t="s">
        <v>175</v>
      </c>
      <c r="J344" s="36" t="s">
        <v>352</v>
      </c>
      <c r="K344" s="36" t="s">
        <v>177</v>
      </c>
      <c r="L344" s="74">
        <f>VLOOKUP(E344,Diccionario!C$2:AC$150,22,0)</f>
        <v>5018888965</v>
      </c>
      <c r="M344" s="75">
        <f>VLOOKUP(E344,Diccionario!C$2:AC$150,24,0)</f>
        <v>45870</v>
      </c>
      <c r="N344" s="76">
        <f>VLOOKUP(E344,Diccionario!C$2:AC$150,25,0)</f>
        <v>46022</v>
      </c>
      <c r="O344" s="77">
        <f>VLOOKUP(E344,Diccionario!C$2:AC$150,26,0)</f>
        <v>5</v>
      </c>
      <c r="P344" s="77">
        <f t="shared" si="131"/>
        <v>-3</v>
      </c>
      <c r="Q344" s="78">
        <v>2</v>
      </c>
      <c r="R344" s="36">
        <v>5</v>
      </c>
      <c r="S344" s="86">
        <v>0.45</v>
      </c>
      <c r="T344" s="86">
        <v>0.45</v>
      </c>
      <c r="U344" s="82">
        <v>1003777793</v>
      </c>
      <c r="V344" s="82">
        <v>1003777793</v>
      </c>
      <c r="W344" s="82">
        <f t="shared" si="137"/>
        <v>2258500034.25</v>
      </c>
      <c r="X344" s="82">
        <f t="shared" si="132"/>
        <v>2258500034.25</v>
      </c>
      <c r="Y344" s="82">
        <f t="shared" si="138"/>
        <v>1254722241.25</v>
      </c>
      <c r="Z344" s="82">
        <f t="shared" si="133"/>
        <v>0</v>
      </c>
      <c r="AA344" s="83">
        <f t="shared" si="142"/>
        <v>2.25</v>
      </c>
      <c r="AB344" s="84" t="str">
        <f t="shared" si="134"/>
        <v>Costo eficiente: se está gastando menos de lo presupuestado</v>
      </c>
      <c r="AC344" s="84">
        <f t="shared" si="139"/>
        <v>1</v>
      </c>
      <c r="AD344" s="84" t="str">
        <f t="shared" si="135"/>
        <v>Proyecto a tiempo según lo planificado</v>
      </c>
      <c r="AE344" s="85">
        <f t="shared" si="140"/>
        <v>2230617317.7777777</v>
      </c>
      <c r="AF344" s="85">
        <f t="shared" si="141"/>
        <v>-2788271647.2222223</v>
      </c>
      <c r="AG344" s="40" t="str">
        <f>VLOOKUP(Indicador!E344,Diccionario!C$1:AC$150,27,0)</f>
        <v>https://growdatasas.sharepoint.com/:x:/r/sites/Gestiondocumental/Administrativa/GD/Financiera/_layouts/15/Doc.aspx?sourcedoc=%7B43DBCCF8-194C-47D3-A7AD-28487A0065F6%7D&amp;file=MODELO%20FINANCIERO%20SNR%20MIGRACIONES%202025%2022.08.25%20v3.xlsm&amp;action=default&amp;mobileredirect=true</v>
      </c>
      <c r="AH344" s="40">
        <v>1</v>
      </c>
      <c r="AI344" s="40">
        <v>1</v>
      </c>
    </row>
    <row r="345" spans="1:35" ht="18.75" customHeight="1">
      <c r="A345" s="73">
        <v>2025</v>
      </c>
      <c r="B345" s="112" t="s">
        <v>30</v>
      </c>
      <c r="C345" s="36" t="s">
        <v>349</v>
      </c>
      <c r="D345" s="37">
        <v>45901.854656446762</v>
      </c>
      <c r="E345" s="36" t="s">
        <v>54</v>
      </c>
      <c r="F345" s="36" t="s">
        <v>185</v>
      </c>
      <c r="G345" s="36" t="s">
        <v>350</v>
      </c>
      <c r="H345" s="36" t="s">
        <v>351</v>
      </c>
      <c r="I345" s="36" t="s">
        <v>175</v>
      </c>
      <c r="J345" s="36" t="s">
        <v>352</v>
      </c>
      <c r="K345" s="36" t="s">
        <v>177</v>
      </c>
      <c r="L345" s="74">
        <f>VLOOKUP(E345,Diccionario!C$2:AC$150,22,0)</f>
        <v>5018888965</v>
      </c>
      <c r="M345" s="75">
        <f>VLOOKUP(E345,Diccionario!C$2:AC$150,24,0)</f>
        <v>45870</v>
      </c>
      <c r="N345" s="76">
        <f>VLOOKUP(E345,Diccionario!C$2:AC$150,25,0)</f>
        <v>46022</v>
      </c>
      <c r="O345" s="77">
        <f>VLOOKUP(E345,Diccionario!C$2:AC$150,26,0)</f>
        <v>5</v>
      </c>
      <c r="P345" s="77">
        <f t="shared" si="131"/>
        <v>-2</v>
      </c>
      <c r="Q345" s="78">
        <v>3</v>
      </c>
      <c r="R345" s="36">
        <v>5</v>
      </c>
      <c r="S345" s="86">
        <v>0.65</v>
      </c>
      <c r="T345" s="86">
        <v>0.65</v>
      </c>
      <c r="U345" s="82">
        <v>1003777793</v>
      </c>
      <c r="V345" s="82">
        <v>1003777793</v>
      </c>
      <c r="W345" s="82">
        <f t="shared" si="137"/>
        <v>3262277827.25</v>
      </c>
      <c r="X345" s="82">
        <f t="shared" si="132"/>
        <v>3262277827.25</v>
      </c>
      <c r="Y345" s="82">
        <f t="shared" si="138"/>
        <v>2258500034.25</v>
      </c>
      <c r="Z345" s="82">
        <f t="shared" si="133"/>
        <v>0</v>
      </c>
      <c r="AA345" s="83">
        <f t="shared" si="142"/>
        <v>3.25</v>
      </c>
      <c r="AB345" s="84" t="str">
        <f t="shared" si="134"/>
        <v>Costo eficiente: se está gastando menos de lo presupuestado</v>
      </c>
      <c r="AC345" s="84">
        <f t="shared" si="139"/>
        <v>1</v>
      </c>
      <c r="AD345" s="84" t="str">
        <f t="shared" si="135"/>
        <v>Proyecto a tiempo según lo planificado</v>
      </c>
      <c r="AE345" s="85">
        <f t="shared" si="140"/>
        <v>1544273527.6923077</v>
      </c>
      <c r="AF345" s="85">
        <f t="shared" si="141"/>
        <v>-3474615437.3076925</v>
      </c>
      <c r="AG345" s="40" t="str">
        <f>VLOOKUP(Indicador!E345,Diccionario!C$1:AC$150,27,0)</f>
        <v>https://growdatasas.sharepoint.com/:x:/r/sites/Gestiondocumental/Administrativa/GD/Financiera/_layouts/15/Doc.aspx?sourcedoc=%7B43DBCCF8-194C-47D3-A7AD-28487A0065F6%7D&amp;file=MODELO%20FINANCIERO%20SNR%20MIGRACIONES%202025%2022.08.25%20v3.xlsm&amp;action=default&amp;mobileredirect=true</v>
      </c>
      <c r="AH345" s="40">
        <v>1</v>
      </c>
      <c r="AI345" s="40">
        <v>1</v>
      </c>
    </row>
    <row r="346" spans="1:35" ht="18.75" customHeight="1">
      <c r="A346" s="73">
        <v>2025</v>
      </c>
      <c r="B346" s="112" t="s">
        <v>31</v>
      </c>
      <c r="C346" s="36" t="s">
        <v>349</v>
      </c>
      <c r="D346" s="37">
        <v>45901.854656446762</v>
      </c>
      <c r="E346" s="36" t="s">
        <v>54</v>
      </c>
      <c r="F346" s="36" t="s">
        <v>185</v>
      </c>
      <c r="G346" s="36" t="s">
        <v>350</v>
      </c>
      <c r="H346" s="36" t="s">
        <v>351</v>
      </c>
      <c r="I346" s="36" t="s">
        <v>175</v>
      </c>
      <c r="J346" s="36" t="s">
        <v>352</v>
      </c>
      <c r="K346" s="36" t="s">
        <v>177</v>
      </c>
      <c r="L346" s="74">
        <f>VLOOKUP(E346,Diccionario!C$2:AC$150,22,0)</f>
        <v>5018888965</v>
      </c>
      <c r="M346" s="75">
        <f>VLOOKUP(E346,Diccionario!C$2:AC$150,24,0)</f>
        <v>45870</v>
      </c>
      <c r="N346" s="76">
        <f>VLOOKUP(E346,Diccionario!C$2:AC$150,25,0)</f>
        <v>46022</v>
      </c>
      <c r="O346" s="77">
        <f>VLOOKUP(E346,Diccionario!C$2:AC$150,26,0)</f>
        <v>5</v>
      </c>
      <c r="P346" s="77">
        <f t="shared" si="131"/>
        <v>-1</v>
      </c>
      <c r="Q346" s="78">
        <v>4</v>
      </c>
      <c r="R346" s="36">
        <v>5</v>
      </c>
      <c r="S346" s="86">
        <v>0.85</v>
      </c>
      <c r="T346" s="86">
        <v>0.85</v>
      </c>
      <c r="U346" s="82">
        <v>1003777793</v>
      </c>
      <c r="V346" s="82">
        <v>1003777793</v>
      </c>
      <c r="W346" s="82">
        <f t="shared" si="137"/>
        <v>4266055620.25</v>
      </c>
      <c r="X346" s="82">
        <f t="shared" si="132"/>
        <v>4266055620.25</v>
      </c>
      <c r="Y346" s="82">
        <f t="shared" si="138"/>
        <v>3262277827.25</v>
      </c>
      <c r="Z346" s="82">
        <f t="shared" si="133"/>
        <v>0</v>
      </c>
      <c r="AA346" s="83">
        <f t="shared" si="142"/>
        <v>4.25</v>
      </c>
      <c r="AB346" s="84" t="str">
        <f t="shared" si="134"/>
        <v>Costo eficiente: se está gastando menos de lo presupuestado</v>
      </c>
      <c r="AC346" s="84">
        <f t="shared" si="139"/>
        <v>1</v>
      </c>
      <c r="AD346" s="84" t="str">
        <f t="shared" si="135"/>
        <v>Proyecto a tiempo según lo planificado</v>
      </c>
      <c r="AE346" s="85">
        <f t="shared" si="140"/>
        <v>1180915050.5882354</v>
      </c>
      <c r="AF346" s="85">
        <f t="shared" si="141"/>
        <v>-3837973914.4117646</v>
      </c>
      <c r="AG346" s="40" t="str">
        <f>VLOOKUP(Indicador!E346,Diccionario!C$1:AC$150,27,0)</f>
        <v>https://growdatasas.sharepoint.com/:x:/r/sites/Gestiondocumental/Administrativa/GD/Financiera/_layouts/15/Doc.aspx?sourcedoc=%7B43DBCCF8-194C-47D3-A7AD-28487A0065F6%7D&amp;file=MODELO%20FINANCIERO%20SNR%20MIGRACIONES%202025%2022.08.25%20v3.xlsm&amp;action=default&amp;mobileredirect=true</v>
      </c>
      <c r="AH346" s="40">
        <v>1</v>
      </c>
      <c r="AI346" s="40">
        <v>1</v>
      </c>
    </row>
    <row r="347" spans="1:35" ht="18.75" customHeight="1">
      <c r="A347" s="73">
        <v>2025</v>
      </c>
      <c r="B347" s="112" t="s">
        <v>32</v>
      </c>
      <c r="C347" s="36" t="s">
        <v>349</v>
      </c>
      <c r="D347" s="37">
        <v>45901.854656446762</v>
      </c>
      <c r="E347" s="36" t="s">
        <v>54</v>
      </c>
      <c r="F347" s="36" t="s">
        <v>185</v>
      </c>
      <c r="G347" s="36" t="s">
        <v>350</v>
      </c>
      <c r="H347" s="36" t="s">
        <v>351</v>
      </c>
      <c r="I347" s="36" t="s">
        <v>175</v>
      </c>
      <c r="J347" s="36" t="s">
        <v>352</v>
      </c>
      <c r="K347" s="36" t="s">
        <v>177</v>
      </c>
      <c r="L347" s="74">
        <f>VLOOKUP(E347,Diccionario!C$2:AC$150,22,0)</f>
        <v>5018888965</v>
      </c>
      <c r="M347" s="75">
        <f>VLOOKUP(E347,Diccionario!C$2:AC$150,24,0)</f>
        <v>45870</v>
      </c>
      <c r="N347" s="76">
        <f>VLOOKUP(E347,Diccionario!C$2:AC$150,25,0)</f>
        <v>46022</v>
      </c>
      <c r="O347" s="77">
        <f>VLOOKUP(E347,Diccionario!C$2:AC$150,26,0)</f>
        <v>5</v>
      </c>
      <c r="P347" s="77">
        <f t="shared" si="131"/>
        <v>0</v>
      </c>
      <c r="Q347" s="78">
        <v>5</v>
      </c>
      <c r="R347" s="36">
        <v>5</v>
      </c>
      <c r="S347" s="86">
        <v>1</v>
      </c>
      <c r="T347" s="86">
        <v>1</v>
      </c>
      <c r="U347" s="82">
        <v>1003777793</v>
      </c>
      <c r="V347" s="82">
        <v>1003777793</v>
      </c>
      <c r="W347" s="82">
        <f t="shared" si="137"/>
        <v>5018888965</v>
      </c>
      <c r="X347" s="82">
        <f t="shared" si="132"/>
        <v>5018888965</v>
      </c>
      <c r="Y347" s="82">
        <f t="shared" si="138"/>
        <v>4015111172</v>
      </c>
      <c r="Z347" s="82">
        <f t="shared" si="133"/>
        <v>0</v>
      </c>
      <c r="AA347" s="83">
        <f t="shared" si="142"/>
        <v>5</v>
      </c>
      <c r="AB347" s="84" t="str">
        <f t="shared" si="134"/>
        <v>Costo eficiente: se está gastando menos de lo presupuestado</v>
      </c>
      <c r="AC347" s="84">
        <f t="shared" si="139"/>
        <v>1</v>
      </c>
      <c r="AD347" s="84" t="str">
        <f t="shared" si="135"/>
        <v>Proyecto a tiempo según lo planificado</v>
      </c>
      <c r="AE347" s="85">
        <f t="shared" si="140"/>
        <v>1003777793</v>
      </c>
      <c r="AF347" s="85">
        <f t="shared" si="141"/>
        <v>-4015111172</v>
      </c>
      <c r="AG347" s="40" t="str">
        <f>VLOOKUP(Indicador!E347,Diccionario!C$1:AC$150,27,0)</f>
        <v>https://growdatasas.sharepoint.com/:x:/r/sites/Gestiondocumental/Administrativa/GD/Financiera/_layouts/15/Doc.aspx?sourcedoc=%7B43DBCCF8-194C-47D3-A7AD-28487A0065F6%7D&amp;file=MODELO%20FINANCIERO%20SNR%20MIGRACIONES%202025%2022.08.25%20v3.xlsm&amp;action=default&amp;mobileredirect=true</v>
      </c>
      <c r="AH347" s="40">
        <v>1</v>
      </c>
      <c r="AI347" s="40">
        <v>1</v>
      </c>
    </row>
    <row r="348" spans="1:35" ht="18.75" customHeight="1">
      <c r="A348" s="73">
        <v>2025</v>
      </c>
      <c r="B348" s="112" t="s">
        <v>26</v>
      </c>
      <c r="C348" s="36" t="s">
        <v>353</v>
      </c>
      <c r="D348" s="37">
        <v>45933.093777812501</v>
      </c>
      <c r="E348" s="36" t="s">
        <v>96</v>
      </c>
      <c r="F348" s="36" t="s">
        <v>195</v>
      </c>
      <c r="G348" s="36" t="s">
        <v>354</v>
      </c>
      <c r="H348" s="36" t="s">
        <v>355</v>
      </c>
      <c r="I348" s="36" t="s">
        <v>165</v>
      </c>
      <c r="J348" s="36" t="s">
        <v>356</v>
      </c>
      <c r="K348" s="36" t="s">
        <v>177</v>
      </c>
      <c r="L348" s="74">
        <f>VLOOKUP(E348,Diccionario!C$2:AC$150,22,0)</f>
        <v>1456222952</v>
      </c>
      <c r="M348" s="75">
        <f>VLOOKUP(E348,Diccionario!C$2:AC$150,24,0)</f>
        <v>45880</v>
      </c>
      <c r="N348" s="76">
        <f>VLOOKUP(E348,Diccionario!C$2:AC$150,25,0)</f>
        <v>46662</v>
      </c>
      <c r="O348" s="77">
        <f>VLOOKUP(E348,Diccionario!C$2:AC$150,26,0)</f>
        <v>25.7</v>
      </c>
      <c r="P348" s="77">
        <f t="shared" si="131"/>
        <v>-24.7</v>
      </c>
      <c r="Q348" s="78">
        <v>1</v>
      </c>
      <c r="R348" s="36">
        <v>26</v>
      </c>
      <c r="S348" s="86">
        <v>0.05</v>
      </c>
      <c r="T348" s="86">
        <v>0.05</v>
      </c>
      <c r="U348" s="82">
        <v>152812301</v>
      </c>
      <c r="V348" s="82">
        <v>152812301</v>
      </c>
      <c r="W348" s="82">
        <f t="shared" si="137"/>
        <v>72811147.600000009</v>
      </c>
      <c r="X348" s="82">
        <f t="shared" si="132"/>
        <v>72811147.600000009</v>
      </c>
      <c r="Y348" s="82">
        <f t="shared" si="138"/>
        <v>-80001153.399999991</v>
      </c>
      <c r="Z348" s="82">
        <f>W348-X348</f>
        <v>0</v>
      </c>
      <c r="AA348" s="83">
        <f t="shared" si="142"/>
        <v>0.47647438801409064</v>
      </c>
      <c r="AB348" s="84" t="str">
        <f t="shared" si="134"/>
        <v>Costo ineficiente: se está gastando más de lo presupuestado</v>
      </c>
      <c r="AC348" s="84">
        <f t="shared" si="139"/>
        <v>1</v>
      </c>
      <c r="AD348" s="84" t="str">
        <f t="shared" si="135"/>
        <v>Proyecto a tiempo según lo planificado</v>
      </c>
      <c r="AE348" s="85">
        <f t="shared" si="140"/>
        <v>3056246019.9999995</v>
      </c>
      <c r="AF348" s="85">
        <f t="shared" si="141"/>
        <v>1600023067.9999995</v>
      </c>
      <c r="AG348" s="40" t="str">
        <f>VLOOKUP(Indicador!E348,Diccionario!C$1:AC$150,27,0)</f>
        <v>https://growdatasas.sharepoint.com/:x:/r/sites/Gestiondocumental/Administrativa/GD/Financiera/_layouts/15/Doc.aspx?sourcedoc=%7B538AADB9-4832-4502-992B-5493EC06C9DB%7D&amp;file=250905%20ERA%20MODELO%20FINANCIERO%20REFERENCIA%20V7.5.xlsm&amp;action=default&amp;mobileredirect=true</v>
      </c>
      <c r="AH348" s="40">
        <v>1</v>
      </c>
      <c r="AI348" s="40">
        <v>1</v>
      </c>
    </row>
    <row r="349" spans="1:35" ht="18.75" customHeight="1">
      <c r="A349" s="73">
        <v>2025</v>
      </c>
      <c r="B349" s="112" t="s">
        <v>28</v>
      </c>
      <c r="C349" s="36" t="s">
        <v>353</v>
      </c>
      <c r="D349" s="37">
        <v>45933.093777812501</v>
      </c>
      <c r="E349" s="36" t="s">
        <v>96</v>
      </c>
      <c r="F349" s="36" t="s">
        <v>195</v>
      </c>
      <c r="G349" s="36" t="s">
        <v>354</v>
      </c>
      <c r="H349" s="36" t="s">
        <v>355</v>
      </c>
      <c r="I349" s="36" t="s">
        <v>165</v>
      </c>
      <c r="J349" s="36" t="s">
        <v>356</v>
      </c>
      <c r="K349" s="36" t="s">
        <v>177</v>
      </c>
      <c r="L349" s="74">
        <f>VLOOKUP(E349,Diccionario!C$2:AC$150,22,0)</f>
        <v>1456222952</v>
      </c>
      <c r="M349" s="75">
        <f>VLOOKUP(E349,Diccionario!C$2:AC$150,24,0)</f>
        <v>45880</v>
      </c>
      <c r="N349" s="76">
        <f>VLOOKUP(E349,Diccionario!C$2:AC$150,25,0)</f>
        <v>46662</v>
      </c>
      <c r="O349" s="77">
        <f>VLOOKUP(E349,Diccionario!C$2:AC$150,26,0)</f>
        <v>25.7</v>
      </c>
      <c r="P349" s="77">
        <f t="shared" si="131"/>
        <v>-23.7</v>
      </c>
      <c r="Q349" s="78">
        <v>2</v>
      </c>
      <c r="R349" s="36">
        <v>26</v>
      </c>
      <c r="S349" s="86">
        <v>0.08</v>
      </c>
      <c r="T349" s="86">
        <v>0.08</v>
      </c>
      <c r="U349" s="82">
        <v>1696173</v>
      </c>
      <c r="V349" s="82">
        <v>1696173</v>
      </c>
      <c r="W349" s="82">
        <f t="shared" si="137"/>
        <v>116497836.16</v>
      </c>
      <c r="X349" s="82">
        <f t="shared" si="132"/>
        <v>116497836.16</v>
      </c>
      <c r="Y349" s="82">
        <f t="shared" si="138"/>
        <v>114801663.16</v>
      </c>
      <c r="Z349" s="82">
        <f t="shared" si="133"/>
        <v>0</v>
      </c>
      <c r="AA349" s="83">
        <f t="shared" si="142"/>
        <v>68.682755921713166</v>
      </c>
      <c r="AB349" s="84" t="str">
        <f t="shared" si="134"/>
        <v>Costo eficiente: se está gastando menos de lo presupuestado</v>
      </c>
      <c r="AC349" s="84">
        <f t="shared" si="139"/>
        <v>1</v>
      </c>
      <c r="AD349" s="84" t="str">
        <f t="shared" si="135"/>
        <v>Proyecto a tiempo según lo planificado</v>
      </c>
      <c r="AE349" s="85">
        <f t="shared" si="140"/>
        <v>21202162.500000004</v>
      </c>
      <c r="AF349" s="85">
        <f t="shared" si="141"/>
        <v>-1435020789.5</v>
      </c>
      <c r="AG349" s="40" t="str">
        <f>VLOOKUP(Indicador!E349,Diccionario!C$1:AC$150,27,0)</f>
        <v>https://growdatasas.sharepoint.com/:x:/r/sites/Gestiondocumental/Administrativa/GD/Financiera/_layouts/15/Doc.aspx?sourcedoc=%7B538AADB9-4832-4502-992B-5493EC06C9DB%7D&amp;file=250905%20ERA%20MODELO%20FINANCIERO%20REFERENCIA%20V7.5.xlsm&amp;action=default&amp;mobileredirect=true</v>
      </c>
      <c r="AH349" s="40">
        <v>1</v>
      </c>
      <c r="AI349" s="40">
        <v>1</v>
      </c>
    </row>
    <row r="350" spans="1:35" ht="18.75" customHeight="1">
      <c r="A350" s="73">
        <v>2025</v>
      </c>
      <c r="B350" s="112" t="s">
        <v>30</v>
      </c>
      <c r="C350" s="36" t="s">
        <v>353</v>
      </c>
      <c r="D350" s="37">
        <v>45933.093777812501</v>
      </c>
      <c r="E350" s="36" t="s">
        <v>96</v>
      </c>
      <c r="F350" s="36" t="s">
        <v>195</v>
      </c>
      <c r="G350" s="36" t="s">
        <v>354</v>
      </c>
      <c r="H350" s="36" t="s">
        <v>355</v>
      </c>
      <c r="I350" s="36" t="s">
        <v>165</v>
      </c>
      <c r="J350" s="36" t="s">
        <v>356</v>
      </c>
      <c r="K350" s="36" t="s">
        <v>177</v>
      </c>
      <c r="L350" s="74">
        <f>VLOOKUP(E350,Diccionario!C$2:AC$150,22,0)</f>
        <v>1456222952</v>
      </c>
      <c r="M350" s="75">
        <f>VLOOKUP(E350,Diccionario!C$2:AC$150,24,0)</f>
        <v>45880</v>
      </c>
      <c r="N350" s="76">
        <f>VLOOKUP(E350,Diccionario!C$2:AC$150,25,0)</f>
        <v>46662</v>
      </c>
      <c r="O350" s="77">
        <f>VLOOKUP(E350,Diccionario!C$2:AC$150,26,0)</f>
        <v>25.7</v>
      </c>
      <c r="P350" s="77">
        <f t="shared" si="131"/>
        <v>-22.7</v>
      </c>
      <c r="Q350" s="78">
        <v>3</v>
      </c>
      <c r="R350" s="36">
        <v>26</v>
      </c>
      <c r="S350" s="86">
        <v>0.11</v>
      </c>
      <c r="T350" s="86">
        <v>0.11</v>
      </c>
      <c r="U350" s="82">
        <v>56955013</v>
      </c>
      <c r="V350" s="82">
        <v>56955013</v>
      </c>
      <c r="W350" s="82">
        <f t="shared" si="137"/>
        <v>160184524.72</v>
      </c>
      <c r="X350" s="82">
        <f t="shared" si="132"/>
        <v>160184524.72</v>
      </c>
      <c r="Y350" s="82">
        <f t="shared" si="138"/>
        <v>103229511.72</v>
      </c>
      <c r="Z350" s="82">
        <f t="shared" si="133"/>
        <v>0</v>
      </c>
      <c r="AA350" s="83">
        <f t="shared" si="142"/>
        <v>2.8124745528545487</v>
      </c>
      <c r="AB350" s="84" t="str">
        <f t="shared" si="134"/>
        <v>Costo eficiente: se está gastando menos de lo presupuestado</v>
      </c>
      <c r="AC350" s="84">
        <f t="shared" si="139"/>
        <v>1</v>
      </c>
      <c r="AD350" s="84" t="str">
        <f t="shared" si="135"/>
        <v>Proyecto a tiempo según lo planificado</v>
      </c>
      <c r="AE350" s="85">
        <f t="shared" si="140"/>
        <v>517772845.45454544</v>
      </c>
      <c r="AF350" s="85">
        <f t="shared" si="141"/>
        <v>-938450106.5454545</v>
      </c>
      <c r="AG350" s="40" t="str">
        <f>VLOOKUP(Indicador!E350,Diccionario!C$1:AC$150,27,0)</f>
        <v>https://growdatasas.sharepoint.com/:x:/r/sites/Gestiondocumental/Administrativa/GD/Financiera/_layouts/15/Doc.aspx?sourcedoc=%7B538AADB9-4832-4502-992B-5493EC06C9DB%7D&amp;file=250905%20ERA%20MODELO%20FINANCIERO%20REFERENCIA%20V7.5.xlsm&amp;action=default&amp;mobileredirect=true</v>
      </c>
      <c r="AH350" s="40">
        <v>1</v>
      </c>
      <c r="AI350" s="40">
        <v>1</v>
      </c>
    </row>
    <row r="351" spans="1:35" ht="18.75" customHeight="1">
      <c r="A351" s="73">
        <v>2025</v>
      </c>
      <c r="B351" s="112" t="s">
        <v>31</v>
      </c>
      <c r="C351" s="36" t="s">
        <v>353</v>
      </c>
      <c r="D351" s="37">
        <v>45933.093777812501</v>
      </c>
      <c r="E351" s="36" t="s">
        <v>96</v>
      </c>
      <c r="F351" s="36" t="s">
        <v>195</v>
      </c>
      <c r="G351" s="36" t="s">
        <v>354</v>
      </c>
      <c r="H351" s="36" t="s">
        <v>355</v>
      </c>
      <c r="I351" s="36" t="s">
        <v>165</v>
      </c>
      <c r="J351" s="36" t="s">
        <v>356</v>
      </c>
      <c r="K351" s="36" t="s">
        <v>177</v>
      </c>
      <c r="L351" s="74">
        <f>VLOOKUP(E351,Diccionario!C$2:AC$150,22,0)</f>
        <v>1456222952</v>
      </c>
      <c r="M351" s="75">
        <f>VLOOKUP(E351,Diccionario!C$2:AC$150,24,0)</f>
        <v>45880</v>
      </c>
      <c r="N351" s="76">
        <f>VLOOKUP(E351,Diccionario!C$2:AC$150,25,0)</f>
        <v>46662</v>
      </c>
      <c r="O351" s="77">
        <f>VLOOKUP(E351,Diccionario!C$2:AC$150,26,0)</f>
        <v>25.7</v>
      </c>
      <c r="P351" s="77">
        <f t="shared" si="131"/>
        <v>-21.7</v>
      </c>
      <c r="Q351" s="78">
        <v>4</v>
      </c>
      <c r="R351" s="36">
        <v>26</v>
      </c>
      <c r="S351" s="86">
        <v>0.14000000000000001</v>
      </c>
      <c r="T351" s="86">
        <v>0.14000000000000001</v>
      </c>
      <c r="U351" s="82">
        <v>1696173</v>
      </c>
      <c r="V351" s="82">
        <v>1696173</v>
      </c>
      <c r="W351" s="82">
        <f t="shared" si="137"/>
        <v>203871213.28000003</v>
      </c>
      <c r="X351" s="82">
        <f t="shared" si="132"/>
        <v>203871213.28000003</v>
      </c>
      <c r="Y351" s="82">
        <f t="shared" si="138"/>
        <v>202175040.28000003</v>
      </c>
      <c r="Z351" s="82">
        <f t="shared" si="133"/>
        <v>0</v>
      </c>
      <c r="AA351" s="83">
        <f t="shared" si="142"/>
        <v>120.19482286299808</v>
      </c>
      <c r="AB351" s="84" t="str">
        <f t="shared" si="134"/>
        <v>Costo eficiente: se está gastando menos de lo presupuestado</v>
      </c>
      <c r="AC351" s="84">
        <f t="shared" si="139"/>
        <v>1</v>
      </c>
      <c r="AD351" s="84" t="str">
        <f t="shared" si="135"/>
        <v>Proyecto a tiempo según lo planificado</v>
      </c>
      <c r="AE351" s="85">
        <f t="shared" si="140"/>
        <v>12115521.428571425</v>
      </c>
      <c r="AF351" s="85">
        <f t="shared" si="141"/>
        <v>-1444107430.5714285</v>
      </c>
      <c r="AG351" s="40" t="str">
        <f>VLOOKUP(Indicador!E351,Diccionario!C$1:AC$150,27,0)</f>
        <v>https://growdatasas.sharepoint.com/:x:/r/sites/Gestiondocumental/Administrativa/GD/Financiera/_layouts/15/Doc.aspx?sourcedoc=%7B538AADB9-4832-4502-992B-5493EC06C9DB%7D&amp;file=250905%20ERA%20MODELO%20FINANCIERO%20REFERENCIA%20V7.5.xlsm&amp;action=default&amp;mobileredirect=true</v>
      </c>
      <c r="AH351" s="40">
        <v>1</v>
      </c>
      <c r="AI351" s="40">
        <v>1</v>
      </c>
    </row>
    <row r="352" spans="1:35" ht="18.75" customHeight="1">
      <c r="A352" s="73">
        <v>2025</v>
      </c>
      <c r="B352" s="112" t="s">
        <v>32</v>
      </c>
      <c r="C352" s="36" t="s">
        <v>353</v>
      </c>
      <c r="D352" s="37">
        <v>45933.093777812501</v>
      </c>
      <c r="E352" s="36" t="s">
        <v>96</v>
      </c>
      <c r="F352" s="36" t="s">
        <v>195</v>
      </c>
      <c r="G352" s="36" t="s">
        <v>354</v>
      </c>
      <c r="H352" s="36" t="s">
        <v>355</v>
      </c>
      <c r="I352" s="36" t="s">
        <v>165</v>
      </c>
      <c r="J352" s="36" t="s">
        <v>356</v>
      </c>
      <c r="K352" s="36" t="s">
        <v>177</v>
      </c>
      <c r="L352" s="74">
        <f>VLOOKUP(E352,Diccionario!C$2:AC$150,22,0)</f>
        <v>1456222952</v>
      </c>
      <c r="M352" s="75">
        <f>VLOOKUP(E352,Diccionario!C$2:AC$150,24,0)</f>
        <v>45880</v>
      </c>
      <c r="N352" s="76">
        <f>VLOOKUP(E352,Diccionario!C$2:AC$150,25,0)</f>
        <v>46662</v>
      </c>
      <c r="O352" s="77">
        <f>VLOOKUP(E352,Diccionario!C$2:AC$150,26,0)</f>
        <v>25.7</v>
      </c>
      <c r="P352" s="77">
        <f t="shared" si="131"/>
        <v>-20.7</v>
      </c>
      <c r="Q352" s="78">
        <v>5</v>
      </c>
      <c r="R352" s="36">
        <v>26</v>
      </c>
      <c r="S352" s="86">
        <v>0.17</v>
      </c>
      <c r="T352" s="86">
        <v>0.17</v>
      </c>
      <c r="U352" s="82">
        <v>56955013</v>
      </c>
      <c r="V352" s="82">
        <v>56955013</v>
      </c>
      <c r="W352" s="82">
        <f t="shared" si="137"/>
        <v>247557901.84</v>
      </c>
      <c r="X352" s="82">
        <f t="shared" si="132"/>
        <v>247557901.84</v>
      </c>
      <c r="Y352" s="82">
        <f t="shared" si="138"/>
        <v>190602888.84</v>
      </c>
      <c r="Z352" s="82">
        <f t="shared" si="133"/>
        <v>0</v>
      </c>
      <c r="AA352" s="83">
        <f t="shared" si="142"/>
        <v>4.3465515816843023</v>
      </c>
      <c r="AB352" s="84" t="str">
        <f t="shared" si="134"/>
        <v>Costo eficiente: se está gastando menos de lo presupuestado</v>
      </c>
      <c r="AC352" s="84">
        <f t="shared" si="139"/>
        <v>1</v>
      </c>
      <c r="AD352" s="84" t="str">
        <f t="shared" si="135"/>
        <v>Proyecto a tiempo según lo planificado</v>
      </c>
      <c r="AE352" s="85">
        <f t="shared" si="140"/>
        <v>335029488.2352941</v>
      </c>
      <c r="AF352" s="85">
        <f t="shared" si="141"/>
        <v>-1121193463.7647059</v>
      </c>
      <c r="AG352" s="40" t="str">
        <f>VLOOKUP(Indicador!E352,Diccionario!C$1:AC$150,27,0)</f>
        <v>https://growdatasas.sharepoint.com/:x:/r/sites/Gestiondocumental/Administrativa/GD/Financiera/_layouts/15/Doc.aspx?sourcedoc=%7B538AADB9-4832-4502-992B-5493EC06C9DB%7D&amp;file=250905%20ERA%20MODELO%20FINANCIERO%20REFERENCIA%20V7.5.xlsm&amp;action=default&amp;mobileredirect=true</v>
      </c>
      <c r="AH352" s="40">
        <v>1</v>
      </c>
      <c r="AI352" s="40">
        <v>1</v>
      </c>
    </row>
    <row r="353" spans="1:35" ht="18.75" customHeight="1">
      <c r="A353" s="73">
        <v>2026</v>
      </c>
      <c r="B353" s="112" t="s">
        <v>14</v>
      </c>
      <c r="C353" s="36" t="s">
        <v>353</v>
      </c>
      <c r="D353" s="37">
        <v>45933.093777812501</v>
      </c>
      <c r="E353" s="36" t="s">
        <v>96</v>
      </c>
      <c r="F353" s="36" t="s">
        <v>195</v>
      </c>
      <c r="G353" s="36" t="s">
        <v>354</v>
      </c>
      <c r="H353" s="36" t="s">
        <v>355</v>
      </c>
      <c r="I353" s="36" t="s">
        <v>165</v>
      </c>
      <c r="J353" s="36" t="s">
        <v>356</v>
      </c>
      <c r="K353" s="36" t="s">
        <v>177</v>
      </c>
      <c r="L353" s="74">
        <f>VLOOKUP(E353,Diccionario!C$2:AC$150,22,0)</f>
        <v>1456222952</v>
      </c>
      <c r="M353" s="75">
        <f>VLOOKUP(E353,Diccionario!C$2:AC$150,24,0)</f>
        <v>45880</v>
      </c>
      <c r="N353" s="76">
        <f>VLOOKUP(E353,Diccionario!C$2:AC$150,25,0)</f>
        <v>46662</v>
      </c>
      <c r="O353" s="77">
        <f>VLOOKUP(E353,Diccionario!C$2:AC$150,26,0)</f>
        <v>25.7</v>
      </c>
      <c r="P353" s="77">
        <f t="shared" si="131"/>
        <v>-19.7</v>
      </c>
      <c r="Q353" s="78">
        <v>6</v>
      </c>
      <c r="R353" s="36">
        <v>26</v>
      </c>
      <c r="S353" s="86">
        <v>0.2</v>
      </c>
      <c r="T353" s="86">
        <v>0.2</v>
      </c>
      <c r="U353" s="82">
        <v>1696173</v>
      </c>
      <c r="V353" s="82">
        <v>1696173</v>
      </c>
      <c r="W353" s="82">
        <f t="shared" si="137"/>
        <v>291244590.40000004</v>
      </c>
      <c r="X353" s="82">
        <f t="shared" si="132"/>
        <v>291244590.40000004</v>
      </c>
      <c r="Y353" s="82">
        <f t="shared" si="138"/>
        <v>289548417.40000004</v>
      </c>
      <c r="Z353" s="82">
        <f t="shared" si="133"/>
        <v>0</v>
      </c>
      <c r="AA353" s="83">
        <f t="shared" si="142"/>
        <v>171.70688980428295</v>
      </c>
      <c r="AB353" s="84" t="str">
        <f t="shared" si="134"/>
        <v>Costo eficiente: se está gastando menos de lo presupuestado</v>
      </c>
      <c r="AC353" s="84">
        <f t="shared" si="139"/>
        <v>1</v>
      </c>
      <c r="AD353" s="84" t="str">
        <f t="shared" si="135"/>
        <v>Proyecto a tiempo según lo planificado</v>
      </c>
      <c r="AE353" s="85">
        <f t="shared" si="140"/>
        <v>8480865</v>
      </c>
      <c r="AF353" s="85">
        <f t="shared" si="141"/>
        <v>-1447742087</v>
      </c>
      <c r="AG353" s="40" t="str">
        <f>VLOOKUP(Indicador!E353,Diccionario!C$1:AC$150,27,0)</f>
        <v>https://growdatasas.sharepoint.com/:x:/r/sites/Gestiondocumental/Administrativa/GD/Financiera/_layouts/15/Doc.aspx?sourcedoc=%7B538AADB9-4832-4502-992B-5493EC06C9DB%7D&amp;file=250905%20ERA%20MODELO%20FINANCIERO%20REFERENCIA%20V7.5.xlsm&amp;action=default&amp;mobileredirect=true</v>
      </c>
      <c r="AH353" s="40">
        <v>1</v>
      </c>
      <c r="AI353" s="40">
        <v>1</v>
      </c>
    </row>
    <row r="354" spans="1:35" ht="18.75" customHeight="1">
      <c r="A354" s="73">
        <v>2026</v>
      </c>
      <c r="B354" s="112" t="s">
        <v>22</v>
      </c>
      <c r="C354" s="36" t="s">
        <v>353</v>
      </c>
      <c r="D354" s="37">
        <v>45933.093777812501</v>
      </c>
      <c r="E354" s="36" t="s">
        <v>96</v>
      </c>
      <c r="F354" s="36" t="s">
        <v>195</v>
      </c>
      <c r="G354" s="36" t="s">
        <v>354</v>
      </c>
      <c r="H354" s="36" t="s">
        <v>355</v>
      </c>
      <c r="I354" s="36" t="s">
        <v>165</v>
      </c>
      <c r="J354" s="36" t="s">
        <v>356</v>
      </c>
      <c r="K354" s="36" t="s">
        <v>177</v>
      </c>
      <c r="L354" s="74">
        <f>VLOOKUP(E354,Diccionario!C$2:AC$150,22,0)</f>
        <v>1456222952</v>
      </c>
      <c r="M354" s="75">
        <f>VLOOKUP(E354,Diccionario!C$2:AC$150,24,0)</f>
        <v>45880</v>
      </c>
      <c r="N354" s="76">
        <f>VLOOKUP(E354,Diccionario!C$2:AC$150,25,0)</f>
        <v>46662</v>
      </c>
      <c r="O354" s="77">
        <f>VLOOKUP(E354,Diccionario!C$2:AC$150,26,0)</f>
        <v>25.7</v>
      </c>
      <c r="P354" s="77">
        <f t="shared" si="131"/>
        <v>-18.7</v>
      </c>
      <c r="Q354" s="78">
        <v>7</v>
      </c>
      <c r="R354" s="36">
        <v>26</v>
      </c>
      <c r="S354" s="86">
        <v>0.23</v>
      </c>
      <c r="T354" s="86"/>
      <c r="U354" s="82"/>
      <c r="V354" s="82"/>
      <c r="W354" s="82">
        <f t="shared" si="137"/>
        <v>0</v>
      </c>
      <c r="X354" s="82">
        <f t="shared" si="132"/>
        <v>334931278.96000004</v>
      </c>
      <c r="Y354" s="82">
        <f t="shared" si="138"/>
        <v>0</v>
      </c>
      <c r="Z354" s="82">
        <f t="shared" si="133"/>
        <v>-334931278.96000004</v>
      </c>
      <c r="AA354" s="83" t="str">
        <f t="shared" si="142"/>
        <v>No se realizó gasto en este corte</v>
      </c>
      <c r="AB354" s="84" t="str">
        <f t="shared" si="134"/>
        <v>Costo eficiente: se está gastando menos de lo presupuestado</v>
      </c>
      <c r="AC354" s="84">
        <f t="shared" si="139"/>
        <v>0</v>
      </c>
      <c r="AD354" s="84" t="str">
        <f t="shared" si="135"/>
        <v>Sin Línea Base</v>
      </c>
      <c r="AE354" s="85">
        <f t="shared" si="140"/>
        <v>0</v>
      </c>
      <c r="AF354" s="85">
        <f t="shared" si="141"/>
        <v>-1456222952</v>
      </c>
      <c r="AG354" s="40" t="str">
        <f>VLOOKUP(Indicador!E354,Diccionario!C$1:AC$150,27,0)</f>
        <v>https://growdatasas.sharepoint.com/:x:/r/sites/Gestiondocumental/Administrativa/GD/Financiera/_layouts/15/Doc.aspx?sourcedoc=%7B538AADB9-4832-4502-992B-5493EC06C9DB%7D&amp;file=250905%20ERA%20MODELO%20FINANCIERO%20REFERENCIA%20V7.5.xlsm&amp;action=default&amp;mobileredirect=true</v>
      </c>
      <c r="AH354" s="40">
        <v>1</v>
      </c>
      <c r="AI354" s="40">
        <v>1</v>
      </c>
    </row>
    <row r="355" spans="1:35" ht="18.75" customHeight="1">
      <c r="A355" s="73">
        <v>2026</v>
      </c>
      <c r="B355" s="112" t="s">
        <v>24</v>
      </c>
      <c r="C355" s="36" t="s">
        <v>353</v>
      </c>
      <c r="D355" s="37">
        <v>45933.093777812501</v>
      </c>
      <c r="E355" s="36" t="s">
        <v>96</v>
      </c>
      <c r="F355" s="36" t="s">
        <v>195</v>
      </c>
      <c r="G355" s="36" t="s">
        <v>354</v>
      </c>
      <c r="H355" s="36" t="s">
        <v>355</v>
      </c>
      <c r="I355" s="36" t="s">
        <v>165</v>
      </c>
      <c r="J355" s="36" t="s">
        <v>356</v>
      </c>
      <c r="K355" s="36" t="s">
        <v>177</v>
      </c>
      <c r="L355" s="74">
        <f>VLOOKUP(E355,Diccionario!C$2:AC$150,22,0)</f>
        <v>1456222952</v>
      </c>
      <c r="M355" s="75">
        <f>VLOOKUP(E355,Diccionario!C$2:AC$150,24,0)</f>
        <v>45880</v>
      </c>
      <c r="N355" s="76">
        <f>VLOOKUP(E355,Diccionario!C$2:AC$150,25,0)</f>
        <v>46662</v>
      </c>
      <c r="O355" s="77">
        <f>VLOOKUP(E355,Diccionario!C$2:AC$150,26,0)</f>
        <v>25.7</v>
      </c>
      <c r="P355" s="77">
        <f t="shared" ref="P355:P412" si="143">Q355-O355</f>
        <v>-17.7</v>
      </c>
      <c r="Q355" s="78">
        <v>8</v>
      </c>
      <c r="R355" s="36">
        <v>26</v>
      </c>
      <c r="S355" s="86">
        <v>0.26</v>
      </c>
      <c r="T355" s="86"/>
      <c r="U355" s="82"/>
      <c r="V355" s="82"/>
      <c r="W355" s="82">
        <f t="shared" si="137"/>
        <v>0</v>
      </c>
      <c r="X355" s="82">
        <f t="shared" si="132"/>
        <v>378617967.52000004</v>
      </c>
      <c r="Y355" s="82">
        <f t="shared" si="138"/>
        <v>0</v>
      </c>
      <c r="Z355" s="82">
        <f t="shared" si="133"/>
        <v>-378617967.52000004</v>
      </c>
      <c r="AA355" s="83" t="str">
        <f t="shared" si="142"/>
        <v>No se realizó gasto en este corte</v>
      </c>
      <c r="AB355" s="84" t="str">
        <f t="shared" si="134"/>
        <v>Costo eficiente: se está gastando menos de lo presupuestado</v>
      </c>
      <c r="AC355" s="84">
        <f t="shared" si="139"/>
        <v>0</v>
      </c>
      <c r="AD355" s="84" t="str">
        <f t="shared" si="135"/>
        <v>Sin Línea Base</v>
      </c>
      <c r="AE355" s="85">
        <f t="shared" si="140"/>
        <v>0</v>
      </c>
      <c r="AF355" s="85">
        <f t="shared" si="141"/>
        <v>-1456222952</v>
      </c>
      <c r="AG355" s="40" t="str">
        <f>VLOOKUP(Indicador!E355,Diccionario!C$1:AC$150,27,0)</f>
        <v>https://growdatasas.sharepoint.com/:x:/r/sites/Gestiondocumental/Administrativa/GD/Financiera/_layouts/15/Doc.aspx?sourcedoc=%7B538AADB9-4832-4502-992B-5493EC06C9DB%7D&amp;file=250905%20ERA%20MODELO%20FINANCIERO%20REFERENCIA%20V7.5.xlsm&amp;action=default&amp;mobileredirect=true</v>
      </c>
      <c r="AH355" s="40">
        <v>1</v>
      </c>
      <c r="AI355" s="40">
        <v>1</v>
      </c>
    </row>
    <row r="356" spans="1:35" ht="18.75" customHeight="1">
      <c r="A356" s="73">
        <v>2026</v>
      </c>
      <c r="B356" s="112" t="s">
        <v>27</v>
      </c>
      <c r="C356" s="36" t="s">
        <v>353</v>
      </c>
      <c r="D356" s="37">
        <v>45933.093777812501</v>
      </c>
      <c r="E356" s="36" t="s">
        <v>96</v>
      </c>
      <c r="F356" s="36" t="s">
        <v>195</v>
      </c>
      <c r="G356" s="36" t="s">
        <v>354</v>
      </c>
      <c r="H356" s="36" t="s">
        <v>355</v>
      </c>
      <c r="I356" s="36" t="s">
        <v>165</v>
      </c>
      <c r="J356" s="36" t="s">
        <v>356</v>
      </c>
      <c r="K356" s="36" t="s">
        <v>177</v>
      </c>
      <c r="L356" s="74">
        <f>VLOOKUP(E356,Diccionario!C$2:AC$150,22,0)</f>
        <v>1456222952</v>
      </c>
      <c r="M356" s="75">
        <f>VLOOKUP(E356,Diccionario!C$2:AC$150,24,0)</f>
        <v>45880</v>
      </c>
      <c r="N356" s="76">
        <f>VLOOKUP(E356,Diccionario!C$2:AC$150,25,0)</f>
        <v>46662</v>
      </c>
      <c r="O356" s="77">
        <f>VLOOKUP(E356,Diccionario!C$2:AC$150,26,0)</f>
        <v>25.7</v>
      </c>
      <c r="P356" s="77">
        <f t="shared" si="143"/>
        <v>-16.7</v>
      </c>
      <c r="Q356" s="78">
        <v>9</v>
      </c>
      <c r="R356" s="36">
        <v>26</v>
      </c>
      <c r="S356" s="86">
        <v>0.28999999999999998</v>
      </c>
      <c r="T356" s="86"/>
      <c r="U356" s="82"/>
      <c r="V356" s="82"/>
      <c r="W356" s="82">
        <f t="shared" si="137"/>
        <v>0</v>
      </c>
      <c r="X356" s="82">
        <f t="shared" si="132"/>
        <v>422304656.07999998</v>
      </c>
      <c r="Y356" s="82">
        <f t="shared" si="138"/>
        <v>0</v>
      </c>
      <c r="Z356" s="82">
        <f t="shared" si="133"/>
        <v>-422304656.07999998</v>
      </c>
      <c r="AA356" s="83" t="str">
        <f t="shared" si="142"/>
        <v>No se realizó gasto en este corte</v>
      </c>
      <c r="AB356" s="84" t="str">
        <f t="shared" si="134"/>
        <v>Costo eficiente: se está gastando menos de lo presupuestado</v>
      </c>
      <c r="AC356" s="84">
        <f t="shared" si="139"/>
        <v>0</v>
      </c>
      <c r="AD356" s="84" t="str">
        <f t="shared" si="135"/>
        <v>Sin Línea Base</v>
      </c>
      <c r="AE356" s="85">
        <f t="shared" si="140"/>
        <v>0</v>
      </c>
      <c r="AF356" s="85">
        <f t="shared" si="141"/>
        <v>-1456222952</v>
      </c>
      <c r="AG356" s="40" t="str">
        <f>VLOOKUP(Indicador!E356,Diccionario!C$1:AC$150,27,0)</f>
        <v>https://growdatasas.sharepoint.com/:x:/r/sites/Gestiondocumental/Administrativa/GD/Financiera/_layouts/15/Doc.aspx?sourcedoc=%7B538AADB9-4832-4502-992B-5493EC06C9DB%7D&amp;file=250905%20ERA%20MODELO%20FINANCIERO%20REFERENCIA%20V7.5.xlsm&amp;action=default&amp;mobileredirect=true</v>
      </c>
      <c r="AH356" s="40">
        <v>1</v>
      </c>
      <c r="AI356" s="40">
        <v>1</v>
      </c>
    </row>
    <row r="357" spans="1:35" ht="18.75" customHeight="1">
      <c r="A357" s="73">
        <v>2026</v>
      </c>
      <c r="B357" s="112" t="s">
        <v>13</v>
      </c>
      <c r="C357" s="36" t="s">
        <v>353</v>
      </c>
      <c r="D357" s="37">
        <v>45933.093777812501</v>
      </c>
      <c r="E357" s="36" t="s">
        <v>96</v>
      </c>
      <c r="F357" s="36" t="s">
        <v>195</v>
      </c>
      <c r="G357" s="36" t="s">
        <v>354</v>
      </c>
      <c r="H357" s="36" t="s">
        <v>355</v>
      </c>
      <c r="I357" s="36" t="s">
        <v>165</v>
      </c>
      <c r="J357" s="36" t="s">
        <v>356</v>
      </c>
      <c r="K357" s="36" t="s">
        <v>177</v>
      </c>
      <c r="L357" s="74">
        <f>VLOOKUP(E357,Diccionario!C$2:AC$150,22,0)</f>
        <v>1456222952</v>
      </c>
      <c r="M357" s="75">
        <f>VLOOKUP(E357,Diccionario!C$2:AC$150,24,0)</f>
        <v>45880</v>
      </c>
      <c r="N357" s="76">
        <f>VLOOKUP(E357,Diccionario!C$2:AC$150,25,0)</f>
        <v>46662</v>
      </c>
      <c r="O357" s="77">
        <f>VLOOKUP(E357,Diccionario!C$2:AC$150,26,0)</f>
        <v>25.7</v>
      </c>
      <c r="P357" s="77">
        <f t="shared" si="143"/>
        <v>-15.7</v>
      </c>
      <c r="Q357" s="78">
        <v>10</v>
      </c>
      <c r="R357" s="36">
        <v>26</v>
      </c>
      <c r="S357" s="86">
        <v>0.32</v>
      </c>
      <c r="T357" s="86"/>
      <c r="U357" s="82"/>
      <c r="V357" s="82"/>
      <c r="W357" s="82">
        <f t="shared" si="137"/>
        <v>0</v>
      </c>
      <c r="X357" s="82">
        <f t="shared" si="132"/>
        <v>465991344.63999999</v>
      </c>
      <c r="Y357" s="82">
        <f t="shared" si="138"/>
        <v>0</v>
      </c>
      <c r="Z357" s="82">
        <f t="shared" si="133"/>
        <v>-465991344.63999999</v>
      </c>
      <c r="AA357" s="83" t="str">
        <f t="shared" si="142"/>
        <v>No se realizó gasto en este corte</v>
      </c>
      <c r="AB357" s="84" t="str">
        <f t="shared" si="134"/>
        <v>Costo eficiente: se está gastando menos de lo presupuestado</v>
      </c>
      <c r="AC357" s="84">
        <f t="shared" si="139"/>
        <v>0</v>
      </c>
      <c r="AD357" s="84" t="str">
        <f t="shared" si="135"/>
        <v>Sin Línea Base</v>
      </c>
      <c r="AE357" s="85">
        <f t="shared" si="140"/>
        <v>0</v>
      </c>
      <c r="AF357" s="85">
        <f t="shared" si="141"/>
        <v>-1456222952</v>
      </c>
      <c r="AG357" s="40" t="str">
        <f>VLOOKUP(Indicador!E357,Diccionario!C$1:AC$150,27,0)</f>
        <v>https://growdatasas.sharepoint.com/:x:/r/sites/Gestiondocumental/Administrativa/GD/Financiera/_layouts/15/Doc.aspx?sourcedoc=%7B538AADB9-4832-4502-992B-5493EC06C9DB%7D&amp;file=250905%20ERA%20MODELO%20FINANCIERO%20REFERENCIA%20V7.5.xlsm&amp;action=default&amp;mobileredirect=true</v>
      </c>
      <c r="AH357" s="40">
        <v>1</v>
      </c>
      <c r="AI357" s="40">
        <v>1</v>
      </c>
    </row>
    <row r="358" spans="1:35" ht="18.75" customHeight="1">
      <c r="A358" s="73">
        <v>2026</v>
      </c>
      <c r="B358" s="112" t="s">
        <v>21</v>
      </c>
      <c r="C358" s="36" t="s">
        <v>353</v>
      </c>
      <c r="D358" s="37">
        <v>45933.093777812501</v>
      </c>
      <c r="E358" s="36" t="s">
        <v>96</v>
      </c>
      <c r="F358" s="36" t="s">
        <v>195</v>
      </c>
      <c r="G358" s="36" t="s">
        <v>354</v>
      </c>
      <c r="H358" s="36" t="s">
        <v>355</v>
      </c>
      <c r="I358" s="36" t="s">
        <v>165</v>
      </c>
      <c r="J358" s="36" t="s">
        <v>356</v>
      </c>
      <c r="K358" s="36" t="s">
        <v>177</v>
      </c>
      <c r="L358" s="74">
        <f>VLOOKUP(E358,Diccionario!C$2:AC$150,22,0)</f>
        <v>1456222952</v>
      </c>
      <c r="M358" s="75">
        <f>VLOOKUP(E358,Diccionario!C$2:AC$150,24,0)</f>
        <v>45880</v>
      </c>
      <c r="N358" s="76">
        <f>VLOOKUP(E358,Diccionario!C$2:AC$150,25,0)</f>
        <v>46662</v>
      </c>
      <c r="O358" s="77">
        <f>VLOOKUP(E358,Diccionario!C$2:AC$150,26,0)</f>
        <v>25.7</v>
      </c>
      <c r="P358" s="77">
        <f t="shared" si="143"/>
        <v>-14.7</v>
      </c>
      <c r="Q358" s="78">
        <v>11</v>
      </c>
      <c r="R358" s="36">
        <v>26</v>
      </c>
      <c r="S358" s="86">
        <v>0.35</v>
      </c>
      <c r="T358" s="86"/>
      <c r="U358" s="82"/>
      <c r="V358" s="82"/>
      <c r="W358" s="82">
        <f t="shared" si="137"/>
        <v>0</v>
      </c>
      <c r="X358" s="82">
        <f t="shared" si="132"/>
        <v>509678033.19999999</v>
      </c>
      <c r="Y358" s="82">
        <f t="shared" si="138"/>
        <v>0</v>
      </c>
      <c r="Z358" s="82">
        <f t="shared" si="133"/>
        <v>-509678033.19999999</v>
      </c>
      <c r="AA358" s="83" t="str">
        <f t="shared" si="142"/>
        <v>No se realizó gasto en este corte</v>
      </c>
      <c r="AB358" s="84" t="str">
        <f t="shared" si="134"/>
        <v>Costo eficiente: se está gastando menos de lo presupuestado</v>
      </c>
      <c r="AC358" s="84">
        <f t="shared" si="139"/>
        <v>0</v>
      </c>
      <c r="AD358" s="84" t="str">
        <f t="shared" si="135"/>
        <v>Sin Línea Base</v>
      </c>
      <c r="AE358" s="85">
        <f t="shared" si="140"/>
        <v>0</v>
      </c>
      <c r="AF358" s="85">
        <f t="shared" si="141"/>
        <v>-1456222952</v>
      </c>
      <c r="AG358" s="40" t="str">
        <f>VLOOKUP(Indicador!E358,Diccionario!C$1:AC$150,27,0)</f>
        <v>https://growdatasas.sharepoint.com/:x:/r/sites/Gestiondocumental/Administrativa/GD/Financiera/_layouts/15/Doc.aspx?sourcedoc=%7B538AADB9-4832-4502-992B-5493EC06C9DB%7D&amp;file=250905%20ERA%20MODELO%20FINANCIERO%20REFERENCIA%20V7.5.xlsm&amp;action=default&amp;mobileredirect=true</v>
      </c>
      <c r="AH358" s="40">
        <v>1</v>
      </c>
      <c r="AI358" s="40">
        <v>1</v>
      </c>
    </row>
    <row r="359" spans="1:35" ht="18.75" customHeight="1">
      <c r="A359" s="73">
        <v>2026</v>
      </c>
      <c r="B359" s="112" t="s">
        <v>23</v>
      </c>
      <c r="C359" s="36" t="s">
        <v>353</v>
      </c>
      <c r="D359" s="37">
        <v>45933.093777812501</v>
      </c>
      <c r="E359" s="36" t="s">
        <v>96</v>
      </c>
      <c r="F359" s="36" t="s">
        <v>195</v>
      </c>
      <c r="G359" s="36" t="s">
        <v>354</v>
      </c>
      <c r="H359" s="36" t="s">
        <v>355</v>
      </c>
      <c r="I359" s="36" t="s">
        <v>165</v>
      </c>
      <c r="J359" s="36" t="s">
        <v>356</v>
      </c>
      <c r="K359" s="36" t="s">
        <v>177</v>
      </c>
      <c r="L359" s="74">
        <f>VLOOKUP(E359,Diccionario!C$2:AC$150,22,0)</f>
        <v>1456222952</v>
      </c>
      <c r="M359" s="75">
        <f>VLOOKUP(E359,Diccionario!C$2:AC$150,24,0)</f>
        <v>45880</v>
      </c>
      <c r="N359" s="76">
        <f>VLOOKUP(E359,Diccionario!C$2:AC$150,25,0)</f>
        <v>46662</v>
      </c>
      <c r="O359" s="77">
        <f>VLOOKUP(E359,Diccionario!C$2:AC$150,26,0)</f>
        <v>25.7</v>
      </c>
      <c r="P359" s="77">
        <f t="shared" si="143"/>
        <v>-13.7</v>
      </c>
      <c r="Q359" s="78">
        <v>12</v>
      </c>
      <c r="R359" s="36">
        <v>26</v>
      </c>
      <c r="S359" s="86">
        <v>0.44</v>
      </c>
      <c r="T359" s="86"/>
      <c r="U359" s="82"/>
      <c r="V359" s="82"/>
      <c r="W359" s="82">
        <f t="shared" si="137"/>
        <v>0</v>
      </c>
      <c r="X359" s="82">
        <f t="shared" si="132"/>
        <v>640738098.88</v>
      </c>
      <c r="Y359" s="82">
        <f t="shared" si="138"/>
        <v>0</v>
      </c>
      <c r="Z359" s="82">
        <f t="shared" si="133"/>
        <v>-640738098.88</v>
      </c>
      <c r="AA359" s="83" t="str">
        <f t="shared" si="142"/>
        <v>No se realizó gasto en este corte</v>
      </c>
      <c r="AB359" s="84" t="str">
        <f t="shared" si="134"/>
        <v>Costo eficiente: se está gastando menos de lo presupuestado</v>
      </c>
      <c r="AC359" s="84">
        <f t="shared" si="139"/>
        <v>0</v>
      </c>
      <c r="AD359" s="84" t="str">
        <f t="shared" si="135"/>
        <v>Sin Línea Base</v>
      </c>
      <c r="AE359" s="85">
        <f t="shared" si="140"/>
        <v>0</v>
      </c>
      <c r="AF359" s="85">
        <f t="shared" si="141"/>
        <v>-1456222952</v>
      </c>
      <c r="AG359" s="40" t="str">
        <f>VLOOKUP(Indicador!E359,Diccionario!C$1:AC$150,27,0)</f>
        <v>https://growdatasas.sharepoint.com/:x:/r/sites/Gestiondocumental/Administrativa/GD/Financiera/_layouts/15/Doc.aspx?sourcedoc=%7B538AADB9-4832-4502-992B-5493EC06C9DB%7D&amp;file=250905%20ERA%20MODELO%20FINANCIERO%20REFERENCIA%20V7.5.xlsm&amp;action=default&amp;mobileredirect=true</v>
      </c>
      <c r="AH359" s="40">
        <v>1</v>
      </c>
      <c r="AI359" s="40">
        <v>1</v>
      </c>
    </row>
    <row r="360" spans="1:35" ht="18.75" customHeight="1">
      <c r="A360" s="73">
        <v>2026</v>
      </c>
      <c r="B360" s="112" t="s">
        <v>26</v>
      </c>
      <c r="C360" s="36" t="s">
        <v>353</v>
      </c>
      <c r="D360" s="37">
        <v>45933.093777812501</v>
      </c>
      <c r="E360" s="36" t="s">
        <v>96</v>
      </c>
      <c r="F360" s="36" t="s">
        <v>195</v>
      </c>
      <c r="G360" s="36" t="s">
        <v>354</v>
      </c>
      <c r="H360" s="36" t="s">
        <v>355</v>
      </c>
      <c r="I360" s="36" t="s">
        <v>165</v>
      </c>
      <c r="J360" s="36" t="s">
        <v>356</v>
      </c>
      <c r="K360" s="36" t="s">
        <v>177</v>
      </c>
      <c r="L360" s="74">
        <f>VLOOKUP(E360,Diccionario!C$2:AC$150,22,0)</f>
        <v>1456222952</v>
      </c>
      <c r="M360" s="75">
        <f>VLOOKUP(E360,Diccionario!C$2:AC$150,24,0)</f>
        <v>45880</v>
      </c>
      <c r="N360" s="76">
        <f>VLOOKUP(E360,Diccionario!C$2:AC$150,25,0)</f>
        <v>46662</v>
      </c>
      <c r="O360" s="77">
        <f>VLOOKUP(E360,Diccionario!C$2:AC$150,26,0)</f>
        <v>25.7</v>
      </c>
      <c r="P360" s="77">
        <f t="shared" si="143"/>
        <v>-12.7</v>
      </c>
      <c r="Q360" s="78">
        <v>13</v>
      </c>
      <c r="R360" s="36">
        <v>26</v>
      </c>
      <c r="S360" s="86">
        <v>0.5</v>
      </c>
      <c r="T360" s="86"/>
      <c r="U360" s="82"/>
      <c r="V360" s="82"/>
      <c r="W360" s="82">
        <f t="shared" si="137"/>
        <v>0</v>
      </c>
      <c r="X360" s="82">
        <f t="shared" ref="X360:X417" si="144">S360*L360</f>
        <v>728111476</v>
      </c>
      <c r="Y360" s="82">
        <f t="shared" si="138"/>
        <v>0</v>
      </c>
      <c r="Z360" s="82">
        <f t="shared" ref="Z360:Z417" si="145">W360-X360</f>
        <v>-728111476</v>
      </c>
      <c r="AA360" s="83" t="str">
        <f t="shared" si="142"/>
        <v>No se realizó gasto en este corte</v>
      </c>
      <c r="AB360" s="84" t="str">
        <f t="shared" ref="AB360:AB417" si="146">IFERROR(
  IF(OR(AA360="",AA360=0),
    "No calculado",
    IF(AA360&gt;1,"Costo eficiente: se está gastando menos de lo presupuestado",
      IF(AA360=1,"Costo según lo presupuestado",
        "Costo ineficiente: se está gastando más de lo presupuestado"))),
"No calculado")</f>
        <v>Costo eficiente: se está gastando menos de lo presupuestado</v>
      </c>
      <c r="AC360" s="84">
        <f t="shared" si="139"/>
        <v>0</v>
      </c>
      <c r="AD360" s="84" t="str">
        <f t="shared" ref="AD360:AD417" si="147">IF(OR(AC360="",AC360=0),"Sin Línea Base",
IF(AC360&gt;1,"Proyecto adelantado respecto al cronograma",
IF(AC360=1,"Proyecto a tiempo según lo planificado",
IF(AC360&lt;1,"Proyecto atrasado con respecto al cronograma",
"No calculado"))))</f>
        <v>Sin Línea Base</v>
      </c>
      <c r="AE360" s="85">
        <f t="shared" si="140"/>
        <v>0</v>
      </c>
      <c r="AF360" s="85">
        <f t="shared" si="141"/>
        <v>-1456222952</v>
      </c>
      <c r="AG360" s="40" t="str">
        <f>VLOOKUP(Indicador!E360,Diccionario!C$1:AC$150,27,0)</f>
        <v>https://growdatasas.sharepoint.com/:x:/r/sites/Gestiondocumental/Administrativa/GD/Financiera/_layouts/15/Doc.aspx?sourcedoc=%7B538AADB9-4832-4502-992B-5493EC06C9DB%7D&amp;file=250905%20ERA%20MODELO%20FINANCIERO%20REFERENCIA%20V7.5.xlsm&amp;action=default&amp;mobileredirect=true</v>
      </c>
      <c r="AH360" s="40">
        <v>1</v>
      </c>
      <c r="AI360" s="40">
        <v>1</v>
      </c>
    </row>
    <row r="361" spans="1:35" ht="18.75" customHeight="1">
      <c r="A361" s="73">
        <v>2026</v>
      </c>
      <c r="B361" s="112" t="s">
        <v>28</v>
      </c>
      <c r="C361" s="36" t="s">
        <v>353</v>
      </c>
      <c r="D361" s="37">
        <v>45933.093777812501</v>
      </c>
      <c r="E361" s="36" t="s">
        <v>96</v>
      </c>
      <c r="F361" s="36" t="s">
        <v>195</v>
      </c>
      <c r="G361" s="36" t="s">
        <v>354</v>
      </c>
      <c r="H361" s="36" t="s">
        <v>355</v>
      </c>
      <c r="I361" s="36" t="s">
        <v>165</v>
      </c>
      <c r="J361" s="36" t="s">
        <v>356</v>
      </c>
      <c r="K361" s="36" t="s">
        <v>177</v>
      </c>
      <c r="L361" s="74">
        <f>VLOOKUP(E361,Diccionario!C$2:AC$150,22,0)</f>
        <v>1456222952</v>
      </c>
      <c r="M361" s="75">
        <f>VLOOKUP(E361,Diccionario!C$2:AC$150,24,0)</f>
        <v>45880</v>
      </c>
      <c r="N361" s="76">
        <f>VLOOKUP(E361,Diccionario!C$2:AC$150,25,0)</f>
        <v>46662</v>
      </c>
      <c r="O361" s="77">
        <f>VLOOKUP(E361,Diccionario!C$2:AC$150,26,0)</f>
        <v>25.7</v>
      </c>
      <c r="P361" s="77">
        <f t="shared" si="143"/>
        <v>-11.7</v>
      </c>
      <c r="Q361" s="78">
        <v>14</v>
      </c>
      <c r="R361" s="36">
        <v>26</v>
      </c>
      <c r="S361" s="86">
        <v>0.54</v>
      </c>
      <c r="T361" s="86"/>
      <c r="U361" s="82"/>
      <c r="V361" s="82"/>
      <c r="W361" s="82">
        <f t="shared" si="137"/>
        <v>0</v>
      </c>
      <c r="X361" s="82">
        <f t="shared" si="144"/>
        <v>786360394.08000004</v>
      </c>
      <c r="Y361" s="82">
        <f t="shared" si="138"/>
        <v>0</v>
      </c>
      <c r="Z361" s="82">
        <f t="shared" si="145"/>
        <v>-786360394.08000004</v>
      </c>
      <c r="AA361" s="83" t="str">
        <f t="shared" si="142"/>
        <v>No se realizó gasto en este corte</v>
      </c>
      <c r="AB361" s="84" t="str">
        <f t="shared" si="146"/>
        <v>Costo eficiente: se está gastando menos de lo presupuestado</v>
      </c>
      <c r="AC361" s="84">
        <f t="shared" si="139"/>
        <v>0</v>
      </c>
      <c r="AD361" s="84" t="str">
        <f t="shared" si="147"/>
        <v>Sin Línea Base</v>
      </c>
      <c r="AE361" s="85">
        <f t="shared" si="140"/>
        <v>0</v>
      </c>
      <c r="AF361" s="85">
        <f t="shared" si="141"/>
        <v>-1456222952</v>
      </c>
      <c r="AG361" s="40" t="str">
        <f>VLOOKUP(Indicador!E361,Diccionario!C$1:AC$150,27,0)</f>
        <v>https://growdatasas.sharepoint.com/:x:/r/sites/Gestiondocumental/Administrativa/GD/Financiera/_layouts/15/Doc.aspx?sourcedoc=%7B538AADB9-4832-4502-992B-5493EC06C9DB%7D&amp;file=250905%20ERA%20MODELO%20FINANCIERO%20REFERENCIA%20V7.5.xlsm&amp;action=default&amp;mobileredirect=true</v>
      </c>
      <c r="AH361" s="40">
        <v>1</v>
      </c>
      <c r="AI361" s="40">
        <v>1</v>
      </c>
    </row>
    <row r="362" spans="1:35" ht="18.75" customHeight="1">
      <c r="A362" s="73">
        <v>2026</v>
      </c>
      <c r="B362" s="112" t="s">
        <v>30</v>
      </c>
      <c r="C362" s="36" t="s">
        <v>353</v>
      </c>
      <c r="D362" s="37">
        <v>45933.093777812501</v>
      </c>
      <c r="E362" s="36" t="s">
        <v>96</v>
      </c>
      <c r="F362" s="36" t="s">
        <v>195</v>
      </c>
      <c r="G362" s="36" t="s">
        <v>354</v>
      </c>
      <c r="H362" s="36" t="s">
        <v>355</v>
      </c>
      <c r="I362" s="36" t="s">
        <v>165</v>
      </c>
      <c r="J362" s="36" t="s">
        <v>356</v>
      </c>
      <c r="K362" s="36" t="s">
        <v>177</v>
      </c>
      <c r="L362" s="74">
        <f>VLOOKUP(E362,Diccionario!C$2:AC$150,22,0)</f>
        <v>1456222952</v>
      </c>
      <c r="M362" s="75">
        <f>VLOOKUP(E362,Diccionario!C$2:AC$150,24,0)</f>
        <v>45880</v>
      </c>
      <c r="N362" s="76">
        <f>VLOOKUP(E362,Diccionario!C$2:AC$150,25,0)</f>
        <v>46662</v>
      </c>
      <c r="O362" s="77">
        <f>VLOOKUP(E362,Diccionario!C$2:AC$150,26,0)</f>
        <v>25.7</v>
      </c>
      <c r="P362" s="77">
        <f t="shared" si="143"/>
        <v>-10.7</v>
      </c>
      <c r="Q362" s="78">
        <v>15</v>
      </c>
      <c r="R362" s="36">
        <v>26</v>
      </c>
      <c r="S362" s="86">
        <v>0.56999999999999995</v>
      </c>
      <c r="T362" s="86"/>
      <c r="U362" s="82"/>
      <c r="V362" s="82"/>
      <c r="W362" s="82">
        <f t="shared" si="137"/>
        <v>0</v>
      </c>
      <c r="X362" s="82">
        <f t="shared" si="144"/>
        <v>830047082.63999999</v>
      </c>
      <c r="Y362" s="82">
        <f t="shared" si="138"/>
        <v>0</v>
      </c>
      <c r="Z362" s="82">
        <f t="shared" si="145"/>
        <v>-830047082.63999999</v>
      </c>
      <c r="AA362" s="83" t="str">
        <f t="shared" si="142"/>
        <v>No se realizó gasto en este corte</v>
      </c>
      <c r="AB362" s="84" t="str">
        <f t="shared" si="146"/>
        <v>Costo eficiente: se está gastando menos de lo presupuestado</v>
      </c>
      <c r="AC362" s="84">
        <f t="shared" si="139"/>
        <v>0</v>
      </c>
      <c r="AD362" s="84" t="str">
        <f t="shared" si="147"/>
        <v>Sin Línea Base</v>
      </c>
      <c r="AE362" s="85">
        <f t="shared" si="140"/>
        <v>0</v>
      </c>
      <c r="AF362" s="85">
        <f t="shared" si="141"/>
        <v>-1456222952</v>
      </c>
      <c r="AG362" s="40" t="str">
        <f>VLOOKUP(Indicador!E362,Diccionario!C$1:AC$150,27,0)</f>
        <v>https://growdatasas.sharepoint.com/:x:/r/sites/Gestiondocumental/Administrativa/GD/Financiera/_layouts/15/Doc.aspx?sourcedoc=%7B538AADB9-4832-4502-992B-5493EC06C9DB%7D&amp;file=250905%20ERA%20MODELO%20FINANCIERO%20REFERENCIA%20V7.5.xlsm&amp;action=default&amp;mobileredirect=true</v>
      </c>
      <c r="AH362" s="40">
        <v>1</v>
      </c>
      <c r="AI362" s="40">
        <v>1</v>
      </c>
    </row>
    <row r="363" spans="1:35" ht="18.75" customHeight="1">
      <c r="A363" s="73">
        <v>2026</v>
      </c>
      <c r="B363" s="112" t="s">
        <v>31</v>
      </c>
      <c r="C363" s="36" t="s">
        <v>353</v>
      </c>
      <c r="D363" s="37">
        <v>45933.093777812501</v>
      </c>
      <c r="E363" s="36" t="s">
        <v>96</v>
      </c>
      <c r="F363" s="36" t="s">
        <v>195</v>
      </c>
      <c r="G363" s="36" t="s">
        <v>354</v>
      </c>
      <c r="H363" s="36" t="s">
        <v>355</v>
      </c>
      <c r="I363" s="36" t="s">
        <v>165</v>
      </c>
      <c r="J363" s="36" t="s">
        <v>356</v>
      </c>
      <c r="K363" s="36" t="s">
        <v>177</v>
      </c>
      <c r="L363" s="74">
        <f>VLOOKUP(E363,Diccionario!C$2:AC$150,22,0)</f>
        <v>1456222952</v>
      </c>
      <c r="M363" s="75">
        <f>VLOOKUP(E363,Diccionario!C$2:AC$150,24,0)</f>
        <v>45880</v>
      </c>
      <c r="N363" s="76">
        <f>VLOOKUP(E363,Diccionario!C$2:AC$150,25,0)</f>
        <v>46662</v>
      </c>
      <c r="O363" s="77">
        <f>VLOOKUP(E363,Diccionario!C$2:AC$150,26,0)</f>
        <v>25.7</v>
      </c>
      <c r="P363" s="77">
        <f t="shared" si="143"/>
        <v>-9.6999999999999993</v>
      </c>
      <c r="Q363" s="78">
        <v>16</v>
      </c>
      <c r="R363" s="36">
        <v>26</v>
      </c>
      <c r="S363" s="86">
        <v>0.60666666666666702</v>
      </c>
      <c r="T363" s="86"/>
      <c r="U363" s="82"/>
      <c r="V363" s="82"/>
      <c r="W363" s="82">
        <f t="shared" si="137"/>
        <v>0</v>
      </c>
      <c r="X363" s="82">
        <f t="shared" si="144"/>
        <v>883441924.21333385</v>
      </c>
      <c r="Y363" s="82">
        <f t="shared" si="138"/>
        <v>0</v>
      </c>
      <c r="Z363" s="82">
        <f t="shared" si="145"/>
        <v>-883441924.21333385</v>
      </c>
      <c r="AA363" s="83" t="str">
        <f t="shared" si="142"/>
        <v>No se realizó gasto en este corte</v>
      </c>
      <c r="AB363" s="84" t="str">
        <f t="shared" si="146"/>
        <v>Costo eficiente: se está gastando menos de lo presupuestado</v>
      </c>
      <c r="AC363" s="84">
        <f t="shared" si="139"/>
        <v>0</v>
      </c>
      <c r="AD363" s="84" t="str">
        <f t="shared" si="147"/>
        <v>Sin Línea Base</v>
      </c>
      <c r="AE363" s="85">
        <f t="shared" si="140"/>
        <v>0</v>
      </c>
      <c r="AF363" s="85">
        <f t="shared" si="141"/>
        <v>-1456222952</v>
      </c>
      <c r="AG363" s="40" t="str">
        <f>VLOOKUP(Indicador!E363,Diccionario!C$1:AC$150,27,0)</f>
        <v>https://growdatasas.sharepoint.com/:x:/r/sites/Gestiondocumental/Administrativa/GD/Financiera/_layouts/15/Doc.aspx?sourcedoc=%7B538AADB9-4832-4502-992B-5493EC06C9DB%7D&amp;file=250905%20ERA%20MODELO%20FINANCIERO%20REFERENCIA%20V7.5.xlsm&amp;action=default&amp;mobileredirect=true</v>
      </c>
      <c r="AH363" s="40">
        <v>1</v>
      </c>
      <c r="AI363" s="40">
        <v>1</v>
      </c>
    </row>
    <row r="364" spans="1:35" ht="18.75" customHeight="1">
      <c r="A364" s="73">
        <v>2026</v>
      </c>
      <c r="B364" s="112" t="s">
        <v>32</v>
      </c>
      <c r="C364" s="36" t="s">
        <v>353</v>
      </c>
      <c r="D364" s="37">
        <v>45933.093777812501</v>
      </c>
      <c r="E364" s="36" t="s">
        <v>96</v>
      </c>
      <c r="F364" s="36" t="s">
        <v>195</v>
      </c>
      <c r="G364" s="36" t="s">
        <v>354</v>
      </c>
      <c r="H364" s="36" t="s">
        <v>355</v>
      </c>
      <c r="I364" s="36" t="s">
        <v>165</v>
      </c>
      <c r="J364" s="36" t="s">
        <v>356</v>
      </c>
      <c r="K364" s="36" t="s">
        <v>177</v>
      </c>
      <c r="L364" s="74">
        <f>VLOOKUP(E364,Diccionario!C$2:AC$150,22,0)</f>
        <v>1456222952</v>
      </c>
      <c r="M364" s="75">
        <f>VLOOKUP(E364,Diccionario!C$2:AC$150,24,0)</f>
        <v>45880</v>
      </c>
      <c r="N364" s="76">
        <f>VLOOKUP(E364,Diccionario!C$2:AC$150,25,0)</f>
        <v>46662</v>
      </c>
      <c r="O364" s="77">
        <f>VLOOKUP(E364,Diccionario!C$2:AC$150,26,0)</f>
        <v>25.7</v>
      </c>
      <c r="P364" s="77">
        <f t="shared" si="143"/>
        <v>-8.6999999999999993</v>
      </c>
      <c r="Q364" s="78">
        <v>17</v>
      </c>
      <c r="R364" s="36">
        <v>26</v>
      </c>
      <c r="S364" s="86">
        <v>0.64166666666666705</v>
      </c>
      <c r="T364" s="86"/>
      <c r="U364" s="82"/>
      <c r="V364" s="82"/>
      <c r="W364" s="82">
        <f t="shared" si="137"/>
        <v>0</v>
      </c>
      <c r="X364" s="82">
        <f t="shared" si="144"/>
        <v>934409727.5333339</v>
      </c>
      <c r="Y364" s="82">
        <f t="shared" si="138"/>
        <v>0</v>
      </c>
      <c r="Z364" s="82">
        <f t="shared" si="145"/>
        <v>-934409727.5333339</v>
      </c>
      <c r="AA364" s="83" t="str">
        <f t="shared" si="142"/>
        <v>No se realizó gasto en este corte</v>
      </c>
      <c r="AB364" s="84" t="str">
        <f t="shared" si="146"/>
        <v>Costo eficiente: se está gastando menos de lo presupuestado</v>
      </c>
      <c r="AC364" s="84">
        <f t="shared" si="139"/>
        <v>0</v>
      </c>
      <c r="AD364" s="84" t="str">
        <f t="shared" si="147"/>
        <v>Sin Línea Base</v>
      </c>
      <c r="AE364" s="85">
        <f t="shared" si="140"/>
        <v>0</v>
      </c>
      <c r="AF364" s="85">
        <f t="shared" si="141"/>
        <v>-1456222952</v>
      </c>
      <c r="AG364" s="40" t="str">
        <f>VLOOKUP(Indicador!E364,Diccionario!C$1:AC$150,27,0)</f>
        <v>https://growdatasas.sharepoint.com/:x:/r/sites/Gestiondocumental/Administrativa/GD/Financiera/_layouts/15/Doc.aspx?sourcedoc=%7B538AADB9-4832-4502-992B-5493EC06C9DB%7D&amp;file=250905%20ERA%20MODELO%20FINANCIERO%20REFERENCIA%20V7.5.xlsm&amp;action=default&amp;mobileredirect=true</v>
      </c>
      <c r="AH364" s="40">
        <v>1</v>
      </c>
      <c r="AI364" s="40">
        <v>1</v>
      </c>
    </row>
    <row r="365" spans="1:35" ht="18.75" customHeight="1">
      <c r="A365" s="73">
        <v>2027</v>
      </c>
      <c r="B365" s="112" t="s">
        <v>14</v>
      </c>
      <c r="C365" s="36" t="s">
        <v>353</v>
      </c>
      <c r="D365" s="37">
        <v>45933.093777812501</v>
      </c>
      <c r="E365" s="36" t="s">
        <v>96</v>
      </c>
      <c r="F365" s="36" t="s">
        <v>195</v>
      </c>
      <c r="G365" s="36" t="s">
        <v>354</v>
      </c>
      <c r="H365" s="36" t="s">
        <v>355</v>
      </c>
      <c r="I365" s="36" t="s">
        <v>165</v>
      </c>
      <c r="J365" s="36" t="s">
        <v>356</v>
      </c>
      <c r="K365" s="36" t="s">
        <v>177</v>
      </c>
      <c r="L365" s="74">
        <f>VLOOKUP(E365,Diccionario!C$2:AC$150,22,0)</f>
        <v>1456222952</v>
      </c>
      <c r="M365" s="75">
        <f>VLOOKUP(E365,Diccionario!C$2:AC$150,24,0)</f>
        <v>45880</v>
      </c>
      <c r="N365" s="76">
        <f>VLOOKUP(E365,Diccionario!C$2:AC$150,25,0)</f>
        <v>46662</v>
      </c>
      <c r="O365" s="77">
        <f>VLOOKUP(E365,Diccionario!C$2:AC$150,26,0)</f>
        <v>25.7</v>
      </c>
      <c r="P365" s="77">
        <f t="shared" si="143"/>
        <v>-7.6999999999999993</v>
      </c>
      <c r="Q365" s="78">
        <v>18</v>
      </c>
      <c r="R365" s="36">
        <v>26</v>
      </c>
      <c r="S365" s="86">
        <v>0.67666666666666697</v>
      </c>
      <c r="T365" s="86"/>
      <c r="U365" s="82"/>
      <c r="V365" s="82"/>
      <c r="W365" s="82">
        <f t="shared" si="137"/>
        <v>0</v>
      </c>
      <c r="X365" s="82">
        <f t="shared" si="144"/>
        <v>985377530.85333383</v>
      </c>
      <c r="Y365" s="82">
        <f t="shared" si="138"/>
        <v>0</v>
      </c>
      <c r="Z365" s="82">
        <f t="shared" si="145"/>
        <v>-985377530.85333383</v>
      </c>
      <c r="AA365" s="83" t="str">
        <f t="shared" si="142"/>
        <v>No se realizó gasto en este corte</v>
      </c>
      <c r="AB365" s="84" t="str">
        <f t="shared" si="146"/>
        <v>Costo eficiente: se está gastando menos de lo presupuestado</v>
      </c>
      <c r="AC365" s="84">
        <f t="shared" si="139"/>
        <v>0</v>
      </c>
      <c r="AD365" s="84" t="str">
        <f t="shared" si="147"/>
        <v>Sin Línea Base</v>
      </c>
      <c r="AE365" s="85">
        <f t="shared" si="140"/>
        <v>0</v>
      </c>
      <c r="AF365" s="85">
        <f t="shared" si="141"/>
        <v>-1456222952</v>
      </c>
      <c r="AG365" s="40" t="str">
        <f>VLOOKUP(Indicador!E365,Diccionario!C$1:AC$150,27,0)</f>
        <v>https://growdatasas.sharepoint.com/:x:/r/sites/Gestiondocumental/Administrativa/GD/Financiera/_layouts/15/Doc.aspx?sourcedoc=%7B538AADB9-4832-4502-992B-5493EC06C9DB%7D&amp;file=250905%20ERA%20MODELO%20FINANCIERO%20REFERENCIA%20V7.5.xlsm&amp;action=default&amp;mobileredirect=true</v>
      </c>
      <c r="AH365" s="40">
        <v>1</v>
      </c>
      <c r="AI365" s="40">
        <v>1</v>
      </c>
    </row>
    <row r="366" spans="1:35" ht="18.75" customHeight="1">
      <c r="A366" s="73">
        <v>2027</v>
      </c>
      <c r="B366" s="112" t="s">
        <v>22</v>
      </c>
      <c r="C366" s="36" t="s">
        <v>353</v>
      </c>
      <c r="D366" s="37">
        <v>45933.093777812501</v>
      </c>
      <c r="E366" s="36" t="s">
        <v>96</v>
      </c>
      <c r="F366" s="36" t="s">
        <v>195</v>
      </c>
      <c r="G366" s="36" t="s">
        <v>354</v>
      </c>
      <c r="H366" s="36" t="s">
        <v>355</v>
      </c>
      <c r="I366" s="36" t="s">
        <v>165</v>
      </c>
      <c r="J366" s="36" t="s">
        <v>356</v>
      </c>
      <c r="K366" s="36" t="s">
        <v>177</v>
      </c>
      <c r="L366" s="74">
        <f>VLOOKUP(E366,Diccionario!C$2:AC$150,22,0)</f>
        <v>1456222952</v>
      </c>
      <c r="M366" s="75">
        <f>VLOOKUP(E366,Diccionario!C$2:AC$150,24,0)</f>
        <v>45880</v>
      </c>
      <c r="N366" s="76">
        <f>VLOOKUP(E366,Diccionario!C$2:AC$150,25,0)</f>
        <v>46662</v>
      </c>
      <c r="O366" s="77">
        <f>VLOOKUP(E366,Diccionario!C$2:AC$150,26,0)</f>
        <v>25.7</v>
      </c>
      <c r="P366" s="77">
        <f t="shared" si="143"/>
        <v>-6.6999999999999993</v>
      </c>
      <c r="Q366" s="78">
        <v>19</v>
      </c>
      <c r="R366" s="36">
        <v>26</v>
      </c>
      <c r="S366" s="86">
        <v>0.711666666666667</v>
      </c>
      <c r="T366" s="86"/>
      <c r="U366" s="82"/>
      <c r="V366" s="82"/>
      <c r="W366" s="82">
        <f t="shared" si="137"/>
        <v>0</v>
      </c>
      <c r="X366" s="82">
        <f t="shared" si="144"/>
        <v>1036345334.1733338</v>
      </c>
      <c r="Y366" s="82">
        <f t="shared" si="138"/>
        <v>0</v>
      </c>
      <c r="Z366" s="82">
        <f t="shared" si="145"/>
        <v>-1036345334.1733338</v>
      </c>
      <c r="AA366" s="83" t="str">
        <f t="shared" si="142"/>
        <v>No se realizó gasto en este corte</v>
      </c>
      <c r="AB366" s="84" t="str">
        <f t="shared" si="146"/>
        <v>Costo eficiente: se está gastando menos de lo presupuestado</v>
      </c>
      <c r="AC366" s="84">
        <f t="shared" si="139"/>
        <v>0</v>
      </c>
      <c r="AD366" s="84" t="str">
        <f t="shared" si="147"/>
        <v>Sin Línea Base</v>
      </c>
      <c r="AE366" s="85">
        <f t="shared" si="140"/>
        <v>0</v>
      </c>
      <c r="AF366" s="85">
        <f t="shared" si="141"/>
        <v>-1456222952</v>
      </c>
      <c r="AG366" s="40" t="str">
        <f>VLOOKUP(Indicador!E366,Diccionario!C$1:AC$150,27,0)</f>
        <v>https://growdatasas.sharepoint.com/:x:/r/sites/Gestiondocumental/Administrativa/GD/Financiera/_layouts/15/Doc.aspx?sourcedoc=%7B538AADB9-4832-4502-992B-5493EC06C9DB%7D&amp;file=250905%20ERA%20MODELO%20FINANCIERO%20REFERENCIA%20V7.5.xlsm&amp;action=default&amp;mobileredirect=true</v>
      </c>
      <c r="AH366" s="40">
        <v>1</v>
      </c>
      <c r="AI366" s="40">
        <v>1</v>
      </c>
    </row>
    <row r="367" spans="1:35" ht="18.75" customHeight="1">
      <c r="A367" s="73">
        <v>2027</v>
      </c>
      <c r="B367" s="112" t="s">
        <v>24</v>
      </c>
      <c r="C367" s="36" t="s">
        <v>353</v>
      </c>
      <c r="D367" s="37">
        <v>45933.093777812501</v>
      </c>
      <c r="E367" s="36" t="s">
        <v>96</v>
      </c>
      <c r="F367" s="36" t="s">
        <v>195</v>
      </c>
      <c r="G367" s="36" t="s">
        <v>354</v>
      </c>
      <c r="H367" s="36" t="s">
        <v>355</v>
      </c>
      <c r="I367" s="36" t="s">
        <v>165</v>
      </c>
      <c r="J367" s="36" t="s">
        <v>356</v>
      </c>
      <c r="K367" s="36" t="s">
        <v>177</v>
      </c>
      <c r="L367" s="74">
        <f>VLOOKUP(E367,Diccionario!C$2:AC$150,22,0)</f>
        <v>1456222952</v>
      </c>
      <c r="M367" s="75">
        <f>VLOOKUP(E367,Diccionario!C$2:AC$150,24,0)</f>
        <v>45880</v>
      </c>
      <c r="N367" s="76">
        <f>VLOOKUP(E367,Diccionario!C$2:AC$150,25,0)</f>
        <v>46662</v>
      </c>
      <c r="O367" s="77">
        <f>VLOOKUP(E367,Diccionario!C$2:AC$150,26,0)</f>
        <v>25.7</v>
      </c>
      <c r="P367" s="77">
        <f t="shared" si="143"/>
        <v>-5.6999999999999993</v>
      </c>
      <c r="Q367" s="78">
        <v>20</v>
      </c>
      <c r="R367" s="36">
        <v>26</v>
      </c>
      <c r="S367" s="86">
        <v>0.74666666666666703</v>
      </c>
      <c r="T367" s="86"/>
      <c r="U367" s="82"/>
      <c r="V367" s="82"/>
      <c r="W367" s="82">
        <f t="shared" si="137"/>
        <v>0</v>
      </c>
      <c r="X367" s="82">
        <f t="shared" si="144"/>
        <v>1087313137.4933338</v>
      </c>
      <c r="Y367" s="82">
        <f t="shared" si="138"/>
        <v>0</v>
      </c>
      <c r="Z367" s="82">
        <f t="shared" si="145"/>
        <v>-1087313137.4933338</v>
      </c>
      <c r="AA367" s="83" t="str">
        <f t="shared" si="142"/>
        <v>No se realizó gasto en este corte</v>
      </c>
      <c r="AB367" s="84" t="str">
        <f t="shared" si="146"/>
        <v>Costo eficiente: se está gastando menos de lo presupuestado</v>
      </c>
      <c r="AC367" s="84">
        <f t="shared" si="139"/>
        <v>0</v>
      </c>
      <c r="AD367" s="84" t="str">
        <f t="shared" si="147"/>
        <v>Sin Línea Base</v>
      </c>
      <c r="AE367" s="85">
        <f t="shared" si="140"/>
        <v>0</v>
      </c>
      <c r="AF367" s="85">
        <f t="shared" si="141"/>
        <v>-1456222952</v>
      </c>
      <c r="AG367" s="40" t="str">
        <f>VLOOKUP(Indicador!E367,Diccionario!C$1:AC$150,27,0)</f>
        <v>https://growdatasas.sharepoint.com/:x:/r/sites/Gestiondocumental/Administrativa/GD/Financiera/_layouts/15/Doc.aspx?sourcedoc=%7B538AADB9-4832-4502-992B-5493EC06C9DB%7D&amp;file=250905%20ERA%20MODELO%20FINANCIERO%20REFERENCIA%20V7.5.xlsm&amp;action=default&amp;mobileredirect=true</v>
      </c>
      <c r="AH367" s="40">
        <v>1</v>
      </c>
      <c r="AI367" s="40">
        <v>1</v>
      </c>
    </row>
    <row r="368" spans="1:35" ht="18.75" customHeight="1">
      <c r="A368" s="73">
        <v>2027</v>
      </c>
      <c r="B368" s="112" t="s">
        <v>27</v>
      </c>
      <c r="C368" s="36" t="s">
        <v>353</v>
      </c>
      <c r="D368" s="37">
        <v>45933.093777812501</v>
      </c>
      <c r="E368" s="36" t="s">
        <v>96</v>
      </c>
      <c r="F368" s="36" t="s">
        <v>195</v>
      </c>
      <c r="G368" s="36" t="s">
        <v>354</v>
      </c>
      <c r="H368" s="36" t="s">
        <v>355</v>
      </c>
      <c r="I368" s="36" t="s">
        <v>165</v>
      </c>
      <c r="J368" s="36" t="s">
        <v>356</v>
      </c>
      <c r="K368" s="36" t="s">
        <v>177</v>
      </c>
      <c r="L368" s="74">
        <f>VLOOKUP(E368,Diccionario!C$2:AC$150,22,0)</f>
        <v>1456222952</v>
      </c>
      <c r="M368" s="75">
        <f>VLOOKUP(E368,Diccionario!C$2:AC$150,24,0)</f>
        <v>45880</v>
      </c>
      <c r="N368" s="76">
        <f>VLOOKUP(E368,Diccionario!C$2:AC$150,25,0)</f>
        <v>46662</v>
      </c>
      <c r="O368" s="77">
        <f>VLOOKUP(E368,Diccionario!C$2:AC$150,26,0)</f>
        <v>25.7</v>
      </c>
      <c r="P368" s="77">
        <f t="shared" si="143"/>
        <v>-4.6999999999999993</v>
      </c>
      <c r="Q368" s="78">
        <v>21</v>
      </c>
      <c r="R368" s="36">
        <v>26</v>
      </c>
      <c r="S368" s="86">
        <v>0.78166666666666695</v>
      </c>
      <c r="T368" s="86"/>
      <c r="U368" s="82"/>
      <c r="V368" s="82"/>
      <c r="W368" s="82">
        <f t="shared" si="137"/>
        <v>0</v>
      </c>
      <c r="X368" s="82">
        <f t="shared" si="144"/>
        <v>1138280940.8133337</v>
      </c>
      <c r="Y368" s="82">
        <f t="shared" si="138"/>
        <v>0</v>
      </c>
      <c r="Z368" s="82">
        <f t="shared" si="145"/>
        <v>-1138280940.8133337</v>
      </c>
      <c r="AA368" s="83" t="str">
        <f t="shared" si="142"/>
        <v>No se realizó gasto en este corte</v>
      </c>
      <c r="AB368" s="84" t="str">
        <f t="shared" si="146"/>
        <v>Costo eficiente: se está gastando menos de lo presupuestado</v>
      </c>
      <c r="AC368" s="84">
        <f t="shared" si="139"/>
        <v>0</v>
      </c>
      <c r="AD368" s="84" t="str">
        <f t="shared" si="147"/>
        <v>Sin Línea Base</v>
      </c>
      <c r="AE368" s="85">
        <f t="shared" si="140"/>
        <v>0</v>
      </c>
      <c r="AF368" s="85">
        <f t="shared" si="141"/>
        <v>-1456222952</v>
      </c>
      <c r="AG368" s="40" t="str">
        <f>VLOOKUP(Indicador!E368,Diccionario!C$1:AC$150,27,0)</f>
        <v>https://growdatasas.sharepoint.com/:x:/r/sites/Gestiondocumental/Administrativa/GD/Financiera/_layouts/15/Doc.aspx?sourcedoc=%7B538AADB9-4832-4502-992B-5493EC06C9DB%7D&amp;file=250905%20ERA%20MODELO%20FINANCIERO%20REFERENCIA%20V7.5.xlsm&amp;action=default&amp;mobileredirect=true</v>
      </c>
      <c r="AH368" s="40">
        <v>1</v>
      </c>
      <c r="AI368" s="40">
        <v>1</v>
      </c>
    </row>
    <row r="369" spans="1:35" ht="18.75" customHeight="1">
      <c r="A369" s="73">
        <v>2027</v>
      </c>
      <c r="B369" s="112" t="s">
        <v>13</v>
      </c>
      <c r="C369" s="36" t="s">
        <v>353</v>
      </c>
      <c r="D369" s="37">
        <v>45933.093777812501</v>
      </c>
      <c r="E369" s="36" t="s">
        <v>96</v>
      </c>
      <c r="F369" s="36" t="s">
        <v>195</v>
      </c>
      <c r="G369" s="36" t="s">
        <v>354</v>
      </c>
      <c r="H369" s="36" t="s">
        <v>355</v>
      </c>
      <c r="I369" s="36" t="s">
        <v>165</v>
      </c>
      <c r="J369" s="36" t="s">
        <v>356</v>
      </c>
      <c r="K369" s="36" t="s">
        <v>177</v>
      </c>
      <c r="L369" s="74">
        <f>VLOOKUP(E369,Diccionario!C$2:AC$150,22,0)</f>
        <v>1456222952</v>
      </c>
      <c r="M369" s="75">
        <f>VLOOKUP(E369,Diccionario!C$2:AC$150,24,0)</f>
        <v>45880</v>
      </c>
      <c r="N369" s="76">
        <f>VLOOKUP(E369,Diccionario!C$2:AC$150,25,0)</f>
        <v>46662</v>
      </c>
      <c r="O369" s="77">
        <f>VLOOKUP(E369,Diccionario!C$2:AC$150,26,0)</f>
        <v>25.7</v>
      </c>
      <c r="P369" s="77">
        <f t="shared" si="143"/>
        <v>-3.6999999999999993</v>
      </c>
      <c r="Q369" s="78">
        <v>22</v>
      </c>
      <c r="R369" s="36">
        <v>26</v>
      </c>
      <c r="S369" s="86">
        <v>0.81666666666666698</v>
      </c>
      <c r="T369" s="86"/>
      <c r="U369" s="82"/>
      <c r="V369" s="82"/>
      <c r="W369" s="82">
        <f t="shared" si="137"/>
        <v>0</v>
      </c>
      <c r="X369" s="82">
        <f t="shared" si="144"/>
        <v>1189248744.1333337</v>
      </c>
      <c r="Y369" s="82">
        <f t="shared" si="138"/>
        <v>0</v>
      </c>
      <c r="Z369" s="82">
        <f t="shared" si="145"/>
        <v>-1189248744.1333337</v>
      </c>
      <c r="AA369" s="83" t="str">
        <f t="shared" si="142"/>
        <v>No se realizó gasto en este corte</v>
      </c>
      <c r="AB369" s="84" t="str">
        <f t="shared" si="146"/>
        <v>Costo eficiente: se está gastando menos de lo presupuestado</v>
      </c>
      <c r="AC369" s="84">
        <f t="shared" si="139"/>
        <v>0</v>
      </c>
      <c r="AD369" s="84" t="str">
        <f t="shared" si="147"/>
        <v>Sin Línea Base</v>
      </c>
      <c r="AE369" s="85">
        <f t="shared" si="140"/>
        <v>0</v>
      </c>
      <c r="AF369" s="85">
        <f t="shared" si="141"/>
        <v>-1456222952</v>
      </c>
      <c r="AG369" s="40" t="str">
        <f>VLOOKUP(Indicador!E369,Diccionario!C$1:AC$150,27,0)</f>
        <v>https://growdatasas.sharepoint.com/:x:/r/sites/Gestiondocumental/Administrativa/GD/Financiera/_layouts/15/Doc.aspx?sourcedoc=%7B538AADB9-4832-4502-992B-5493EC06C9DB%7D&amp;file=250905%20ERA%20MODELO%20FINANCIERO%20REFERENCIA%20V7.5.xlsm&amp;action=default&amp;mobileredirect=true</v>
      </c>
      <c r="AH369" s="40">
        <v>1</v>
      </c>
      <c r="AI369" s="40">
        <v>1</v>
      </c>
    </row>
    <row r="370" spans="1:35" ht="18.75" customHeight="1">
      <c r="A370" s="73">
        <v>2027</v>
      </c>
      <c r="B370" s="112" t="s">
        <v>21</v>
      </c>
      <c r="C370" s="36" t="s">
        <v>353</v>
      </c>
      <c r="D370" s="37">
        <v>45933.093777812501</v>
      </c>
      <c r="E370" s="36" t="s">
        <v>96</v>
      </c>
      <c r="F370" s="36" t="s">
        <v>195</v>
      </c>
      <c r="G370" s="36" t="s">
        <v>354</v>
      </c>
      <c r="H370" s="36" t="s">
        <v>355</v>
      </c>
      <c r="I370" s="36" t="s">
        <v>165</v>
      </c>
      <c r="J370" s="36" t="s">
        <v>356</v>
      </c>
      <c r="K370" s="36" t="s">
        <v>177</v>
      </c>
      <c r="L370" s="74">
        <f>VLOOKUP(E370,Diccionario!C$2:AC$150,22,0)</f>
        <v>1456222952</v>
      </c>
      <c r="M370" s="75">
        <f>VLOOKUP(E370,Diccionario!C$2:AC$150,24,0)</f>
        <v>45880</v>
      </c>
      <c r="N370" s="76">
        <f>VLOOKUP(E370,Diccionario!C$2:AC$150,25,0)</f>
        <v>46662</v>
      </c>
      <c r="O370" s="77">
        <f>VLOOKUP(E370,Diccionario!C$2:AC$150,26,0)</f>
        <v>25.7</v>
      </c>
      <c r="P370" s="77">
        <f t="shared" si="143"/>
        <v>-2.6999999999999993</v>
      </c>
      <c r="Q370" s="78">
        <v>23</v>
      </c>
      <c r="R370" s="36">
        <v>26</v>
      </c>
      <c r="S370" s="86">
        <v>0.85166666666666702</v>
      </c>
      <c r="T370" s="86"/>
      <c r="U370" s="82"/>
      <c r="V370" s="82"/>
      <c r="W370" s="82">
        <f t="shared" si="137"/>
        <v>0</v>
      </c>
      <c r="X370" s="82">
        <f t="shared" si="144"/>
        <v>1240216547.4533339</v>
      </c>
      <c r="Y370" s="82">
        <f t="shared" si="138"/>
        <v>0</v>
      </c>
      <c r="Z370" s="82">
        <f t="shared" si="145"/>
        <v>-1240216547.4533339</v>
      </c>
      <c r="AA370" s="83" t="str">
        <f t="shared" si="142"/>
        <v>No se realizó gasto en este corte</v>
      </c>
      <c r="AB370" s="84" t="str">
        <f t="shared" si="146"/>
        <v>Costo eficiente: se está gastando menos de lo presupuestado</v>
      </c>
      <c r="AC370" s="84">
        <f t="shared" si="139"/>
        <v>0</v>
      </c>
      <c r="AD370" s="84" t="str">
        <f t="shared" si="147"/>
        <v>Sin Línea Base</v>
      </c>
      <c r="AE370" s="85">
        <f t="shared" si="140"/>
        <v>0</v>
      </c>
      <c r="AF370" s="85">
        <f t="shared" si="141"/>
        <v>-1456222952</v>
      </c>
      <c r="AG370" s="40" t="str">
        <f>VLOOKUP(Indicador!E370,Diccionario!C$1:AC$150,27,0)</f>
        <v>https://growdatasas.sharepoint.com/:x:/r/sites/Gestiondocumental/Administrativa/GD/Financiera/_layouts/15/Doc.aspx?sourcedoc=%7B538AADB9-4832-4502-992B-5493EC06C9DB%7D&amp;file=250905%20ERA%20MODELO%20FINANCIERO%20REFERENCIA%20V7.5.xlsm&amp;action=default&amp;mobileredirect=true</v>
      </c>
      <c r="AH370" s="40">
        <v>1</v>
      </c>
      <c r="AI370" s="40">
        <v>1</v>
      </c>
    </row>
    <row r="371" spans="1:35" ht="18.75" customHeight="1">
      <c r="A371" s="73">
        <v>2027</v>
      </c>
      <c r="B371" s="112" t="s">
        <v>23</v>
      </c>
      <c r="C371" s="36" t="s">
        <v>353</v>
      </c>
      <c r="D371" s="37">
        <v>45933.093777812501</v>
      </c>
      <c r="E371" s="36" t="s">
        <v>96</v>
      </c>
      <c r="F371" s="36" t="s">
        <v>195</v>
      </c>
      <c r="G371" s="36" t="s">
        <v>354</v>
      </c>
      <c r="H371" s="36" t="s">
        <v>355</v>
      </c>
      <c r="I371" s="36" t="s">
        <v>165</v>
      </c>
      <c r="J371" s="36" t="s">
        <v>356</v>
      </c>
      <c r="K371" s="36" t="s">
        <v>177</v>
      </c>
      <c r="L371" s="74">
        <f>VLOOKUP(E371,Diccionario!C$2:AC$150,22,0)</f>
        <v>1456222952</v>
      </c>
      <c r="M371" s="75">
        <f>VLOOKUP(E371,Diccionario!C$2:AC$150,24,0)</f>
        <v>45880</v>
      </c>
      <c r="N371" s="76">
        <f>VLOOKUP(E371,Diccionario!C$2:AC$150,25,0)</f>
        <v>46662</v>
      </c>
      <c r="O371" s="77">
        <f>VLOOKUP(E371,Diccionario!C$2:AC$150,26,0)</f>
        <v>25.7</v>
      </c>
      <c r="P371" s="77">
        <f t="shared" si="143"/>
        <v>-1.6999999999999993</v>
      </c>
      <c r="Q371" s="78">
        <v>24</v>
      </c>
      <c r="R371" s="36">
        <v>26</v>
      </c>
      <c r="S371" s="86">
        <v>0.88666666666666705</v>
      </c>
      <c r="T371" s="86"/>
      <c r="U371" s="82"/>
      <c r="V371" s="82"/>
      <c r="W371" s="82">
        <f t="shared" si="137"/>
        <v>0</v>
      </c>
      <c r="X371" s="82">
        <f t="shared" si="144"/>
        <v>1291184350.7733338</v>
      </c>
      <c r="Y371" s="82">
        <f t="shared" si="138"/>
        <v>0</v>
      </c>
      <c r="Z371" s="82">
        <f t="shared" si="145"/>
        <v>-1291184350.7733338</v>
      </c>
      <c r="AA371" s="83" t="str">
        <f t="shared" si="142"/>
        <v>No se realizó gasto en este corte</v>
      </c>
      <c r="AB371" s="84" t="str">
        <f t="shared" si="146"/>
        <v>Costo eficiente: se está gastando menos de lo presupuestado</v>
      </c>
      <c r="AC371" s="84">
        <f t="shared" si="139"/>
        <v>0</v>
      </c>
      <c r="AD371" s="84" t="str">
        <f t="shared" si="147"/>
        <v>Sin Línea Base</v>
      </c>
      <c r="AE371" s="85">
        <f t="shared" si="140"/>
        <v>0</v>
      </c>
      <c r="AF371" s="85">
        <f t="shared" si="141"/>
        <v>-1456222952</v>
      </c>
      <c r="AG371" s="40" t="str">
        <f>VLOOKUP(Indicador!E371,Diccionario!C$1:AC$150,27,0)</f>
        <v>https://growdatasas.sharepoint.com/:x:/r/sites/Gestiondocumental/Administrativa/GD/Financiera/_layouts/15/Doc.aspx?sourcedoc=%7B538AADB9-4832-4502-992B-5493EC06C9DB%7D&amp;file=250905%20ERA%20MODELO%20FINANCIERO%20REFERENCIA%20V7.5.xlsm&amp;action=default&amp;mobileredirect=true</v>
      </c>
      <c r="AH371" s="40">
        <v>1</v>
      </c>
      <c r="AI371" s="40">
        <v>1</v>
      </c>
    </row>
    <row r="372" spans="1:35" ht="18.75" customHeight="1">
      <c r="A372" s="73">
        <v>2027</v>
      </c>
      <c r="B372" s="112" t="s">
        <v>26</v>
      </c>
      <c r="C372" s="36" t="s">
        <v>353</v>
      </c>
      <c r="D372" s="37">
        <v>45933.093777812501</v>
      </c>
      <c r="E372" s="36" t="s">
        <v>96</v>
      </c>
      <c r="F372" s="36" t="s">
        <v>195</v>
      </c>
      <c r="G372" s="36" t="s">
        <v>354</v>
      </c>
      <c r="H372" s="36" t="s">
        <v>355</v>
      </c>
      <c r="I372" s="36" t="s">
        <v>165</v>
      </c>
      <c r="J372" s="36" t="s">
        <v>356</v>
      </c>
      <c r="K372" s="36" t="s">
        <v>177</v>
      </c>
      <c r="L372" s="74">
        <f>VLOOKUP(E372,Diccionario!C$2:AC$150,22,0)</f>
        <v>1456222952</v>
      </c>
      <c r="M372" s="75">
        <f>VLOOKUP(E372,Diccionario!C$2:AC$150,24,0)</f>
        <v>45880</v>
      </c>
      <c r="N372" s="76">
        <f>VLOOKUP(E372,Diccionario!C$2:AC$150,25,0)</f>
        <v>46662</v>
      </c>
      <c r="O372" s="77">
        <f>VLOOKUP(E372,Diccionario!C$2:AC$150,26,0)</f>
        <v>25.7</v>
      </c>
      <c r="P372" s="77">
        <f t="shared" si="143"/>
        <v>-0.69999999999999929</v>
      </c>
      <c r="Q372" s="78">
        <v>25</v>
      </c>
      <c r="R372" s="36">
        <v>26</v>
      </c>
      <c r="S372" s="86">
        <v>0.92166666666666697</v>
      </c>
      <c r="T372" s="86"/>
      <c r="U372" s="82"/>
      <c r="V372" s="82"/>
      <c r="W372" s="82">
        <f t="shared" si="137"/>
        <v>0</v>
      </c>
      <c r="X372" s="82">
        <f t="shared" si="144"/>
        <v>1342152154.0933337</v>
      </c>
      <c r="Y372" s="82">
        <f t="shared" si="138"/>
        <v>0</v>
      </c>
      <c r="Z372" s="82">
        <f t="shared" si="145"/>
        <v>-1342152154.0933337</v>
      </c>
      <c r="AA372" s="83" t="str">
        <f t="shared" si="142"/>
        <v>No se realizó gasto en este corte</v>
      </c>
      <c r="AB372" s="84" t="str">
        <f t="shared" si="146"/>
        <v>Costo eficiente: se está gastando menos de lo presupuestado</v>
      </c>
      <c r="AC372" s="84">
        <f t="shared" si="139"/>
        <v>0</v>
      </c>
      <c r="AD372" s="84" t="str">
        <f t="shared" si="147"/>
        <v>Sin Línea Base</v>
      </c>
      <c r="AE372" s="85">
        <f t="shared" si="140"/>
        <v>0</v>
      </c>
      <c r="AF372" s="85">
        <f t="shared" si="141"/>
        <v>-1456222952</v>
      </c>
      <c r="AG372" s="40" t="str">
        <f>VLOOKUP(Indicador!E372,Diccionario!C$1:AC$150,27,0)</f>
        <v>https://growdatasas.sharepoint.com/:x:/r/sites/Gestiondocumental/Administrativa/GD/Financiera/_layouts/15/Doc.aspx?sourcedoc=%7B538AADB9-4832-4502-992B-5493EC06C9DB%7D&amp;file=250905%20ERA%20MODELO%20FINANCIERO%20REFERENCIA%20V7.5.xlsm&amp;action=default&amp;mobileredirect=true</v>
      </c>
      <c r="AH372" s="40">
        <v>1</v>
      </c>
      <c r="AI372" s="40">
        <v>1</v>
      </c>
    </row>
    <row r="373" spans="1:35" ht="18.75" customHeight="1">
      <c r="A373" s="73">
        <v>2027</v>
      </c>
      <c r="B373" s="112" t="s">
        <v>28</v>
      </c>
      <c r="C373" s="36" t="s">
        <v>353</v>
      </c>
      <c r="D373" s="37">
        <v>45933.093777812501</v>
      </c>
      <c r="E373" s="36" t="s">
        <v>96</v>
      </c>
      <c r="F373" s="36" t="s">
        <v>195</v>
      </c>
      <c r="G373" s="36" t="s">
        <v>354</v>
      </c>
      <c r="H373" s="36" t="s">
        <v>355</v>
      </c>
      <c r="I373" s="36" t="s">
        <v>165</v>
      </c>
      <c r="J373" s="36" t="s">
        <v>356</v>
      </c>
      <c r="K373" s="36" t="s">
        <v>177</v>
      </c>
      <c r="L373" s="74">
        <f>VLOOKUP(E373,Diccionario!C$2:AC$150,22,0)</f>
        <v>1456222952</v>
      </c>
      <c r="M373" s="75">
        <f>VLOOKUP(E373,Diccionario!C$2:AC$150,24,0)</f>
        <v>45880</v>
      </c>
      <c r="N373" s="76">
        <f>VLOOKUP(E373,Diccionario!C$2:AC$150,25,0)</f>
        <v>46662</v>
      </c>
      <c r="O373" s="77">
        <f>VLOOKUP(E373,Diccionario!C$2:AC$150,26,0)</f>
        <v>25.7</v>
      </c>
      <c r="P373" s="77">
        <f t="shared" si="143"/>
        <v>0.30000000000000071</v>
      </c>
      <c r="Q373" s="78">
        <v>26</v>
      </c>
      <c r="R373" s="36">
        <v>26</v>
      </c>
      <c r="S373" s="86">
        <v>0.956666666666667</v>
      </c>
      <c r="T373" s="86"/>
      <c r="U373" s="82"/>
      <c r="V373" s="82"/>
      <c r="W373" s="82">
        <f t="shared" si="137"/>
        <v>0</v>
      </c>
      <c r="X373" s="82">
        <f t="shared" si="144"/>
        <v>1393119957.4133339</v>
      </c>
      <c r="Y373" s="82">
        <f t="shared" si="138"/>
        <v>0</v>
      </c>
      <c r="Z373" s="82">
        <f t="shared" si="145"/>
        <v>-1393119957.4133339</v>
      </c>
      <c r="AA373" s="83" t="str">
        <f t="shared" si="142"/>
        <v>No se realizó gasto en este corte</v>
      </c>
      <c r="AB373" s="84" t="str">
        <f t="shared" si="146"/>
        <v>Costo eficiente: se está gastando menos de lo presupuestado</v>
      </c>
      <c r="AC373" s="84">
        <f t="shared" si="139"/>
        <v>0</v>
      </c>
      <c r="AD373" s="84" t="str">
        <f t="shared" si="147"/>
        <v>Sin Línea Base</v>
      </c>
      <c r="AE373" s="85">
        <f t="shared" si="140"/>
        <v>0</v>
      </c>
      <c r="AF373" s="85">
        <f t="shared" si="141"/>
        <v>-1456222952</v>
      </c>
      <c r="AG373" s="40" t="str">
        <f>VLOOKUP(Indicador!E373,Diccionario!C$1:AC$150,27,0)</f>
        <v>https://growdatasas.sharepoint.com/:x:/r/sites/Gestiondocumental/Administrativa/GD/Financiera/_layouts/15/Doc.aspx?sourcedoc=%7B538AADB9-4832-4502-992B-5493EC06C9DB%7D&amp;file=250905%20ERA%20MODELO%20FINANCIERO%20REFERENCIA%20V7.5.xlsm&amp;action=default&amp;mobileredirect=true</v>
      </c>
      <c r="AH373" s="40">
        <v>1</v>
      </c>
      <c r="AI373" s="40">
        <v>1</v>
      </c>
    </row>
    <row r="374" spans="1:35" ht="18.75" customHeight="1">
      <c r="A374" s="73">
        <v>2027</v>
      </c>
      <c r="B374" s="112" t="s">
        <v>30</v>
      </c>
      <c r="C374" s="36" t="s">
        <v>353</v>
      </c>
      <c r="D374" s="37">
        <v>45933.093777812501</v>
      </c>
      <c r="E374" s="36" t="s">
        <v>96</v>
      </c>
      <c r="F374" s="36" t="s">
        <v>195</v>
      </c>
      <c r="G374" s="36" t="s">
        <v>354</v>
      </c>
      <c r="H374" s="36" t="s">
        <v>355</v>
      </c>
      <c r="I374" s="36" t="s">
        <v>165</v>
      </c>
      <c r="J374" s="36" t="s">
        <v>356</v>
      </c>
      <c r="K374" s="36" t="s">
        <v>177</v>
      </c>
      <c r="L374" s="74">
        <f>VLOOKUP(E374,Diccionario!C$2:AC$150,22,0)</f>
        <v>1456222952</v>
      </c>
      <c r="M374" s="75">
        <f>VLOOKUP(E374,Diccionario!C$2:AC$150,24,0)</f>
        <v>45880</v>
      </c>
      <c r="N374" s="76">
        <f>VLOOKUP(E374,Diccionario!C$2:AC$150,25,0)</f>
        <v>46662</v>
      </c>
      <c r="O374" s="77">
        <f>VLOOKUP(E374,Diccionario!C$2:AC$150,26,0)</f>
        <v>25.7</v>
      </c>
      <c r="P374" s="77">
        <f t="shared" si="143"/>
        <v>1.3000000000000007</v>
      </c>
      <c r="Q374" s="78">
        <v>27</v>
      </c>
      <c r="R374" s="36">
        <v>26</v>
      </c>
      <c r="S374" s="86">
        <v>1</v>
      </c>
      <c r="T374" s="86"/>
      <c r="U374" s="82"/>
      <c r="V374" s="82"/>
      <c r="W374" s="82">
        <f t="shared" si="137"/>
        <v>0</v>
      </c>
      <c r="X374" s="82">
        <f t="shared" si="144"/>
        <v>1456222952</v>
      </c>
      <c r="Y374" s="82">
        <f t="shared" si="138"/>
        <v>0</v>
      </c>
      <c r="Z374" s="82">
        <f t="shared" si="145"/>
        <v>-1456222952</v>
      </c>
      <c r="AA374" s="83" t="str">
        <f t="shared" si="142"/>
        <v>No se realizó gasto en este corte</v>
      </c>
      <c r="AB374" s="84" t="str">
        <f t="shared" si="146"/>
        <v>Costo eficiente: se está gastando menos de lo presupuestado</v>
      </c>
      <c r="AC374" s="84">
        <f t="shared" si="139"/>
        <v>0</v>
      </c>
      <c r="AD374" s="84" t="str">
        <f t="shared" si="147"/>
        <v>Sin Línea Base</v>
      </c>
      <c r="AE374" s="85">
        <f t="shared" si="140"/>
        <v>0</v>
      </c>
      <c r="AF374" s="85">
        <f t="shared" si="141"/>
        <v>-1456222952</v>
      </c>
      <c r="AG374" s="40" t="str">
        <f>VLOOKUP(Indicador!E374,Diccionario!C$1:AC$150,27,0)</f>
        <v>https://growdatasas.sharepoint.com/:x:/r/sites/Gestiondocumental/Administrativa/GD/Financiera/_layouts/15/Doc.aspx?sourcedoc=%7B538AADB9-4832-4502-992B-5493EC06C9DB%7D&amp;file=250905%20ERA%20MODELO%20FINANCIERO%20REFERENCIA%20V7.5.xlsm&amp;action=default&amp;mobileredirect=true</v>
      </c>
      <c r="AH374" s="40">
        <v>1</v>
      </c>
      <c r="AI374" s="40">
        <v>1</v>
      </c>
    </row>
    <row r="375" spans="1:35" ht="18.75" customHeight="1">
      <c r="A375" s="73">
        <v>2025</v>
      </c>
      <c r="B375" s="112" t="s">
        <v>26</v>
      </c>
      <c r="C375" s="36" t="s">
        <v>357</v>
      </c>
      <c r="D375" s="37">
        <v>45889.883283877316</v>
      </c>
      <c r="E375" s="36" t="s">
        <v>42</v>
      </c>
      <c r="F375" s="36" t="s">
        <v>358</v>
      </c>
      <c r="G375" s="36" t="s">
        <v>359</v>
      </c>
      <c r="H375" s="36" t="s">
        <v>360</v>
      </c>
      <c r="I375" s="36" t="s">
        <v>152</v>
      </c>
      <c r="J375" s="36" t="s">
        <v>361</v>
      </c>
      <c r="K375" s="36" t="s">
        <v>177</v>
      </c>
      <c r="L375" s="74">
        <f>VLOOKUP(E375,Diccionario!C$2:AC$150,22,0)</f>
        <v>6433558115</v>
      </c>
      <c r="M375" s="75">
        <f>VLOOKUP(E375,Diccionario!C$2:AC$150,24,0)</f>
        <v>45880</v>
      </c>
      <c r="N375" s="76">
        <f>VLOOKUP(E375,Diccionario!C$2:AC$150,25,0)</f>
        <v>46203</v>
      </c>
      <c r="O375" s="77">
        <f>VLOOKUP(E375,Diccionario!C$2:AC$150,26,0)</f>
        <v>10.63</v>
      </c>
      <c r="P375" s="77">
        <f t="shared" si="143"/>
        <v>-9.6300000000000008</v>
      </c>
      <c r="Q375" s="78">
        <v>1</v>
      </c>
      <c r="R375" s="36">
        <v>11</v>
      </c>
      <c r="S375" s="86">
        <v>0.25</v>
      </c>
      <c r="T375" s="86">
        <v>0.25</v>
      </c>
      <c r="U375" s="82">
        <v>986184207</v>
      </c>
      <c r="V375" s="82">
        <v>986184207</v>
      </c>
      <c r="W375" s="82">
        <f t="shared" si="137"/>
        <v>1608389528.75</v>
      </c>
      <c r="X375" s="82">
        <f t="shared" si="144"/>
        <v>1608389528.75</v>
      </c>
      <c r="Y375" s="82">
        <f t="shared" si="138"/>
        <v>622205321.75</v>
      </c>
      <c r="Z375" s="82">
        <f t="shared" si="145"/>
        <v>0</v>
      </c>
      <c r="AA375" s="83">
        <f t="shared" si="142"/>
        <v>1.6309220096342507</v>
      </c>
      <c r="AB375" s="84" t="str">
        <f t="shared" si="146"/>
        <v>Costo eficiente: se está gastando menos de lo presupuestado</v>
      </c>
      <c r="AC375" s="84">
        <f t="shared" si="139"/>
        <v>1</v>
      </c>
      <c r="AD375" s="84" t="str">
        <f t="shared" si="147"/>
        <v>Proyecto a tiempo según lo planificado</v>
      </c>
      <c r="AE375" s="85">
        <f t="shared" si="140"/>
        <v>3944736828.0000005</v>
      </c>
      <c r="AF375" s="85">
        <f t="shared" si="141"/>
        <v>-2488821286.9999995</v>
      </c>
      <c r="AG375" s="40" t="str">
        <f>VLOOKUP(Indicador!E375,Diccionario!C$1:AC$150,27,0)</f>
        <v>https://growdatasas.sharepoint.com/:x:/r/sites/Gestiondocumental/Administrativa/GD/Financiera/_layouts/15/Doc.aspx?sourcedoc=%7B41841B21-2BE8-4447-91BA-4CA8390FA143%7D&amp;file=MODELO%20FINANCIERO%20ELECCIONES%202025%20INTEGRADO%20V3%20DEF.xlsm&amp;action=default&amp;mobileredirect=true</v>
      </c>
      <c r="AH375" s="40">
        <v>1</v>
      </c>
      <c r="AI375" s="40">
        <v>1</v>
      </c>
    </row>
    <row r="376" spans="1:35" ht="18.75" customHeight="1">
      <c r="A376" s="73">
        <v>2025</v>
      </c>
      <c r="B376" s="112" t="s">
        <v>28</v>
      </c>
      <c r="C376" s="36" t="s">
        <v>357</v>
      </c>
      <c r="D376" s="37">
        <v>45889.883283877316</v>
      </c>
      <c r="E376" s="36" t="s">
        <v>42</v>
      </c>
      <c r="F376" s="36" t="s">
        <v>358</v>
      </c>
      <c r="G376" s="36" t="s">
        <v>359</v>
      </c>
      <c r="H376" s="36" t="s">
        <v>360</v>
      </c>
      <c r="I376" s="36" t="s">
        <v>152</v>
      </c>
      <c r="J376" s="36" t="s">
        <v>361</v>
      </c>
      <c r="K376" s="36" t="s">
        <v>177</v>
      </c>
      <c r="L376" s="74">
        <f>VLOOKUP(E376,Diccionario!C$2:AC$150,22,0)</f>
        <v>6433558115</v>
      </c>
      <c r="M376" s="75">
        <f>VLOOKUP(E376,Diccionario!C$2:AC$150,24,0)</f>
        <v>45880</v>
      </c>
      <c r="N376" s="76">
        <f>VLOOKUP(E376,Diccionario!C$2:AC$150,25,0)</f>
        <v>46203</v>
      </c>
      <c r="O376" s="77">
        <f>VLOOKUP(E376,Diccionario!C$2:AC$150,26,0)</f>
        <v>10.63</v>
      </c>
      <c r="P376" s="77">
        <f t="shared" si="143"/>
        <v>-8.6300000000000008</v>
      </c>
      <c r="Q376" s="78">
        <v>2</v>
      </c>
      <c r="R376" s="36">
        <v>11</v>
      </c>
      <c r="S376" s="86">
        <v>0.38</v>
      </c>
      <c r="T376" s="86">
        <v>0.38</v>
      </c>
      <c r="U376" s="82">
        <v>375854197</v>
      </c>
      <c r="V376" s="82">
        <v>375854197</v>
      </c>
      <c r="W376" s="82">
        <f t="shared" si="137"/>
        <v>2444752083.6999998</v>
      </c>
      <c r="X376" s="82">
        <f t="shared" si="144"/>
        <v>2444752083.6999998</v>
      </c>
      <c r="Y376" s="82">
        <f t="shared" si="138"/>
        <v>2068897886.6999998</v>
      </c>
      <c r="Z376" s="82">
        <f t="shared" si="145"/>
        <v>0</v>
      </c>
      <c r="AA376" s="83">
        <f t="shared" si="142"/>
        <v>6.5045225069017913</v>
      </c>
      <c r="AB376" s="84" t="str">
        <f t="shared" si="146"/>
        <v>Costo eficiente: se está gastando menos de lo presupuestado</v>
      </c>
      <c r="AC376" s="84">
        <f t="shared" si="139"/>
        <v>1</v>
      </c>
      <c r="AD376" s="84" t="str">
        <f t="shared" si="147"/>
        <v>Proyecto a tiempo según lo planificado</v>
      </c>
      <c r="AE376" s="85">
        <f t="shared" si="140"/>
        <v>989089992.10526323</v>
      </c>
      <c r="AF376" s="85">
        <f t="shared" si="141"/>
        <v>-5444468122.8947372</v>
      </c>
      <c r="AG376" s="40" t="str">
        <f>VLOOKUP(Indicador!E376,Diccionario!C$1:AC$150,27,0)</f>
        <v>https://growdatasas.sharepoint.com/:x:/r/sites/Gestiondocumental/Administrativa/GD/Financiera/_layouts/15/Doc.aspx?sourcedoc=%7B41841B21-2BE8-4447-91BA-4CA8390FA143%7D&amp;file=MODELO%20FINANCIERO%20ELECCIONES%202025%20INTEGRADO%20V3%20DEF.xlsm&amp;action=default&amp;mobileredirect=true</v>
      </c>
      <c r="AH376" s="40">
        <v>1</v>
      </c>
      <c r="AI376" s="40">
        <v>1</v>
      </c>
    </row>
    <row r="377" spans="1:35" ht="18.75" customHeight="1">
      <c r="A377" s="73">
        <v>2025</v>
      </c>
      <c r="B377" s="112" t="s">
        <v>30</v>
      </c>
      <c r="C377" s="36" t="s">
        <v>357</v>
      </c>
      <c r="D377" s="37">
        <v>45889.883283877316</v>
      </c>
      <c r="E377" s="36" t="s">
        <v>42</v>
      </c>
      <c r="F377" s="36" t="s">
        <v>358</v>
      </c>
      <c r="G377" s="36" t="s">
        <v>359</v>
      </c>
      <c r="H377" s="36" t="s">
        <v>360</v>
      </c>
      <c r="I377" s="36" t="s">
        <v>152</v>
      </c>
      <c r="J377" s="36" t="s">
        <v>361</v>
      </c>
      <c r="K377" s="36" t="s">
        <v>177</v>
      </c>
      <c r="L377" s="74">
        <f>VLOOKUP(E377,Diccionario!C$2:AC$150,22,0)</f>
        <v>6433558115</v>
      </c>
      <c r="M377" s="75">
        <f>VLOOKUP(E377,Diccionario!C$2:AC$150,24,0)</f>
        <v>45880</v>
      </c>
      <c r="N377" s="76">
        <f>VLOOKUP(E377,Diccionario!C$2:AC$150,25,0)</f>
        <v>46203</v>
      </c>
      <c r="O377" s="77">
        <f>VLOOKUP(E377,Diccionario!C$2:AC$150,26,0)</f>
        <v>10.63</v>
      </c>
      <c r="P377" s="77">
        <f t="shared" si="143"/>
        <v>-7.6300000000000008</v>
      </c>
      <c r="Q377" s="78">
        <v>3</v>
      </c>
      <c r="R377" s="36">
        <v>11</v>
      </c>
      <c r="S377" s="86">
        <v>0.42</v>
      </c>
      <c r="T377" s="86">
        <v>0.42</v>
      </c>
      <c r="U377" s="82">
        <v>460611574</v>
      </c>
      <c r="V377" s="82">
        <v>460611574</v>
      </c>
      <c r="W377" s="82">
        <f t="shared" si="137"/>
        <v>2702094408.2999997</v>
      </c>
      <c r="X377" s="82">
        <f t="shared" si="144"/>
        <v>2702094408.2999997</v>
      </c>
      <c r="Y377" s="82">
        <f t="shared" si="138"/>
        <v>2241482834.2999997</v>
      </c>
      <c r="Z377" s="82">
        <f t="shared" si="145"/>
        <v>0</v>
      </c>
      <c r="AA377" s="83">
        <f t="shared" si="142"/>
        <v>5.8663189568484437</v>
      </c>
      <c r="AB377" s="84" t="str">
        <f t="shared" si="146"/>
        <v>Costo eficiente: se está gastando menos de lo presupuestado</v>
      </c>
      <c r="AC377" s="84">
        <f t="shared" si="139"/>
        <v>1</v>
      </c>
      <c r="AD377" s="84" t="str">
        <f t="shared" si="147"/>
        <v>Proyecto a tiempo según lo planificado</v>
      </c>
      <c r="AE377" s="85">
        <f t="shared" si="140"/>
        <v>1096694223.8095238</v>
      </c>
      <c r="AF377" s="85">
        <f t="shared" si="141"/>
        <v>-5336863891.1904764</v>
      </c>
      <c r="AG377" s="40" t="str">
        <f>VLOOKUP(Indicador!E377,Diccionario!C$1:AC$150,27,0)</f>
        <v>https://growdatasas.sharepoint.com/:x:/r/sites/Gestiondocumental/Administrativa/GD/Financiera/_layouts/15/Doc.aspx?sourcedoc=%7B41841B21-2BE8-4447-91BA-4CA8390FA143%7D&amp;file=MODELO%20FINANCIERO%20ELECCIONES%202025%20INTEGRADO%20V3%20DEF.xlsm&amp;action=default&amp;mobileredirect=true</v>
      </c>
      <c r="AH377" s="40">
        <v>1</v>
      </c>
      <c r="AI377" s="40">
        <v>1</v>
      </c>
    </row>
    <row r="378" spans="1:35" ht="18.75" customHeight="1">
      <c r="A378" s="73">
        <v>2025</v>
      </c>
      <c r="B378" s="112" t="s">
        <v>31</v>
      </c>
      <c r="C378" s="36" t="s">
        <v>357</v>
      </c>
      <c r="D378" s="37">
        <v>45889.883283877316</v>
      </c>
      <c r="E378" s="36" t="s">
        <v>42</v>
      </c>
      <c r="F378" s="36" t="s">
        <v>358</v>
      </c>
      <c r="G378" s="36" t="s">
        <v>359</v>
      </c>
      <c r="H378" s="36" t="s">
        <v>360</v>
      </c>
      <c r="I378" s="36" t="s">
        <v>152</v>
      </c>
      <c r="J378" s="36" t="s">
        <v>361</v>
      </c>
      <c r="K378" s="36" t="s">
        <v>177</v>
      </c>
      <c r="L378" s="74">
        <f>VLOOKUP(E378,Diccionario!C$2:AC$150,22,0)</f>
        <v>6433558115</v>
      </c>
      <c r="M378" s="75">
        <f>VLOOKUP(E378,Diccionario!C$2:AC$150,24,0)</f>
        <v>45880</v>
      </c>
      <c r="N378" s="76">
        <f>VLOOKUP(E378,Diccionario!C$2:AC$150,25,0)</f>
        <v>46203</v>
      </c>
      <c r="O378" s="77">
        <f>VLOOKUP(E378,Diccionario!C$2:AC$150,26,0)</f>
        <v>10.63</v>
      </c>
      <c r="P378" s="77">
        <f t="shared" si="143"/>
        <v>-6.6300000000000008</v>
      </c>
      <c r="Q378" s="78">
        <v>4</v>
      </c>
      <c r="R378" s="36">
        <v>11</v>
      </c>
      <c r="S378" s="86">
        <v>0.55000000000000004</v>
      </c>
      <c r="T378" s="86">
        <v>0.55000000000000004</v>
      </c>
      <c r="U378" s="82">
        <v>490857921</v>
      </c>
      <c r="V378" s="82">
        <v>490857921</v>
      </c>
      <c r="W378" s="82">
        <f t="shared" si="137"/>
        <v>3538456963.2500005</v>
      </c>
      <c r="X378" s="82">
        <f t="shared" si="144"/>
        <v>3538456963.2500005</v>
      </c>
      <c r="Y378" s="82">
        <f t="shared" si="138"/>
        <v>3047599042.2500005</v>
      </c>
      <c r="Z378" s="82">
        <f t="shared" si="145"/>
        <v>0</v>
      </c>
      <c r="AA378" s="83">
        <f t="shared" si="142"/>
        <v>7.2087192889569369</v>
      </c>
      <c r="AB378" s="84" t="str">
        <f t="shared" si="146"/>
        <v>Costo eficiente: se está gastando menos de lo presupuestado</v>
      </c>
      <c r="AC378" s="84">
        <f t="shared" si="139"/>
        <v>1</v>
      </c>
      <c r="AD378" s="84" t="str">
        <f t="shared" si="147"/>
        <v>Proyecto a tiempo según lo planificado</v>
      </c>
      <c r="AE378" s="85">
        <f t="shared" si="140"/>
        <v>892468947.27272725</v>
      </c>
      <c r="AF378" s="85">
        <f t="shared" si="141"/>
        <v>-5541089167.727273</v>
      </c>
      <c r="AG378" s="40" t="str">
        <f>VLOOKUP(Indicador!E378,Diccionario!C$1:AC$150,27,0)</f>
        <v>https://growdatasas.sharepoint.com/:x:/r/sites/Gestiondocumental/Administrativa/GD/Financiera/_layouts/15/Doc.aspx?sourcedoc=%7B41841B21-2BE8-4447-91BA-4CA8390FA143%7D&amp;file=MODELO%20FINANCIERO%20ELECCIONES%202025%20INTEGRADO%20V3%20DEF.xlsm&amp;action=default&amp;mobileredirect=true</v>
      </c>
      <c r="AH378" s="40">
        <v>1</v>
      </c>
      <c r="AI378" s="40">
        <v>1</v>
      </c>
    </row>
    <row r="379" spans="1:35" ht="18.75" customHeight="1">
      <c r="A379" s="73">
        <v>2025</v>
      </c>
      <c r="B379" s="112" t="s">
        <v>32</v>
      </c>
      <c r="C379" s="36" t="s">
        <v>357</v>
      </c>
      <c r="D379" s="37">
        <v>45889.883283877316</v>
      </c>
      <c r="E379" s="36" t="s">
        <v>42</v>
      </c>
      <c r="F379" s="36" t="s">
        <v>358</v>
      </c>
      <c r="G379" s="36" t="s">
        <v>359</v>
      </c>
      <c r="H379" s="36" t="s">
        <v>360</v>
      </c>
      <c r="I379" s="36" t="s">
        <v>152</v>
      </c>
      <c r="J379" s="36" t="s">
        <v>361</v>
      </c>
      <c r="K379" s="36" t="s">
        <v>177</v>
      </c>
      <c r="L379" s="74">
        <f>VLOOKUP(E379,Diccionario!C$2:AC$150,22,0)</f>
        <v>6433558115</v>
      </c>
      <c r="M379" s="75">
        <f>VLOOKUP(E379,Diccionario!C$2:AC$150,24,0)</f>
        <v>45880</v>
      </c>
      <c r="N379" s="76">
        <f>VLOOKUP(E379,Diccionario!C$2:AC$150,25,0)</f>
        <v>46203</v>
      </c>
      <c r="O379" s="77">
        <f>VLOOKUP(E379,Diccionario!C$2:AC$150,26,0)</f>
        <v>10.63</v>
      </c>
      <c r="P379" s="77">
        <f t="shared" si="143"/>
        <v>-5.6300000000000008</v>
      </c>
      <c r="Q379" s="78">
        <v>5</v>
      </c>
      <c r="R379" s="36">
        <v>11</v>
      </c>
      <c r="S379" s="86">
        <v>0.65</v>
      </c>
      <c r="T379" s="86">
        <v>0.65</v>
      </c>
      <c r="U379" s="82">
        <v>354021088</v>
      </c>
      <c r="V379" s="82">
        <v>354021088</v>
      </c>
      <c r="W379" s="82">
        <f t="shared" si="137"/>
        <v>4181812774.75</v>
      </c>
      <c r="X379" s="82">
        <f t="shared" si="144"/>
        <v>4181812774.75</v>
      </c>
      <c r="Y379" s="82">
        <f t="shared" si="138"/>
        <v>3827791686.75</v>
      </c>
      <c r="Z379" s="82">
        <f t="shared" si="145"/>
        <v>0</v>
      </c>
      <c r="AA379" s="83">
        <f t="shared" si="142"/>
        <v>11.81232676950024</v>
      </c>
      <c r="AB379" s="84" t="str">
        <f t="shared" si="146"/>
        <v>Costo eficiente: se está gastando menos de lo presupuestado</v>
      </c>
      <c r="AC379" s="84">
        <f t="shared" si="139"/>
        <v>1</v>
      </c>
      <c r="AD379" s="84" t="str">
        <f t="shared" si="147"/>
        <v>Proyecto a tiempo según lo planificado</v>
      </c>
      <c r="AE379" s="85">
        <f t="shared" si="140"/>
        <v>544647827.69230771</v>
      </c>
      <c r="AF379" s="85">
        <f t="shared" si="141"/>
        <v>-5888910287.3076925</v>
      </c>
      <c r="AG379" s="40" t="str">
        <f>VLOOKUP(Indicador!E379,Diccionario!C$1:AC$150,27,0)</f>
        <v>https://growdatasas.sharepoint.com/:x:/r/sites/Gestiondocumental/Administrativa/GD/Financiera/_layouts/15/Doc.aspx?sourcedoc=%7B41841B21-2BE8-4447-91BA-4CA8390FA143%7D&amp;file=MODELO%20FINANCIERO%20ELECCIONES%202025%20INTEGRADO%20V3%20DEF.xlsm&amp;action=default&amp;mobileredirect=true</v>
      </c>
      <c r="AH379" s="40">
        <v>1</v>
      </c>
      <c r="AI379" s="40">
        <v>1</v>
      </c>
    </row>
    <row r="380" spans="1:35" ht="18.75" customHeight="1">
      <c r="A380" s="73">
        <v>2026</v>
      </c>
      <c r="B380" s="112" t="s">
        <v>14</v>
      </c>
      <c r="C380" s="36" t="s">
        <v>357</v>
      </c>
      <c r="D380" s="37">
        <v>45889.883283877316</v>
      </c>
      <c r="E380" s="36" t="s">
        <v>42</v>
      </c>
      <c r="F380" s="36" t="s">
        <v>358</v>
      </c>
      <c r="G380" s="36" t="s">
        <v>359</v>
      </c>
      <c r="H380" s="36" t="s">
        <v>360</v>
      </c>
      <c r="I380" s="36" t="s">
        <v>152</v>
      </c>
      <c r="J380" s="36" t="s">
        <v>361</v>
      </c>
      <c r="K380" s="36" t="s">
        <v>177</v>
      </c>
      <c r="L380" s="74">
        <f>VLOOKUP(E380,Diccionario!C$2:AC$150,22,0)</f>
        <v>6433558115</v>
      </c>
      <c r="M380" s="75">
        <f>VLOOKUP(E380,Diccionario!C$2:AC$150,24,0)</f>
        <v>45880</v>
      </c>
      <c r="N380" s="76">
        <f>VLOOKUP(E380,Diccionario!C$2:AC$150,25,0)</f>
        <v>46203</v>
      </c>
      <c r="O380" s="77">
        <f>VLOOKUP(E380,Diccionario!C$2:AC$150,26,0)</f>
        <v>10.63</v>
      </c>
      <c r="P380" s="77">
        <f t="shared" si="143"/>
        <v>-4.6300000000000008</v>
      </c>
      <c r="Q380" s="78">
        <v>6</v>
      </c>
      <c r="R380" s="36">
        <v>11</v>
      </c>
      <c r="S380" s="86">
        <v>0.7</v>
      </c>
      <c r="T380" s="86">
        <v>0.7</v>
      </c>
      <c r="U380" s="82">
        <v>1132985975</v>
      </c>
      <c r="V380" s="82">
        <v>1132985975</v>
      </c>
      <c r="W380" s="82">
        <f t="shared" si="137"/>
        <v>4503490680.5</v>
      </c>
      <c r="X380" s="82">
        <f t="shared" si="144"/>
        <v>4503490680.5</v>
      </c>
      <c r="Y380" s="82">
        <f t="shared" si="138"/>
        <v>3370504705.5</v>
      </c>
      <c r="Z380" s="82">
        <f t="shared" si="145"/>
        <v>0</v>
      </c>
      <c r="AA380" s="83">
        <f t="shared" si="142"/>
        <v>3.9748865209915771</v>
      </c>
      <c r="AB380" s="84" t="str">
        <f t="shared" si="146"/>
        <v>Costo eficiente: se está gastando menos de lo presupuestado</v>
      </c>
      <c r="AC380" s="84">
        <f t="shared" si="139"/>
        <v>1</v>
      </c>
      <c r="AD380" s="84" t="str">
        <f t="shared" si="147"/>
        <v>Proyecto a tiempo según lo planificado</v>
      </c>
      <c r="AE380" s="85">
        <f t="shared" si="140"/>
        <v>1618551392.8571429</v>
      </c>
      <c r="AF380" s="85">
        <f t="shared" si="141"/>
        <v>-4815006722.1428566</v>
      </c>
      <c r="AG380" s="40" t="str">
        <f>VLOOKUP(Indicador!E380,Diccionario!C$1:AC$150,27,0)</f>
        <v>https://growdatasas.sharepoint.com/:x:/r/sites/Gestiondocumental/Administrativa/GD/Financiera/_layouts/15/Doc.aspx?sourcedoc=%7B41841B21-2BE8-4447-91BA-4CA8390FA143%7D&amp;file=MODELO%20FINANCIERO%20ELECCIONES%202025%20INTEGRADO%20V3%20DEF.xlsm&amp;action=default&amp;mobileredirect=true</v>
      </c>
      <c r="AH380" s="40">
        <v>1</v>
      </c>
      <c r="AI380" s="40">
        <v>1</v>
      </c>
    </row>
    <row r="381" spans="1:35" ht="18.75" customHeight="1">
      <c r="A381" s="73">
        <v>2026</v>
      </c>
      <c r="B381" s="112" t="s">
        <v>22</v>
      </c>
      <c r="C381" s="36" t="s">
        <v>357</v>
      </c>
      <c r="D381" s="37">
        <v>45889.883283877316</v>
      </c>
      <c r="E381" s="36" t="s">
        <v>42</v>
      </c>
      <c r="F381" s="36" t="s">
        <v>358</v>
      </c>
      <c r="G381" s="36" t="s">
        <v>359</v>
      </c>
      <c r="H381" s="36" t="s">
        <v>360</v>
      </c>
      <c r="I381" s="36" t="s">
        <v>152</v>
      </c>
      <c r="J381" s="36" t="s">
        <v>361</v>
      </c>
      <c r="K381" s="36" t="s">
        <v>177</v>
      </c>
      <c r="L381" s="74">
        <f>VLOOKUP(E381,Diccionario!C$2:AC$150,22,0)</f>
        <v>6433558115</v>
      </c>
      <c r="M381" s="75">
        <f>VLOOKUP(E381,Diccionario!C$2:AC$150,24,0)</f>
        <v>45880</v>
      </c>
      <c r="N381" s="76">
        <f>VLOOKUP(E381,Diccionario!C$2:AC$150,25,0)</f>
        <v>46203</v>
      </c>
      <c r="O381" s="77">
        <f>VLOOKUP(E381,Diccionario!C$2:AC$150,26,0)</f>
        <v>10.63</v>
      </c>
      <c r="P381" s="77">
        <f t="shared" si="143"/>
        <v>-3.6300000000000008</v>
      </c>
      <c r="Q381" s="78">
        <v>7</v>
      </c>
      <c r="R381" s="36">
        <v>11</v>
      </c>
      <c r="S381" s="86">
        <v>0.75</v>
      </c>
      <c r="T381" s="86">
        <v>0.75</v>
      </c>
      <c r="U381" s="82"/>
      <c r="V381" s="82"/>
      <c r="W381" s="82">
        <f t="shared" si="137"/>
        <v>4825168586.25</v>
      </c>
      <c r="X381" s="82">
        <f t="shared" si="144"/>
        <v>4825168586.25</v>
      </c>
      <c r="Y381" s="82">
        <f t="shared" si="138"/>
        <v>4825168586.25</v>
      </c>
      <c r="Z381" s="82">
        <f t="shared" si="145"/>
        <v>0</v>
      </c>
      <c r="AA381" s="83" t="str">
        <f t="shared" si="142"/>
        <v>No se realizó gasto en este corte</v>
      </c>
      <c r="AB381" s="84" t="str">
        <f t="shared" si="146"/>
        <v>Costo eficiente: se está gastando menos de lo presupuestado</v>
      </c>
      <c r="AC381" s="84">
        <f t="shared" si="139"/>
        <v>1</v>
      </c>
      <c r="AD381" s="84" t="str">
        <f t="shared" si="147"/>
        <v>Proyecto a tiempo según lo planificado</v>
      </c>
      <c r="AE381" s="85">
        <f t="shared" si="140"/>
        <v>0</v>
      </c>
      <c r="AF381" s="85">
        <f t="shared" si="141"/>
        <v>-6433558115</v>
      </c>
      <c r="AG381" s="40" t="str">
        <f>VLOOKUP(Indicador!E381,Diccionario!C$1:AC$150,27,0)</f>
        <v>https://growdatasas.sharepoint.com/:x:/r/sites/Gestiondocumental/Administrativa/GD/Financiera/_layouts/15/Doc.aspx?sourcedoc=%7B41841B21-2BE8-4447-91BA-4CA8390FA143%7D&amp;file=MODELO%20FINANCIERO%20ELECCIONES%202025%20INTEGRADO%20V3%20DEF.xlsm&amp;action=default&amp;mobileredirect=true</v>
      </c>
      <c r="AH381" s="40">
        <v>1</v>
      </c>
      <c r="AI381" s="40">
        <v>1</v>
      </c>
    </row>
    <row r="382" spans="1:35" ht="18.75" customHeight="1">
      <c r="A382" s="73">
        <v>2026</v>
      </c>
      <c r="B382" s="112" t="s">
        <v>24</v>
      </c>
      <c r="C382" s="36" t="s">
        <v>357</v>
      </c>
      <c r="D382" s="37">
        <v>45889.883283877316</v>
      </c>
      <c r="E382" s="36" t="s">
        <v>42</v>
      </c>
      <c r="F382" s="36" t="s">
        <v>358</v>
      </c>
      <c r="G382" s="36" t="s">
        <v>359</v>
      </c>
      <c r="H382" s="36" t="s">
        <v>360</v>
      </c>
      <c r="I382" s="36" t="s">
        <v>152</v>
      </c>
      <c r="J382" s="36" t="s">
        <v>361</v>
      </c>
      <c r="K382" s="36" t="s">
        <v>177</v>
      </c>
      <c r="L382" s="74">
        <f>VLOOKUP(E382,Diccionario!C$2:AC$150,22,0)</f>
        <v>6433558115</v>
      </c>
      <c r="M382" s="75">
        <f>VLOOKUP(E382,Diccionario!C$2:AC$150,24,0)</f>
        <v>45880</v>
      </c>
      <c r="N382" s="76">
        <f>VLOOKUP(E382,Diccionario!C$2:AC$150,25,0)</f>
        <v>46203</v>
      </c>
      <c r="O382" s="77">
        <f>VLOOKUP(E382,Diccionario!C$2:AC$150,26,0)</f>
        <v>10.63</v>
      </c>
      <c r="P382" s="77">
        <f t="shared" si="143"/>
        <v>-2.6300000000000008</v>
      </c>
      <c r="Q382" s="78">
        <v>8</v>
      </c>
      <c r="R382" s="36">
        <v>11</v>
      </c>
      <c r="S382" s="86">
        <v>0.8</v>
      </c>
      <c r="T382" s="86">
        <v>0.8</v>
      </c>
      <c r="U382" s="82"/>
      <c r="V382" s="82"/>
      <c r="W382" s="82">
        <f t="shared" si="137"/>
        <v>5146846492</v>
      </c>
      <c r="X382" s="82">
        <f t="shared" si="144"/>
        <v>5146846492</v>
      </c>
      <c r="Y382" s="82">
        <f t="shared" si="138"/>
        <v>5146846492</v>
      </c>
      <c r="Z382" s="82">
        <f t="shared" si="145"/>
        <v>0</v>
      </c>
      <c r="AA382" s="83" t="str">
        <f t="shared" si="142"/>
        <v>No se realizó gasto en este corte</v>
      </c>
      <c r="AB382" s="84" t="str">
        <f t="shared" si="146"/>
        <v>Costo eficiente: se está gastando menos de lo presupuestado</v>
      </c>
      <c r="AC382" s="84">
        <f t="shared" si="139"/>
        <v>1</v>
      </c>
      <c r="AD382" s="84" t="str">
        <f t="shared" si="147"/>
        <v>Proyecto a tiempo según lo planificado</v>
      </c>
      <c r="AE382" s="85">
        <f t="shared" si="140"/>
        <v>0</v>
      </c>
      <c r="AF382" s="85">
        <f t="shared" si="141"/>
        <v>-6433558115</v>
      </c>
      <c r="AG382" s="40" t="str">
        <f>VLOOKUP(Indicador!E382,Diccionario!C$1:AC$150,27,0)</f>
        <v>https://growdatasas.sharepoint.com/:x:/r/sites/Gestiondocumental/Administrativa/GD/Financiera/_layouts/15/Doc.aspx?sourcedoc=%7B41841B21-2BE8-4447-91BA-4CA8390FA143%7D&amp;file=MODELO%20FINANCIERO%20ELECCIONES%202025%20INTEGRADO%20V3%20DEF.xlsm&amp;action=default&amp;mobileredirect=true</v>
      </c>
      <c r="AH382" s="40">
        <v>1</v>
      </c>
      <c r="AI382" s="40">
        <v>1</v>
      </c>
    </row>
    <row r="383" spans="1:35" ht="18.75" customHeight="1">
      <c r="A383" s="73">
        <v>2026</v>
      </c>
      <c r="B383" s="112" t="s">
        <v>27</v>
      </c>
      <c r="C383" s="36" t="s">
        <v>357</v>
      </c>
      <c r="D383" s="37">
        <v>45889.883283877316</v>
      </c>
      <c r="E383" s="36" t="s">
        <v>42</v>
      </c>
      <c r="F383" s="36" t="s">
        <v>358</v>
      </c>
      <c r="G383" s="36" t="s">
        <v>359</v>
      </c>
      <c r="H383" s="36" t="s">
        <v>360</v>
      </c>
      <c r="I383" s="36" t="s">
        <v>152</v>
      </c>
      <c r="J383" s="36" t="s">
        <v>361</v>
      </c>
      <c r="K383" s="36" t="s">
        <v>177</v>
      </c>
      <c r="L383" s="74">
        <f>VLOOKUP(E383,Diccionario!C$2:AC$150,22,0)</f>
        <v>6433558115</v>
      </c>
      <c r="M383" s="75">
        <f>VLOOKUP(E383,Diccionario!C$2:AC$150,24,0)</f>
        <v>45880</v>
      </c>
      <c r="N383" s="76">
        <f>VLOOKUP(E383,Diccionario!C$2:AC$150,25,0)</f>
        <v>46203</v>
      </c>
      <c r="O383" s="77">
        <f>VLOOKUP(E383,Diccionario!C$2:AC$150,26,0)</f>
        <v>10.63</v>
      </c>
      <c r="P383" s="77">
        <f t="shared" si="143"/>
        <v>-1.6300000000000008</v>
      </c>
      <c r="Q383" s="78">
        <v>9</v>
      </c>
      <c r="R383" s="36">
        <v>11</v>
      </c>
      <c r="S383" s="86">
        <v>0.85</v>
      </c>
      <c r="T383" s="86">
        <v>0.85</v>
      </c>
      <c r="U383" s="82"/>
      <c r="V383" s="82"/>
      <c r="W383" s="82">
        <f t="shared" si="137"/>
        <v>5468524397.75</v>
      </c>
      <c r="X383" s="82">
        <f t="shared" si="144"/>
        <v>5468524397.75</v>
      </c>
      <c r="Y383" s="82">
        <f t="shared" si="138"/>
        <v>5468524397.75</v>
      </c>
      <c r="Z383" s="82">
        <f t="shared" si="145"/>
        <v>0</v>
      </c>
      <c r="AA383" s="83" t="str">
        <f t="shared" si="142"/>
        <v>No se realizó gasto en este corte</v>
      </c>
      <c r="AB383" s="84" t="str">
        <f t="shared" si="146"/>
        <v>Costo eficiente: se está gastando menos de lo presupuestado</v>
      </c>
      <c r="AC383" s="84">
        <f t="shared" si="139"/>
        <v>1</v>
      </c>
      <c r="AD383" s="84" t="str">
        <f t="shared" si="147"/>
        <v>Proyecto a tiempo según lo planificado</v>
      </c>
      <c r="AE383" s="85">
        <f t="shared" si="140"/>
        <v>0</v>
      </c>
      <c r="AF383" s="85">
        <f t="shared" si="141"/>
        <v>-6433558115</v>
      </c>
      <c r="AG383" s="40" t="str">
        <f>VLOOKUP(Indicador!E383,Diccionario!C$1:AC$150,27,0)</f>
        <v>https://growdatasas.sharepoint.com/:x:/r/sites/Gestiondocumental/Administrativa/GD/Financiera/_layouts/15/Doc.aspx?sourcedoc=%7B41841B21-2BE8-4447-91BA-4CA8390FA143%7D&amp;file=MODELO%20FINANCIERO%20ELECCIONES%202025%20INTEGRADO%20V3%20DEF.xlsm&amp;action=default&amp;mobileredirect=true</v>
      </c>
      <c r="AH383" s="40">
        <v>1</v>
      </c>
      <c r="AI383" s="40">
        <v>1</v>
      </c>
    </row>
    <row r="384" spans="1:35" ht="18.75" customHeight="1">
      <c r="A384" s="73">
        <v>2026</v>
      </c>
      <c r="B384" s="112" t="s">
        <v>13</v>
      </c>
      <c r="C384" s="36" t="s">
        <v>357</v>
      </c>
      <c r="D384" s="37">
        <v>45889.883283877316</v>
      </c>
      <c r="E384" s="36" t="s">
        <v>42</v>
      </c>
      <c r="F384" s="36" t="s">
        <v>358</v>
      </c>
      <c r="G384" s="36" t="s">
        <v>359</v>
      </c>
      <c r="H384" s="36" t="s">
        <v>360</v>
      </c>
      <c r="I384" s="36" t="s">
        <v>152</v>
      </c>
      <c r="J384" s="36" t="s">
        <v>361</v>
      </c>
      <c r="K384" s="36" t="s">
        <v>177</v>
      </c>
      <c r="L384" s="74">
        <f>VLOOKUP(E384,Diccionario!C$2:AC$150,22,0)</f>
        <v>6433558115</v>
      </c>
      <c r="M384" s="75">
        <f>VLOOKUP(E384,Diccionario!C$2:AC$150,24,0)</f>
        <v>45880</v>
      </c>
      <c r="N384" s="76">
        <f>VLOOKUP(E384,Diccionario!C$2:AC$150,25,0)</f>
        <v>46203</v>
      </c>
      <c r="O384" s="77">
        <f>VLOOKUP(E384,Diccionario!C$2:AC$150,26,0)</f>
        <v>10.63</v>
      </c>
      <c r="P384" s="77">
        <f t="shared" si="143"/>
        <v>-0.63000000000000078</v>
      </c>
      <c r="Q384" s="78">
        <v>10</v>
      </c>
      <c r="R384" s="36">
        <v>11</v>
      </c>
      <c r="S384" s="86">
        <v>0.95</v>
      </c>
      <c r="T384" s="86">
        <v>0.95</v>
      </c>
      <c r="U384" s="82"/>
      <c r="V384" s="82"/>
      <c r="W384" s="82">
        <f t="shared" si="137"/>
        <v>6111880209.25</v>
      </c>
      <c r="X384" s="82">
        <f t="shared" si="144"/>
        <v>6111880209.25</v>
      </c>
      <c r="Y384" s="82">
        <f t="shared" si="138"/>
        <v>6111880209.25</v>
      </c>
      <c r="Z384" s="82">
        <f t="shared" si="145"/>
        <v>0</v>
      </c>
      <c r="AA384" s="83" t="str">
        <f t="shared" si="142"/>
        <v>No se realizó gasto en este corte</v>
      </c>
      <c r="AB384" s="84" t="str">
        <f t="shared" si="146"/>
        <v>Costo eficiente: se está gastando menos de lo presupuestado</v>
      </c>
      <c r="AC384" s="84">
        <f t="shared" si="139"/>
        <v>1</v>
      </c>
      <c r="AD384" s="84" t="str">
        <f t="shared" si="147"/>
        <v>Proyecto a tiempo según lo planificado</v>
      </c>
      <c r="AE384" s="85">
        <f t="shared" si="140"/>
        <v>0</v>
      </c>
      <c r="AF384" s="85">
        <f t="shared" si="141"/>
        <v>-6433558115</v>
      </c>
      <c r="AG384" s="40" t="str">
        <f>VLOOKUP(Indicador!E384,Diccionario!C$1:AC$150,27,0)</f>
        <v>https://growdatasas.sharepoint.com/:x:/r/sites/Gestiondocumental/Administrativa/GD/Financiera/_layouts/15/Doc.aspx?sourcedoc=%7B41841B21-2BE8-4447-91BA-4CA8390FA143%7D&amp;file=MODELO%20FINANCIERO%20ELECCIONES%202025%20INTEGRADO%20V3%20DEF.xlsm&amp;action=default&amp;mobileredirect=true</v>
      </c>
      <c r="AH384" s="40">
        <v>1</v>
      </c>
      <c r="AI384" s="40">
        <v>1</v>
      </c>
    </row>
    <row r="385" spans="1:35" ht="18.75" customHeight="1">
      <c r="A385" s="73">
        <v>2026</v>
      </c>
      <c r="B385" s="112" t="s">
        <v>21</v>
      </c>
      <c r="C385" s="36" t="s">
        <v>357</v>
      </c>
      <c r="D385" s="37">
        <v>45889.883283877316</v>
      </c>
      <c r="E385" s="36" t="s">
        <v>42</v>
      </c>
      <c r="F385" s="36" t="s">
        <v>358</v>
      </c>
      <c r="G385" s="36" t="s">
        <v>359</v>
      </c>
      <c r="H385" s="36" t="s">
        <v>360</v>
      </c>
      <c r="I385" s="36" t="s">
        <v>152</v>
      </c>
      <c r="J385" s="36" t="s">
        <v>361</v>
      </c>
      <c r="K385" s="36" t="s">
        <v>177</v>
      </c>
      <c r="L385" s="74">
        <f>VLOOKUP(E385,Diccionario!C$2:AC$150,22,0)</f>
        <v>6433558115</v>
      </c>
      <c r="M385" s="75">
        <f>VLOOKUP(E385,Diccionario!C$2:AC$150,24,0)</f>
        <v>45880</v>
      </c>
      <c r="N385" s="76">
        <f>VLOOKUP(E385,Diccionario!C$2:AC$150,25,0)</f>
        <v>46203</v>
      </c>
      <c r="O385" s="77">
        <f>VLOOKUP(E385,Diccionario!C$2:AC$150,26,0)</f>
        <v>10.63</v>
      </c>
      <c r="P385" s="77">
        <f t="shared" si="143"/>
        <v>0.36999999999999922</v>
      </c>
      <c r="Q385" s="78">
        <v>11</v>
      </c>
      <c r="R385" s="36">
        <v>11</v>
      </c>
      <c r="S385" s="86">
        <v>1</v>
      </c>
      <c r="T385" s="86">
        <v>1</v>
      </c>
      <c r="U385" s="82"/>
      <c r="V385" s="82"/>
      <c r="W385" s="82">
        <f t="shared" si="137"/>
        <v>6433558115</v>
      </c>
      <c r="X385" s="82">
        <f t="shared" si="144"/>
        <v>6433558115</v>
      </c>
      <c r="Y385" s="82">
        <f t="shared" si="138"/>
        <v>6433558115</v>
      </c>
      <c r="Z385" s="82">
        <f t="shared" si="145"/>
        <v>0</v>
      </c>
      <c r="AA385" s="83" t="str">
        <f t="shared" si="142"/>
        <v>No se realizó gasto en este corte</v>
      </c>
      <c r="AB385" s="84" t="str">
        <f t="shared" si="146"/>
        <v>Costo eficiente: se está gastando menos de lo presupuestado</v>
      </c>
      <c r="AC385" s="84">
        <f t="shared" si="139"/>
        <v>1</v>
      </c>
      <c r="AD385" s="84" t="str">
        <f t="shared" si="147"/>
        <v>Proyecto a tiempo según lo planificado</v>
      </c>
      <c r="AE385" s="85">
        <f t="shared" si="140"/>
        <v>0</v>
      </c>
      <c r="AF385" s="85">
        <f t="shared" si="141"/>
        <v>-6433558115</v>
      </c>
      <c r="AG385" s="40" t="str">
        <f>VLOOKUP(Indicador!E385,Diccionario!C$1:AC$150,27,0)</f>
        <v>https://growdatasas.sharepoint.com/:x:/r/sites/Gestiondocumental/Administrativa/GD/Financiera/_layouts/15/Doc.aspx?sourcedoc=%7B41841B21-2BE8-4447-91BA-4CA8390FA143%7D&amp;file=MODELO%20FINANCIERO%20ELECCIONES%202025%20INTEGRADO%20V3%20DEF.xlsm&amp;action=default&amp;mobileredirect=true</v>
      </c>
      <c r="AH385" s="40">
        <v>1</v>
      </c>
      <c r="AI385" s="40">
        <v>1</v>
      </c>
    </row>
    <row r="386" spans="1:35" ht="18.75" customHeight="1">
      <c r="A386" s="73">
        <v>2025</v>
      </c>
      <c r="B386" s="112" t="s">
        <v>26</v>
      </c>
      <c r="C386" s="36" t="s">
        <v>362</v>
      </c>
      <c r="D386" s="37">
        <v>45884.888543831017</v>
      </c>
      <c r="E386" s="97" t="s">
        <v>55</v>
      </c>
      <c r="F386" s="36" t="s">
        <v>221</v>
      </c>
      <c r="G386" s="36" t="s">
        <v>363</v>
      </c>
      <c r="H386" s="36" t="s">
        <v>364</v>
      </c>
      <c r="I386" s="36" t="s">
        <v>175</v>
      </c>
      <c r="J386" s="36" t="s">
        <v>365</v>
      </c>
      <c r="K386" s="36" t="s">
        <v>177</v>
      </c>
      <c r="L386" s="74">
        <f>VLOOKUP(E386,Diccionario!C$2:AC$150,22,0)</f>
        <v>4203074639</v>
      </c>
      <c r="M386" s="75">
        <f>VLOOKUP(E386,Diccionario!C$2:AC$150,24,0)</f>
        <v>45884</v>
      </c>
      <c r="N386" s="76">
        <f>VLOOKUP(E386,Diccionario!C$2:AC$150,25,0)</f>
        <v>46037</v>
      </c>
      <c r="O386" s="77">
        <f>VLOOKUP(E386,Diccionario!C$2:AC$150,26,0)</f>
        <v>5</v>
      </c>
      <c r="P386" s="77">
        <f t="shared" si="143"/>
        <v>-4</v>
      </c>
      <c r="Q386" s="78">
        <v>1</v>
      </c>
      <c r="R386" s="36">
        <v>5</v>
      </c>
      <c r="S386" s="86">
        <v>0.05</v>
      </c>
      <c r="T386" s="86">
        <v>0.05</v>
      </c>
      <c r="U386" s="82">
        <v>786808926</v>
      </c>
      <c r="V386" s="82">
        <v>786808926</v>
      </c>
      <c r="W386" s="82">
        <f t="shared" ref="W386:W449" si="148">IFERROR(T386*L386,0)</f>
        <v>210153731.95000002</v>
      </c>
      <c r="X386" s="82">
        <f t="shared" si="144"/>
        <v>210153731.95000002</v>
      </c>
      <c r="Y386" s="82">
        <f t="shared" ref="Y386:Y449" si="149">IFERROR(W386-U386,0)</f>
        <v>-576655194.04999995</v>
      </c>
      <c r="Z386" s="82">
        <f t="shared" si="145"/>
        <v>0</v>
      </c>
      <c r="AA386" s="83">
        <f t="shared" si="142"/>
        <v>0.26709627332062069</v>
      </c>
      <c r="AB386" s="84" t="str">
        <f t="shared" si="146"/>
        <v>Costo ineficiente: se está gastando más de lo presupuestado</v>
      </c>
      <c r="AC386" s="84">
        <f t="shared" ref="AC386:AC449" si="150">IFERROR(W386/X386,0)</f>
        <v>1</v>
      </c>
      <c r="AD386" s="84" t="str">
        <f t="shared" si="147"/>
        <v>Proyecto a tiempo según lo planificado</v>
      </c>
      <c r="AE386" s="85">
        <f t="shared" ref="AE386:AE449" si="151">IFERROR(L386/AA386,0)</f>
        <v>15736178519.999998</v>
      </c>
      <c r="AF386" s="85">
        <f t="shared" ref="AF386:AF449" si="152">IFERROR(AE386-L386,0)</f>
        <v>11533103880.999998</v>
      </c>
      <c r="AG386" s="40" t="str">
        <f>VLOOKUP(Indicador!E386,Diccionario!C$1:AC$150,27,0)</f>
        <v>https://growdatasas.sharepoint.com/:x:/r/sites/Gestiondocumental/Administrativa/GD/Financiera/_layouts/15/Doc.aspx?sourcedoc=%7B7342DE4F-42D6-43D5-B227-6B91A3A42F97%7D&amp;file=MODELO%20FINANCIERO%20ANT%20DESARROLLO%2BARQ%2BIA%2022.08.25%20V4.xlsm&amp;action=default&amp;mobileredirect=true</v>
      </c>
      <c r="AH386" s="40">
        <v>1</v>
      </c>
      <c r="AI386" s="40">
        <v>1</v>
      </c>
    </row>
    <row r="387" spans="1:35" ht="18.75" customHeight="1">
      <c r="A387" s="73">
        <v>2025</v>
      </c>
      <c r="B387" s="112" t="s">
        <v>28</v>
      </c>
      <c r="C387" s="36" t="s">
        <v>362</v>
      </c>
      <c r="D387" s="37">
        <v>45884.888543831017</v>
      </c>
      <c r="E387" s="97" t="s">
        <v>55</v>
      </c>
      <c r="F387" s="36" t="s">
        <v>221</v>
      </c>
      <c r="G387" s="36" t="s">
        <v>363</v>
      </c>
      <c r="H387" s="36" t="s">
        <v>364</v>
      </c>
      <c r="I387" s="36" t="s">
        <v>175</v>
      </c>
      <c r="J387" s="36" t="s">
        <v>365</v>
      </c>
      <c r="K387" s="36" t="s">
        <v>177</v>
      </c>
      <c r="L387" s="74">
        <f>VLOOKUP(E387,Diccionario!C$2:AC$150,22,0)</f>
        <v>4203074639</v>
      </c>
      <c r="M387" s="75">
        <f>VLOOKUP(E387,Diccionario!C$2:AC$150,24,0)</f>
        <v>45884</v>
      </c>
      <c r="N387" s="76">
        <f>VLOOKUP(E387,Diccionario!C$2:AC$150,25,0)</f>
        <v>46037</v>
      </c>
      <c r="O387" s="77">
        <f>VLOOKUP(E387,Diccionario!C$2:AC$150,26,0)</f>
        <v>5</v>
      </c>
      <c r="P387" s="77">
        <f t="shared" si="143"/>
        <v>-3</v>
      </c>
      <c r="Q387" s="78">
        <v>2</v>
      </c>
      <c r="R387" s="36">
        <v>5</v>
      </c>
      <c r="S387" s="86">
        <v>0.15</v>
      </c>
      <c r="T387" s="86">
        <v>0.15</v>
      </c>
      <c r="U387" s="82">
        <v>735484357</v>
      </c>
      <c r="V387" s="82">
        <v>735484357</v>
      </c>
      <c r="W387" s="82">
        <f t="shared" si="148"/>
        <v>630461195.85000002</v>
      </c>
      <c r="X387" s="82">
        <f t="shared" si="144"/>
        <v>630461195.85000002</v>
      </c>
      <c r="Y387" s="82">
        <f t="shared" si="149"/>
        <v>-105023161.14999998</v>
      </c>
      <c r="Z387" s="82">
        <f t="shared" si="145"/>
        <v>0</v>
      </c>
      <c r="AA387" s="83">
        <f t="shared" si="142"/>
        <v>0.85720544543138399</v>
      </c>
      <c r="AB387" s="84" t="str">
        <f t="shared" si="146"/>
        <v>Costo ineficiente: se está gastando más de lo presupuestado</v>
      </c>
      <c r="AC387" s="84">
        <f t="shared" si="150"/>
        <v>1</v>
      </c>
      <c r="AD387" s="84" t="str">
        <f t="shared" si="147"/>
        <v>Proyecto a tiempo según lo planificado</v>
      </c>
      <c r="AE387" s="85">
        <f t="shared" si="151"/>
        <v>4903229046.666666</v>
      </c>
      <c r="AF387" s="85">
        <f t="shared" si="152"/>
        <v>700154407.66666603</v>
      </c>
      <c r="AG387" s="40" t="str">
        <f>VLOOKUP(Indicador!E387,Diccionario!C$1:AC$150,27,0)</f>
        <v>https://growdatasas.sharepoint.com/:x:/r/sites/Gestiondocumental/Administrativa/GD/Financiera/_layouts/15/Doc.aspx?sourcedoc=%7B7342DE4F-42D6-43D5-B227-6B91A3A42F97%7D&amp;file=MODELO%20FINANCIERO%20ANT%20DESARROLLO%2BARQ%2BIA%2022.08.25%20V4.xlsm&amp;action=default&amp;mobileredirect=true</v>
      </c>
      <c r="AH387" s="40">
        <v>1</v>
      </c>
      <c r="AI387" s="40">
        <v>1</v>
      </c>
    </row>
    <row r="388" spans="1:35" ht="18.75" customHeight="1">
      <c r="A388" s="73">
        <v>2025</v>
      </c>
      <c r="B388" s="112" t="s">
        <v>30</v>
      </c>
      <c r="C388" s="36" t="s">
        <v>362</v>
      </c>
      <c r="D388" s="37">
        <v>45884.888543831017</v>
      </c>
      <c r="E388" s="97" t="s">
        <v>55</v>
      </c>
      <c r="F388" s="36" t="s">
        <v>221</v>
      </c>
      <c r="G388" s="36" t="s">
        <v>363</v>
      </c>
      <c r="H388" s="36" t="s">
        <v>364</v>
      </c>
      <c r="I388" s="36" t="s">
        <v>175</v>
      </c>
      <c r="J388" s="36" t="s">
        <v>365</v>
      </c>
      <c r="K388" s="36" t="s">
        <v>177</v>
      </c>
      <c r="L388" s="74">
        <f>VLOOKUP(E388,Diccionario!C$2:AC$150,22,0)</f>
        <v>4203074639</v>
      </c>
      <c r="M388" s="75">
        <f>VLOOKUP(E388,Diccionario!C$2:AC$150,24,0)</f>
        <v>45884</v>
      </c>
      <c r="N388" s="76">
        <f>VLOOKUP(E388,Diccionario!C$2:AC$150,25,0)</f>
        <v>46037</v>
      </c>
      <c r="O388" s="77">
        <f>VLOOKUP(E388,Diccionario!C$2:AC$150,26,0)</f>
        <v>5</v>
      </c>
      <c r="P388" s="77">
        <f t="shared" si="143"/>
        <v>-2</v>
      </c>
      <c r="Q388" s="78">
        <v>3</v>
      </c>
      <c r="R388" s="36">
        <v>5</v>
      </c>
      <c r="S388" s="86">
        <v>0.35</v>
      </c>
      <c r="T388" s="86">
        <v>0.35</v>
      </c>
      <c r="U388" s="82">
        <v>735484357</v>
      </c>
      <c r="V388" s="82">
        <v>735484357</v>
      </c>
      <c r="W388" s="82">
        <f t="shared" si="148"/>
        <v>1471076123.6499999</v>
      </c>
      <c r="X388" s="82">
        <f t="shared" si="144"/>
        <v>1471076123.6499999</v>
      </c>
      <c r="Y388" s="82">
        <f t="shared" si="149"/>
        <v>735591766.64999986</v>
      </c>
      <c r="Z388" s="82">
        <f t="shared" si="145"/>
        <v>0</v>
      </c>
      <c r="AA388" s="83">
        <f t="shared" si="142"/>
        <v>2.0001460393398958</v>
      </c>
      <c r="AB388" s="84" t="str">
        <f t="shared" si="146"/>
        <v>Costo eficiente: se está gastando menos de lo presupuestado</v>
      </c>
      <c r="AC388" s="84">
        <f t="shared" si="150"/>
        <v>1</v>
      </c>
      <c r="AD388" s="84" t="str">
        <f t="shared" si="147"/>
        <v>Proyecto a tiempo según lo planificado</v>
      </c>
      <c r="AE388" s="85">
        <f t="shared" si="151"/>
        <v>2101383877.1428573</v>
      </c>
      <c r="AF388" s="85">
        <f t="shared" si="152"/>
        <v>-2101690761.8571427</v>
      </c>
      <c r="AG388" s="40" t="str">
        <f>VLOOKUP(Indicador!E388,Diccionario!C$1:AC$150,27,0)</f>
        <v>https://growdatasas.sharepoint.com/:x:/r/sites/Gestiondocumental/Administrativa/GD/Financiera/_layouts/15/Doc.aspx?sourcedoc=%7B7342DE4F-42D6-43D5-B227-6B91A3A42F97%7D&amp;file=MODELO%20FINANCIERO%20ANT%20DESARROLLO%2BARQ%2BIA%2022.08.25%20V4.xlsm&amp;action=default&amp;mobileredirect=true</v>
      </c>
      <c r="AH388" s="40">
        <v>1</v>
      </c>
      <c r="AI388" s="40">
        <v>1</v>
      </c>
    </row>
    <row r="389" spans="1:35" ht="18.75" customHeight="1">
      <c r="A389" s="73">
        <v>2025</v>
      </c>
      <c r="B389" s="112" t="s">
        <v>31</v>
      </c>
      <c r="C389" s="36" t="s">
        <v>362</v>
      </c>
      <c r="D389" s="37">
        <v>45884.888543831017</v>
      </c>
      <c r="E389" s="97" t="s">
        <v>55</v>
      </c>
      <c r="F389" s="36" t="s">
        <v>221</v>
      </c>
      <c r="G389" s="36" t="s">
        <v>363</v>
      </c>
      <c r="H389" s="36" t="s">
        <v>364</v>
      </c>
      <c r="I389" s="36" t="s">
        <v>175</v>
      </c>
      <c r="J389" s="36" t="s">
        <v>365</v>
      </c>
      <c r="K389" s="36" t="s">
        <v>177</v>
      </c>
      <c r="L389" s="74">
        <f>VLOOKUP(E389,Diccionario!C$2:AC$150,22,0)</f>
        <v>4203074639</v>
      </c>
      <c r="M389" s="75">
        <f>VLOOKUP(E389,Diccionario!C$2:AC$150,24,0)</f>
        <v>45884</v>
      </c>
      <c r="N389" s="76">
        <f>VLOOKUP(E389,Diccionario!C$2:AC$150,25,0)</f>
        <v>46037</v>
      </c>
      <c r="O389" s="77">
        <f>VLOOKUP(E389,Diccionario!C$2:AC$150,26,0)</f>
        <v>5</v>
      </c>
      <c r="P389" s="77">
        <f t="shared" si="143"/>
        <v>-1</v>
      </c>
      <c r="Q389" s="78">
        <v>4</v>
      </c>
      <c r="R389" s="36">
        <v>5</v>
      </c>
      <c r="S389" s="86">
        <v>0.55000000000000004</v>
      </c>
      <c r="T389" s="86">
        <v>0.55000000000000004</v>
      </c>
      <c r="U389" s="82">
        <v>735484357</v>
      </c>
      <c r="V389" s="82">
        <v>735484357</v>
      </c>
      <c r="W389" s="82">
        <f t="shared" si="148"/>
        <v>2311691051.4500003</v>
      </c>
      <c r="X389" s="82">
        <f t="shared" si="144"/>
        <v>2311691051.4500003</v>
      </c>
      <c r="Y389" s="82">
        <f t="shared" si="149"/>
        <v>1576206694.4500003</v>
      </c>
      <c r="Z389" s="82">
        <f t="shared" si="145"/>
        <v>0</v>
      </c>
      <c r="AA389" s="83">
        <f t="shared" si="142"/>
        <v>3.1430866332484082</v>
      </c>
      <c r="AB389" s="84" t="str">
        <f t="shared" si="146"/>
        <v>Costo eficiente: se está gastando menos de lo presupuestado</v>
      </c>
      <c r="AC389" s="84">
        <f t="shared" si="150"/>
        <v>1</v>
      </c>
      <c r="AD389" s="84" t="str">
        <f t="shared" si="147"/>
        <v>Proyecto a tiempo según lo planificado</v>
      </c>
      <c r="AE389" s="85">
        <f t="shared" si="151"/>
        <v>1337244285.4545453</v>
      </c>
      <c r="AF389" s="85">
        <f t="shared" si="152"/>
        <v>-2865830353.545455</v>
      </c>
      <c r="AG389" s="40" t="str">
        <f>VLOOKUP(Indicador!E389,Diccionario!C$1:AC$150,27,0)</f>
        <v>https://growdatasas.sharepoint.com/:x:/r/sites/Gestiondocumental/Administrativa/GD/Financiera/_layouts/15/Doc.aspx?sourcedoc=%7B7342DE4F-42D6-43D5-B227-6B91A3A42F97%7D&amp;file=MODELO%20FINANCIERO%20ANT%20DESARROLLO%2BARQ%2BIA%2022.08.25%20V4.xlsm&amp;action=default&amp;mobileredirect=true</v>
      </c>
      <c r="AH389" s="40">
        <v>1</v>
      </c>
      <c r="AI389" s="40">
        <v>1</v>
      </c>
    </row>
    <row r="390" spans="1:35" ht="18.75" customHeight="1">
      <c r="A390" s="73">
        <v>2025</v>
      </c>
      <c r="B390" s="112" t="s">
        <v>32</v>
      </c>
      <c r="C390" s="36" t="s">
        <v>362</v>
      </c>
      <c r="D390" s="37">
        <v>45884.888543831017</v>
      </c>
      <c r="E390" s="97" t="s">
        <v>55</v>
      </c>
      <c r="F390" s="36" t="s">
        <v>221</v>
      </c>
      <c r="G390" s="36" t="s">
        <v>363</v>
      </c>
      <c r="H390" s="36" t="s">
        <v>364</v>
      </c>
      <c r="I390" s="36" t="s">
        <v>175</v>
      </c>
      <c r="J390" s="36" t="s">
        <v>365</v>
      </c>
      <c r="K390" s="36" t="s">
        <v>177</v>
      </c>
      <c r="L390" s="74">
        <f>VLOOKUP(E390,Diccionario!C$2:AC$150,22,0)</f>
        <v>4203074639</v>
      </c>
      <c r="M390" s="75">
        <f>VLOOKUP(E390,Diccionario!C$2:AC$150,24,0)</f>
        <v>45884</v>
      </c>
      <c r="N390" s="76">
        <f>VLOOKUP(E390,Diccionario!C$2:AC$150,25,0)</f>
        <v>46037</v>
      </c>
      <c r="O390" s="77">
        <f>VLOOKUP(E390,Diccionario!C$2:AC$150,26,0)</f>
        <v>5</v>
      </c>
      <c r="P390" s="77">
        <f t="shared" si="143"/>
        <v>-4</v>
      </c>
      <c r="Q390" s="78">
        <v>1</v>
      </c>
      <c r="R390" s="36">
        <v>5</v>
      </c>
      <c r="S390" s="86">
        <v>0.75</v>
      </c>
      <c r="T390" s="86">
        <v>0.75</v>
      </c>
      <c r="U390" s="82">
        <v>735484357</v>
      </c>
      <c r="V390" s="82">
        <v>735484357</v>
      </c>
      <c r="W390" s="82">
        <f t="shared" si="148"/>
        <v>3152305979.25</v>
      </c>
      <c r="X390" s="82">
        <f t="shared" si="144"/>
        <v>3152305979.25</v>
      </c>
      <c r="Y390" s="82">
        <f t="shared" si="149"/>
        <v>2416821622.25</v>
      </c>
      <c r="Z390" s="82">
        <f t="shared" si="145"/>
        <v>0</v>
      </c>
      <c r="AA390" s="83">
        <f t="shared" si="142"/>
        <v>4.2860272271569197</v>
      </c>
      <c r="AB390" s="84" t="str">
        <f t="shared" si="146"/>
        <v>Costo eficiente: se está gastando menos de lo presupuestado</v>
      </c>
      <c r="AC390" s="84">
        <f t="shared" si="150"/>
        <v>1</v>
      </c>
      <c r="AD390" s="84" t="str">
        <f t="shared" si="147"/>
        <v>Proyecto a tiempo según lo planificado</v>
      </c>
      <c r="AE390" s="85">
        <f t="shared" si="151"/>
        <v>980645809.33333337</v>
      </c>
      <c r="AF390" s="85">
        <f t="shared" si="152"/>
        <v>-3222428829.6666665</v>
      </c>
      <c r="AG390" s="40" t="str">
        <f>VLOOKUP(Indicador!E390,Diccionario!C$1:AC$150,27,0)</f>
        <v>https://growdatasas.sharepoint.com/:x:/r/sites/Gestiondocumental/Administrativa/GD/Financiera/_layouts/15/Doc.aspx?sourcedoc=%7B7342DE4F-42D6-43D5-B227-6B91A3A42F97%7D&amp;file=MODELO%20FINANCIERO%20ANT%20DESARROLLO%2BARQ%2BIA%2022.08.25%20V4.xlsm&amp;action=default&amp;mobileredirect=true</v>
      </c>
      <c r="AH390" s="40">
        <v>1</v>
      </c>
      <c r="AI390" s="40">
        <v>1</v>
      </c>
    </row>
    <row r="391" spans="1:35" ht="18.75" customHeight="1">
      <c r="A391" s="73">
        <v>2025</v>
      </c>
      <c r="B391" s="112" t="s">
        <v>28</v>
      </c>
      <c r="C391" s="36" t="s">
        <v>366</v>
      </c>
      <c r="D391" s="37">
        <v>45902.665949571761</v>
      </c>
      <c r="E391" s="97" t="s">
        <v>50</v>
      </c>
      <c r="F391" s="36" t="s">
        <v>179</v>
      </c>
      <c r="G391" s="36" t="s">
        <v>367</v>
      </c>
      <c r="H391" s="36" t="s">
        <v>368</v>
      </c>
      <c r="I391" s="36" t="s">
        <v>175</v>
      </c>
      <c r="J391" s="36" t="s">
        <v>369</v>
      </c>
      <c r="K391" s="36" t="s">
        <v>177</v>
      </c>
      <c r="L391" s="74">
        <f>VLOOKUP(E391,Diccionario!C$2:AC$150,22,0)</f>
        <v>683254187</v>
      </c>
      <c r="M391" s="75">
        <f>VLOOKUP(E391,Diccionario!C$2:AC$150,24,0)</f>
        <v>45901</v>
      </c>
      <c r="N391" s="76">
        <f>VLOOKUP(E391,Diccionario!C$2:AC$150,25,0)</f>
        <v>46021</v>
      </c>
      <c r="O391" s="77">
        <f>VLOOKUP(E391,Diccionario!C$2:AC$150,26,0)</f>
        <v>3.97</v>
      </c>
      <c r="P391" s="77">
        <f t="shared" si="143"/>
        <v>-1.9700000000000002</v>
      </c>
      <c r="Q391" s="78">
        <v>2</v>
      </c>
      <c r="R391" s="36">
        <v>5</v>
      </c>
      <c r="S391" s="86">
        <v>0.25</v>
      </c>
      <c r="T391" s="86">
        <v>0.25</v>
      </c>
      <c r="U391" s="82">
        <v>180457034</v>
      </c>
      <c r="V391" s="82">
        <v>180457034</v>
      </c>
      <c r="W391" s="82">
        <f t="shared" si="148"/>
        <v>170813546.75</v>
      </c>
      <c r="X391" s="82">
        <f t="shared" si="144"/>
        <v>170813546.75</v>
      </c>
      <c r="Y391" s="82">
        <f t="shared" si="149"/>
        <v>-9643487.25</v>
      </c>
      <c r="Z391" s="82">
        <f t="shared" si="145"/>
        <v>0</v>
      </c>
      <c r="AA391" s="83">
        <f t="shared" si="142"/>
        <v>0.94656075722711919</v>
      </c>
      <c r="AB391" s="84" t="str">
        <f t="shared" si="146"/>
        <v>Costo ineficiente: se está gastando más de lo presupuestado</v>
      </c>
      <c r="AC391" s="84">
        <f t="shared" si="150"/>
        <v>1</v>
      </c>
      <c r="AD391" s="84" t="str">
        <f t="shared" si="147"/>
        <v>Proyecto a tiempo según lo planificado</v>
      </c>
      <c r="AE391" s="85">
        <f t="shared" si="151"/>
        <v>721828136</v>
      </c>
      <c r="AF391" s="85">
        <f t="shared" si="152"/>
        <v>38573949</v>
      </c>
      <c r="AG391" s="40" t="str">
        <f>VLOOKUP(Indicador!E391,Diccionario!C$1:AC$150,27,0)</f>
        <v>https://growdatasas.sharepoint.com/:x:/r/sites/Gestiondocumental/Administrativa/GD/Financiera/_layouts/15/Doc.aspx?sourcedoc=%7BBFBC0E56-0D26-4209-BEC0-A1582426050B%7D&amp;file=MODELO%20FINANCIERO%20FCM%20UT%2029.09.25%20V1.xlsm&amp;action=default&amp;mobileredirect=true</v>
      </c>
      <c r="AH391" s="40">
        <v>1</v>
      </c>
      <c r="AI391" s="40">
        <v>1</v>
      </c>
    </row>
    <row r="392" spans="1:35" ht="18.75" customHeight="1">
      <c r="A392" s="73">
        <v>2025</v>
      </c>
      <c r="B392" s="112" t="s">
        <v>30</v>
      </c>
      <c r="C392" s="36" t="s">
        <v>366</v>
      </c>
      <c r="D392" s="37">
        <v>45902.665949571761</v>
      </c>
      <c r="E392" s="97" t="s">
        <v>50</v>
      </c>
      <c r="F392" s="36" t="s">
        <v>179</v>
      </c>
      <c r="G392" s="36" t="s">
        <v>367</v>
      </c>
      <c r="H392" s="36" t="s">
        <v>368</v>
      </c>
      <c r="I392" s="36" t="s">
        <v>175</v>
      </c>
      <c r="J392" s="36" t="s">
        <v>369</v>
      </c>
      <c r="K392" s="36" t="s">
        <v>177</v>
      </c>
      <c r="L392" s="74">
        <f>VLOOKUP(E392,Diccionario!C$2:AC$150,22,0)</f>
        <v>683254187</v>
      </c>
      <c r="M392" s="75">
        <f>VLOOKUP(E392,Diccionario!C$2:AC$150,24,0)</f>
        <v>45901</v>
      </c>
      <c r="N392" s="76">
        <f>VLOOKUP(E392,Diccionario!C$2:AC$150,25,0)</f>
        <v>46021</v>
      </c>
      <c r="O392" s="77">
        <f>VLOOKUP(E392,Diccionario!C$2:AC$150,26,0)</f>
        <v>3.97</v>
      </c>
      <c r="P392" s="77">
        <f t="shared" si="143"/>
        <v>-0.9700000000000002</v>
      </c>
      <c r="Q392" s="78">
        <v>3</v>
      </c>
      <c r="R392" s="36">
        <v>5</v>
      </c>
      <c r="S392" s="86">
        <v>0.5</v>
      </c>
      <c r="T392" s="86">
        <v>0.5</v>
      </c>
      <c r="U392" s="82">
        <v>167599051</v>
      </c>
      <c r="V392" s="82">
        <v>167599051</v>
      </c>
      <c r="W392" s="82">
        <f t="shared" si="148"/>
        <v>341627093.5</v>
      </c>
      <c r="X392" s="82">
        <f t="shared" si="144"/>
        <v>341627093.5</v>
      </c>
      <c r="Y392" s="82">
        <f t="shared" si="149"/>
        <v>174028042.5</v>
      </c>
      <c r="Z392" s="82">
        <f t="shared" si="145"/>
        <v>0</v>
      </c>
      <c r="AA392" s="83">
        <f t="shared" si="142"/>
        <v>2.0383593550299994</v>
      </c>
      <c r="AB392" s="84" t="str">
        <f t="shared" si="146"/>
        <v>Costo eficiente: se está gastando menos de lo presupuestado</v>
      </c>
      <c r="AC392" s="84">
        <f t="shared" si="150"/>
        <v>1</v>
      </c>
      <c r="AD392" s="84" t="str">
        <f t="shared" si="147"/>
        <v>Proyecto a tiempo según lo planificado</v>
      </c>
      <c r="AE392" s="85">
        <f t="shared" si="151"/>
        <v>335198102</v>
      </c>
      <c r="AF392" s="85">
        <f t="shared" si="152"/>
        <v>-348056085</v>
      </c>
      <c r="AG392" s="40" t="str">
        <f>VLOOKUP(Indicador!E392,Diccionario!C$1:AC$150,27,0)</f>
        <v>https://growdatasas.sharepoint.com/:x:/r/sites/Gestiondocumental/Administrativa/GD/Financiera/_layouts/15/Doc.aspx?sourcedoc=%7BBFBC0E56-0D26-4209-BEC0-A1582426050B%7D&amp;file=MODELO%20FINANCIERO%20FCM%20UT%2029.09.25%20V1.xlsm&amp;action=default&amp;mobileredirect=true</v>
      </c>
      <c r="AH392" s="40">
        <v>1</v>
      </c>
      <c r="AI392" s="40">
        <v>1</v>
      </c>
    </row>
    <row r="393" spans="1:35" ht="18.75" customHeight="1">
      <c r="A393" s="73">
        <v>2025</v>
      </c>
      <c r="B393" s="112" t="s">
        <v>31</v>
      </c>
      <c r="C393" s="36" t="s">
        <v>366</v>
      </c>
      <c r="D393" s="37">
        <v>45902.665949571761</v>
      </c>
      <c r="E393" s="97" t="s">
        <v>50</v>
      </c>
      <c r="F393" s="36" t="s">
        <v>179</v>
      </c>
      <c r="G393" s="36" t="s">
        <v>367</v>
      </c>
      <c r="H393" s="36" t="s">
        <v>368</v>
      </c>
      <c r="I393" s="36" t="s">
        <v>175</v>
      </c>
      <c r="J393" s="36" t="s">
        <v>369</v>
      </c>
      <c r="K393" s="36" t="s">
        <v>177</v>
      </c>
      <c r="L393" s="74">
        <f>VLOOKUP(E393,Diccionario!C$2:AC$150,22,0)</f>
        <v>683254187</v>
      </c>
      <c r="M393" s="75">
        <f>VLOOKUP(E393,Diccionario!C$2:AC$150,24,0)</f>
        <v>45901</v>
      </c>
      <c r="N393" s="76">
        <f>VLOOKUP(E393,Diccionario!C$2:AC$150,25,0)</f>
        <v>46021</v>
      </c>
      <c r="O393" s="77">
        <f>VLOOKUP(E393,Diccionario!C$2:AC$150,26,0)</f>
        <v>3.97</v>
      </c>
      <c r="P393" s="77">
        <f t="shared" si="143"/>
        <v>2.9999999999999805E-2</v>
      </c>
      <c r="Q393" s="78">
        <v>4</v>
      </c>
      <c r="R393" s="36">
        <v>5</v>
      </c>
      <c r="S393" s="86">
        <v>0.75</v>
      </c>
      <c r="T393" s="86">
        <v>0.75</v>
      </c>
      <c r="U393" s="82">
        <v>167599051</v>
      </c>
      <c r="V393" s="82">
        <v>167599051</v>
      </c>
      <c r="W393" s="82">
        <f t="shared" si="148"/>
        <v>512440640.25</v>
      </c>
      <c r="X393" s="82">
        <f t="shared" si="144"/>
        <v>512440640.25</v>
      </c>
      <c r="Y393" s="82">
        <f t="shared" si="149"/>
        <v>344841589.25</v>
      </c>
      <c r="Z393" s="82">
        <f t="shared" si="145"/>
        <v>0</v>
      </c>
      <c r="AA393" s="83">
        <f t="shared" si="142"/>
        <v>3.0575390325449994</v>
      </c>
      <c r="AB393" s="84" t="str">
        <f t="shared" si="146"/>
        <v>Costo eficiente: se está gastando menos de lo presupuestado</v>
      </c>
      <c r="AC393" s="84">
        <f t="shared" si="150"/>
        <v>1</v>
      </c>
      <c r="AD393" s="84" t="str">
        <f t="shared" si="147"/>
        <v>Proyecto a tiempo según lo planificado</v>
      </c>
      <c r="AE393" s="85">
        <f t="shared" si="151"/>
        <v>223465401.33333334</v>
      </c>
      <c r="AF393" s="85">
        <f t="shared" si="152"/>
        <v>-459788785.66666663</v>
      </c>
      <c r="AG393" s="40" t="str">
        <f>VLOOKUP(Indicador!E393,Diccionario!C$1:AC$150,27,0)</f>
        <v>https://growdatasas.sharepoint.com/:x:/r/sites/Gestiondocumental/Administrativa/GD/Financiera/_layouts/15/Doc.aspx?sourcedoc=%7BBFBC0E56-0D26-4209-BEC0-A1582426050B%7D&amp;file=MODELO%20FINANCIERO%20FCM%20UT%2029.09.25%20V1.xlsm&amp;action=default&amp;mobileredirect=true</v>
      </c>
      <c r="AH393" s="40">
        <v>1</v>
      </c>
      <c r="AI393" s="40">
        <v>1</v>
      </c>
    </row>
    <row r="394" spans="1:35" ht="18.75" customHeight="1">
      <c r="A394" s="73">
        <v>2025</v>
      </c>
      <c r="B394" s="112" t="s">
        <v>32</v>
      </c>
      <c r="C394" s="36" t="s">
        <v>366</v>
      </c>
      <c r="D394" s="37">
        <v>45902.665949571761</v>
      </c>
      <c r="E394" s="97" t="s">
        <v>50</v>
      </c>
      <c r="F394" s="36" t="s">
        <v>179</v>
      </c>
      <c r="G394" s="36" t="s">
        <v>367</v>
      </c>
      <c r="H394" s="36" t="s">
        <v>368</v>
      </c>
      <c r="I394" s="36" t="s">
        <v>175</v>
      </c>
      <c r="J394" s="36" t="s">
        <v>369</v>
      </c>
      <c r="K394" s="36" t="s">
        <v>177</v>
      </c>
      <c r="L394" s="74">
        <f>VLOOKUP(E394,Diccionario!C$2:AC$150,22,0)</f>
        <v>683254187</v>
      </c>
      <c r="M394" s="75">
        <f>VLOOKUP(E394,Diccionario!C$2:AC$150,24,0)</f>
        <v>45901</v>
      </c>
      <c r="N394" s="76">
        <f>VLOOKUP(E394,Diccionario!C$2:AC$150,25,0)</f>
        <v>46021</v>
      </c>
      <c r="O394" s="77">
        <f>VLOOKUP(E394,Diccionario!C$2:AC$150,26,0)</f>
        <v>3.97</v>
      </c>
      <c r="P394" s="77">
        <f t="shared" si="143"/>
        <v>-2.97</v>
      </c>
      <c r="Q394" s="78">
        <v>1</v>
      </c>
      <c r="R394" s="36">
        <v>5</v>
      </c>
      <c r="S394" s="86">
        <v>1</v>
      </c>
      <c r="T394" s="86">
        <v>1</v>
      </c>
      <c r="U394" s="82">
        <v>167599051</v>
      </c>
      <c r="V394" s="82">
        <v>167599051</v>
      </c>
      <c r="W394" s="82">
        <f t="shared" si="148"/>
        <v>683254187</v>
      </c>
      <c r="X394" s="82">
        <f t="shared" si="144"/>
        <v>683254187</v>
      </c>
      <c r="Y394" s="82">
        <f t="shared" si="149"/>
        <v>515655136</v>
      </c>
      <c r="Z394" s="82">
        <f t="shared" si="145"/>
        <v>0</v>
      </c>
      <c r="AA394" s="83">
        <f t="shared" si="142"/>
        <v>4.0767187100599989</v>
      </c>
      <c r="AB394" s="84" t="str">
        <f t="shared" si="146"/>
        <v>Costo eficiente: se está gastando menos de lo presupuestado</v>
      </c>
      <c r="AC394" s="84">
        <f t="shared" si="150"/>
        <v>1</v>
      </c>
      <c r="AD394" s="84" t="str">
        <f t="shared" si="147"/>
        <v>Proyecto a tiempo según lo planificado</v>
      </c>
      <c r="AE394" s="85">
        <f t="shared" si="151"/>
        <v>167599051</v>
      </c>
      <c r="AF394" s="85">
        <f t="shared" si="152"/>
        <v>-515655136</v>
      </c>
      <c r="AG394" s="40" t="str">
        <f>VLOOKUP(Indicador!E394,Diccionario!C$1:AC$150,27,0)</f>
        <v>https://growdatasas.sharepoint.com/:x:/r/sites/Gestiondocumental/Administrativa/GD/Financiera/_layouts/15/Doc.aspx?sourcedoc=%7BBFBC0E56-0D26-4209-BEC0-A1582426050B%7D&amp;file=MODELO%20FINANCIERO%20FCM%20UT%2029.09.25%20V1.xlsm&amp;action=default&amp;mobileredirect=true</v>
      </c>
      <c r="AH394" s="40">
        <v>1</v>
      </c>
      <c r="AI394" s="40">
        <v>1</v>
      </c>
    </row>
    <row r="395" spans="1:35" ht="18.75" customHeight="1">
      <c r="A395" s="73">
        <v>2025</v>
      </c>
      <c r="B395" s="112" t="s">
        <v>28</v>
      </c>
      <c r="C395" s="36" t="s">
        <v>370</v>
      </c>
      <c r="D395" s="37">
        <v>45902.634798344909</v>
      </c>
      <c r="E395" s="36" t="s">
        <v>43</v>
      </c>
      <c r="F395" s="36" t="s">
        <v>162</v>
      </c>
      <c r="G395" s="88" t="s">
        <v>371</v>
      </c>
      <c r="H395" s="36" t="s">
        <v>372</v>
      </c>
      <c r="I395" s="36" t="s">
        <v>165</v>
      </c>
      <c r="J395" s="36" t="s">
        <v>373</v>
      </c>
      <c r="K395" s="36" t="s">
        <v>177</v>
      </c>
      <c r="L395" s="74">
        <f>VLOOKUP(E395,Diccionario!C$2:AC$150,22,0)</f>
        <v>162301726</v>
      </c>
      <c r="M395" s="75">
        <f>VLOOKUP(E395,Diccionario!C$2:AC$150,24,0)</f>
        <v>45901</v>
      </c>
      <c r="N395" s="76">
        <f>VLOOKUP(E395,Diccionario!C$2:AC$150,25,0)</f>
        <v>46022</v>
      </c>
      <c r="O395" s="77">
        <f>VLOOKUP(E395,Diccionario!C$2:AC$150,26,0)</f>
        <v>4</v>
      </c>
      <c r="P395" s="77">
        <f t="shared" si="143"/>
        <v>-2</v>
      </c>
      <c r="Q395" s="78">
        <v>2</v>
      </c>
      <c r="R395" s="36">
        <v>5</v>
      </c>
      <c r="S395" s="86">
        <v>0.25</v>
      </c>
      <c r="T395" s="86">
        <v>0.25</v>
      </c>
      <c r="U395" s="82">
        <v>6075431</v>
      </c>
      <c r="V395" s="82">
        <v>6075431</v>
      </c>
      <c r="W395" s="82">
        <f t="shared" si="148"/>
        <v>40575431.5</v>
      </c>
      <c r="X395" s="82">
        <f t="shared" si="144"/>
        <v>40575431.5</v>
      </c>
      <c r="Y395" s="82">
        <f t="shared" si="149"/>
        <v>34500000.5</v>
      </c>
      <c r="Z395" s="82">
        <f t="shared" si="145"/>
        <v>0</v>
      </c>
      <c r="AA395" s="83">
        <f t="shared" si="142"/>
        <v>6.6786095504993801</v>
      </c>
      <c r="AB395" s="84" t="str">
        <f t="shared" si="146"/>
        <v>Costo eficiente: se está gastando menos de lo presupuestado</v>
      </c>
      <c r="AC395" s="84">
        <f t="shared" si="150"/>
        <v>1</v>
      </c>
      <c r="AD395" s="84" t="str">
        <f t="shared" si="147"/>
        <v>Proyecto a tiempo según lo planificado</v>
      </c>
      <c r="AE395" s="85">
        <f t="shared" si="151"/>
        <v>24301724</v>
      </c>
      <c r="AF395" s="85">
        <f t="shared" si="152"/>
        <v>-138000002</v>
      </c>
      <c r="AG395" s="40" t="str">
        <f>VLOOKUP(Indicador!E395,Diccionario!C$1:AC$150,27,0)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395" s="40">
        <v>1</v>
      </c>
      <c r="AI395" s="40">
        <v>1</v>
      </c>
    </row>
    <row r="396" spans="1:35" ht="18.75" customHeight="1">
      <c r="A396" s="73">
        <v>2025</v>
      </c>
      <c r="B396" s="112" t="s">
        <v>30</v>
      </c>
      <c r="C396" s="36" t="s">
        <v>370</v>
      </c>
      <c r="D396" s="37">
        <v>45902.634798344909</v>
      </c>
      <c r="E396" s="36" t="s">
        <v>43</v>
      </c>
      <c r="F396" s="36" t="s">
        <v>162</v>
      </c>
      <c r="G396" s="88" t="s">
        <v>371</v>
      </c>
      <c r="H396" s="36" t="s">
        <v>372</v>
      </c>
      <c r="I396" s="36" t="s">
        <v>165</v>
      </c>
      <c r="J396" s="36" t="s">
        <v>373</v>
      </c>
      <c r="K396" s="36" t="s">
        <v>177</v>
      </c>
      <c r="L396" s="74">
        <f>VLOOKUP(E396,Diccionario!C$2:AC$150,22,0)</f>
        <v>162301726</v>
      </c>
      <c r="M396" s="75">
        <f>VLOOKUP(E396,Diccionario!C$2:AC$150,24,0)</f>
        <v>45901</v>
      </c>
      <c r="N396" s="76">
        <f>VLOOKUP(E396,Diccionario!C$2:AC$150,25,0)</f>
        <v>46022</v>
      </c>
      <c r="O396" s="77">
        <f>VLOOKUP(E396,Diccionario!C$2:AC$150,26,0)</f>
        <v>4</v>
      </c>
      <c r="P396" s="77">
        <f t="shared" si="143"/>
        <v>-1</v>
      </c>
      <c r="Q396" s="78">
        <v>3</v>
      </c>
      <c r="R396" s="36">
        <v>5</v>
      </c>
      <c r="S396" s="86">
        <v>0.5</v>
      </c>
      <c r="T396" s="86">
        <v>0.5</v>
      </c>
      <c r="U396" s="82">
        <v>33675431</v>
      </c>
      <c r="V396" s="82">
        <v>33675431</v>
      </c>
      <c r="W396" s="82">
        <f t="shared" si="148"/>
        <v>81150863</v>
      </c>
      <c r="X396" s="82">
        <f t="shared" si="144"/>
        <v>81150863</v>
      </c>
      <c r="Y396" s="82">
        <f t="shared" si="149"/>
        <v>47475432</v>
      </c>
      <c r="Z396" s="82">
        <f t="shared" si="145"/>
        <v>0</v>
      </c>
      <c r="AA396" s="83">
        <f t="shared" ref="AA396:AA459" si="153">IFERROR(W396/U396,"No se realizó gasto en este corte")</f>
        <v>2.4097943393805412</v>
      </c>
      <c r="AB396" s="84" t="str">
        <f t="shared" si="146"/>
        <v>Costo eficiente: se está gastando menos de lo presupuestado</v>
      </c>
      <c r="AC396" s="84">
        <f t="shared" si="150"/>
        <v>1</v>
      </c>
      <c r="AD396" s="84" t="str">
        <f t="shared" si="147"/>
        <v>Proyecto a tiempo según lo planificado</v>
      </c>
      <c r="AE396" s="85">
        <f t="shared" si="151"/>
        <v>67350862</v>
      </c>
      <c r="AF396" s="85">
        <f t="shared" si="152"/>
        <v>-94950864</v>
      </c>
      <c r="AG396" s="40" t="str">
        <f>VLOOKUP(Indicador!E396,Diccionario!C$1:AC$150,27,0)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396" s="40">
        <v>1</v>
      </c>
      <c r="AI396" s="40">
        <v>1</v>
      </c>
    </row>
    <row r="397" spans="1:35" ht="18.75" customHeight="1">
      <c r="A397" s="73">
        <v>2025</v>
      </c>
      <c r="B397" s="112" t="s">
        <v>31</v>
      </c>
      <c r="C397" s="36" t="s">
        <v>370</v>
      </c>
      <c r="D397" s="37">
        <v>45902.634798344909</v>
      </c>
      <c r="E397" s="36" t="s">
        <v>43</v>
      </c>
      <c r="F397" s="36" t="s">
        <v>162</v>
      </c>
      <c r="G397" s="88" t="s">
        <v>371</v>
      </c>
      <c r="H397" s="36" t="s">
        <v>372</v>
      </c>
      <c r="I397" s="36" t="s">
        <v>165</v>
      </c>
      <c r="J397" s="36" t="s">
        <v>373</v>
      </c>
      <c r="K397" s="36" t="s">
        <v>177</v>
      </c>
      <c r="L397" s="74">
        <f>VLOOKUP(E397,Diccionario!C$2:AC$150,22,0)</f>
        <v>162301726</v>
      </c>
      <c r="M397" s="75">
        <f>VLOOKUP(E397,Diccionario!C$2:AC$150,24,0)</f>
        <v>45901</v>
      </c>
      <c r="N397" s="76">
        <f>VLOOKUP(E397,Diccionario!C$2:AC$150,25,0)</f>
        <v>46022</v>
      </c>
      <c r="O397" s="77">
        <f>VLOOKUP(E397,Diccionario!C$2:AC$150,26,0)</f>
        <v>4</v>
      </c>
      <c r="P397" s="77">
        <f t="shared" si="143"/>
        <v>0</v>
      </c>
      <c r="Q397" s="78">
        <v>4</v>
      </c>
      <c r="R397" s="36">
        <v>5</v>
      </c>
      <c r="S397" s="86">
        <v>0.75</v>
      </c>
      <c r="T397" s="86">
        <v>0.75</v>
      </c>
      <c r="U397" s="82">
        <v>47475431</v>
      </c>
      <c r="V397" s="82">
        <v>47475431</v>
      </c>
      <c r="W397" s="82">
        <f t="shared" si="148"/>
        <v>121726294.5</v>
      </c>
      <c r="X397" s="82">
        <f t="shared" si="144"/>
        <v>121726294.5</v>
      </c>
      <c r="Y397" s="82">
        <f t="shared" si="149"/>
        <v>74250863.5</v>
      </c>
      <c r="Z397" s="82">
        <f t="shared" si="145"/>
        <v>0</v>
      </c>
      <c r="AA397" s="83">
        <f t="shared" si="153"/>
        <v>2.5639850325950699</v>
      </c>
      <c r="AB397" s="84" t="str">
        <f t="shared" si="146"/>
        <v>Costo eficiente: se está gastando menos de lo presupuestado</v>
      </c>
      <c r="AC397" s="84">
        <f t="shared" si="150"/>
        <v>1</v>
      </c>
      <c r="AD397" s="84" t="str">
        <f t="shared" si="147"/>
        <v>Proyecto a tiempo según lo planificado</v>
      </c>
      <c r="AE397" s="85">
        <f t="shared" si="151"/>
        <v>63300574.666666672</v>
      </c>
      <c r="AF397" s="85">
        <f t="shared" si="152"/>
        <v>-99001151.333333328</v>
      </c>
      <c r="AG397" s="40" t="str">
        <f>VLOOKUP(Indicador!E397,Diccionario!C$1:AC$150,27,0)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397" s="40">
        <v>1</v>
      </c>
      <c r="AI397" s="40">
        <v>1</v>
      </c>
    </row>
    <row r="398" spans="1:35" ht="18.75" customHeight="1">
      <c r="A398" s="73">
        <v>2025</v>
      </c>
      <c r="B398" s="112" t="s">
        <v>32</v>
      </c>
      <c r="C398" s="36" t="s">
        <v>370</v>
      </c>
      <c r="D398" s="37">
        <v>45902.634798344909</v>
      </c>
      <c r="E398" s="36" t="s">
        <v>43</v>
      </c>
      <c r="F398" s="36" t="s">
        <v>162</v>
      </c>
      <c r="G398" s="88" t="s">
        <v>371</v>
      </c>
      <c r="H398" s="36" t="s">
        <v>372</v>
      </c>
      <c r="I398" s="36" t="s">
        <v>165</v>
      </c>
      <c r="J398" s="36" t="s">
        <v>373</v>
      </c>
      <c r="K398" s="36" t="s">
        <v>177</v>
      </c>
      <c r="L398" s="74">
        <f>VLOOKUP(E398,Diccionario!C$2:AC$150,22,0)</f>
        <v>162301726</v>
      </c>
      <c r="M398" s="75">
        <f>VLOOKUP(E398,Diccionario!C$2:AC$150,24,0)</f>
        <v>45901</v>
      </c>
      <c r="N398" s="76">
        <f>VLOOKUP(E398,Diccionario!C$2:AC$150,25,0)</f>
        <v>46022</v>
      </c>
      <c r="O398" s="77">
        <f>VLOOKUP(E398,Diccionario!C$2:AC$150,26,0)</f>
        <v>4</v>
      </c>
      <c r="P398" s="77">
        <f t="shared" si="143"/>
        <v>1</v>
      </c>
      <c r="Q398" s="78">
        <v>5</v>
      </c>
      <c r="R398" s="36">
        <v>5</v>
      </c>
      <c r="S398" s="86">
        <v>1</v>
      </c>
      <c r="T398" s="86">
        <v>1</v>
      </c>
      <c r="U398" s="82">
        <v>75075431</v>
      </c>
      <c r="V398" s="82">
        <v>75075431</v>
      </c>
      <c r="W398" s="82">
        <f t="shared" si="148"/>
        <v>162301726</v>
      </c>
      <c r="X398" s="82">
        <f t="shared" si="144"/>
        <v>162301726</v>
      </c>
      <c r="Y398" s="82">
        <f t="shared" si="149"/>
        <v>87226295</v>
      </c>
      <c r="Z398" s="82">
        <f t="shared" si="145"/>
        <v>0</v>
      </c>
      <c r="AA398" s="83">
        <f t="shared" si="153"/>
        <v>2.161848741168066</v>
      </c>
      <c r="AB398" s="84" t="str">
        <f t="shared" si="146"/>
        <v>Costo eficiente: se está gastando menos de lo presupuestado</v>
      </c>
      <c r="AC398" s="84">
        <f t="shared" si="150"/>
        <v>1</v>
      </c>
      <c r="AD398" s="84" t="str">
        <f t="shared" si="147"/>
        <v>Proyecto a tiempo según lo planificado</v>
      </c>
      <c r="AE398" s="85">
        <f t="shared" si="151"/>
        <v>75075431</v>
      </c>
      <c r="AF398" s="85">
        <f t="shared" si="152"/>
        <v>-87226295</v>
      </c>
      <c r="AG398" s="40" t="str">
        <f>VLOOKUP(Indicador!E398,Diccionario!C$1:AC$150,27,0)</f>
        <v>https://growdatasas.sharepoint.com/:x:/r/sites/Gestiondocumental/Administrativa/GD/Financiera/_layouts/15/Doc.aspx?sourcedoc=%7B5693324A-E570-4B4F-9F46-B89F46926326%7D&amp;file=20251301%20MODELO%20FINANCIERO%20REFERENCIA%20V7.4_INM_2025%20-%20PMO.xlsm&amp;action=default&amp;mobileredirect=true</v>
      </c>
      <c r="AH398" s="40">
        <v>1</v>
      </c>
      <c r="AI398" s="40">
        <v>1</v>
      </c>
    </row>
    <row r="399" spans="1:35" ht="18.75" customHeight="1">
      <c r="A399" s="73">
        <v>2025</v>
      </c>
      <c r="B399" s="112" t="s">
        <v>28</v>
      </c>
      <c r="C399" s="36" t="s">
        <v>374</v>
      </c>
      <c r="D399" s="37">
        <v>45889.901397719907</v>
      </c>
      <c r="E399" s="36" t="s">
        <v>44</v>
      </c>
      <c r="F399" s="36" t="s">
        <v>185</v>
      </c>
      <c r="G399" s="36" t="s">
        <v>375</v>
      </c>
      <c r="H399" s="36" t="s">
        <v>376</v>
      </c>
      <c r="I399" s="36" t="s">
        <v>175</v>
      </c>
      <c r="J399" s="36" t="s">
        <v>377</v>
      </c>
      <c r="K399" s="36" t="s">
        <v>177</v>
      </c>
      <c r="L399" s="74">
        <f>VLOOKUP(E399,Diccionario!C$2:AC$150,22,0)</f>
        <v>4792442910</v>
      </c>
      <c r="M399" s="75">
        <f>VLOOKUP(E399,Diccionario!C$2:AC$150,24,0)</f>
        <v>45901</v>
      </c>
      <c r="N399" s="76">
        <f>VLOOKUP(E399,Diccionario!C$2:AC$150,25,0)</f>
        <v>46264</v>
      </c>
      <c r="O399" s="77">
        <f>VLOOKUP(E399,Diccionario!C$2:AC$150,26,0)</f>
        <v>11.97</v>
      </c>
      <c r="P399" s="77">
        <f t="shared" si="143"/>
        <v>-10.97</v>
      </c>
      <c r="Q399" s="78">
        <v>1</v>
      </c>
      <c r="R399" s="36">
        <v>12</v>
      </c>
      <c r="S399" s="86">
        <v>0.15</v>
      </c>
      <c r="T399" s="86">
        <v>0.15</v>
      </c>
      <c r="U399" s="82">
        <v>478402976</v>
      </c>
      <c r="V399" s="82">
        <v>478402976</v>
      </c>
      <c r="W399" s="82">
        <f t="shared" si="148"/>
        <v>718866436.5</v>
      </c>
      <c r="X399" s="82">
        <f t="shared" si="144"/>
        <v>718866436.5</v>
      </c>
      <c r="Y399" s="82">
        <f t="shared" si="149"/>
        <v>240463460.5</v>
      </c>
      <c r="Z399" s="82">
        <f t="shared" si="145"/>
        <v>0</v>
      </c>
      <c r="AA399" s="83">
        <f t="shared" si="153"/>
        <v>1.5026378859733516</v>
      </c>
      <c r="AB399" s="84" t="str">
        <f t="shared" si="146"/>
        <v>Costo eficiente: se está gastando menos de lo presupuestado</v>
      </c>
      <c r="AC399" s="84">
        <f t="shared" si="150"/>
        <v>1</v>
      </c>
      <c r="AD399" s="84" t="str">
        <f t="shared" si="147"/>
        <v>Proyecto a tiempo según lo planificado</v>
      </c>
      <c r="AE399" s="85">
        <f t="shared" si="151"/>
        <v>3189353173.333333</v>
      </c>
      <c r="AF399" s="85">
        <f t="shared" si="152"/>
        <v>-1603089736.666667</v>
      </c>
      <c r="AG399" s="40" t="str">
        <f>VLOOKUP(Indicador!E399,Diccionario!C$1:AC$150,27,0)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399" s="40">
        <v>1</v>
      </c>
      <c r="AI399" s="40">
        <v>1</v>
      </c>
    </row>
    <row r="400" spans="1:35" ht="18.75" customHeight="1">
      <c r="A400" s="73">
        <v>2025</v>
      </c>
      <c r="B400" s="112" t="s">
        <v>30</v>
      </c>
      <c r="C400" s="36" t="s">
        <v>374</v>
      </c>
      <c r="D400" s="37">
        <v>45889.901397719907</v>
      </c>
      <c r="E400" s="36" t="s">
        <v>44</v>
      </c>
      <c r="F400" s="36" t="s">
        <v>185</v>
      </c>
      <c r="G400" s="36" t="s">
        <v>375</v>
      </c>
      <c r="H400" s="36" t="s">
        <v>376</v>
      </c>
      <c r="I400" s="36" t="s">
        <v>175</v>
      </c>
      <c r="J400" s="36" t="s">
        <v>377</v>
      </c>
      <c r="K400" s="36" t="s">
        <v>177</v>
      </c>
      <c r="L400" s="74">
        <f>VLOOKUP(E400,Diccionario!C$2:AC$150,22,0)</f>
        <v>4792442910</v>
      </c>
      <c r="M400" s="75">
        <f>VLOOKUP(E400,Diccionario!C$2:AC$150,24,0)</f>
        <v>45901</v>
      </c>
      <c r="N400" s="76">
        <f>VLOOKUP(E400,Diccionario!C$2:AC$150,25,0)</f>
        <v>46264</v>
      </c>
      <c r="O400" s="77">
        <f>VLOOKUP(E400,Diccionario!C$2:AC$150,26,0)</f>
        <v>11.97</v>
      </c>
      <c r="P400" s="77">
        <f t="shared" si="143"/>
        <v>-9.9700000000000006</v>
      </c>
      <c r="Q400" s="78">
        <v>2</v>
      </c>
      <c r="R400" s="36">
        <v>12</v>
      </c>
      <c r="S400" s="86">
        <v>0.25</v>
      </c>
      <c r="T400" s="86">
        <v>0.25</v>
      </c>
      <c r="U400" s="82">
        <v>392185449</v>
      </c>
      <c r="V400" s="82">
        <v>392185449</v>
      </c>
      <c r="W400" s="82">
        <f t="shared" si="148"/>
        <v>1198110727.5</v>
      </c>
      <c r="X400" s="82">
        <f t="shared" si="144"/>
        <v>1198110727.5</v>
      </c>
      <c r="Y400" s="82">
        <f t="shared" si="149"/>
        <v>805925278.5</v>
      </c>
      <c r="Z400" s="82">
        <f t="shared" si="145"/>
        <v>0</v>
      </c>
      <c r="AA400" s="83">
        <f t="shared" si="153"/>
        <v>3.0549596639930412</v>
      </c>
      <c r="AB400" s="84" t="str">
        <f t="shared" si="146"/>
        <v>Costo eficiente: se está gastando menos de lo presupuestado</v>
      </c>
      <c r="AC400" s="84">
        <f t="shared" si="150"/>
        <v>1</v>
      </c>
      <c r="AD400" s="84" t="str">
        <f t="shared" si="147"/>
        <v>Proyecto a tiempo según lo planificado</v>
      </c>
      <c r="AE400" s="85">
        <f t="shared" si="151"/>
        <v>1568741796</v>
      </c>
      <c r="AF400" s="85">
        <f t="shared" si="152"/>
        <v>-3223701114</v>
      </c>
      <c r="AG400" s="40" t="str">
        <f>VLOOKUP(Indicador!E400,Diccionario!C$1:AC$150,27,0)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0" s="40">
        <v>1</v>
      </c>
      <c r="AI400" s="40">
        <v>1</v>
      </c>
    </row>
    <row r="401" spans="1:35" ht="18.75" customHeight="1">
      <c r="A401" s="73">
        <v>2025</v>
      </c>
      <c r="B401" s="112" t="s">
        <v>31</v>
      </c>
      <c r="C401" s="36" t="s">
        <v>374</v>
      </c>
      <c r="D401" s="37">
        <v>45889.901397719907</v>
      </c>
      <c r="E401" s="36" t="s">
        <v>44</v>
      </c>
      <c r="F401" s="36" t="s">
        <v>185</v>
      </c>
      <c r="G401" s="36" t="s">
        <v>375</v>
      </c>
      <c r="H401" s="36" t="s">
        <v>376</v>
      </c>
      <c r="I401" s="36" t="s">
        <v>175</v>
      </c>
      <c r="J401" s="36" t="s">
        <v>377</v>
      </c>
      <c r="K401" s="36" t="s">
        <v>177</v>
      </c>
      <c r="L401" s="74">
        <f>VLOOKUP(E401,Diccionario!C$2:AC$150,22,0)</f>
        <v>4792442910</v>
      </c>
      <c r="M401" s="75">
        <f>VLOOKUP(E401,Diccionario!C$2:AC$150,24,0)</f>
        <v>45901</v>
      </c>
      <c r="N401" s="76">
        <f>VLOOKUP(E401,Diccionario!C$2:AC$150,25,0)</f>
        <v>46264</v>
      </c>
      <c r="O401" s="77">
        <f>VLOOKUP(E401,Diccionario!C$2:AC$150,26,0)</f>
        <v>11.97</v>
      </c>
      <c r="P401" s="77">
        <f t="shared" si="143"/>
        <v>-8.9700000000000006</v>
      </c>
      <c r="Q401" s="78">
        <v>3</v>
      </c>
      <c r="R401" s="36">
        <v>12</v>
      </c>
      <c r="S401" s="86">
        <v>0.3</v>
      </c>
      <c r="T401" s="86">
        <v>0.3</v>
      </c>
      <c r="U401" s="82">
        <v>392185449</v>
      </c>
      <c r="V401" s="82">
        <v>392185449</v>
      </c>
      <c r="W401" s="82">
        <f t="shared" si="148"/>
        <v>1437732873</v>
      </c>
      <c r="X401" s="82">
        <f t="shared" si="144"/>
        <v>1437732873</v>
      </c>
      <c r="Y401" s="82">
        <f t="shared" si="149"/>
        <v>1045547424</v>
      </c>
      <c r="Z401" s="82">
        <f t="shared" si="145"/>
        <v>0</v>
      </c>
      <c r="AA401" s="83">
        <f t="shared" si="153"/>
        <v>3.6659515967916496</v>
      </c>
      <c r="AB401" s="84" t="str">
        <f t="shared" si="146"/>
        <v>Costo eficiente: se está gastando menos de lo presupuestado</v>
      </c>
      <c r="AC401" s="84">
        <f t="shared" si="150"/>
        <v>1</v>
      </c>
      <c r="AD401" s="84" t="str">
        <f t="shared" si="147"/>
        <v>Proyecto a tiempo según lo planificado</v>
      </c>
      <c r="AE401" s="85">
        <f t="shared" si="151"/>
        <v>1307284830</v>
      </c>
      <c r="AF401" s="85">
        <f t="shared" si="152"/>
        <v>-3485158080</v>
      </c>
      <c r="AG401" s="40" t="str">
        <f>VLOOKUP(Indicador!E401,Diccionario!C$1:AC$150,27,0)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1" s="40">
        <v>1</v>
      </c>
      <c r="AI401" s="40">
        <v>1</v>
      </c>
    </row>
    <row r="402" spans="1:35" ht="18.75" customHeight="1">
      <c r="A402" s="73">
        <v>2025</v>
      </c>
      <c r="B402" s="112" t="s">
        <v>32</v>
      </c>
      <c r="C402" s="36" t="s">
        <v>374</v>
      </c>
      <c r="D402" s="37">
        <v>45889.901397719907</v>
      </c>
      <c r="E402" s="36" t="s">
        <v>44</v>
      </c>
      <c r="F402" s="36" t="s">
        <v>185</v>
      </c>
      <c r="G402" s="36" t="s">
        <v>375</v>
      </c>
      <c r="H402" s="36" t="s">
        <v>376</v>
      </c>
      <c r="I402" s="36" t="s">
        <v>175</v>
      </c>
      <c r="J402" s="36" t="s">
        <v>377</v>
      </c>
      <c r="K402" s="36" t="s">
        <v>177</v>
      </c>
      <c r="L402" s="74">
        <f>VLOOKUP(E402,Diccionario!C$2:AC$150,22,0)</f>
        <v>4792442910</v>
      </c>
      <c r="M402" s="75">
        <f>VLOOKUP(E402,Diccionario!C$2:AC$150,24,0)</f>
        <v>45901</v>
      </c>
      <c r="N402" s="76">
        <f>VLOOKUP(E402,Diccionario!C$2:AC$150,25,0)</f>
        <v>46264</v>
      </c>
      <c r="O402" s="77">
        <f>VLOOKUP(E402,Diccionario!C$2:AC$150,26,0)</f>
        <v>11.97</v>
      </c>
      <c r="P402" s="77">
        <f t="shared" si="143"/>
        <v>-7.9700000000000006</v>
      </c>
      <c r="Q402" s="78">
        <v>4</v>
      </c>
      <c r="R402" s="36">
        <v>12</v>
      </c>
      <c r="S402" s="86">
        <v>0.35</v>
      </c>
      <c r="T402" s="86">
        <v>0.35</v>
      </c>
      <c r="U402" s="82">
        <v>392185449</v>
      </c>
      <c r="V402" s="82">
        <v>392185449</v>
      </c>
      <c r="W402" s="82">
        <f t="shared" si="148"/>
        <v>1677355018.5</v>
      </c>
      <c r="X402" s="82">
        <f t="shared" si="144"/>
        <v>1677355018.5</v>
      </c>
      <c r="Y402" s="82">
        <f t="shared" si="149"/>
        <v>1285169569.5</v>
      </c>
      <c r="Z402" s="82">
        <f t="shared" si="145"/>
        <v>0</v>
      </c>
      <c r="AA402" s="83">
        <f t="shared" si="153"/>
        <v>4.276943529590258</v>
      </c>
      <c r="AB402" s="84" t="str">
        <f t="shared" si="146"/>
        <v>Costo eficiente: se está gastando menos de lo presupuestado</v>
      </c>
      <c r="AC402" s="84">
        <f t="shared" si="150"/>
        <v>1</v>
      </c>
      <c r="AD402" s="84" t="str">
        <f t="shared" si="147"/>
        <v>Proyecto a tiempo según lo planificado</v>
      </c>
      <c r="AE402" s="85">
        <f t="shared" si="151"/>
        <v>1120529854.2857141</v>
      </c>
      <c r="AF402" s="85">
        <f t="shared" si="152"/>
        <v>-3671913055.7142859</v>
      </c>
      <c r="AG402" s="40" t="str">
        <f>VLOOKUP(Indicador!E402,Diccionario!C$1:AC$150,27,0)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2" s="40">
        <v>1</v>
      </c>
      <c r="AI402" s="40">
        <v>1</v>
      </c>
    </row>
    <row r="403" spans="1:35" ht="18.75" customHeight="1">
      <c r="A403" s="73">
        <v>2026</v>
      </c>
      <c r="B403" s="112" t="s">
        <v>14</v>
      </c>
      <c r="C403" s="36" t="s">
        <v>374</v>
      </c>
      <c r="D403" s="37">
        <v>45889.901397719907</v>
      </c>
      <c r="E403" s="36" t="s">
        <v>44</v>
      </c>
      <c r="F403" s="36" t="s">
        <v>185</v>
      </c>
      <c r="G403" s="36" t="s">
        <v>375</v>
      </c>
      <c r="H403" s="36" t="s">
        <v>376</v>
      </c>
      <c r="I403" s="36" t="s">
        <v>175</v>
      </c>
      <c r="J403" s="36" t="s">
        <v>377</v>
      </c>
      <c r="K403" s="36" t="s">
        <v>177</v>
      </c>
      <c r="L403" s="74">
        <f>VLOOKUP(E403,Diccionario!C$2:AC$150,22,0)</f>
        <v>4792442910</v>
      </c>
      <c r="M403" s="75">
        <f>VLOOKUP(E403,Diccionario!C$2:AC$150,24,0)</f>
        <v>45901</v>
      </c>
      <c r="N403" s="76">
        <f>VLOOKUP(E403,Diccionario!C$2:AC$150,25,0)</f>
        <v>46264</v>
      </c>
      <c r="O403" s="77">
        <f>VLOOKUP(E403,Diccionario!C$2:AC$150,26,0)</f>
        <v>11.97</v>
      </c>
      <c r="P403" s="77">
        <f t="shared" si="143"/>
        <v>-6.9700000000000006</v>
      </c>
      <c r="Q403" s="78">
        <v>5</v>
      </c>
      <c r="R403" s="36">
        <v>12</v>
      </c>
      <c r="S403" s="86">
        <v>0.5</v>
      </c>
      <c r="T403" s="86">
        <v>0.5</v>
      </c>
      <c r="U403" s="82">
        <v>392185449</v>
      </c>
      <c r="V403" s="82">
        <v>392185449</v>
      </c>
      <c r="W403" s="82">
        <f t="shared" si="148"/>
        <v>2396221455</v>
      </c>
      <c r="X403" s="82">
        <f t="shared" si="144"/>
        <v>2396221455</v>
      </c>
      <c r="Y403" s="82">
        <f t="shared" si="149"/>
        <v>2004036006</v>
      </c>
      <c r="Z403" s="82">
        <f t="shared" si="145"/>
        <v>0</v>
      </c>
      <c r="AA403" s="83">
        <f t="shared" si="153"/>
        <v>6.1099193279860824</v>
      </c>
      <c r="AB403" s="84" t="str">
        <f t="shared" si="146"/>
        <v>Costo eficiente: se está gastando menos de lo presupuestado</v>
      </c>
      <c r="AC403" s="84">
        <f t="shared" si="150"/>
        <v>1</v>
      </c>
      <c r="AD403" s="84" t="str">
        <f t="shared" si="147"/>
        <v>Proyecto a tiempo según lo planificado</v>
      </c>
      <c r="AE403" s="85">
        <f t="shared" si="151"/>
        <v>784370898</v>
      </c>
      <c r="AF403" s="85">
        <f t="shared" si="152"/>
        <v>-4008072012</v>
      </c>
      <c r="AG403" s="40" t="str">
        <f>VLOOKUP(Indicador!E403,Diccionario!C$1:AC$150,27,0)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3" s="40">
        <v>1</v>
      </c>
      <c r="AI403" s="40">
        <v>1</v>
      </c>
    </row>
    <row r="404" spans="1:35" ht="18.75" customHeight="1">
      <c r="A404" s="73">
        <v>2026</v>
      </c>
      <c r="B404" s="112" t="s">
        <v>22</v>
      </c>
      <c r="C404" s="36" t="s">
        <v>374</v>
      </c>
      <c r="D404" s="37">
        <v>45889.901397719907</v>
      </c>
      <c r="E404" s="36" t="s">
        <v>44</v>
      </c>
      <c r="F404" s="36" t="s">
        <v>185</v>
      </c>
      <c r="G404" s="36" t="s">
        <v>375</v>
      </c>
      <c r="H404" s="36" t="s">
        <v>376</v>
      </c>
      <c r="I404" s="36" t="s">
        <v>175</v>
      </c>
      <c r="J404" s="36" t="s">
        <v>377</v>
      </c>
      <c r="K404" s="36" t="s">
        <v>177</v>
      </c>
      <c r="L404" s="74">
        <f>VLOOKUP(E404,Diccionario!C$2:AC$150,22,0)</f>
        <v>4792442910</v>
      </c>
      <c r="M404" s="75">
        <f>VLOOKUP(E404,Diccionario!C$2:AC$150,24,0)</f>
        <v>45901</v>
      </c>
      <c r="N404" s="76">
        <f>VLOOKUP(E404,Diccionario!C$2:AC$150,25,0)</f>
        <v>46264</v>
      </c>
      <c r="O404" s="77">
        <f>VLOOKUP(E404,Diccionario!C$2:AC$150,26,0)</f>
        <v>11.97</v>
      </c>
      <c r="P404" s="77">
        <f t="shared" si="143"/>
        <v>-5.9700000000000006</v>
      </c>
      <c r="Q404" s="78">
        <v>6</v>
      </c>
      <c r="R404" s="36">
        <v>12</v>
      </c>
      <c r="S404" s="86">
        <v>0.62</v>
      </c>
      <c r="T404" s="86">
        <v>0.62</v>
      </c>
      <c r="U404" s="82"/>
      <c r="V404" s="82"/>
      <c r="W404" s="82">
        <f t="shared" si="148"/>
        <v>2971314604.1999998</v>
      </c>
      <c r="X404" s="82">
        <f t="shared" si="144"/>
        <v>2971314604.1999998</v>
      </c>
      <c r="Y404" s="82">
        <f t="shared" si="149"/>
        <v>2971314604.1999998</v>
      </c>
      <c r="Z404" s="82">
        <f t="shared" si="145"/>
        <v>0</v>
      </c>
      <c r="AA404" s="83" t="str">
        <f t="shared" si="153"/>
        <v>No se realizó gasto en este corte</v>
      </c>
      <c r="AB404" s="84" t="str">
        <f t="shared" si="146"/>
        <v>Costo eficiente: se está gastando menos de lo presupuestado</v>
      </c>
      <c r="AC404" s="84">
        <f t="shared" si="150"/>
        <v>1</v>
      </c>
      <c r="AD404" s="84" t="str">
        <f t="shared" si="147"/>
        <v>Proyecto a tiempo según lo planificado</v>
      </c>
      <c r="AE404" s="85">
        <f t="shared" si="151"/>
        <v>0</v>
      </c>
      <c r="AF404" s="85">
        <f t="shared" si="152"/>
        <v>-4792442910</v>
      </c>
      <c r="AG404" s="40" t="str">
        <f>VLOOKUP(Indicador!E404,Diccionario!C$1:AC$150,27,0)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4" s="40">
        <v>1</v>
      </c>
      <c r="AI404" s="40">
        <v>1</v>
      </c>
    </row>
    <row r="405" spans="1:35" ht="18.75" customHeight="1">
      <c r="A405" s="73">
        <v>2026</v>
      </c>
      <c r="B405" s="112" t="s">
        <v>24</v>
      </c>
      <c r="C405" s="36" t="s">
        <v>374</v>
      </c>
      <c r="D405" s="37">
        <v>45889.901397719907</v>
      </c>
      <c r="E405" s="36" t="s">
        <v>44</v>
      </c>
      <c r="F405" s="36" t="s">
        <v>185</v>
      </c>
      <c r="G405" s="36" t="s">
        <v>375</v>
      </c>
      <c r="H405" s="36" t="s">
        <v>376</v>
      </c>
      <c r="I405" s="36" t="s">
        <v>175</v>
      </c>
      <c r="J405" s="36" t="s">
        <v>377</v>
      </c>
      <c r="K405" s="36" t="s">
        <v>177</v>
      </c>
      <c r="L405" s="74">
        <f>VLOOKUP(E405,Diccionario!C$2:AC$150,22,0)</f>
        <v>4792442910</v>
      </c>
      <c r="M405" s="75">
        <f>VLOOKUP(E405,Diccionario!C$2:AC$150,24,0)</f>
        <v>45901</v>
      </c>
      <c r="N405" s="76">
        <f>VLOOKUP(E405,Diccionario!C$2:AC$150,25,0)</f>
        <v>46264</v>
      </c>
      <c r="O405" s="77">
        <f>VLOOKUP(E405,Diccionario!C$2:AC$150,26,0)</f>
        <v>11.97</v>
      </c>
      <c r="P405" s="77">
        <f t="shared" si="143"/>
        <v>-4.9700000000000006</v>
      </c>
      <c r="Q405" s="78">
        <v>7</v>
      </c>
      <c r="R405" s="36">
        <v>12</v>
      </c>
      <c r="S405" s="86">
        <v>0.7</v>
      </c>
      <c r="T405" s="86">
        <v>0.7</v>
      </c>
      <c r="U405" s="82"/>
      <c r="V405" s="82"/>
      <c r="W405" s="82">
        <f t="shared" si="148"/>
        <v>3354710037</v>
      </c>
      <c r="X405" s="82">
        <f t="shared" si="144"/>
        <v>3354710037</v>
      </c>
      <c r="Y405" s="82">
        <f t="shared" si="149"/>
        <v>3354710037</v>
      </c>
      <c r="Z405" s="82">
        <f t="shared" si="145"/>
        <v>0</v>
      </c>
      <c r="AA405" s="83" t="str">
        <f t="shared" si="153"/>
        <v>No se realizó gasto en este corte</v>
      </c>
      <c r="AB405" s="84" t="str">
        <f t="shared" si="146"/>
        <v>Costo eficiente: se está gastando menos de lo presupuestado</v>
      </c>
      <c r="AC405" s="84">
        <f t="shared" si="150"/>
        <v>1</v>
      </c>
      <c r="AD405" s="84" t="str">
        <f t="shared" si="147"/>
        <v>Proyecto a tiempo según lo planificado</v>
      </c>
      <c r="AE405" s="85">
        <f t="shared" si="151"/>
        <v>0</v>
      </c>
      <c r="AF405" s="85">
        <f t="shared" si="152"/>
        <v>-4792442910</v>
      </c>
      <c r="AG405" s="40" t="str">
        <f>VLOOKUP(Indicador!E405,Diccionario!C$1:AC$150,27,0)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5" s="40">
        <v>1</v>
      </c>
      <c r="AI405" s="40">
        <v>1</v>
      </c>
    </row>
    <row r="406" spans="1:35" ht="18.75" customHeight="1">
      <c r="A406" s="73">
        <v>2026</v>
      </c>
      <c r="B406" s="112" t="s">
        <v>27</v>
      </c>
      <c r="C406" s="36" t="s">
        <v>374</v>
      </c>
      <c r="D406" s="37">
        <v>45889.901397719907</v>
      </c>
      <c r="E406" s="36" t="s">
        <v>44</v>
      </c>
      <c r="F406" s="36" t="s">
        <v>185</v>
      </c>
      <c r="G406" s="36" t="s">
        <v>375</v>
      </c>
      <c r="H406" s="36" t="s">
        <v>376</v>
      </c>
      <c r="I406" s="36" t="s">
        <v>175</v>
      </c>
      <c r="J406" s="36" t="s">
        <v>377</v>
      </c>
      <c r="K406" s="36" t="s">
        <v>177</v>
      </c>
      <c r="L406" s="74">
        <f>VLOOKUP(E406,Diccionario!C$2:AC$150,22,0)</f>
        <v>4792442910</v>
      </c>
      <c r="M406" s="75">
        <f>VLOOKUP(E406,Diccionario!C$2:AC$150,24,0)</f>
        <v>45901</v>
      </c>
      <c r="N406" s="76">
        <f>VLOOKUP(E406,Diccionario!C$2:AC$150,25,0)</f>
        <v>46264</v>
      </c>
      <c r="O406" s="77">
        <f>VLOOKUP(E406,Diccionario!C$2:AC$150,26,0)</f>
        <v>11.97</v>
      </c>
      <c r="P406" s="77">
        <f t="shared" si="143"/>
        <v>-3.9700000000000006</v>
      </c>
      <c r="Q406" s="78">
        <v>8</v>
      </c>
      <c r="R406" s="36">
        <v>12</v>
      </c>
      <c r="S406" s="86">
        <v>0.78</v>
      </c>
      <c r="T406" s="86">
        <v>0.78</v>
      </c>
      <c r="U406" s="82"/>
      <c r="V406" s="82"/>
      <c r="W406" s="82">
        <f t="shared" si="148"/>
        <v>3738105469.8000002</v>
      </c>
      <c r="X406" s="82">
        <f t="shared" si="144"/>
        <v>3738105469.8000002</v>
      </c>
      <c r="Y406" s="82">
        <f t="shared" si="149"/>
        <v>3738105469.8000002</v>
      </c>
      <c r="Z406" s="82">
        <f t="shared" si="145"/>
        <v>0</v>
      </c>
      <c r="AA406" s="83" t="str">
        <f t="shared" si="153"/>
        <v>No se realizó gasto en este corte</v>
      </c>
      <c r="AB406" s="84" t="str">
        <f t="shared" si="146"/>
        <v>Costo eficiente: se está gastando menos de lo presupuestado</v>
      </c>
      <c r="AC406" s="84">
        <f t="shared" si="150"/>
        <v>1</v>
      </c>
      <c r="AD406" s="84" t="str">
        <f t="shared" si="147"/>
        <v>Proyecto a tiempo según lo planificado</v>
      </c>
      <c r="AE406" s="85">
        <f t="shared" si="151"/>
        <v>0</v>
      </c>
      <c r="AF406" s="85">
        <f t="shared" si="152"/>
        <v>-4792442910</v>
      </c>
      <c r="AG406" s="40" t="str">
        <f>VLOOKUP(Indicador!E406,Diccionario!C$1:AC$150,27,0)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6" s="40">
        <v>1</v>
      </c>
      <c r="AI406" s="40">
        <v>1</v>
      </c>
    </row>
    <row r="407" spans="1:35" ht="18.75" customHeight="1">
      <c r="A407" s="73">
        <v>2026</v>
      </c>
      <c r="B407" s="112" t="s">
        <v>13</v>
      </c>
      <c r="C407" s="36" t="s">
        <v>374</v>
      </c>
      <c r="D407" s="37">
        <v>45889.901397719907</v>
      </c>
      <c r="E407" s="36" t="s">
        <v>44</v>
      </c>
      <c r="F407" s="36" t="s">
        <v>185</v>
      </c>
      <c r="G407" s="36" t="s">
        <v>375</v>
      </c>
      <c r="H407" s="36" t="s">
        <v>376</v>
      </c>
      <c r="I407" s="36" t="s">
        <v>175</v>
      </c>
      <c r="J407" s="36" t="s">
        <v>377</v>
      </c>
      <c r="K407" s="36" t="s">
        <v>177</v>
      </c>
      <c r="L407" s="74">
        <f>VLOOKUP(E407,Diccionario!C$2:AC$150,22,0)</f>
        <v>4792442910</v>
      </c>
      <c r="M407" s="75">
        <f>VLOOKUP(E407,Diccionario!C$2:AC$150,24,0)</f>
        <v>45901</v>
      </c>
      <c r="N407" s="76">
        <f>VLOOKUP(E407,Diccionario!C$2:AC$150,25,0)</f>
        <v>46264</v>
      </c>
      <c r="O407" s="77">
        <f>VLOOKUP(E407,Diccionario!C$2:AC$150,26,0)</f>
        <v>11.97</v>
      </c>
      <c r="P407" s="77">
        <f t="shared" si="143"/>
        <v>-2.9700000000000006</v>
      </c>
      <c r="Q407" s="78">
        <v>9</v>
      </c>
      <c r="R407" s="36">
        <v>12</v>
      </c>
      <c r="S407" s="86">
        <v>0.8</v>
      </c>
      <c r="T407" s="86">
        <v>0.8</v>
      </c>
      <c r="U407" s="82"/>
      <c r="V407" s="82"/>
      <c r="W407" s="82">
        <f t="shared" si="148"/>
        <v>3833954328</v>
      </c>
      <c r="X407" s="82">
        <f t="shared" si="144"/>
        <v>3833954328</v>
      </c>
      <c r="Y407" s="82">
        <f t="shared" si="149"/>
        <v>3833954328</v>
      </c>
      <c r="Z407" s="82">
        <f t="shared" si="145"/>
        <v>0</v>
      </c>
      <c r="AA407" s="83" t="str">
        <f t="shared" si="153"/>
        <v>No se realizó gasto en este corte</v>
      </c>
      <c r="AB407" s="84" t="str">
        <f t="shared" si="146"/>
        <v>Costo eficiente: se está gastando menos de lo presupuestado</v>
      </c>
      <c r="AC407" s="84">
        <f t="shared" si="150"/>
        <v>1</v>
      </c>
      <c r="AD407" s="84" t="str">
        <f t="shared" si="147"/>
        <v>Proyecto a tiempo según lo planificado</v>
      </c>
      <c r="AE407" s="85">
        <f t="shared" si="151"/>
        <v>0</v>
      </c>
      <c r="AF407" s="85">
        <f t="shared" si="152"/>
        <v>-4792442910</v>
      </c>
      <c r="AG407" s="40" t="str">
        <f>VLOOKUP(Indicador!E407,Diccionario!C$1:AC$150,27,0)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7" s="40">
        <v>1</v>
      </c>
      <c r="AI407" s="40">
        <v>1</v>
      </c>
    </row>
    <row r="408" spans="1:35" ht="18.75" customHeight="1">
      <c r="A408" s="73">
        <v>2026</v>
      </c>
      <c r="B408" s="112" t="s">
        <v>21</v>
      </c>
      <c r="C408" s="36" t="s">
        <v>374</v>
      </c>
      <c r="D408" s="37">
        <v>45889.901397719907</v>
      </c>
      <c r="E408" s="36" t="s">
        <v>44</v>
      </c>
      <c r="F408" s="36" t="s">
        <v>185</v>
      </c>
      <c r="G408" s="36" t="s">
        <v>375</v>
      </c>
      <c r="H408" s="36" t="s">
        <v>376</v>
      </c>
      <c r="I408" s="36" t="s">
        <v>175</v>
      </c>
      <c r="J408" s="36" t="s">
        <v>377</v>
      </c>
      <c r="K408" s="36" t="s">
        <v>177</v>
      </c>
      <c r="L408" s="74">
        <f>VLOOKUP(E408,Diccionario!C$2:AC$150,22,0)</f>
        <v>4792442910</v>
      </c>
      <c r="M408" s="75">
        <f>VLOOKUP(E408,Diccionario!C$2:AC$150,24,0)</f>
        <v>45901</v>
      </c>
      <c r="N408" s="76">
        <f>VLOOKUP(E408,Diccionario!C$2:AC$150,25,0)</f>
        <v>46264</v>
      </c>
      <c r="O408" s="77">
        <f>VLOOKUP(E408,Diccionario!C$2:AC$150,26,0)</f>
        <v>11.97</v>
      </c>
      <c r="P408" s="77">
        <f t="shared" si="143"/>
        <v>-1.9700000000000006</v>
      </c>
      <c r="Q408" s="78">
        <v>10</v>
      </c>
      <c r="R408" s="36">
        <v>12</v>
      </c>
      <c r="S408" s="86">
        <v>0.85</v>
      </c>
      <c r="T408" s="86">
        <v>0.85</v>
      </c>
      <c r="U408" s="82"/>
      <c r="V408" s="82"/>
      <c r="W408" s="82">
        <f t="shared" si="148"/>
        <v>4073576473.5</v>
      </c>
      <c r="X408" s="82">
        <f t="shared" si="144"/>
        <v>4073576473.5</v>
      </c>
      <c r="Y408" s="82">
        <f t="shared" si="149"/>
        <v>4073576473.5</v>
      </c>
      <c r="Z408" s="82">
        <f t="shared" si="145"/>
        <v>0</v>
      </c>
      <c r="AA408" s="83" t="str">
        <f t="shared" si="153"/>
        <v>No se realizó gasto en este corte</v>
      </c>
      <c r="AB408" s="84" t="str">
        <f t="shared" si="146"/>
        <v>Costo eficiente: se está gastando menos de lo presupuestado</v>
      </c>
      <c r="AC408" s="84">
        <f t="shared" si="150"/>
        <v>1</v>
      </c>
      <c r="AD408" s="84" t="str">
        <f t="shared" si="147"/>
        <v>Proyecto a tiempo según lo planificado</v>
      </c>
      <c r="AE408" s="85">
        <f t="shared" si="151"/>
        <v>0</v>
      </c>
      <c r="AF408" s="85">
        <f t="shared" si="152"/>
        <v>-4792442910</v>
      </c>
      <c r="AG408" s="40" t="str">
        <f>VLOOKUP(Indicador!E408,Diccionario!C$1:AC$150,27,0)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8" s="40">
        <v>1</v>
      </c>
      <c r="AI408" s="40">
        <v>1</v>
      </c>
    </row>
    <row r="409" spans="1:35" ht="18.75" customHeight="1">
      <c r="A409" s="73">
        <v>2026</v>
      </c>
      <c r="B409" s="112" t="s">
        <v>23</v>
      </c>
      <c r="C409" s="36" t="s">
        <v>374</v>
      </c>
      <c r="D409" s="37">
        <v>45889.901397719907</v>
      </c>
      <c r="E409" s="36" t="s">
        <v>44</v>
      </c>
      <c r="F409" s="36" t="s">
        <v>185</v>
      </c>
      <c r="G409" s="36" t="s">
        <v>375</v>
      </c>
      <c r="H409" s="36" t="s">
        <v>376</v>
      </c>
      <c r="I409" s="36" t="s">
        <v>175</v>
      </c>
      <c r="J409" s="36" t="s">
        <v>377</v>
      </c>
      <c r="K409" s="36" t="s">
        <v>177</v>
      </c>
      <c r="L409" s="74">
        <f>VLOOKUP(E409,Diccionario!C$2:AC$150,22,0)</f>
        <v>4792442910</v>
      </c>
      <c r="M409" s="75">
        <f>VLOOKUP(E409,Diccionario!C$2:AC$150,24,0)</f>
        <v>45901</v>
      </c>
      <c r="N409" s="76">
        <f>VLOOKUP(E409,Diccionario!C$2:AC$150,25,0)</f>
        <v>46264</v>
      </c>
      <c r="O409" s="77">
        <f>VLOOKUP(E409,Diccionario!C$2:AC$150,26,0)</f>
        <v>11.97</v>
      </c>
      <c r="P409" s="77">
        <f t="shared" si="143"/>
        <v>-0.97000000000000064</v>
      </c>
      <c r="Q409" s="78">
        <v>11</v>
      </c>
      <c r="R409" s="36">
        <v>12</v>
      </c>
      <c r="S409" s="86">
        <v>0.95</v>
      </c>
      <c r="T409" s="86">
        <v>0.95</v>
      </c>
      <c r="U409" s="82"/>
      <c r="V409" s="82"/>
      <c r="W409" s="82">
        <f t="shared" si="148"/>
        <v>4552820764.5</v>
      </c>
      <c r="X409" s="82">
        <f t="shared" si="144"/>
        <v>4552820764.5</v>
      </c>
      <c r="Y409" s="82">
        <f t="shared" si="149"/>
        <v>4552820764.5</v>
      </c>
      <c r="Z409" s="82">
        <f t="shared" si="145"/>
        <v>0</v>
      </c>
      <c r="AA409" s="83" t="str">
        <f t="shared" si="153"/>
        <v>No se realizó gasto en este corte</v>
      </c>
      <c r="AB409" s="84" t="str">
        <f t="shared" si="146"/>
        <v>Costo eficiente: se está gastando menos de lo presupuestado</v>
      </c>
      <c r="AC409" s="84">
        <f t="shared" si="150"/>
        <v>1</v>
      </c>
      <c r="AD409" s="84" t="str">
        <f t="shared" si="147"/>
        <v>Proyecto a tiempo según lo planificado</v>
      </c>
      <c r="AE409" s="85">
        <f t="shared" si="151"/>
        <v>0</v>
      </c>
      <c r="AF409" s="85">
        <f t="shared" si="152"/>
        <v>-4792442910</v>
      </c>
      <c r="AG409" s="40" t="str">
        <f>VLOOKUP(Indicador!E409,Diccionario!C$1:AC$150,27,0)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09" s="40">
        <v>1</v>
      </c>
      <c r="AI409" s="40">
        <v>1</v>
      </c>
    </row>
    <row r="410" spans="1:35" ht="18.75" customHeight="1">
      <c r="A410" s="73">
        <v>2026</v>
      </c>
      <c r="B410" s="112" t="s">
        <v>26</v>
      </c>
      <c r="C410" s="36" t="s">
        <v>374</v>
      </c>
      <c r="D410" s="37">
        <v>45889.901397719907</v>
      </c>
      <c r="E410" s="36" t="s">
        <v>44</v>
      </c>
      <c r="F410" s="36" t="s">
        <v>185</v>
      </c>
      <c r="G410" s="36" t="s">
        <v>375</v>
      </c>
      <c r="H410" s="36" t="s">
        <v>376</v>
      </c>
      <c r="I410" s="36" t="s">
        <v>175</v>
      </c>
      <c r="J410" s="36" t="s">
        <v>377</v>
      </c>
      <c r="K410" s="36" t="s">
        <v>177</v>
      </c>
      <c r="L410" s="74">
        <f>VLOOKUP(E410,Diccionario!C$2:AC$150,22,0)</f>
        <v>4792442910</v>
      </c>
      <c r="M410" s="75">
        <f>VLOOKUP(E410,Diccionario!C$2:AC$150,24,0)</f>
        <v>45901</v>
      </c>
      <c r="N410" s="76">
        <f>VLOOKUP(E410,Diccionario!C$2:AC$150,25,0)</f>
        <v>46264</v>
      </c>
      <c r="O410" s="77">
        <f>VLOOKUP(E410,Diccionario!C$2:AC$150,26,0)</f>
        <v>11.97</v>
      </c>
      <c r="P410" s="77">
        <f t="shared" si="143"/>
        <v>2.9999999999999361E-2</v>
      </c>
      <c r="Q410" s="78">
        <v>12</v>
      </c>
      <c r="R410" s="36">
        <v>12</v>
      </c>
      <c r="S410" s="86">
        <v>1</v>
      </c>
      <c r="T410" s="86">
        <v>1</v>
      </c>
      <c r="U410" s="82"/>
      <c r="V410" s="82"/>
      <c r="W410" s="82">
        <f t="shared" si="148"/>
        <v>4792442910</v>
      </c>
      <c r="X410" s="82">
        <f t="shared" si="144"/>
        <v>4792442910</v>
      </c>
      <c r="Y410" s="82">
        <f t="shared" si="149"/>
        <v>4792442910</v>
      </c>
      <c r="Z410" s="82">
        <f t="shared" si="145"/>
        <v>0</v>
      </c>
      <c r="AA410" s="83" t="str">
        <f t="shared" si="153"/>
        <v>No se realizó gasto en este corte</v>
      </c>
      <c r="AB410" s="84" t="str">
        <f t="shared" si="146"/>
        <v>Costo eficiente: se está gastando menos de lo presupuestado</v>
      </c>
      <c r="AC410" s="84">
        <f t="shared" si="150"/>
        <v>1</v>
      </c>
      <c r="AD410" s="84" t="str">
        <f t="shared" si="147"/>
        <v>Proyecto a tiempo según lo planificado</v>
      </c>
      <c r="AE410" s="85">
        <f t="shared" si="151"/>
        <v>0</v>
      </c>
      <c r="AF410" s="85">
        <f t="shared" si="152"/>
        <v>-4792442910</v>
      </c>
      <c r="AG410" s="40" t="str">
        <f>VLOOKUP(Indicador!E410,Diccionario!C$1:AC$150,27,0)</f>
        <v>https://growdatasas.sharepoint.com/:x:/r/sites/Gestiondocumental/Administrativa/GD/Financiera/_layouts/15/Doc.aspx?sourcedoc=%7BC3892D65-489F-443F-A599-C986A63B9A18%7D&amp;file=MODELO%20FINANCIERO%20FNA%20ECOSISTEMA%20DE%20DATOS%20V14_modDCU.xlsm&amp;action=default&amp;mobileredirect=true</v>
      </c>
      <c r="AH410" s="40">
        <v>1</v>
      </c>
      <c r="AI410" s="40">
        <v>1</v>
      </c>
    </row>
    <row r="411" spans="1:35" ht="18.75" customHeight="1">
      <c r="A411" s="73">
        <v>2025</v>
      </c>
      <c r="B411" s="112" t="s">
        <v>28</v>
      </c>
      <c r="C411" s="36" t="s">
        <v>378</v>
      </c>
      <c r="D411" s="37">
        <v>45915.66671759259</v>
      </c>
      <c r="E411" s="36" t="s">
        <v>97</v>
      </c>
      <c r="F411" s="36" t="s">
        <v>379</v>
      </c>
      <c r="G411" s="36" t="s">
        <v>380</v>
      </c>
      <c r="H411" s="36" t="s">
        <v>381</v>
      </c>
      <c r="I411" s="36" t="s">
        <v>175</v>
      </c>
      <c r="J411" s="36" t="s">
        <v>382</v>
      </c>
      <c r="K411" s="36" t="s">
        <v>177</v>
      </c>
      <c r="L411" s="74">
        <f>VLOOKUP(E411,Diccionario!C$2:AC$150,22,0)</f>
        <v>3691676726</v>
      </c>
      <c r="M411" s="75">
        <f>VLOOKUP(E411,Diccionario!C$2:AC$150,24,0)</f>
        <v>45905</v>
      </c>
      <c r="N411" s="76">
        <f>VLOOKUP(E411,Diccionario!C$2:AC$150,25,0)</f>
        <v>46757</v>
      </c>
      <c r="O411" s="77">
        <f>VLOOKUP(E411,Diccionario!C$2:AC$150,26,0)</f>
        <v>28</v>
      </c>
      <c r="P411" s="77">
        <f t="shared" si="143"/>
        <v>-27</v>
      </c>
      <c r="Q411" s="78">
        <v>1</v>
      </c>
      <c r="R411" s="36">
        <v>23</v>
      </c>
      <c r="S411" s="86">
        <v>0.05</v>
      </c>
      <c r="T411" s="86">
        <v>0.05</v>
      </c>
      <c r="U411" s="82">
        <v>167662328</v>
      </c>
      <c r="V411" s="82">
        <v>167662328</v>
      </c>
      <c r="W411" s="82">
        <f t="shared" si="148"/>
        <v>184583836.30000001</v>
      </c>
      <c r="X411" s="82">
        <f t="shared" si="144"/>
        <v>184583836.30000001</v>
      </c>
      <c r="Y411" s="82">
        <f t="shared" si="149"/>
        <v>16921508.300000012</v>
      </c>
      <c r="Z411" s="82">
        <f t="shared" si="145"/>
        <v>0</v>
      </c>
      <c r="AA411" s="83">
        <f t="shared" si="153"/>
        <v>1.1009261203864473</v>
      </c>
      <c r="AB411" s="84" t="str">
        <f t="shared" si="146"/>
        <v>Costo eficiente: se está gastando menos de lo presupuestado</v>
      </c>
      <c r="AC411" s="84">
        <f t="shared" si="150"/>
        <v>1</v>
      </c>
      <c r="AD411" s="84" t="str">
        <f t="shared" si="147"/>
        <v>Proyecto a tiempo según lo planificado</v>
      </c>
      <c r="AE411" s="85">
        <f t="shared" si="151"/>
        <v>3353246559.9999995</v>
      </c>
      <c r="AF411" s="85">
        <f t="shared" si="152"/>
        <v>-338430166.00000048</v>
      </c>
      <c r="AG411" s="40" t="str">
        <f>VLOOKUP(Indicador!E411,Diccionario!C$1:AC$150,27,0)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1" s="40">
        <v>1</v>
      </c>
      <c r="AI411" s="40">
        <v>1</v>
      </c>
    </row>
    <row r="412" spans="1:35" ht="18.75" customHeight="1">
      <c r="A412" s="73">
        <v>2025</v>
      </c>
      <c r="B412" s="112" t="s">
        <v>30</v>
      </c>
      <c r="C412" s="36" t="s">
        <v>378</v>
      </c>
      <c r="D412" s="37">
        <v>45915.66671759259</v>
      </c>
      <c r="E412" s="36" t="s">
        <v>97</v>
      </c>
      <c r="F412" s="36" t="s">
        <v>379</v>
      </c>
      <c r="G412" s="36" t="s">
        <v>380</v>
      </c>
      <c r="H412" s="36" t="s">
        <v>381</v>
      </c>
      <c r="I412" s="36" t="s">
        <v>175</v>
      </c>
      <c r="J412" s="36" t="s">
        <v>382</v>
      </c>
      <c r="K412" s="36" t="s">
        <v>177</v>
      </c>
      <c r="L412" s="74">
        <f>VLOOKUP(E412,Diccionario!C$2:AC$150,22,0)</f>
        <v>3691676726</v>
      </c>
      <c r="M412" s="75">
        <f>VLOOKUP(E412,Diccionario!C$2:AC$150,24,0)</f>
        <v>45905</v>
      </c>
      <c r="N412" s="76">
        <f>VLOOKUP(E412,Diccionario!C$2:AC$150,25,0)</f>
        <v>46757</v>
      </c>
      <c r="O412" s="77">
        <f>VLOOKUP(E412,Diccionario!C$2:AC$150,26,0)</f>
        <v>28</v>
      </c>
      <c r="P412" s="77">
        <f t="shared" si="143"/>
        <v>-26</v>
      </c>
      <c r="Q412" s="78">
        <v>2</v>
      </c>
      <c r="R412" s="36">
        <v>23</v>
      </c>
      <c r="S412" s="86">
        <v>7.0000000000000007E-2</v>
      </c>
      <c r="T412" s="86">
        <v>7.0000000000000007E-2</v>
      </c>
      <c r="U412" s="82">
        <v>125999800</v>
      </c>
      <c r="V412" s="82">
        <v>125999800</v>
      </c>
      <c r="W412" s="82">
        <f t="shared" si="148"/>
        <v>258417370.82000002</v>
      </c>
      <c r="X412" s="82">
        <f t="shared" si="144"/>
        <v>258417370.82000002</v>
      </c>
      <c r="Y412" s="82">
        <f t="shared" si="149"/>
        <v>132417570.82000002</v>
      </c>
      <c r="Z412" s="82">
        <f t="shared" si="145"/>
        <v>0</v>
      </c>
      <c r="AA412" s="83">
        <f t="shared" si="153"/>
        <v>2.0509347698964602</v>
      </c>
      <c r="AB412" s="84" t="str">
        <f t="shared" si="146"/>
        <v>Costo eficiente: se está gastando menos de lo presupuestado</v>
      </c>
      <c r="AC412" s="84">
        <f t="shared" si="150"/>
        <v>1</v>
      </c>
      <c r="AD412" s="84" t="str">
        <f t="shared" si="147"/>
        <v>Proyecto a tiempo según lo planificado</v>
      </c>
      <c r="AE412" s="85">
        <f t="shared" si="151"/>
        <v>1799997142.8571429</v>
      </c>
      <c r="AF412" s="85">
        <f t="shared" si="152"/>
        <v>-1891679583.1428571</v>
      </c>
      <c r="AG412" s="40" t="str">
        <f>VLOOKUP(Indicador!E412,Diccionario!C$1:AC$150,27,0)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2" s="40">
        <v>1</v>
      </c>
      <c r="AI412" s="40">
        <v>1</v>
      </c>
    </row>
    <row r="413" spans="1:35" ht="18.75" customHeight="1">
      <c r="A413" s="73">
        <v>2025</v>
      </c>
      <c r="B413" s="112" t="s">
        <v>31</v>
      </c>
      <c r="C413" s="36" t="s">
        <v>378</v>
      </c>
      <c r="D413" s="37">
        <v>45915.66671759259</v>
      </c>
      <c r="E413" s="36" t="s">
        <v>97</v>
      </c>
      <c r="F413" s="36" t="s">
        <v>379</v>
      </c>
      <c r="G413" s="36" t="s">
        <v>380</v>
      </c>
      <c r="H413" s="36" t="s">
        <v>381</v>
      </c>
      <c r="I413" s="36" t="s">
        <v>175</v>
      </c>
      <c r="J413" s="36" t="s">
        <v>382</v>
      </c>
      <c r="K413" s="36" t="s">
        <v>177</v>
      </c>
      <c r="L413" s="74">
        <f>VLOOKUP(E413,Diccionario!C$2:AC$150,22,0)</f>
        <v>3691676726</v>
      </c>
      <c r="M413" s="75">
        <f>VLOOKUP(E413,Diccionario!C$2:AC$150,24,0)</f>
        <v>45905</v>
      </c>
      <c r="N413" s="76">
        <f>VLOOKUP(E413,Diccionario!C$2:AC$150,25,0)</f>
        <v>46757</v>
      </c>
      <c r="O413" s="77">
        <f>VLOOKUP(E413,Diccionario!C$2:AC$150,26,0)</f>
        <v>28</v>
      </c>
      <c r="P413" s="77">
        <f t="shared" ref="P413:P476" si="154">Q413-O413</f>
        <v>-25</v>
      </c>
      <c r="Q413" s="78">
        <v>3</v>
      </c>
      <c r="R413" s="36">
        <v>23</v>
      </c>
      <c r="S413" s="86">
        <v>0.11</v>
      </c>
      <c r="T413" s="86">
        <v>0.11</v>
      </c>
      <c r="U413" s="82">
        <v>125999800</v>
      </c>
      <c r="V413" s="82">
        <v>125999800</v>
      </c>
      <c r="W413" s="82">
        <f t="shared" si="148"/>
        <v>406084439.86000001</v>
      </c>
      <c r="X413" s="82">
        <f t="shared" si="144"/>
        <v>406084439.86000001</v>
      </c>
      <c r="Y413" s="82">
        <f t="shared" si="149"/>
        <v>280084639.86000001</v>
      </c>
      <c r="Z413" s="82">
        <f t="shared" si="145"/>
        <v>0</v>
      </c>
      <c r="AA413" s="83">
        <f t="shared" si="153"/>
        <v>3.2228974955515803</v>
      </c>
      <c r="AB413" s="84" t="str">
        <f t="shared" si="146"/>
        <v>Costo eficiente: se está gastando menos de lo presupuestado</v>
      </c>
      <c r="AC413" s="84">
        <f t="shared" si="150"/>
        <v>1</v>
      </c>
      <c r="AD413" s="84" t="str">
        <f t="shared" si="147"/>
        <v>Proyecto a tiempo según lo planificado</v>
      </c>
      <c r="AE413" s="85">
        <f t="shared" si="151"/>
        <v>1145452727.2727273</v>
      </c>
      <c r="AF413" s="85">
        <f t="shared" si="152"/>
        <v>-2546223998.727273</v>
      </c>
      <c r="AG413" s="40" t="str">
        <f>VLOOKUP(Indicador!E413,Diccionario!C$1:AC$150,27,0)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3" s="40">
        <v>1</v>
      </c>
      <c r="AI413" s="40">
        <v>1</v>
      </c>
    </row>
    <row r="414" spans="1:35" ht="18.75" customHeight="1">
      <c r="A414" s="73">
        <v>2025</v>
      </c>
      <c r="B414" s="112" t="s">
        <v>32</v>
      </c>
      <c r="C414" s="36" t="s">
        <v>378</v>
      </c>
      <c r="D414" s="37">
        <v>45915.66671759259</v>
      </c>
      <c r="E414" s="36" t="s">
        <v>97</v>
      </c>
      <c r="F414" s="36" t="s">
        <v>379</v>
      </c>
      <c r="G414" s="36" t="s">
        <v>380</v>
      </c>
      <c r="H414" s="36" t="s">
        <v>381</v>
      </c>
      <c r="I414" s="36" t="s">
        <v>175</v>
      </c>
      <c r="J414" s="36" t="s">
        <v>382</v>
      </c>
      <c r="K414" s="36" t="s">
        <v>177</v>
      </c>
      <c r="L414" s="74">
        <f>VLOOKUP(E414,Diccionario!C$2:AC$150,22,0)</f>
        <v>3691676726</v>
      </c>
      <c r="M414" s="75">
        <f>VLOOKUP(E414,Diccionario!C$2:AC$150,24,0)</f>
        <v>45905</v>
      </c>
      <c r="N414" s="76">
        <f>VLOOKUP(E414,Diccionario!C$2:AC$150,25,0)</f>
        <v>46757</v>
      </c>
      <c r="O414" s="77">
        <f>VLOOKUP(E414,Diccionario!C$2:AC$150,26,0)</f>
        <v>28</v>
      </c>
      <c r="P414" s="77">
        <f t="shared" si="154"/>
        <v>-24</v>
      </c>
      <c r="Q414" s="78">
        <v>4</v>
      </c>
      <c r="R414" s="36">
        <v>23</v>
      </c>
      <c r="S414" s="86">
        <v>0.13666666666666699</v>
      </c>
      <c r="T414" s="86">
        <v>0.13666666666666699</v>
      </c>
      <c r="U414" s="82">
        <v>125999800</v>
      </c>
      <c r="V414" s="82">
        <v>125999800</v>
      </c>
      <c r="W414" s="82">
        <f t="shared" si="148"/>
        <v>504529152.55333453</v>
      </c>
      <c r="X414" s="82">
        <f t="shared" si="144"/>
        <v>504529152.55333453</v>
      </c>
      <c r="Y414" s="82">
        <f t="shared" si="149"/>
        <v>378529352.55333453</v>
      </c>
      <c r="Z414" s="82">
        <f t="shared" si="145"/>
        <v>0</v>
      </c>
      <c r="AA414" s="83">
        <f t="shared" si="153"/>
        <v>4.0042059793216698</v>
      </c>
      <c r="AB414" s="84" t="str">
        <f t="shared" si="146"/>
        <v>Costo eficiente: se está gastando menos de lo presupuestado</v>
      </c>
      <c r="AC414" s="84">
        <f t="shared" si="150"/>
        <v>1</v>
      </c>
      <c r="AD414" s="84" t="str">
        <f t="shared" si="147"/>
        <v>Proyecto a tiempo según lo planificado</v>
      </c>
      <c r="AE414" s="85">
        <f t="shared" si="151"/>
        <v>921949756.09755874</v>
      </c>
      <c r="AF414" s="85">
        <f t="shared" si="152"/>
        <v>-2769726969.902441</v>
      </c>
      <c r="AG414" s="40" t="str">
        <f>VLOOKUP(Indicador!E414,Diccionario!C$1:AC$150,27,0)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4" s="40">
        <v>1</v>
      </c>
      <c r="AI414" s="40">
        <v>1</v>
      </c>
    </row>
    <row r="415" spans="1:35" ht="18.75" customHeight="1">
      <c r="A415" s="73">
        <v>2026</v>
      </c>
      <c r="B415" s="112" t="s">
        <v>14</v>
      </c>
      <c r="C415" s="36" t="s">
        <v>378</v>
      </c>
      <c r="D415" s="37">
        <v>45915.66671759259</v>
      </c>
      <c r="E415" s="36" t="s">
        <v>97</v>
      </c>
      <c r="F415" s="36" t="s">
        <v>379</v>
      </c>
      <c r="G415" s="36" t="s">
        <v>380</v>
      </c>
      <c r="H415" s="36" t="s">
        <v>381</v>
      </c>
      <c r="I415" s="36" t="s">
        <v>175</v>
      </c>
      <c r="J415" s="36" t="s">
        <v>382</v>
      </c>
      <c r="K415" s="36" t="s">
        <v>177</v>
      </c>
      <c r="L415" s="74">
        <f>VLOOKUP(E415,Diccionario!C$2:AC$150,22,0)</f>
        <v>3691676726</v>
      </c>
      <c r="M415" s="75">
        <f>VLOOKUP(E415,Diccionario!C$2:AC$150,24,0)</f>
        <v>45905</v>
      </c>
      <c r="N415" s="76">
        <f>VLOOKUP(E415,Diccionario!C$2:AC$150,25,0)</f>
        <v>46757</v>
      </c>
      <c r="O415" s="77">
        <f>VLOOKUP(E415,Diccionario!C$2:AC$150,26,0)</f>
        <v>28</v>
      </c>
      <c r="P415" s="77">
        <f t="shared" si="154"/>
        <v>-23</v>
      </c>
      <c r="Q415" s="78">
        <v>5</v>
      </c>
      <c r="R415" s="36">
        <v>23</v>
      </c>
      <c r="S415" s="86">
        <v>0.16666666666666699</v>
      </c>
      <c r="T415" s="86">
        <v>0.16666666666666699</v>
      </c>
      <c r="U415" s="82">
        <v>125999800</v>
      </c>
      <c r="V415" s="82">
        <v>125999800</v>
      </c>
      <c r="W415" s="82">
        <f t="shared" si="148"/>
        <v>615279454.33333457</v>
      </c>
      <c r="X415" s="82">
        <f t="shared" si="144"/>
        <v>615279454.33333457</v>
      </c>
      <c r="Y415" s="82">
        <f t="shared" si="149"/>
        <v>489279654.33333457</v>
      </c>
      <c r="Z415" s="82">
        <f t="shared" si="145"/>
        <v>0</v>
      </c>
      <c r="AA415" s="83">
        <f t="shared" si="153"/>
        <v>4.8831780235630102</v>
      </c>
      <c r="AB415" s="84" t="str">
        <f t="shared" si="146"/>
        <v>Costo eficiente: se está gastando menos de lo presupuestado</v>
      </c>
      <c r="AC415" s="84">
        <f t="shared" si="150"/>
        <v>1</v>
      </c>
      <c r="AD415" s="84" t="str">
        <f t="shared" si="147"/>
        <v>Proyecto a tiempo según lo planificado</v>
      </c>
      <c r="AE415" s="85">
        <f t="shared" si="151"/>
        <v>755998799.99999845</v>
      </c>
      <c r="AF415" s="85">
        <f t="shared" si="152"/>
        <v>-2935677926.0000014</v>
      </c>
      <c r="AG415" s="40" t="str">
        <f>VLOOKUP(Indicador!E415,Diccionario!C$1:AC$150,27,0)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5" s="40">
        <v>1</v>
      </c>
      <c r="AI415" s="40">
        <v>1</v>
      </c>
    </row>
    <row r="416" spans="1:35" ht="18.75" customHeight="1">
      <c r="A416" s="73">
        <v>2026</v>
      </c>
      <c r="B416" s="112" t="s">
        <v>22</v>
      </c>
      <c r="C416" s="36" t="s">
        <v>378</v>
      </c>
      <c r="D416" s="37">
        <v>45915.66671759259</v>
      </c>
      <c r="E416" s="36" t="s">
        <v>97</v>
      </c>
      <c r="F416" s="36" t="s">
        <v>379</v>
      </c>
      <c r="G416" s="36" t="s">
        <v>380</v>
      </c>
      <c r="H416" s="36" t="s">
        <v>381</v>
      </c>
      <c r="I416" s="36" t="s">
        <v>175</v>
      </c>
      <c r="J416" s="36" t="s">
        <v>382</v>
      </c>
      <c r="K416" s="36" t="s">
        <v>177</v>
      </c>
      <c r="L416" s="74">
        <f>VLOOKUP(E416,Diccionario!C$2:AC$150,22,0)</f>
        <v>3691676726</v>
      </c>
      <c r="M416" s="75">
        <f>VLOOKUP(E416,Diccionario!C$2:AC$150,24,0)</f>
        <v>45905</v>
      </c>
      <c r="N416" s="76">
        <f>VLOOKUP(E416,Diccionario!C$2:AC$150,25,0)</f>
        <v>46757</v>
      </c>
      <c r="O416" s="77">
        <f>VLOOKUP(E416,Diccionario!C$2:AC$150,26,0)</f>
        <v>28</v>
      </c>
      <c r="P416" s="77">
        <f t="shared" si="154"/>
        <v>-22</v>
      </c>
      <c r="Q416" s="78">
        <v>6</v>
      </c>
      <c r="R416" s="36">
        <v>23</v>
      </c>
      <c r="S416" s="86">
        <v>0.19666666666666699</v>
      </c>
      <c r="T416" s="86"/>
      <c r="U416" s="82"/>
      <c r="V416" s="82"/>
      <c r="W416" s="82">
        <f t="shared" si="148"/>
        <v>0</v>
      </c>
      <c r="X416" s="82">
        <f t="shared" si="144"/>
        <v>726029756.11333454</v>
      </c>
      <c r="Y416" s="82">
        <f t="shared" si="149"/>
        <v>0</v>
      </c>
      <c r="Z416" s="82">
        <f t="shared" si="145"/>
        <v>-726029756.11333454</v>
      </c>
      <c r="AA416" s="83" t="str">
        <f t="shared" si="153"/>
        <v>No se realizó gasto en este corte</v>
      </c>
      <c r="AB416" s="84" t="str">
        <f t="shared" si="146"/>
        <v>Costo eficiente: se está gastando menos de lo presupuestado</v>
      </c>
      <c r="AC416" s="84">
        <f t="shared" si="150"/>
        <v>0</v>
      </c>
      <c r="AD416" s="84" t="str">
        <f t="shared" si="147"/>
        <v>Sin Línea Base</v>
      </c>
      <c r="AE416" s="85">
        <f t="shared" si="151"/>
        <v>0</v>
      </c>
      <c r="AF416" s="85">
        <f t="shared" si="152"/>
        <v>-3691676726</v>
      </c>
      <c r="AG416" s="40" t="str">
        <f>VLOOKUP(Indicador!E416,Diccionario!C$1:AC$150,27,0)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6" s="40">
        <v>1</v>
      </c>
      <c r="AI416" s="40">
        <v>1</v>
      </c>
    </row>
    <row r="417" spans="1:35" ht="18.75" customHeight="1">
      <c r="A417" s="73">
        <v>2026</v>
      </c>
      <c r="B417" s="112" t="s">
        <v>24</v>
      </c>
      <c r="C417" s="36" t="s">
        <v>378</v>
      </c>
      <c r="D417" s="37">
        <v>45915.66671759259</v>
      </c>
      <c r="E417" s="36" t="s">
        <v>97</v>
      </c>
      <c r="F417" s="36" t="s">
        <v>379</v>
      </c>
      <c r="G417" s="36" t="s">
        <v>380</v>
      </c>
      <c r="H417" s="36" t="s">
        <v>381</v>
      </c>
      <c r="I417" s="36" t="s">
        <v>175</v>
      </c>
      <c r="J417" s="36" t="s">
        <v>382</v>
      </c>
      <c r="K417" s="36" t="s">
        <v>177</v>
      </c>
      <c r="L417" s="74">
        <f>VLOOKUP(E417,Diccionario!C$2:AC$150,22,0)</f>
        <v>3691676726</v>
      </c>
      <c r="M417" s="75">
        <f>VLOOKUP(E417,Diccionario!C$2:AC$150,24,0)</f>
        <v>45905</v>
      </c>
      <c r="N417" s="76">
        <f>VLOOKUP(E417,Diccionario!C$2:AC$150,25,0)</f>
        <v>46757</v>
      </c>
      <c r="O417" s="77">
        <f>VLOOKUP(E417,Diccionario!C$2:AC$150,26,0)</f>
        <v>28</v>
      </c>
      <c r="P417" s="77">
        <f t="shared" si="154"/>
        <v>-21</v>
      </c>
      <c r="Q417" s="78">
        <v>7</v>
      </c>
      <c r="R417" s="36">
        <v>23</v>
      </c>
      <c r="S417" s="86">
        <v>0.22666666666666699</v>
      </c>
      <c r="T417" s="86"/>
      <c r="U417" s="82"/>
      <c r="V417" s="82"/>
      <c r="W417" s="82">
        <f t="shared" si="148"/>
        <v>0</v>
      </c>
      <c r="X417" s="82">
        <f t="shared" si="144"/>
        <v>836780057.89333451</v>
      </c>
      <c r="Y417" s="82">
        <f t="shared" si="149"/>
        <v>0</v>
      </c>
      <c r="Z417" s="82">
        <f t="shared" si="145"/>
        <v>-836780057.89333451</v>
      </c>
      <c r="AA417" s="83" t="str">
        <f t="shared" si="153"/>
        <v>No se realizó gasto en este corte</v>
      </c>
      <c r="AB417" s="84" t="str">
        <f t="shared" si="146"/>
        <v>Costo eficiente: se está gastando menos de lo presupuestado</v>
      </c>
      <c r="AC417" s="84">
        <f t="shared" si="150"/>
        <v>0</v>
      </c>
      <c r="AD417" s="84" t="str">
        <f t="shared" si="147"/>
        <v>Sin Línea Base</v>
      </c>
      <c r="AE417" s="85">
        <f t="shared" si="151"/>
        <v>0</v>
      </c>
      <c r="AF417" s="85">
        <f t="shared" si="152"/>
        <v>-3691676726</v>
      </c>
      <c r="AG417" s="40" t="str">
        <f>VLOOKUP(Indicador!E417,Diccionario!C$1:AC$150,27,0)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7" s="40">
        <v>1</v>
      </c>
      <c r="AI417" s="40">
        <v>1</v>
      </c>
    </row>
    <row r="418" spans="1:35" ht="18.75" customHeight="1">
      <c r="A418" s="73">
        <v>2026</v>
      </c>
      <c r="B418" s="112" t="s">
        <v>27</v>
      </c>
      <c r="C418" s="36" t="s">
        <v>378</v>
      </c>
      <c r="D418" s="37">
        <v>45915.66671759259</v>
      </c>
      <c r="E418" s="36" t="s">
        <v>97</v>
      </c>
      <c r="F418" s="36" t="s">
        <v>379</v>
      </c>
      <c r="G418" s="36" t="s">
        <v>380</v>
      </c>
      <c r="H418" s="36" t="s">
        <v>381</v>
      </c>
      <c r="I418" s="36" t="s">
        <v>175</v>
      </c>
      <c r="J418" s="36" t="s">
        <v>382</v>
      </c>
      <c r="K418" s="36" t="s">
        <v>177</v>
      </c>
      <c r="L418" s="74">
        <f>VLOOKUP(E418,Diccionario!C$2:AC$150,22,0)</f>
        <v>3691676726</v>
      </c>
      <c r="M418" s="75">
        <f>VLOOKUP(E418,Diccionario!C$2:AC$150,24,0)</f>
        <v>45905</v>
      </c>
      <c r="N418" s="76">
        <f>VLOOKUP(E418,Diccionario!C$2:AC$150,25,0)</f>
        <v>46757</v>
      </c>
      <c r="O418" s="77">
        <f>VLOOKUP(E418,Diccionario!C$2:AC$150,26,0)</f>
        <v>28</v>
      </c>
      <c r="P418" s="77">
        <f t="shared" si="154"/>
        <v>-20</v>
      </c>
      <c r="Q418" s="78">
        <v>8</v>
      </c>
      <c r="R418" s="36">
        <v>23</v>
      </c>
      <c r="S418" s="86">
        <v>0.25666666666666699</v>
      </c>
      <c r="T418" s="86"/>
      <c r="U418" s="82"/>
      <c r="V418" s="82"/>
      <c r="W418" s="82">
        <f t="shared" si="148"/>
        <v>0</v>
      </c>
      <c r="X418" s="82">
        <f t="shared" ref="X418:X481" si="155">S418*L418</f>
        <v>947530359.67333448</v>
      </c>
      <c r="Y418" s="82">
        <f t="shared" si="149"/>
        <v>0</v>
      </c>
      <c r="Z418" s="82">
        <f t="shared" ref="Z418:Z481" si="156">W418-X418</f>
        <v>-947530359.67333448</v>
      </c>
      <c r="AA418" s="83" t="str">
        <f t="shared" si="153"/>
        <v>No se realizó gasto en este corte</v>
      </c>
      <c r="AB418" s="84" t="str">
        <f t="shared" ref="AB418:AB481" si="157">IFERROR(
  IF(OR(AA418="",AA418=0),
    "No calculado",
    IF(AA418&gt;1,"Costo eficiente: se está gastando menos de lo presupuestado",
      IF(AA418=1,"Costo según lo presupuestado",
        "Costo ineficiente: se está gastando más de lo presupuestado"))),
"No calculado")</f>
        <v>Costo eficiente: se está gastando menos de lo presupuestado</v>
      </c>
      <c r="AC418" s="84">
        <f t="shared" si="150"/>
        <v>0</v>
      </c>
      <c r="AD418" s="84" t="str">
        <f t="shared" ref="AD418:AD481" si="158">IF(OR(AC418="",AC418=0),"Sin Línea Base",
IF(AC418&gt;1,"Proyecto adelantado respecto al cronograma",
IF(AC418=1,"Proyecto a tiempo según lo planificado",
IF(AC418&lt;1,"Proyecto atrasado con respecto al cronograma",
"No calculado"))))</f>
        <v>Sin Línea Base</v>
      </c>
      <c r="AE418" s="85">
        <f t="shared" si="151"/>
        <v>0</v>
      </c>
      <c r="AF418" s="85">
        <f t="shared" si="152"/>
        <v>-3691676726</v>
      </c>
      <c r="AG418" s="40" t="str">
        <f>VLOOKUP(Indicador!E418,Diccionario!C$1:AC$150,27,0)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8" s="40">
        <v>1</v>
      </c>
      <c r="AI418" s="40">
        <v>1</v>
      </c>
    </row>
    <row r="419" spans="1:35" ht="18.75" customHeight="1">
      <c r="A419" s="73">
        <v>2026</v>
      </c>
      <c r="B419" s="112" t="s">
        <v>13</v>
      </c>
      <c r="C419" s="36" t="s">
        <v>378</v>
      </c>
      <c r="D419" s="37">
        <v>45915.66671759259</v>
      </c>
      <c r="E419" s="36" t="s">
        <v>97</v>
      </c>
      <c r="F419" s="36" t="s">
        <v>379</v>
      </c>
      <c r="G419" s="36" t="s">
        <v>380</v>
      </c>
      <c r="H419" s="36" t="s">
        <v>381</v>
      </c>
      <c r="I419" s="36" t="s">
        <v>175</v>
      </c>
      <c r="J419" s="36" t="s">
        <v>382</v>
      </c>
      <c r="K419" s="36" t="s">
        <v>177</v>
      </c>
      <c r="L419" s="74">
        <f>VLOOKUP(E419,Diccionario!C$2:AC$150,22,0)</f>
        <v>3691676726</v>
      </c>
      <c r="M419" s="75">
        <f>VLOOKUP(E419,Diccionario!C$2:AC$150,24,0)</f>
        <v>45905</v>
      </c>
      <c r="N419" s="76">
        <f>VLOOKUP(E419,Diccionario!C$2:AC$150,25,0)</f>
        <v>46757</v>
      </c>
      <c r="O419" s="77">
        <f>VLOOKUP(E419,Diccionario!C$2:AC$150,26,0)</f>
        <v>28</v>
      </c>
      <c r="P419" s="77">
        <f t="shared" si="154"/>
        <v>-19</v>
      </c>
      <c r="Q419" s="78">
        <v>9</v>
      </c>
      <c r="R419" s="36">
        <v>23</v>
      </c>
      <c r="S419" s="86">
        <v>0.28666666666666701</v>
      </c>
      <c r="T419" s="86"/>
      <c r="U419" s="82"/>
      <c r="V419" s="82"/>
      <c r="W419" s="82">
        <f t="shared" si="148"/>
        <v>0</v>
      </c>
      <c r="X419" s="82">
        <f t="shared" si="155"/>
        <v>1058280661.4533346</v>
      </c>
      <c r="Y419" s="82">
        <f t="shared" si="149"/>
        <v>0</v>
      </c>
      <c r="Z419" s="82">
        <f t="shared" si="156"/>
        <v>-1058280661.4533346</v>
      </c>
      <c r="AA419" s="83" t="str">
        <f t="shared" si="153"/>
        <v>No se realizó gasto en este corte</v>
      </c>
      <c r="AB419" s="84" t="str">
        <f t="shared" si="157"/>
        <v>Costo eficiente: se está gastando menos de lo presupuestado</v>
      </c>
      <c r="AC419" s="84">
        <f t="shared" si="150"/>
        <v>0</v>
      </c>
      <c r="AD419" s="84" t="str">
        <f t="shared" si="158"/>
        <v>Sin Línea Base</v>
      </c>
      <c r="AE419" s="85">
        <f t="shared" si="151"/>
        <v>0</v>
      </c>
      <c r="AF419" s="85">
        <f t="shared" si="152"/>
        <v>-3691676726</v>
      </c>
      <c r="AG419" s="40" t="str">
        <f>VLOOKUP(Indicador!E419,Diccionario!C$1:AC$150,27,0)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19" s="40">
        <v>1</v>
      </c>
      <c r="AI419" s="40">
        <v>1</v>
      </c>
    </row>
    <row r="420" spans="1:35" ht="18.75" customHeight="1">
      <c r="A420" s="73">
        <v>2026</v>
      </c>
      <c r="B420" s="112" t="s">
        <v>21</v>
      </c>
      <c r="C420" s="36" t="s">
        <v>378</v>
      </c>
      <c r="D420" s="37">
        <v>45915.66671759259</v>
      </c>
      <c r="E420" s="36" t="s">
        <v>97</v>
      </c>
      <c r="F420" s="36" t="s">
        <v>379</v>
      </c>
      <c r="G420" s="36" t="s">
        <v>380</v>
      </c>
      <c r="H420" s="36" t="s">
        <v>381</v>
      </c>
      <c r="I420" s="36" t="s">
        <v>175</v>
      </c>
      <c r="J420" s="36" t="s">
        <v>382</v>
      </c>
      <c r="K420" s="36" t="s">
        <v>177</v>
      </c>
      <c r="L420" s="74">
        <f>VLOOKUP(E420,Diccionario!C$2:AC$150,22,0)</f>
        <v>3691676726</v>
      </c>
      <c r="M420" s="75">
        <f>VLOOKUP(E420,Diccionario!C$2:AC$150,24,0)</f>
        <v>45905</v>
      </c>
      <c r="N420" s="76">
        <f>VLOOKUP(E420,Diccionario!C$2:AC$150,25,0)</f>
        <v>46757</v>
      </c>
      <c r="O420" s="77">
        <f>VLOOKUP(E420,Diccionario!C$2:AC$150,26,0)</f>
        <v>28</v>
      </c>
      <c r="P420" s="77">
        <f t="shared" si="154"/>
        <v>-18</v>
      </c>
      <c r="Q420" s="78">
        <v>10</v>
      </c>
      <c r="R420" s="36">
        <v>23</v>
      </c>
      <c r="S420" s="86">
        <v>0.31666666666666698</v>
      </c>
      <c r="T420" s="86"/>
      <c r="U420" s="82"/>
      <c r="V420" s="82"/>
      <c r="W420" s="82">
        <f t="shared" si="148"/>
        <v>0</v>
      </c>
      <c r="X420" s="82">
        <f t="shared" si="155"/>
        <v>1169030963.2333345</v>
      </c>
      <c r="Y420" s="82">
        <f t="shared" si="149"/>
        <v>0</v>
      </c>
      <c r="Z420" s="82">
        <f t="shared" si="156"/>
        <v>-1169030963.2333345</v>
      </c>
      <c r="AA420" s="83" t="str">
        <f t="shared" si="153"/>
        <v>No se realizó gasto en este corte</v>
      </c>
      <c r="AB420" s="84" t="str">
        <f t="shared" si="157"/>
        <v>Costo eficiente: se está gastando menos de lo presupuestado</v>
      </c>
      <c r="AC420" s="84">
        <f t="shared" si="150"/>
        <v>0</v>
      </c>
      <c r="AD420" s="84" t="str">
        <f t="shared" si="158"/>
        <v>Sin Línea Base</v>
      </c>
      <c r="AE420" s="85">
        <f t="shared" si="151"/>
        <v>0</v>
      </c>
      <c r="AF420" s="85">
        <f t="shared" si="152"/>
        <v>-3691676726</v>
      </c>
      <c r="AG420" s="40" t="str">
        <f>VLOOKUP(Indicador!E420,Diccionario!C$1:AC$150,27,0)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0" s="40">
        <v>1</v>
      </c>
      <c r="AI420" s="40">
        <v>1</v>
      </c>
    </row>
    <row r="421" spans="1:35" ht="18.75" customHeight="1">
      <c r="A421" s="73">
        <v>2026</v>
      </c>
      <c r="B421" s="112" t="s">
        <v>23</v>
      </c>
      <c r="C421" s="36" t="s">
        <v>378</v>
      </c>
      <c r="D421" s="37">
        <v>45915.66671759259</v>
      </c>
      <c r="E421" s="36" t="s">
        <v>97</v>
      </c>
      <c r="F421" s="36" t="s">
        <v>379</v>
      </c>
      <c r="G421" s="36" t="s">
        <v>380</v>
      </c>
      <c r="H421" s="36" t="s">
        <v>381</v>
      </c>
      <c r="I421" s="36" t="s">
        <v>175</v>
      </c>
      <c r="J421" s="36" t="s">
        <v>382</v>
      </c>
      <c r="K421" s="36" t="s">
        <v>177</v>
      </c>
      <c r="L421" s="74">
        <f>VLOOKUP(E421,Diccionario!C$2:AC$150,22,0)</f>
        <v>3691676726</v>
      </c>
      <c r="M421" s="75">
        <f>VLOOKUP(E421,Diccionario!C$2:AC$150,24,0)</f>
        <v>45905</v>
      </c>
      <c r="N421" s="76">
        <f>VLOOKUP(E421,Diccionario!C$2:AC$150,25,0)</f>
        <v>46757</v>
      </c>
      <c r="O421" s="77">
        <f>VLOOKUP(E421,Diccionario!C$2:AC$150,26,0)</f>
        <v>28</v>
      </c>
      <c r="P421" s="77">
        <f t="shared" si="154"/>
        <v>-17</v>
      </c>
      <c r="Q421" s="78">
        <v>11</v>
      </c>
      <c r="R421" s="36">
        <v>23</v>
      </c>
      <c r="S421" s="86">
        <v>0.34666666666666701</v>
      </c>
      <c r="T421" s="86"/>
      <c r="U421" s="82"/>
      <c r="V421" s="82"/>
      <c r="W421" s="82">
        <f t="shared" si="148"/>
        <v>0</v>
      </c>
      <c r="X421" s="82">
        <f t="shared" si="155"/>
        <v>1279781265.0133345</v>
      </c>
      <c r="Y421" s="82">
        <f t="shared" si="149"/>
        <v>0</v>
      </c>
      <c r="Z421" s="82">
        <f t="shared" si="156"/>
        <v>-1279781265.0133345</v>
      </c>
      <c r="AA421" s="83" t="str">
        <f t="shared" si="153"/>
        <v>No se realizó gasto en este corte</v>
      </c>
      <c r="AB421" s="84" t="str">
        <f t="shared" si="157"/>
        <v>Costo eficiente: se está gastando menos de lo presupuestado</v>
      </c>
      <c r="AC421" s="84">
        <f t="shared" si="150"/>
        <v>0</v>
      </c>
      <c r="AD421" s="84" t="str">
        <f t="shared" si="158"/>
        <v>Sin Línea Base</v>
      </c>
      <c r="AE421" s="85">
        <f t="shared" si="151"/>
        <v>0</v>
      </c>
      <c r="AF421" s="85">
        <f t="shared" si="152"/>
        <v>-3691676726</v>
      </c>
      <c r="AG421" s="40" t="str">
        <f>VLOOKUP(Indicador!E421,Diccionario!C$1:AC$150,27,0)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1" s="40">
        <v>1</v>
      </c>
      <c r="AI421" s="40">
        <v>1</v>
      </c>
    </row>
    <row r="422" spans="1:35" ht="18.75" customHeight="1">
      <c r="A422" s="73">
        <v>2026</v>
      </c>
      <c r="B422" s="112" t="s">
        <v>26</v>
      </c>
      <c r="C422" s="36" t="s">
        <v>378</v>
      </c>
      <c r="D422" s="37">
        <v>45915.66671759259</v>
      </c>
      <c r="E422" s="36" t="s">
        <v>97</v>
      </c>
      <c r="F422" s="36" t="s">
        <v>379</v>
      </c>
      <c r="G422" s="36" t="s">
        <v>380</v>
      </c>
      <c r="H422" s="36" t="s">
        <v>381</v>
      </c>
      <c r="I422" s="36" t="s">
        <v>175</v>
      </c>
      <c r="J422" s="36" t="s">
        <v>382</v>
      </c>
      <c r="K422" s="36" t="s">
        <v>177</v>
      </c>
      <c r="L422" s="74">
        <f>VLOOKUP(E422,Diccionario!C$2:AC$150,22,0)</f>
        <v>3691676726</v>
      </c>
      <c r="M422" s="75">
        <f>VLOOKUP(E422,Diccionario!C$2:AC$150,24,0)</f>
        <v>45905</v>
      </c>
      <c r="N422" s="76">
        <f>VLOOKUP(E422,Diccionario!C$2:AC$150,25,0)</f>
        <v>46757</v>
      </c>
      <c r="O422" s="77">
        <f>VLOOKUP(E422,Diccionario!C$2:AC$150,26,0)</f>
        <v>28</v>
      </c>
      <c r="P422" s="77">
        <f t="shared" si="154"/>
        <v>-16</v>
      </c>
      <c r="Q422" s="78">
        <v>12</v>
      </c>
      <c r="R422" s="36">
        <v>23</v>
      </c>
      <c r="S422" s="86">
        <v>0.37666666666666698</v>
      </c>
      <c r="T422" s="86"/>
      <c r="U422" s="82"/>
      <c r="V422" s="82"/>
      <c r="W422" s="82">
        <f t="shared" si="148"/>
        <v>0</v>
      </c>
      <c r="X422" s="82">
        <f t="shared" si="155"/>
        <v>1390531566.7933345</v>
      </c>
      <c r="Y422" s="82">
        <f t="shared" si="149"/>
        <v>0</v>
      </c>
      <c r="Z422" s="82">
        <f t="shared" si="156"/>
        <v>-1390531566.7933345</v>
      </c>
      <c r="AA422" s="83" t="str">
        <f t="shared" si="153"/>
        <v>No se realizó gasto en este corte</v>
      </c>
      <c r="AB422" s="84" t="str">
        <f t="shared" si="157"/>
        <v>Costo eficiente: se está gastando menos de lo presupuestado</v>
      </c>
      <c r="AC422" s="84">
        <f t="shared" si="150"/>
        <v>0</v>
      </c>
      <c r="AD422" s="84" t="str">
        <f t="shared" si="158"/>
        <v>Sin Línea Base</v>
      </c>
      <c r="AE422" s="85">
        <f t="shared" si="151"/>
        <v>0</v>
      </c>
      <c r="AF422" s="85">
        <f t="shared" si="152"/>
        <v>-3691676726</v>
      </c>
      <c r="AG422" s="40" t="str">
        <f>VLOOKUP(Indicador!E422,Diccionario!C$1:AC$150,27,0)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2" s="40">
        <v>1</v>
      </c>
      <c r="AI422" s="40">
        <v>1</v>
      </c>
    </row>
    <row r="423" spans="1:35" ht="18.75" customHeight="1">
      <c r="A423" s="73">
        <v>2026</v>
      </c>
      <c r="B423" s="112" t="s">
        <v>28</v>
      </c>
      <c r="C423" s="36" t="s">
        <v>378</v>
      </c>
      <c r="D423" s="37">
        <v>45915.66671759259</v>
      </c>
      <c r="E423" s="36" t="s">
        <v>97</v>
      </c>
      <c r="F423" s="36" t="s">
        <v>379</v>
      </c>
      <c r="G423" s="36" t="s">
        <v>380</v>
      </c>
      <c r="H423" s="36" t="s">
        <v>381</v>
      </c>
      <c r="I423" s="36" t="s">
        <v>175</v>
      </c>
      <c r="J423" s="36" t="s">
        <v>382</v>
      </c>
      <c r="K423" s="36" t="s">
        <v>177</v>
      </c>
      <c r="L423" s="74">
        <f>VLOOKUP(E423,Diccionario!C$2:AC$150,22,0)</f>
        <v>3691676726</v>
      </c>
      <c r="M423" s="75">
        <f>VLOOKUP(E423,Diccionario!C$2:AC$150,24,0)</f>
        <v>45905</v>
      </c>
      <c r="N423" s="76">
        <f>VLOOKUP(E423,Diccionario!C$2:AC$150,25,0)</f>
        <v>46757</v>
      </c>
      <c r="O423" s="77">
        <f>VLOOKUP(E423,Diccionario!C$2:AC$150,26,0)</f>
        <v>28</v>
      </c>
      <c r="P423" s="77">
        <f t="shared" si="154"/>
        <v>-15</v>
      </c>
      <c r="Q423" s="78">
        <v>13</v>
      </c>
      <c r="R423" s="36">
        <v>23</v>
      </c>
      <c r="S423" s="86">
        <v>0.40666666666666701</v>
      </c>
      <c r="T423" s="86"/>
      <c r="U423" s="82"/>
      <c r="V423" s="82"/>
      <c r="W423" s="82">
        <f t="shared" si="148"/>
        <v>0</v>
      </c>
      <c r="X423" s="82">
        <f t="shared" si="155"/>
        <v>1501281868.5733347</v>
      </c>
      <c r="Y423" s="82">
        <f t="shared" si="149"/>
        <v>0</v>
      </c>
      <c r="Z423" s="82">
        <f t="shared" si="156"/>
        <v>-1501281868.5733347</v>
      </c>
      <c r="AA423" s="83" t="str">
        <f t="shared" si="153"/>
        <v>No se realizó gasto en este corte</v>
      </c>
      <c r="AB423" s="84" t="str">
        <f t="shared" si="157"/>
        <v>Costo eficiente: se está gastando menos de lo presupuestado</v>
      </c>
      <c r="AC423" s="84">
        <f t="shared" si="150"/>
        <v>0</v>
      </c>
      <c r="AD423" s="84" t="str">
        <f t="shared" si="158"/>
        <v>Sin Línea Base</v>
      </c>
      <c r="AE423" s="85">
        <f t="shared" si="151"/>
        <v>0</v>
      </c>
      <c r="AF423" s="85">
        <f t="shared" si="152"/>
        <v>-3691676726</v>
      </c>
      <c r="AG423" s="40" t="str">
        <f>VLOOKUP(Indicador!E423,Diccionario!C$1:AC$150,27,0)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3" s="40">
        <v>1</v>
      </c>
      <c r="AI423" s="40">
        <v>1</v>
      </c>
    </row>
    <row r="424" spans="1:35" ht="18.75" customHeight="1">
      <c r="A424" s="73">
        <v>2026</v>
      </c>
      <c r="B424" s="112" t="s">
        <v>30</v>
      </c>
      <c r="C424" s="36" t="s">
        <v>378</v>
      </c>
      <c r="D424" s="37">
        <v>45915.66671759259</v>
      </c>
      <c r="E424" s="36" t="s">
        <v>97</v>
      </c>
      <c r="F424" s="36" t="s">
        <v>379</v>
      </c>
      <c r="G424" s="36" t="s">
        <v>380</v>
      </c>
      <c r="H424" s="36" t="s">
        <v>381</v>
      </c>
      <c r="I424" s="36" t="s">
        <v>175</v>
      </c>
      <c r="J424" s="36" t="s">
        <v>382</v>
      </c>
      <c r="K424" s="36" t="s">
        <v>177</v>
      </c>
      <c r="L424" s="74">
        <f>VLOOKUP(E424,Diccionario!C$2:AC$150,22,0)</f>
        <v>3691676726</v>
      </c>
      <c r="M424" s="75">
        <f>VLOOKUP(E424,Diccionario!C$2:AC$150,24,0)</f>
        <v>45905</v>
      </c>
      <c r="N424" s="76">
        <f>VLOOKUP(E424,Diccionario!C$2:AC$150,25,0)</f>
        <v>46757</v>
      </c>
      <c r="O424" s="77">
        <f>VLOOKUP(E424,Diccionario!C$2:AC$150,26,0)</f>
        <v>28</v>
      </c>
      <c r="P424" s="77">
        <f t="shared" si="154"/>
        <v>-14</v>
      </c>
      <c r="Q424" s="78">
        <v>14</v>
      </c>
      <c r="R424" s="36">
        <v>23</v>
      </c>
      <c r="S424" s="86">
        <v>0.43666666666666698</v>
      </c>
      <c r="T424" s="86"/>
      <c r="U424" s="82"/>
      <c r="V424" s="82"/>
      <c r="W424" s="82">
        <f t="shared" si="148"/>
        <v>0</v>
      </c>
      <c r="X424" s="82">
        <f t="shared" si="155"/>
        <v>1612032170.3533344</v>
      </c>
      <c r="Y424" s="82">
        <f t="shared" si="149"/>
        <v>0</v>
      </c>
      <c r="Z424" s="82">
        <f t="shared" si="156"/>
        <v>-1612032170.3533344</v>
      </c>
      <c r="AA424" s="83" t="str">
        <f t="shared" si="153"/>
        <v>No se realizó gasto en este corte</v>
      </c>
      <c r="AB424" s="84" t="str">
        <f t="shared" si="157"/>
        <v>Costo eficiente: se está gastando menos de lo presupuestado</v>
      </c>
      <c r="AC424" s="84">
        <f t="shared" si="150"/>
        <v>0</v>
      </c>
      <c r="AD424" s="84" t="str">
        <f t="shared" si="158"/>
        <v>Sin Línea Base</v>
      </c>
      <c r="AE424" s="85">
        <f t="shared" si="151"/>
        <v>0</v>
      </c>
      <c r="AF424" s="85">
        <f t="shared" si="152"/>
        <v>-3691676726</v>
      </c>
      <c r="AG424" s="40" t="str">
        <f>VLOOKUP(Indicador!E424,Diccionario!C$1:AC$150,27,0)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4" s="40">
        <v>1</v>
      </c>
      <c r="AI424" s="40">
        <v>1</v>
      </c>
    </row>
    <row r="425" spans="1:35" ht="18.75" customHeight="1">
      <c r="A425" s="73">
        <v>2026</v>
      </c>
      <c r="B425" s="112" t="s">
        <v>31</v>
      </c>
      <c r="C425" s="36" t="s">
        <v>378</v>
      </c>
      <c r="D425" s="37">
        <v>45915.66671759259</v>
      </c>
      <c r="E425" s="36" t="s">
        <v>97</v>
      </c>
      <c r="F425" s="36" t="s">
        <v>379</v>
      </c>
      <c r="G425" s="36" t="s">
        <v>380</v>
      </c>
      <c r="H425" s="36" t="s">
        <v>381</v>
      </c>
      <c r="I425" s="36" t="s">
        <v>175</v>
      </c>
      <c r="J425" s="36" t="s">
        <v>382</v>
      </c>
      <c r="K425" s="36" t="s">
        <v>177</v>
      </c>
      <c r="L425" s="74">
        <f>VLOOKUP(E425,Diccionario!C$2:AC$150,22,0)</f>
        <v>3691676726</v>
      </c>
      <c r="M425" s="75">
        <f>VLOOKUP(E425,Diccionario!C$2:AC$150,24,0)</f>
        <v>45905</v>
      </c>
      <c r="N425" s="76">
        <f>VLOOKUP(E425,Diccionario!C$2:AC$150,25,0)</f>
        <v>46757</v>
      </c>
      <c r="O425" s="77">
        <f>VLOOKUP(E425,Diccionario!C$2:AC$150,26,0)</f>
        <v>28</v>
      </c>
      <c r="P425" s="77">
        <f t="shared" si="154"/>
        <v>-13</v>
      </c>
      <c r="Q425" s="78">
        <v>15</v>
      </c>
      <c r="R425" s="36">
        <v>23</v>
      </c>
      <c r="S425" s="86">
        <v>0.46666666666666701</v>
      </c>
      <c r="T425" s="86"/>
      <c r="U425" s="82"/>
      <c r="V425" s="82"/>
      <c r="W425" s="82">
        <f t="shared" si="148"/>
        <v>0</v>
      </c>
      <c r="X425" s="82">
        <f t="shared" si="155"/>
        <v>1722782472.1333346</v>
      </c>
      <c r="Y425" s="82">
        <f t="shared" si="149"/>
        <v>0</v>
      </c>
      <c r="Z425" s="82">
        <f t="shared" si="156"/>
        <v>-1722782472.1333346</v>
      </c>
      <c r="AA425" s="83" t="str">
        <f t="shared" si="153"/>
        <v>No se realizó gasto en este corte</v>
      </c>
      <c r="AB425" s="84" t="str">
        <f t="shared" si="157"/>
        <v>Costo eficiente: se está gastando menos de lo presupuestado</v>
      </c>
      <c r="AC425" s="84">
        <f t="shared" si="150"/>
        <v>0</v>
      </c>
      <c r="AD425" s="84" t="str">
        <f t="shared" si="158"/>
        <v>Sin Línea Base</v>
      </c>
      <c r="AE425" s="85">
        <f t="shared" si="151"/>
        <v>0</v>
      </c>
      <c r="AF425" s="85">
        <f t="shared" si="152"/>
        <v>-3691676726</v>
      </c>
      <c r="AG425" s="40" t="str">
        <f>VLOOKUP(Indicador!E425,Diccionario!C$1:AC$150,27,0)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5" s="40">
        <v>1</v>
      </c>
      <c r="AI425" s="40">
        <v>1</v>
      </c>
    </row>
    <row r="426" spans="1:35" ht="18.75" customHeight="1">
      <c r="A426" s="73">
        <v>2026</v>
      </c>
      <c r="B426" s="112" t="s">
        <v>32</v>
      </c>
      <c r="C426" s="36" t="s">
        <v>378</v>
      </c>
      <c r="D426" s="37">
        <v>45915.66671759259</v>
      </c>
      <c r="E426" s="36" t="s">
        <v>97</v>
      </c>
      <c r="F426" s="36" t="s">
        <v>379</v>
      </c>
      <c r="G426" s="36" t="s">
        <v>380</v>
      </c>
      <c r="H426" s="36" t="s">
        <v>381</v>
      </c>
      <c r="I426" s="36" t="s">
        <v>175</v>
      </c>
      <c r="J426" s="36" t="s">
        <v>382</v>
      </c>
      <c r="K426" s="36" t="s">
        <v>177</v>
      </c>
      <c r="L426" s="74">
        <f>VLOOKUP(E426,Diccionario!C$2:AC$150,22,0)</f>
        <v>3691676726</v>
      </c>
      <c r="M426" s="75">
        <f>VLOOKUP(E426,Diccionario!C$2:AC$150,24,0)</f>
        <v>45905</v>
      </c>
      <c r="N426" s="76">
        <f>VLOOKUP(E426,Diccionario!C$2:AC$150,25,0)</f>
        <v>46757</v>
      </c>
      <c r="O426" s="77">
        <f>VLOOKUP(E426,Diccionario!C$2:AC$150,26,0)</f>
        <v>28</v>
      </c>
      <c r="P426" s="77">
        <f t="shared" si="154"/>
        <v>-12</v>
      </c>
      <c r="Q426" s="78">
        <v>16</v>
      </c>
      <c r="R426" s="36">
        <v>23</v>
      </c>
      <c r="S426" s="86">
        <v>0.49666666666666698</v>
      </c>
      <c r="T426" s="86"/>
      <c r="U426" s="82"/>
      <c r="V426" s="82"/>
      <c r="W426" s="82">
        <f t="shared" si="148"/>
        <v>0</v>
      </c>
      <c r="X426" s="82">
        <f t="shared" si="155"/>
        <v>1833532773.9133344</v>
      </c>
      <c r="Y426" s="82">
        <f t="shared" si="149"/>
        <v>0</v>
      </c>
      <c r="Z426" s="82">
        <f t="shared" si="156"/>
        <v>-1833532773.9133344</v>
      </c>
      <c r="AA426" s="83" t="str">
        <f t="shared" si="153"/>
        <v>No se realizó gasto en este corte</v>
      </c>
      <c r="AB426" s="84" t="str">
        <f t="shared" si="157"/>
        <v>Costo eficiente: se está gastando menos de lo presupuestado</v>
      </c>
      <c r="AC426" s="84">
        <f t="shared" si="150"/>
        <v>0</v>
      </c>
      <c r="AD426" s="84" t="str">
        <f t="shared" si="158"/>
        <v>Sin Línea Base</v>
      </c>
      <c r="AE426" s="85">
        <f t="shared" si="151"/>
        <v>0</v>
      </c>
      <c r="AF426" s="85">
        <f t="shared" si="152"/>
        <v>-3691676726</v>
      </c>
      <c r="AG426" s="40" t="str">
        <f>VLOOKUP(Indicador!E426,Diccionario!C$1:AC$150,27,0)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6" s="40">
        <v>1</v>
      </c>
      <c r="AI426" s="40">
        <v>1</v>
      </c>
    </row>
    <row r="427" spans="1:35" ht="18.75" customHeight="1">
      <c r="A427" s="73">
        <v>2027</v>
      </c>
      <c r="B427" s="112" t="s">
        <v>14</v>
      </c>
      <c r="C427" s="36" t="s">
        <v>378</v>
      </c>
      <c r="D427" s="37">
        <v>45915.66671759259</v>
      </c>
      <c r="E427" s="36" t="s">
        <v>97</v>
      </c>
      <c r="F427" s="36" t="s">
        <v>379</v>
      </c>
      <c r="G427" s="36" t="s">
        <v>380</v>
      </c>
      <c r="H427" s="36" t="s">
        <v>381</v>
      </c>
      <c r="I427" s="36" t="s">
        <v>175</v>
      </c>
      <c r="J427" s="36" t="s">
        <v>382</v>
      </c>
      <c r="K427" s="36" t="s">
        <v>177</v>
      </c>
      <c r="L427" s="74">
        <f>VLOOKUP(E427,Diccionario!C$2:AC$150,22,0)</f>
        <v>3691676726</v>
      </c>
      <c r="M427" s="75">
        <f>VLOOKUP(E427,Diccionario!C$2:AC$150,24,0)</f>
        <v>45905</v>
      </c>
      <c r="N427" s="76">
        <f>VLOOKUP(E427,Diccionario!C$2:AC$150,25,0)</f>
        <v>46757</v>
      </c>
      <c r="O427" s="77">
        <f>VLOOKUP(E427,Diccionario!C$2:AC$150,26,0)</f>
        <v>28</v>
      </c>
      <c r="P427" s="77">
        <f t="shared" si="154"/>
        <v>-11</v>
      </c>
      <c r="Q427" s="78">
        <v>17</v>
      </c>
      <c r="R427" s="36">
        <v>23</v>
      </c>
      <c r="S427" s="86">
        <v>0.52666666666666695</v>
      </c>
      <c r="T427" s="86"/>
      <c r="U427" s="82"/>
      <c r="V427" s="82"/>
      <c r="W427" s="82">
        <f t="shared" si="148"/>
        <v>0</v>
      </c>
      <c r="X427" s="82">
        <f t="shared" si="155"/>
        <v>1944283075.6933343</v>
      </c>
      <c r="Y427" s="82">
        <f t="shared" si="149"/>
        <v>0</v>
      </c>
      <c r="Z427" s="82">
        <f t="shared" si="156"/>
        <v>-1944283075.6933343</v>
      </c>
      <c r="AA427" s="83" t="str">
        <f t="shared" si="153"/>
        <v>No se realizó gasto en este corte</v>
      </c>
      <c r="AB427" s="84" t="str">
        <f t="shared" si="157"/>
        <v>Costo eficiente: se está gastando menos de lo presupuestado</v>
      </c>
      <c r="AC427" s="84">
        <f t="shared" si="150"/>
        <v>0</v>
      </c>
      <c r="AD427" s="84" t="str">
        <f t="shared" si="158"/>
        <v>Sin Línea Base</v>
      </c>
      <c r="AE427" s="85">
        <f t="shared" si="151"/>
        <v>0</v>
      </c>
      <c r="AF427" s="85">
        <f t="shared" si="152"/>
        <v>-3691676726</v>
      </c>
      <c r="AG427" s="40" t="str">
        <f>VLOOKUP(Indicador!E427,Diccionario!C$1:AC$150,27,0)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7" s="40">
        <v>1</v>
      </c>
      <c r="AI427" s="40">
        <v>1</v>
      </c>
    </row>
    <row r="428" spans="1:35" ht="18.75" customHeight="1">
      <c r="A428" s="73">
        <v>2027</v>
      </c>
      <c r="B428" s="112" t="s">
        <v>22</v>
      </c>
      <c r="C428" s="36" t="s">
        <v>378</v>
      </c>
      <c r="D428" s="37">
        <v>45915.66671759259</v>
      </c>
      <c r="E428" s="36" t="s">
        <v>97</v>
      </c>
      <c r="F428" s="36" t="s">
        <v>379</v>
      </c>
      <c r="G428" s="36" t="s">
        <v>380</v>
      </c>
      <c r="H428" s="36" t="s">
        <v>381</v>
      </c>
      <c r="I428" s="36" t="s">
        <v>175</v>
      </c>
      <c r="J428" s="36" t="s">
        <v>382</v>
      </c>
      <c r="K428" s="36" t="s">
        <v>177</v>
      </c>
      <c r="L428" s="74">
        <f>VLOOKUP(E428,Diccionario!C$2:AC$150,22,0)</f>
        <v>3691676726</v>
      </c>
      <c r="M428" s="75">
        <f>VLOOKUP(E428,Diccionario!C$2:AC$150,24,0)</f>
        <v>45905</v>
      </c>
      <c r="N428" s="76">
        <f>VLOOKUP(E428,Diccionario!C$2:AC$150,25,0)</f>
        <v>46757</v>
      </c>
      <c r="O428" s="77">
        <f>VLOOKUP(E428,Diccionario!C$2:AC$150,26,0)</f>
        <v>28</v>
      </c>
      <c r="P428" s="77">
        <f t="shared" si="154"/>
        <v>-10</v>
      </c>
      <c r="Q428" s="78">
        <v>18</v>
      </c>
      <c r="R428" s="36">
        <v>23</v>
      </c>
      <c r="S428" s="86">
        <v>0.55666666666666698</v>
      </c>
      <c r="T428" s="86"/>
      <c r="U428" s="82"/>
      <c r="V428" s="82"/>
      <c r="W428" s="82">
        <f t="shared" si="148"/>
        <v>0</v>
      </c>
      <c r="X428" s="82">
        <f t="shared" si="155"/>
        <v>2055033377.4733346</v>
      </c>
      <c r="Y428" s="82">
        <f t="shared" si="149"/>
        <v>0</v>
      </c>
      <c r="Z428" s="82">
        <f t="shared" si="156"/>
        <v>-2055033377.4733346</v>
      </c>
      <c r="AA428" s="83" t="str">
        <f t="shared" si="153"/>
        <v>No se realizó gasto en este corte</v>
      </c>
      <c r="AB428" s="84" t="str">
        <f t="shared" si="157"/>
        <v>Costo eficiente: se está gastando menos de lo presupuestado</v>
      </c>
      <c r="AC428" s="84">
        <f t="shared" si="150"/>
        <v>0</v>
      </c>
      <c r="AD428" s="84" t="str">
        <f t="shared" si="158"/>
        <v>Sin Línea Base</v>
      </c>
      <c r="AE428" s="85">
        <f t="shared" si="151"/>
        <v>0</v>
      </c>
      <c r="AF428" s="85">
        <f t="shared" si="152"/>
        <v>-3691676726</v>
      </c>
      <c r="AG428" s="40" t="str">
        <f>VLOOKUP(Indicador!E428,Diccionario!C$1:AC$150,27,0)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8" s="40">
        <v>1</v>
      </c>
      <c r="AI428" s="40">
        <v>1</v>
      </c>
    </row>
    <row r="429" spans="1:35" ht="18.75" customHeight="1">
      <c r="A429" s="73">
        <v>2027</v>
      </c>
      <c r="B429" s="112" t="s">
        <v>24</v>
      </c>
      <c r="C429" s="36" t="s">
        <v>378</v>
      </c>
      <c r="D429" s="37">
        <v>45915.66671759259</v>
      </c>
      <c r="E429" s="36" t="s">
        <v>97</v>
      </c>
      <c r="F429" s="36" t="s">
        <v>379</v>
      </c>
      <c r="G429" s="36" t="s">
        <v>380</v>
      </c>
      <c r="H429" s="36" t="s">
        <v>381</v>
      </c>
      <c r="I429" s="36" t="s">
        <v>175</v>
      </c>
      <c r="J429" s="36" t="s">
        <v>382</v>
      </c>
      <c r="K429" s="36" t="s">
        <v>177</v>
      </c>
      <c r="L429" s="74">
        <f>VLOOKUP(E429,Diccionario!C$2:AC$150,22,0)</f>
        <v>3691676726</v>
      </c>
      <c r="M429" s="75">
        <f>VLOOKUP(E429,Diccionario!C$2:AC$150,24,0)</f>
        <v>45905</v>
      </c>
      <c r="N429" s="76">
        <f>VLOOKUP(E429,Diccionario!C$2:AC$150,25,0)</f>
        <v>46757</v>
      </c>
      <c r="O429" s="77">
        <f>VLOOKUP(E429,Diccionario!C$2:AC$150,26,0)</f>
        <v>28</v>
      </c>
      <c r="P429" s="77">
        <f t="shared" si="154"/>
        <v>-9</v>
      </c>
      <c r="Q429" s="78">
        <v>19</v>
      </c>
      <c r="R429" s="36">
        <v>23</v>
      </c>
      <c r="S429" s="86">
        <v>0.586666666666667</v>
      </c>
      <c r="T429" s="86"/>
      <c r="U429" s="82"/>
      <c r="V429" s="82"/>
      <c r="W429" s="82">
        <f t="shared" si="148"/>
        <v>0</v>
      </c>
      <c r="X429" s="82">
        <f t="shared" si="155"/>
        <v>2165783679.2533345</v>
      </c>
      <c r="Y429" s="82">
        <f t="shared" si="149"/>
        <v>0</v>
      </c>
      <c r="Z429" s="82">
        <f t="shared" si="156"/>
        <v>-2165783679.2533345</v>
      </c>
      <c r="AA429" s="83" t="str">
        <f t="shared" si="153"/>
        <v>No se realizó gasto en este corte</v>
      </c>
      <c r="AB429" s="84" t="str">
        <f t="shared" si="157"/>
        <v>Costo eficiente: se está gastando menos de lo presupuestado</v>
      </c>
      <c r="AC429" s="84">
        <f t="shared" si="150"/>
        <v>0</v>
      </c>
      <c r="AD429" s="84" t="str">
        <f t="shared" si="158"/>
        <v>Sin Línea Base</v>
      </c>
      <c r="AE429" s="85">
        <f t="shared" si="151"/>
        <v>0</v>
      </c>
      <c r="AF429" s="85">
        <f t="shared" si="152"/>
        <v>-3691676726</v>
      </c>
      <c r="AG429" s="40" t="str">
        <f>VLOOKUP(Indicador!E429,Diccionario!C$1:AC$150,27,0)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29" s="40">
        <v>1</v>
      </c>
      <c r="AI429" s="40">
        <v>1</v>
      </c>
    </row>
    <row r="430" spans="1:35" ht="18.75" customHeight="1">
      <c r="A430" s="73">
        <v>2027</v>
      </c>
      <c r="B430" s="112" t="s">
        <v>27</v>
      </c>
      <c r="C430" s="36" t="s">
        <v>378</v>
      </c>
      <c r="D430" s="37">
        <v>45915.66671759259</v>
      </c>
      <c r="E430" s="36" t="s">
        <v>97</v>
      </c>
      <c r="F430" s="36" t="s">
        <v>379</v>
      </c>
      <c r="G430" s="36" t="s">
        <v>380</v>
      </c>
      <c r="H430" s="36" t="s">
        <v>381</v>
      </c>
      <c r="I430" s="36" t="s">
        <v>175</v>
      </c>
      <c r="J430" s="36" t="s">
        <v>382</v>
      </c>
      <c r="K430" s="36" t="s">
        <v>177</v>
      </c>
      <c r="L430" s="74">
        <f>VLOOKUP(E430,Diccionario!C$2:AC$150,22,0)</f>
        <v>3691676726</v>
      </c>
      <c r="M430" s="75">
        <f>VLOOKUP(E430,Diccionario!C$2:AC$150,24,0)</f>
        <v>45905</v>
      </c>
      <c r="N430" s="76">
        <f>VLOOKUP(E430,Diccionario!C$2:AC$150,25,0)</f>
        <v>46757</v>
      </c>
      <c r="O430" s="77">
        <f>VLOOKUP(E430,Diccionario!C$2:AC$150,26,0)</f>
        <v>28</v>
      </c>
      <c r="P430" s="77">
        <f t="shared" si="154"/>
        <v>-8</v>
      </c>
      <c r="Q430" s="78">
        <v>20</v>
      </c>
      <c r="R430" s="36">
        <v>23</v>
      </c>
      <c r="S430" s="86">
        <v>0.61666666666666703</v>
      </c>
      <c r="T430" s="86"/>
      <c r="U430" s="82"/>
      <c r="V430" s="82"/>
      <c r="W430" s="82">
        <f t="shared" si="148"/>
        <v>0</v>
      </c>
      <c r="X430" s="82">
        <f t="shared" si="155"/>
        <v>2276533981.0333347</v>
      </c>
      <c r="Y430" s="82">
        <f t="shared" si="149"/>
        <v>0</v>
      </c>
      <c r="Z430" s="82">
        <f t="shared" si="156"/>
        <v>-2276533981.0333347</v>
      </c>
      <c r="AA430" s="83" t="str">
        <f t="shared" si="153"/>
        <v>No se realizó gasto en este corte</v>
      </c>
      <c r="AB430" s="84" t="str">
        <f t="shared" si="157"/>
        <v>Costo eficiente: se está gastando menos de lo presupuestado</v>
      </c>
      <c r="AC430" s="84">
        <f t="shared" si="150"/>
        <v>0</v>
      </c>
      <c r="AD430" s="84" t="str">
        <f t="shared" si="158"/>
        <v>Sin Línea Base</v>
      </c>
      <c r="AE430" s="85">
        <f t="shared" si="151"/>
        <v>0</v>
      </c>
      <c r="AF430" s="85">
        <f t="shared" si="152"/>
        <v>-3691676726</v>
      </c>
      <c r="AG430" s="40" t="str">
        <f>VLOOKUP(Indicador!E430,Diccionario!C$1:AC$150,27,0)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0" s="40">
        <v>1</v>
      </c>
      <c r="AI430" s="40">
        <v>1</v>
      </c>
    </row>
    <row r="431" spans="1:35" ht="18.75" customHeight="1">
      <c r="A431" s="73">
        <v>2027</v>
      </c>
      <c r="B431" s="112" t="s">
        <v>13</v>
      </c>
      <c r="C431" s="36" t="s">
        <v>378</v>
      </c>
      <c r="D431" s="37">
        <v>45915.66671759259</v>
      </c>
      <c r="E431" s="36" t="s">
        <v>97</v>
      </c>
      <c r="F431" s="36" t="s">
        <v>379</v>
      </c>
      <c r="G431" s="36" t="s">
        <v>380</v>
      </c>
      <c r="H431" s="36" t="s">
        <v>381</v>
      </c>
      <c r="I431" s="36" t="s">
        <v>175</v>
      </c>
      <c r="J431" s="36" t="s">
        <v>382</v>
      </c>
      <c r="K431" s="36" t="s">
        <v>177</v>
      </c>
      <c r="L431" s="74">
        <f>VLOOKUP(E431,Diccionario!C$2:AC$150,22,0)</f>
        <v>3691676726</v>
      </c>
      <c r="M431" s="75">
        <f>VLOOKUP(E431,Diccionario!C$2:AC$150,24,0)</f>
        <v>45905</v>
      </c>
      <c r="N431" s="76">
        <f>VLOOKUP(E431,Diccionario!C$2:AC$150,25,0)</f>
        <v>46757</v>
      </c>
      <c r="O431" s="77">
        <f>VLOOKUP(E431,Diccionario!C$2:AC$150,26,0)</f>
        <v>28</v>
      </c>
      <c r="P431" s="77">
        <f t="shared" si="154"/>
        <v>-7</v>
      </c>
      <c r="Q431" s="78">
        <v>21</v>
      </c>
      <c r="R431" s="36">
        <v>23</v>
      </c>
      <c r="S431" s="86">
        <v>0.64666666666666694</v>
      </c>
      <c r="T431" s="86"/>
      <c r="U431" s="82"/>
      <c r="V431" s="82"/>
      <c r="W431" s="82">
        <f t="shared" si="148"/>
        <v>0</v>
      </c>
      <c r="X431" s="82">
        <f t="shared" si="155"/>
        <v>2387284282.8133345</v>
      </c>
      <c r="Y431" s="82">
        <f t="shared" si="149"/>
        <v>0</v>
      </c>
      <c r="Z431" s="82">
        <f t="shared" si="156"/>
        <v>-2387284282.8133345</v>
      </c>
      <c r="AA431" s="83" t="str">
        <f t="shared" si="153"/>
        <v>No se realizó gasto en este corte</v>
      </c>
      <c r="AB431" s="84" t="str">
        <f t="shared" si="157"/>
        <v>Costo eficiente: se está gastando menos de lo presupuestado</v>
      </c>
      <c r="AC431" s="84">
        <f t="shared" si="150"/>
        <v>0</v>
      </c>
      <c r="AD431" s="84" t="str">
        <f t="shared" si="158"/>
        <v>Sin Línea Base</v>
      </c>
      <c r="AE431" s="85">
        <f t="shared" si="151"/>
        <v>0</v>
      </c>
      <c r="AF431" s="85">
        <f t="shared" si="152"/>
        <v>-3691676726</v>
      </c>
      <c r="AG431" s="40" t="str">
        <f>VLOOKUP(Indicador!E431,Diccionario!C$1:AC$150,27,0)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1" s="40">
        <v>1</v>
      </c>
      <c r="AI431" s="40">
        <v>1</v>
      </c>
    </row>
    <row r="432" spans="1:35" ht="18.75" customHeight="1">
      <c r="A432" s="73">
        <v>2027</v>
      </c>
      <c r="B432" s="112" t="s">
        <v>21</v>
      </c>
      <c r="C432" s="36" t="s">
        <v>378</v>
      </c>
      <c r="D432" s="37">
        <v>45915.66671759259</v>
      </c>
      <c r="E432" s="36" t="s">
        <v>97</v>
      </c>
      <c r="F432" s="36" t="s">
        <v>379</v>
      </c>
      <c r="G432" s="36" t="s">
        <v>380</v>
      </c>
      <c r="H432" s="36" t="s">
        <v>381</v>
      </c>
      <c r="I432" s="36" t="s">
        <v>175</v>
      </c>
      <c r="J432" s="36" t="s">
        <v>382</v>
      </c>
      <c r="K432" s="36" t="s">
        <v>177</v>
      </c>
      <c r="L432" s="74">
        <f>VLOOKUP(E432,Diccionario!C$2:AC$150,22,0)</f>
        <v>3691676726</v>
      </c>
      <c r="M432" s="75">
        <f>VLOOKUP(E432,Diccionario!C$2:AC$150,24,0)</f>
        <v>45905</v>
      </c>
      <c r="N432" s="76">
        <f>VLOOKUP(E432,Diccionario!C$2:AC$150,25,0)</f>
        <v>46757</v>
      </c>
      <c r="O432" s="77">
        <f>VLOOKUP(E432,Diccionario!C$2:AC$150,26,0)</f>
        <v>28</v>
      </c>
      <c r="P432" s="77">
        <f t="shared" si="154"/>
        <v>-6</v>
      </c>
      <c r="Q432" s="78">
        <v>22</v>
      </c>
      <c r="R432" s="36">
        <v>23</v>
      </c>
      <c r="S432" s="86">
        <v>0.67666666666666697</v>
      </c>
      <c r="T432" s="86"/>
      <c r="U432" s="82"/>
      <c r="V432" s="82"/>
      <c r="W432" s="82">
        <f t="shared" si="148"/>
        <v>0</v>
      </c>
      <c r="X432" s="82">
        <f t="shared" si="155"/>
        <v>2498034584.5933347</v>
      </c>
      <c r="Y432" s="82">
        <f t="shared" si="149"/>
        <v>0</v>
      </c>
      <c r="Z432" s="82">
        <f t="shared" si="156"/>
        <v>-2498034584.5933347</v>
      </c>
      <c r="AA432" s="83" t="str">
        <f t="shared" si="153"/>
        <v>No se realizó gasto en este corte</v>
      </c>
      <c r="AB432" s="84" t="str">
        <f t="shared" si="157"/>
        <v>Costo eficiente: se está gastando menos de lo presupuestado</v>
      </c>
      <c r="AC432" s="84">
        <f t="shared" si="150"/>
        <v>0</v>
      </c>
      <c r="AD432" s="84" t="str">
        <f t="shared" si="158"/>
        <v>Sin Línea Base</v>
      </c>
      <c r="AE432" s="85">
        <f t="shared" si="151"/>
        <v>0</v>
      </c>
      <c r="AF432" s="85">
        <f t="shared" si="152"/>
        <v>-3691676726</v>
      </c>
      <c r="AG432" s="40" t="str">
        <f>VLOOKUP(Indicador!E432,Diccionario!C$1:AC$150,27,0)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2" s="40">
        <v>1</v>
      </c>
      <c r="AI432" s="40">
        <v>1</v>
      </c>
    </row>
    <row r="433" spans="1:35" ht="18.75" customHeight="1">
      <c r="A433" s="73">
        <v>2027</v>
      </c>
      <c r="B433" s="112" t="s">
        <v>23</v>
      </c>
      <c r="C433" s="36" t="s">
        <v>378</v>
      </c>
      <c r="D433" s="37">
        <v>45915.66671759259</v>
      </c>
      <c r="E433" s="36" t="s">
        <v>97</v>
      </c>
      <c r="F433" s="36" t="s">
        <v>379</v>
      </c>
      <c r="G433" s="36" t="s">
        <v>380</v>
      </c>
      <c r="H433" s="36" t="s">
        <v>381</v>
      </c>
      <c r="I433" s="36" t="s">
        <v>175</v>
      </c>
      <c r="J433" s="36" t="s">
        <v>382</v>
      </c>
      <c r="K433" s="36" t="s">
        <v>177</v>
      </c>
      <c r="L433" s="74">
        <f>VLOOKUP(E433,Diccionario!C$2:AC$150,22,0)</f>
        <v>3691676726</v>
      </c>
      <c r="M433" s="75">
        <f>VLOOKUP(E433,Diccionario!C$2:AC$150,24,0)</f>
        <v>45905</v>
      </c>
      <c r="N433" s="76">
        <f>VLOOKUP(E433,Diccionario!C$2:AC$150,25,0)</f>
        <v>46757</v>
      </c>
      <c r="O433" s="77">
        <f>VLOOKUP(E433,Diccionario!C$2:AC$150,26,0)</f>
        <v>28</v>
      </c>
      <c r="P433" s="77">
        <f t="shared" si="154"/>
        <v>-5</v>
      </c>
      <c r="Q433" s="78">
        <v>23</v>
      </c>
      <c r="R433" s="36">
        <v>23</v>
      </c>
      <c r="S433" s="86">
        <v>0.706666666666667</v>
      </c>
      <c r="T433" s="86"/>
      <c r="U433" s="82"/>
      <c r="V433" s="82"/>
      <c r="W433" s="82">
        <f t="shared" si="148"/>
        <v>0</v>
      </c>
      <c r="X433" s="82">
        <f t="shared" si="155"/>
        <v>2608784886.3733344</v>
      </c>
      <c r="Y433" s="82">
        <f t="shared" si="149"/>
        <v>0</v>
      </c>
      <c r="Z433" s="82">
        <f t="shared" si="156"/>
        <v>-2608784886.3733344</v>
      </c>
      <c r="AA433" s="83" t="str">
        <f t="shared" si="153"/>
        <v>No se realizó gasto en este corte</v>
      </c>
      <c r="AB433" s="84" t="str">
        <f t="shared" si="157"/>
        <v>Costo eficiente: se está gastando menos de lo presupuestado</v>
      </c>
      <c r="AC433" s="84">
        <f t="shared" si="150"/>
        <v>0</v>
      </c>
      <c r="AD433" s="84" t="str">
        <f t="shared" si="158"/>
        <v>Sin Línea Base</v>
      </c>
      <c r="AE433" s="85">
        <f t="shared" si="151"/>
        <v>0</v>
      </c>
      <c r="AF433" s="85">
        <f t="shared" si="152"/>
        <v>-3691676726</v>
      </c>
      <c r="AG433" s="40" t="str">
        <f>VLOOKUP(Indicador!E433,Diccionario!C$1:AC$150,27,0)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3" s="40">
        <v>1</v>
      </c>
      <c r="AI433" s="40">
        <v>1</v>
      </c>
    </row>
    <row r="434" spans="1:35" ht="18.75" customHeight="1">
      <c r="A434" s="73">
        <v>2027</v>
      </c>
      <c r="B434" s="112" t="s">
        <v>26</v>
      </c>
      <c r="C434" s="36" t="s">
        <v>378</v>
      </c>
      <c r="D434" s="37">
        <v>45915.66671759259</v>
      </c>
      <c r="E434" s="36" t="s">
        <v>97</v>
      </c>
      <c r="F434" s="36" t="s">
        <v>379</v>
      </c>
      <c r="G434" s="36" t="s">
        <v>380</v>
      </c>
      <c r="H434" s="36" t="s">
        <v>381</v>
      </c>
      <c r="I434" s="36" t="s">
        <v>175</v>
      </c>
      <c r="J434" s="36" t="s">
        <v>382</v>
      </c>
      <c r="K434" s="36" t="s">
        <v>177</v>
      </c>
      <c r="L434" s="74">
        <f>VLOOKUP(E434,Diccionario!C$2:AC$150,22,0)</f>
        <v>3691676726</v>
      </c>
      <c r="M434" s="75">
        <f>VLOOKUP(E434,Diccionario!C$2:AC$150,24,0)</f>
        <v>45905</v>
      </c>
      <c r="N434" s="76">
        <f>VLOOKUP(E434,Diccionario!C$2:AC$150,25,0)</f>
        <v>46757</v>
      </c>
      <c r="O434" s="77">
        <f>VLOOKUP(E434,Diccionario!C$2:AC$150,26,0)</f>
        <v>28</v>
      </c>
      <c r="P434" s="77">
        <f t="shared" si="154"/>
        <v>-4</v>
      </c>
      <c r="Q434" s="78">
        <v>24</v>
      </c>
      <c r="R434" s="36">
        <v>23</v>
      </c>
      <c r="S434" s="86">
        <v>0.73666666666666702</v>
      </c>
      <c r="T434" s="86"/>
      <c r="U434" s="82"/>
      <c r="V434" s="82"/>
      <c r="W434" s="82">
        <f t="shared" si="148"/>
        <v>0</v>
      </c>
      <c r="X434" s="82">
        <f t="shared" si="155"/>
        <v>2719535188.1533346</v>
      </c>
      <c r="Y434" s="82">
        <f t="shared" si="149"/>
        <v>0</v>
      </c>
      <c r="Z434" s="82">
        <f t="shared" si="156"/>
        <v>-2719535188.1533346</v>
      </c>
      <c r="AA434" s="83" t="str">
        <f t="shared" si="153"/>
        <v>No se realizó gasto en este corte</v>
      </c>
      <c r="AB434" s="84" t="str">
        <f t="shared" si="157"/>
        <v>Costo eficiente: se está gastando menos de lo presupuestado</v>
      </c>
      <c r="AC434" s="84">
        <f t="shared" si="150"/>
        <v>0</v>
      </c>
      <c r="AD434" s="84" t="str">
        <f t="shared" si="158"/>
        <v>Sin Línea Base</v>
      </c>
      <c r="AE434" s="85">
        <f t="shared" si="151"/>
        <v>0</v>
      </c>
      <c r="AF434" s="85">
        <f t="shared" si="152"/>
        <v>-3691676726</v>
      </c>
      <c r="AG434" s="40" t="str">
        <f>VLOOKUP(Indicador!E434,Diccionario!C$1:AC$150,27,0)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4" s="40">
        <v>1</v>
      </c>
      <c r="AI434" s="40">
        <v>1</v>
      </c>
    </row>
    <row r="435" spans="1:35" ht="18.75" customHeight="1">
      <c r="A435" s="73">
        <v>2027</v>
      </c>
      <c r="B435" s="112" t="s">
        <v>28</v>
      </c>
      <c r="C435" s="36" t="s">
        <v>378</v>
      </c>
      <c r="D435" s="37">
        <v>45915.66671759259</v>
      </c>
      <c r="E435" s="36" t="s">
        <v>97</v>
      </c>
      <c r="F435" s="36" t="s">
        <v>379</v>
      </c>
      <c r="G435" s="36" t="s">
        <v>380</v>
      </c>
      <c r="H435" s="36" t="s">
        <v>381</v>
      </c>
      <c r="I435" s="36" t="s">
        <v>175</v>
      </c>
      <c r="J435" s="36" t="s">
        <v>382</v>
      </c>
      <c r="K435" s="36" t="s">
        <v>177</v>
      </c>
      <c r="L435" s="74">
        <f>VLOOKUP(E435,Diccionario!C$2:AC$150,22,0)</f>
        <v>3691676726</v>
      </c>
      <c r="M435" s="75">
        <f>VLOOKUP(E435,Diccionario!C$2:AC$150,24,0)</f>
        <v>45905</v>
      </c>
      <c r="N435" s="76">
        <f>VLOOKUP(E435,Diccionario!C$2:AC$150,25,0)</f>
        <v>46757</v>
      </c>
      <c r="O435" s="77">
        <f>VLOOKUP(E435,Diccionario!C$2:AC$150,26,0)</f>
        <v>28</v>
      </c>
      <c r="P435" s="77">
        <f t="shared" si="154"/>
        <v>-3</v>
      </c>
      <c r="Q435" s="78">
        <v>25</v>
      </c>
      <c r="R435" s="36">
        <v>23</v>
      </c>
      <c r="S435" s="86">
        <v>0.76666666666666705</v>
      </c>
      <c r="T435" s="86"/>
      <c r="U435" s="82"/>
      <c r="V435" s="82"/>
      <c r="W435" s="82">
        <f t="shared" si="148"/>
        <v>0</v>
      </c>
      <c r="X435" s="82">
        <f t="shared" si="155"/>
        <v>2830285489.9333348</v>
      </c>
      <c r="Y435" s="82">
        <f t="shared" si="149"/>
        <v>0</v>
      </c>
      <c r="Z435" s="82">
        <f t="shared" si="156"/>
        <v>-2830285489.9333348</v>
      </c>
      <c r="AA435" s="83" t="str">
        <f t="shared" si="153"/>
        <v>No se realizó gasto en este corte</v>
      </c>
      <c r="AB435" s="84" t="str">
        <f t="shared" si="157"/>
        <v>Costo eficiente: se está gastando menos de lo presupuestado</v>
      </c>
      <c r="AC435" s="84">
        <f t="shared" si="150"/>
        <v>0</v>
      </c>
      <c r="AD435" s="84" t="str">
        <f t="shared" si="158"/>
        <v>Sin Línea Base</v>
      </c>
      <c r="AE435" s="85">
        <f t="shared" si="151"/>
        <v>0</v>
      </c>
      <c r="AF435" s="85">
        <f t="shared" si="152"/>
        <v>-3691676726</v>
      </c>
      <c r="AG435" s="40" t="str">
        <f>VLOOKUP(Indicador!E435,Diccionario!C$1:AC$150,27,0)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5" s="40">
        <v>1</v>
      </c>
      <c r="AI435" s="40">
        <v>1</v>
      </c>
    </row>
    <row r="436" spans="1:35" ht="18.75" customHeight="1">
      <c r="A436" s="73">
        <v>2027</v>
      </c>
      <c r="B436" s="112" t="s">
        <v>30</v>
      </c>
      <c r="C436" s="36" t="s">
        <v>378</v>
      </c>
      <c r="D436" s="37">
        <v>45915.66671759259</v>
      </c>
      <c r="E436" s="36" t="s">
        <v>97</v>
      </c>
      <c r="F436" s="36" t="s">
        <v>379</v>
      </c>
      <c r="G436" s="36" t="s">
        <v>380</v>
      </c>
      <c r="H436" s="36" t="s">
        <v>381</v>
      </c>
      <c r="I436" s="36" t="s">
        <v>175</v>
      </c>
      <c r="J436" s="36" t="s">
        <v>382</v>
      </c>
      <c r="K436" s="36" t="s">
        <v>177</v>
      </c>
      <c r="L436" s="74">
        <f>VLOOKUP(E436,Diccionario!C$2:AC$150,22,0)</f>
        <v>3691676726</v>
      </c>
      <c r="M436" s="75">
        <f>VLOOKUP(E436,Diccionario!C$2:AC$150,24,0)</f>
        <v>45905</v>
      </c>
      <c r="N436" s="76">
        <f>VLOOKUP(E436,Diccionario!C$2:AC$150,25,0)</f>
        <v>46757</v>
      </c>
      <c r="O436" s="77">
        <f>VLOOKUP(E436,Diccionario!C$2:AC$150,26,0)</f>
        <v>28</v>
      </c>
      <c r="P436" s="77">
        <f t="shared" si="154"/>
        <v>-2</v>
      </c>
      <c r="Q436" s="78">
        <v>26</v>
      </c>
      <c r="R436" s="36">
        <v>23</v>
      </c>
      <c r="S436" s="86">
        <v>0.79666666666666697</v>
      </c>
      <c r="T436" s="86"/>
      <c r="U436" s="82"/>
      <c r="V436" s="82"/>
      <c r="W436" s="82">
        <f t="shared" si="148"/>
        <v>0</v>
      </c>
      <c r="X436" s="82">
        <f t="shared" si="155"/>
        <v>2941035791.7133346</v>
      </c>
      <c r="Y436" s="82">
        <f t="shared" si="149"/>
        <v>0</v>
      </c>
      <c r="Z436" s="82">
        <f t="shared" si="156"/>
        <v>-2941035791.7133346</v>
      </c>
      <c r="AA436" s="83" t="str">
        <f t="shared" si="153"/>
        <v>No se realizó gasto en este corte</v>
      </c>
      <c r="AB436" s="84" t="str">
        <f t="shared" si="157"/>
        <v>Costo eficiente: se está gastando menos de lo presupuestado</v>
      </c>
      <c r="AC436" s="84">
        <f t="shared" si="150"/>
        <v>0</v>
      </c>
      <c r="AD436" s="84" t="str">
        <f t="shared" si="158"/>
        <v>Sin Línea Base</v>
      </c>
      <c r="AE436" s="85">
        <f t="shared" si="151"/>
        <v>0</v>
      </c>
      <c r="AF436" s="85">
        <f t="shared" si="152"/>
        <v>-3691676726</v>
      </c>
      <c r="AG436" s="40" t="str">
        <f>VLOOKUP(Indicador!E436,Diccionario!C$1:AC$150,27,0)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6" s="40">
        <v>1</v>
      </c>
      <c r="AI436" s="40">
        <v>1</v>
      </c>
    </row>
    <row r="437" spans="1:35" ht="18.75" customHeight="1">
      <c r="A437" s="73">
        <v>2027</v>
      </c>
      <c r="B437" s="112" t="s">
        <v>31</v>
      </c>
      <c r="C437" s="36" t="s">
        <v>378</v>
      </c>
      <c r="D437" s="37">
        <v>45915.66671759259</v>
      </c>
      <c r="E437" s="36" t="s">
        <v>97</v>
      </c>
      <c r="F437" s="36" t="s">
        <v>379</v>
      </c>
      <c r="G437" s="36" t="s">
        <v>380</v>
      </c>
      <c r="H437" s="36" t="s">
        <v>381</v>
      </c>
      <c r="I437" s="36" t="s">
        <v>175</v>
      </c>
      <c r="J437" s="36" t="s">
        <v>382</v>
      </c>
      <c r="K437" s="36" t="s">
        <v>177</v>
      </c>
      <c r="L437" s="74">
        <f>VLOOKUP(E437,Diccionario!C$2:AC$150,22,0)</f>
        <v>3691676726</v>
      </c>
      <c r="M437" s="75">
        <f>VLOOKUP(E437,Diccionario!C$2:AC$150,24,0)</f>
        <v>45905</v>
      </c>
      <c r="N437" s="76">
        <f>VLOOKUP(E437,Diccionario!C$2:AC$150,25,0)</f>
        <v>46757</v>
      </c>
      <c r="O437" s="77">
        <f>VLOOKUP(E437,Diccionario!C$2:AC$150,26,0)</f>
        <v>28</v>
      </c>
      <c r="P437" s="77">
        <f t="shared" si="154"/>
        <v>-1</v>
      </c>
      <c r="Q437" s="78">
        <v>27</v>
      </c>
      <c r="R437" s="36">
        <v>23</v>
      </c>
      <c r="S437" s="86">
        <v>0.85</v>
      </c>
      <c r="T437" s="86"/>
      <c r="U437" s="82"/>
      <c r="V437" s="82"/>
      <c r="W437" s="82">
        <f t="shared" si="148"/>
        <v>0</v>
      </c>
      <c r="X437" s="82">
        <f t="shared" si="155"/>
        <v>3137925217.0999999</v>
      </c>
      <c r="Y437" s="82">
        <f t="shared" si="149"/>
        <v>0</v>
      </c>
      <c r="Z437" s="82">
        <f t="shared" si="156"/>
        <v>-3137925217.0999999</v>
      </c>
      <c r="AA437" s="83" t="str">
        <f t="shared" si="153"/>
        <v>No se realizó gasto en este corte</v>
      </c>
      <c r="AB437" s="84" t="str">
        <f t="shared" si="157"/>
        <v>Costo eficiente: se está gastando menos de lo presupuestado</v>
      </c>
      <c r="AC437" s="84">
        <f t="shared" si="150"/>
        <v>0</v>
      </c>
      <c r="AD437" s="84" t="str">
        <f t="shared" si="158"/>
        <v>Sin Línea Base</v>
      </c>
      <c r="AE437" s="85">
        <f t="shared" si="151"/>
        <v>0</v>
      </c>
      <c r="AF437" s="85">
        <f t="shared" si="152"/>
        <v>-3691676726</v>
      </c>
      <c r="AG437" s="40" t="str">
        <f>VLOOKUP(Indicador!E437,Diccionario!C$1:AC$150,27,0)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7" s="40">
        <v>1</v>
      </c>
      <c r="AI437" s="40">
        <v>1</v>
      </c>
    </row>
    <row r="438" spans="1:35" ht="18.75" customHeight="1">
      <c r="A438" s="73">
        <v>2027</v>
      </c>
      <c r="B438" s="112" t="s">
        <v>32</v>
      </c>
      <c r="C438" s="36" t="s">
        <v>378</v>
      </c>
      <c r="D438" s="37">
        <v>45915.66671759259</v>
      </c>
      <c r="E438" s="36" t="s">
        <v>97</v>
      </c>
      <c r="F438" s="36" t="s">
        <v>379</v>
      </c>
      <c r="G438" s="36" t="s">
        <v>380</v>
      </c>
      <c r="H438" s="36" t="s">
        <v>381</v>
      </c>
      <c r="I438" s="36" t="s">
        <v>175</v>
      </c>
      <c r="J438" s="36" t="s">
        <v>382</v>
      </c>
      <c r="K438" s="36" t="s">
        <v>177</v>
      </c>
      <c r="L438" s="74">
        <f>VLOOKUP(E438,Diccionario!C$2:AC$150,22,0)</f>
        <v>3691676726</v>
      </c>
      <c r="M438" s="75">
        <f>VLOOKUP(E438,Diccionario!C$2:AC$150,24,0)</f>
        <v>45905</v>
      </c>
      <c r="N438" s="76">
        <f>VLOOKUP(E438,Diccionario!C$2:AC$150,25,0)</f>
        <v>46757</v>
      </c>
      <c r="O438" s="77">
        <f>VLOOKUP(E438,Diccionario!C$2:AC$150,26,0)</f>
        <v>28</v>
      </c>
      <c r="P438" s="77">
        <f t="shared" si="154"/>
        <v>0</v>
      </c>
      <c r="Q438" s="78">
        <v>28</v>
      </c>
      <c r="R438" s="36">
        <v>23</v>
      </c>
      <c r="S438" s="86">
        <v>0.9</v>
      </c>
      <c r="T438" s="86"/>
      <c r="U438" s="82"/>
      <c r="V438" s="82"/>
      <c r="W438" s="82">
        <f t="shared" si="148"/>
        <v>0</v>
      </c>
      <c r="X438" s="82">
        <f t="shared" si="155"/>
        <v>3322509053.4000001</v>
      </c>
      <c r="Y438" s="82">
        <f t="shared" si="149"/>
        <v>0</v>
      </c>
      <c r="Z438" s="82">
        <f t="shared" si="156"/>
        <v>-3322509053.4000001</v>
      </c>
      <c r="AA438" s="83" t="str">
        <f t="shared" si="153"/>
        <v>No se realizó gasto en este corte</v>
      </c>
      <c r="AB438" s="84" t="str">
        <f t="shared" si="157"/>
        <v>Costo eficiente: se está gastando menos de lo presupuestado</v>
      </c>
      <c r="AC438" s="84">
        <f t="shared" si="150"/>
        <v>0</v>
      </c>
      <c r="AD438" s="84" t="str">
        <f t="shared" si="158"/>
        <v>Sin Línea Base</v>
      </c>
      <c r="AE438" s="85">
        <f t="shared" si="151"/>
        <v>0</v>
      </c>
      <c r="AF438" s="85">
        <f t="shared" si="152"/>
        <v>-3691676726</v>
      </c>
      <c r="AG438" s="40" t="str">
        <f>VLOOKUP(Indicador!E438,Diccionario!C$1:AC$150,27,0)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8" s="40">
        <v>1</v>
      </c>
      <c r="AI438" s="40">
        <v>1</v>
      </c>
    </row>
    <row r="439" spans="1:35" ht="18.75" customHeight="1">
      <c r="A439" s="73">
        <v>2028</v>
      </c>
      <c r="B439" s="112" t="s">
        <v>14</v>
      </c>
      <c r="C439" s="36" t="s">
        <v>378</v>
      </c>
      <c r="D439" s="37">
        <v>45915.66671759259</v>
      </c>
      <c r="E439" s="36" t="s">
        <v>97</v>
      </c>
      <c r="F439" s="36" t="s">
        <v>379</v>
      </c>
      <c r="G439" s="36" t="s">
        <v>380</v>
      </c>
      <c r="H439" s="36" t="s">
        <v>381</v>
      </c>
      <c r="I439" s="36" t="s">
        <v>175</v>
      </c>
      <c r="J439" s="36" t="s">
        <v>382</v>
      </c>
      <c r="K439" s="36" t="s">
        <v>177</v>
      </c>
      <c r="L439" s="74">
        <f>VLOOKUP(E439,Diccionario!C$2:AC$150,22,0)</f>
        <v>3691676726</v>
      </c>
      <c r="M439" s="75">
        <f>VLOOKUP(E439,Diccionario!C$2:AC$150,24,0)</f>
        <v>45905</v>
      </c>
      <c r="N439" s="76">
        <f>VLOOKUP(E439,Diccionario!C$2:AC$150,25,0)</f>
        <v>46757</v>
      </c>
      <c r="O439" s="77">
        <f>VLOOKUP(E439,Diccionario!C$2:AC$150,26,0)</f>
        <v>28</v>
      </c>
      <c r="P439" s="77">
        <f t="shared" si="154"/>
        <v>1</v>
      </c>
      <c r="Q439" s="78">
        <v>29</v>
      </c>
      <c r="R439" s="36">
        <v>23</v>
      </c>
      <c r="S439" s="86">
        <v>1</v>
      </c>
      <c r="T439" s="86"/>
      <c r="U439" s="82"/>
      <c r="V439" s="82"/>
      <c r="W439" s="82">
        <f t="shared" si="148"/>
        <v>0</v>
      </c>
      <c r="X439" s="82">
        <f t="shared" si="155"/>
        <v>3691676726</v>
      </c>
      <c r="Y439" s="82">
        <f t="shared" si="149"/>
        <v>0</v>
      </c>
      <c r="Z439" s="82">
        <f t="shared" si="156"/>
        <v>-3691676726</v>
      </c>
      <c r="AA439" s="83" t="str">
        <f t="shared" si="153"/>
        <v>No se realizó gasto en este corte</v>
      </c>
      <c r="AB439" s="84" t="str">
        <f t="shared" si="157"/>
        <v>Costo eficiente: se está gastando menos de lo presupuestado</v>
      </c>
      <c r="AC439" s="84">
        <f t="shared" si="150"/>
        <v>0</v>
      </c>
      <c r="AD439" s="84" t="str">
        <f t="shared" si="158"/>
        <v>Sin Línea Base</v>
      </c>
      <c r="AE439" s="85">
        <f t="shared" si="151"/>
        <v>0</v>
      </c>
      <c r="AF439" s="85">
        <f t="shared" si="152"/>
        <v>-3691676726</v>
      </c>
      <c r="AG439" s="40" t="str">
        <f>VLOOKUP(Indicador!E439,Diccionario!C$1:AC$150,27,0)</f>
        <v>https://growdatasas.sharepoint.com/:x:/r/sites/Gestiondocumental/Administrativa/GD/Financiera/_layouts/15/Doc.aspx?sourcedoc=%7BDADD2B05-21D9-4686-A901-13FB00FDC4B4%7D&amp;file=MODELO%20FINANCIERO%20ALCALDIA%20DE%20BOGOTA%20PORTAL%20TRANSACCIONAL%2002.09.25%20V9.xlsm&amp;action=default&amp;mobileredirect=true</v>
      </c>
      <c r="AH439" s="40">
        <v>1</v>
      </c>
      <c r="AI439" s="40">
        <v>1</v>
      </c>
    </row>
    <row r="440" spans="1:35" ht="18.75" customHeight="1">
      <c r="A440" s="73">
        <v>2025</v>
      </c>
      <c r="B440" s="112" t="s">
        <v>28</v>
      </c>
      <c r="C440" s="36" t="s">
        <v>383</v>
      </c>
      <c r="D440" s="37">
        <v>45936.739900381945</v>
      </c>
      <c r="E440" s="36" t="s">
        <v>59</v>
      </c>
      <c r="F440" s="36" t="s">
        <v>235</v>
      </c>
      <c r="G440" s="36" t="s">
        <v>384</v>
      </c>
      <c r="H440" s="36" t="s">
        <v>385</v>
      </c>
      <c r="I440" s="36" t="s">
        <v>165</v>
      </c>
      <c r="J440" s="36" t="s">
        <v>386</v>
      </c>
      <c r="K440" s="36" t="s">
        <v>387</v>
      </c>
      <c r="L440" s="74">
        <f>VLOOKUP(E440,Diccionario!C$2:AC$150,22,0)</f>
        <v>1570080349</v>
      </c>
      <c r="M440" s="75">
        <f>VLOOKUP(E440,Diccionario!C$2:AC$150,24,0)</f>
        <v>45915</v>
      </c>
      <c r="N440" s="76">
        <f>VLOOKUP(E440,Diccionario!C$2:AC$150,25,0)</f>
        <v>46006</v>
      </c>
      <c r="O440" s="77">
        <f>VLOOKUP(E440,Diccionario!C$2:AC$150,26,0)</f>
        <v>3</v>
      </c>
      <c r="P440" s="77">
        <f t="shared" si="154"/>
        <v>-2</v>
      </c>
      <c r="Q440" s="78">
        <v>1</v>
      </c>
      <c r="R440" s="36">
        <v>3</v>
      </c>
      <c r="S440" s="86">
        <v>0.25</v>
      </c>
      <c r="T440" s="86">
        <v>0.25</v>
      </c>
      <c r="U440" s="82">
        <v>414602230</v>
      </c>
      <c r="V440" s="82">
        <v>414602230</v>
      </c>
      <c r="W440" s="82">
        <f t="shared" si="148"/>
        <v>392520087.25</v>
      </c>
      <c r="X440" s="82">
        <f t="shared" si="155"/>
        <v>392520087.25</v>
      </c>
      <c r="Y440" s="82">
        <f t="shared" si="149"/>
        <v>-22082142.75</v>
      </c>
      <c r="Z440" s="82">
        <f t="shared" si="156"/>
        <v>0</v>
      </c>
      <c r="AA440" s="83">
        <f t="shared" si="153"/>
        <v>0.94673896773300037</v>
      </c>
      <c r="AB440" s="84" t="str">
        <f t="shared" si="157"/>
        <v>Costo ineficiente: se está gastando más de lo presupuestado</v>
      </c>
      <c r="AC440" s="84">
        <f t="shared" si="150"/>
        <v>1</v>
      </c>
      <c r="AD440" s="84" t="str">
        <f t="shared" si="158"/>
        <v>Proyecto a tiempo según lo planificado</v>
      </c>
      <c r="AE440" s="85">
        <f t="shared" si="151"/>
        <v>1658408920</v>
      </c>
      <c r="AF440" s="85">
        <f t="shared" si="152"/>
        <v>88328571</v>
      </c>
      <c r="AG440" s="40" t="str">
        <f>VLOOKUP(Indicador!E440,Diccionario!C$1:AC$150,27,0)</f>
        <v>https://growdatasas.sharepoint.com/:x:/r/sites/Gestiondocumental/Administrativa/GD/Financiera/_layouts/15/Doc.aspx?sourcedoc=%7B1DB7BB77-F516-4EEA-9E40-1031014F157D%7D&amp;file=MODELO%20FINANCIERO%20CGR%207.10.25%20v3.xlsm&amp;action=default&amp;mobileredirect=true</v>
      </c>
      <c r="AH440" s="40">
        <v>1</v>
      </c>
      <c r="AI440" s="40">
        <v>1</v>
      </c>
    </row>
    <row r="441" spans="1:35" ht="18.75" customHeight="1">
      <c r="A441" s="73">
        <v>2025</v>
      </c>
      <c r="B441" s="112" t="s">
        <v>30</v>
      </c>
      <c r="C441" s="36" t="s">
        <v>383</v>
      </c>
      <c r="D441" s="37">
        <v>45936.739900381945</v>
      </c>
      <c r="E441" s="36" t="s">
        <v>59</v>
      </c>
      <c r="F441" s="36" t="s">
        <v>235</v>
      </c>
      <c r="G441" s="36" t="s">
        <v>384</v>
      </c>
      <c r="H441" s="36" t="s">
        <v>385</v>
      </c>
      <c r="I441" s="36" t="s">
        <v>165</v>
      </c>
      <c r="J441" s="36" t="s">
        <v>386</v>
      </c>
      <c r="K441" s="36" t="s">
        <v>387</v>
      </c>
      <c r="L441" s="74">
        <f>VLOOKUP(E441,Diccionario!C$2:AC$150,22,0)</f>
        <v>1570080349</v>
      </c>
      <c r="M441" s="75">
        <f>VLOOKUP(E441,Diccionario!C$2:AC$150,24,0)</f>
        <v>45915</v>
      </c>
      <c r="N441" s="76">
        <f>VLOOKUP(E441,Diccionario!C$2:AC$150,25,0)</f>
        <v>46006</v>
      </c>
      <c r="O441" s="77">
        <f>VLOOKUP(E441,Diccionario!C$2:AC$150,26,0)</f>
        <v>3</v>
      </c>
      <c r="P441" s="77">
        <f t="shared" si="154"/>
        <v>-1</v>
      </c>
      <c r="Q441" s="78">
        <v>2</v>
      </c>
      <c r="R441" s="36">
        <v>3</v>
      </c>
      <c r="S441" s="86">
        <v>0.5</v>
      </c>
      <c r="T441" s="86">
        <v>0.5</v>
      </c>
      <c r="U441" s="82">
        <v>385159373</v>
      </c>
      <c r="V441" s="82">
        <v>385159373</v>
      </c>
      <c r="W441" s="82">
        <f t="shared" si="148"/>
        <v>785040174.5</v>
      </c>
      <c r="X441" s="82">
        <f t="shared" si="155"/>
        <v>785040174.5</v>
      </c>
      <c r="Y441" s="82">
        <f t="shared" si="149"/>
        <v>399880801.5</v>
      </c>
      <c r="Z441" s="82">
        <f t="shared" si="156"/>
        <v>0</v>
      </c>
      <c r="AA441" s="83">
        <f t="shared" si="153"/>
        <v>2.038221654546104</v>
      </c>
      <c r="AB441" s="84" t="str">
        <f t="shared" si="157"/>
        <v>Costo eficiente: se está gastando menos de lo presupuestado</v>
      </c>
      <c r="AC441" s="84">
        <f t="shared" si="150"/>
        <v>1</v>
      </c>
      <c r="AD441" s="84" t="str">
        <f t="shared" si="158"/>
        <v>Proyecto a tiempo según lo planificado</v>
      </c>
      <c r="AE441" s="85">
        <f t="shared" si="151"/>
        <v>770318746</v>
      </c>
      <c r="AF441" s="85">
        <f t="shared" si="152"/>
        <v>-799761603</v>
      </c>
      <c r="AG441" s="40" t="str">
        <f>VLOOKUP(Indicador!E441,Diccionario!C$1:AC$150,27,0)</f>
        <v>https://growdatasas.sharepoint.com/:x:/r/sites/Gestiondocumental/Administrativa/GD/Financiera/_layouts/15/Doc.aspx?sourcedoc=%7B1DB7BB77-F516-4EEA-9E40-1031014F157D%7D&amp;file=MODELO%20FINANCIERO%20CGR%207.10.25%20v3.xlsm&amp;action=default&amp;mobileredirect=true</v>
      </c>
      <c r="AH441" s="40">
        <v>1</v>
      </c>
      <c r="AI441" s="40">
        <v>1</v>
      </c>
    </row>
    <row r="442" spans="1:35" ht="18.75" customHeight="1">
      <c r="A442" s="73">
        <v>2025</v>
      </c>
      <c r="B442" s="112" t="s">
        <v>31</v>
      </c>
      <c r="C442" s="36" t="s">
        <v>383</v>
      </c>
      <c r="D442" s="37">
        <v>45936.739900381945</v>
      </c>
      <c r="E442" s="36" t="s">
        <v>59</v>
      </c>
      <c r="F442" s="36" t="s">
        <v>235</v>
      </c>
      <c r="G442" s="36" t="s">
        <v>384</v>
      </c>
      <c r="H442" s="36" t="s">
        <v>385</v>
      </c>
      <c r="I442" s="36" t="s">
        <v>165</v>
      </c>
      <c r="J442" s="36" t="s">
        <v>386</v>
      </c>
      <c r="K442" s="36" t="s">
        <v>387</v>
      </c>
      <c r="L442" s="74">
        <f>VLOOKUP(E442,Diccionario!C$2:AC$150,22,0)</f>
        <v>1570080349</v>
      </c>
      <c r="M442" s="75">
        <f>VLOOKUP(E442,Diccionario!C$2:AC$150,24,0)</f>
        <v>45915</v>
      </c>
      <c r="N442" s="76">
        <f>VLOOKUP(E442,Diccionario!C$2:AC$150,25,0)</f>
        <v>46006</v>
      </c>
      <c r="O442" s="77">
        <f>VLOOKUP(E442,Diccionario!C$2:AC$150,26,0)</f>
        <v>3</v>
      </c>
      <c r="P442" s="77">
        <f t="shared" si="154"/>
        <v>0</v>
      </c>
      <c r="Q442" s="78">
        <v>3</v>
      </c>
      <c r="R442" s="36">
        <v>3</v>
      </c>
      <c r="S442" s="86">
        <v>0.75</v>
      </c>
      <c r="T442" s="86">
        <v>0.75</v>
      </c>
      <c r="U442" s="82">
        <v>385159373</v>
      </c>
      <c r="V442" s="82">
        <v>385159373</v>
      </c>
      <c r="W442" s="82">
        <f t="shared" si="148"/>
        <v>1177560261.75</v>
      </c>
      <c r="X442" s="82">
        <f t="shared" si="155"/>
        <v>1177560261.75</v>
      </c>
      <c r="Y442" s="82">
        <f t="shared" si="149"/>
        <v>792400888.75</v>
      </c>
      <c r="Z442" s="82">
        <f t="shared" si="156"/>
        <v>0</v>
      </c>
      <c r="AA442" s="83">
        <f t="shared" si="153"/>
        <v>3.0573324818191558</v>
      </c>
      <c r="AB442" s="84" t="str">
        <f t="shared" si="157"/>
        <v>Costo eficiente: se está gastando menos de lo presupuestado</v>
      </c>
      <c r="AC442" s="84">
        <f t="shared" si="150"/>
        <v>1</v>
      </c>
      <c r="AD442" s="84" t="str">
        <f t="shared" si="158"/>
        <v>Proyecto a tiempo según lo planificado</v>
      </c>
      <c r="AE442" s="85">
        <f t="shared" si="151"/>
        <v>513545830.66666669</v>
      </c>
      <c r="AF442" s="85">
        <f t="shared" si="152"/>
        <v>-1056534518.3333333</v>
      </c>
      <c r="AG442" s="40" t="str">
        <f>VLOOKUP(Indicador!E442,Diccionario!C$1:AC$150,27,0)</f>
        <v>https://growdatasas.sharepoint.com/:x:/r/sites/Gestiondocumental/Administrativa/GD/Financiera/_layouts/15/Doc.aspx?sourcedoc=%7B1DB7BB77-F516-4EEA-9E40-1031014F157D%7D&amp;file=MODELO%20FINANCIERO%20CGR%207.10.25%20v3.xlsm&amp;action=default&amp;mobileredirect=true</v>
      </c>
      <c r="AH442" s="40">
        <v>1</v>
      </c>
      <c r="AI442" s="40">
        <v>1</v>
      </c>
    </row>
    <row r="443" spans="1:35" ht="18.75" customHeight="1">
      <c r="A443" s="73">
        <v>2025</v>
      </c>
      <c r="B443" s="112" t="s">
        <v>32</v>
      </c>
      <c r="C443" s="36" t="s">
        <v>383</v>
      </c>
      <c r="D443" s="37">
        <v>45936.739900381945</v>
      </c>
      <c r="E443" s="36" t="s">
        <v>59</v>
      </c>
      <c r="F443" s="36" t="s">
        <v>235</v>
      </c>
      <c r="G443" s="36" t="s">
        <v>384</v>
      </c>
      <c r="H443" s="36" t="s">
        <v>385</v>
      </c>
      <c r="I443" s="36" t="s">
        <v>165</v>
      </c>
      <c r="J443" s="36" t="s">
        <v>386</v>
      </c>
      <c r="K443" s="36" t="s">
        <v>387</v>
      </c>
      <c r="L443" s="74">
        <f>VLOOKUP(E443,Diccionario!C$2:AC$150,22,0)</f>
        <v>1570080349</v>
      </c>
      <c r="M443" s="75">
        <f>VLOOKUP(E443,Diccionario!C$2:AC$150,24,0)</f>
        <v>45915</v>
      </c>
      <c r="N443" s="76">
        <f>VLOOKUP(E443,Diccionario!C$2:AC$150,25,0)</f>
        <v>46006</v>
      </c>
      <c r="O443" s="77">
        <f>VLOOKUP(E443,Diccionario!C$2:AC$150,26,0)</f>
        <v>3</v>
      </c>
      <c r="P443" s="77">
        <f t="shared" si="154"/>
        <v>1</v>
      </c>
      <c r="Q443" s="78">
        <v>4</v>
      </c>
      <c r="R443" s="36">
        <v>3</v>
      </c>
      <c r="S443" s="86">
        <v>1</v>
      </c>
      <c r="T443" s="86">
        <v>1</v>
      </c>
      <c r="U443" s="82">
        <v>385159373</v>
      </c>
      <c r="V443" s="82">
        <v>385159373</v>
      </c>
      <c r="W443" s="82">
        <f t="shared" si="148"/>
        <v>1570080349</v>
      </c>
      <c r="X443" s="82">
        <f t="shared" si="155"/>
        <v>1570080349</v>
      </c>
      <c r="Y443" s="82">
        <f t="shared" si="149"/>
        <v>1184920976</v>
      </c>
      <c r="Z443" s="82">
        <f t="shared" si="156"/>
        <v>0</v>
      </c>
      <c r="AA443" s="83">
        <f t="shared" si="153"/>
        <v>4.0764433090922081</v>
      </c>
      <c r="AB443" s="84" t="str">
        <f t="shared" si="157"/>
        <v>Costo eficiente: se está gastando menos de lo presupuestado</v>
      </c>
      <c r="AC443" s="84">
        <f t="shared" si="150"/>
        <v>1</v>
      </c>
      <c r="AD443" s="84" t="str">
        <f t="shared" si="158"/>
        <v>Proyecto a tiempo según lo planificado</v>
      </c>
      <c r="AE443" s="85">
        <f t="shared" si="151"/>
        <v>385159373</v>
      </c>
      <c r="AF443" s="85">
        <f t="shared" si="152"/>
        <v>-1184920976</v>
      </c>
      <c r="AG443" s="40" t="str">
        <f>VLOOKUP(Indicador!E443,Diccionario!C$1:AC$150,27,0)</f>
        <v>https://growdatasas.sharepoint.com/:x:/r/sites/Gestiondocumental/Administrativa/GD/Financiera/_layouts/15/Doc.aspx?sourcedoc=%7B1DB7BB77-F516-4EEA-9E40-1031014F157D%7D&amp;file=MODELO%20FINANCIERO%20CGR%207.10.25%20v3.xlsm&amp;action=default&amp;mobileredirect=true</v>
      </c>
      <c r="AH443" s="40">
        <v>1</v>
      </c>
      <c r="AI443" s="40">
        <v>1</v>
      </c>
    </row>
    <row r="444" spans="1:35" ht="18.75" customHeight="1">
      <c r="A444" s="73">
        <v>2025</v>
      </c>
      <c r="B444" s="112" t="s">
        <v>30</v>
      </c>
      <c r="C444" s="36" t="s">
        <v>388</v>
      </c>
      <c r="D444" s="37">
        <v>45971.801761840281</v>
      </c>
      <c r="E444" s="36" t="s">
        <v>91</v>
      </c>
      <c r="F444" s="36" t="s">
        <v>389</v>
      </c>
      <c r="G444" s="88" t="s">
        <v>390</v>
      </c>
      <c r="H444" s="36" t="s">
        <v>391</v>
      </c>
      <c r="I444" s="36" t="s">
        <v>152</v>
      </c>
      <c r="J444" s="36" t="s">
        <v>392</v>
      </c>
      <c r="K444" s="36" t="s">
        <v>177</v>
      </c>
      <c r="L444" s="74">
        <f>VLOOKUP(E444,Diccionario!C$2:AC$150,22,0)</f>
        <v>4420115772</v>
      </c>
      <c r="M444" s="75">
        <f>VLOOKUP(E444,Diccionario!C$2:AC$150,24,0)</f>
        <v>45931</v>
      </c>
      <c r="N444" s="76">
        <f>VLOOKUP(E444,Diccionario!C$2:AC$150,25,0)</f>
        <v>46172</v>
      </c>
      <c r="O444" s="77">
        <f>VLOOKUP(E444,Diccionario!C$2:AC$150,26,0)</f>
        <v>7.97</v>
      </c>
      <c r="P444" s="77">
        <f t="shared" si="154"/>
        <v>-6.97</v>
      </c>
      <c r="Q444" s="78">
        <v>1</v>
      </c>
      <c r="R444" s="36">
        <v>8</v>
      </c>
      <c r="S444" s="86">
        <v>0.1</v>
      </c>
      <c r="T444" s="86">
        <v>0.1</v>
      </c>
      <c r="U444" s="82">
        <v>74335965</v>
      </c>
      <c r="V444" s="82">
        <v>74335965</v>
      </c>
      <c r="W444" s="82">
        <f t="shared" si="148"/>
        <v>442011577.20000005</v>
      </c>
      <c r="X444" s="82">
        <f t="shared" si="155"/>
        <v>442011577.20000005</v>
      </c>
      <c r="Y444" s="82">
        <f t="shared" si="149"/>
        <v>367675612.20000005</v>
      </c>
      <c r="Z444" s="82">
        <f t="shared" si="156"/>
        <v>0</v>
      </c>
      <c r="AA444" s="83">
        <f t="shared" si="153"/>
        <v>5.9461335734324567</v>
      </c>
      <c r="AB444" s="84" t="str">
        <f t="shared" si="157"/>
        <v>Costo eficiente: se está gastando menos de lo presupuestado</v>
      </c>
      <c r="AC444" s="84">
        <f t="shared" si="150"/>
        <v>1</v>
      </c>
      <c r="AD444" s="84" t="str">
        <f t="shared" si="158"/>
        <v>Proyecto a tiempo según lo planificado</v>
      </c>
      <c r="AE444" s="85">
        <f t="shared" si="151"/>
        <v>743359650</v>
      </c>
      <c r="AF444" s="85">
        <f t="shared" si="152"/>
        <v>-3676756122</v>
      </c>
      <c r="AG444" s="40" t="str">
        <f>VLOOKUP(Indicador!E444,Diccionario!C$1:AC$150,27,0)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44" s="40">
        <v>1</v>
      </c>
      <c r="AI444" s="40">
        <v>1</v>
      </c>
    </row>
    <row r="445" spans="1:35" ht="18.75" customHeight="1">
      <c r="A445" s="73">
        <v>2025</v>
      </c>
      <c r="B445" s="112" t="s">
        <v>31</v>
      </c>
      <c r="C445" s="36" t="s">
        <v>388</v>
      </c>
      <c r="D445" s="37">
        <v>45971.801761840281</v>
      </c>
      <c r="E445" s="36" t="s">
        <v>91</v>
      </c>
      <c r="F445" s="36" t="s">
        <v>389</v>
      </c>
      <c r="G445" s="88" t="s">
        <v>390</v>
      </c>
      <c r="H445" s="36" t="s">
        <v>391</v>
      </c>
      <c r="I445" s="36" t="s">
        <v>152</v>
      </c>
      <c r="J445" s="36" t="s">
        <v>392</v>
      </c>
      <c r="K445" s="36" t="s">
        <v>177</v>
      </c>
      <c r="L445" s="74">
        <f>VLOOKUP(E445,Diccionario!C$2:AC$150,22,0)</f>
        <v>4420115772</v>
      </c>
      <c r="M445" s="75">
        <f>VLOOKUP(E445,Diccionario!C$2:AC$150,24,0)</f>
        <v>45931</v>
      </c>
      <c r="N445" s="76">
        <f>VLOOKUP(E445,Diccionario!C$2:AC$150,25,0)</f>
        <v>46172</v>
      </c>
      <c r="O445" s="77">
        <f>VLOOKUP(E445,Diccionario!C$2:AC$150,26,0)</f>
        <v>7.97</v>
      </c>
      <c r="P445" s="77">
        <f t="shared" si="154"/>
        <v>-5.97</v>
      </c>
      <c r="Q445" s="78">
        <v>2</v>
      </c>
      <c r="R445" s="36">
        <v>8</v>
      </c>
      <c r="S445" s="86">
        <v>0.25</v>
      </c>
      <c r="T445" s="86">
        <v>0.25</v>
      </c>
      <c r="U445" s="82">
        <v>216533795</v>
      </c>
      <c r="V445" s="82">
        <v>216533795</v>
      </c>
      <c r="W445" s="82">
        <f t="shared" si="148"/>
        <v>1105028943</v>
      </c>
      <c r="X445" s="82">
        <f t="shared" si="155"/>
        <v>1105028943</v>
      </c>
      <c r="Y445" s="82">
        <f t="shared" si="149"/>
        <v>888495148</v>
      </c>
      <c r="Z445" s="82">
        <f t="shared" si="156"/>
        <v>0</v>
      </c>
      <c r="AA445" s="83">
        <f t="shared" si="153"/>
        <v>5.1032631788492875</v>
      </c>
      <c r="AB445" s="84" t="str">
        <f t="shared" si="157"/>
        <v>Costo eficiente: se está gastando menos de lo presupuestado</v>
      </c>
      <c r="AC445" s="84">
        <f t="shared" si="150"/>
        <v>1</v>
      </c>
      <c r="AD445" s="84" t="str">
        <f t="shared" si="158"/>
        <v>Proyecto a tiempo según lo planificado</v>
      </c>
      <c r="AE445" s="85">
        <f t="shared" si="151"/>
        <v>866135180</v>
      </c>
      <c r="AF445" s="85">
        <f t="shared" si="152"/>
        <v>-3553980592</v>
      </c>
      <c r="AG445" s="40" t="str">
        <f>VLOOKUP(Indicador!E445,Diccionario!C$1:AC$150,27,0)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45" s="40">
        <v>1</v>
      </c>
      <c r="AI445" s="40">
        <v>1</v>
      </c>
    </row>
    <row r="446" spans="1:35" ht="18.75" customHeight="1">
      <c r="A446" s="73">
        <v>2025</v>
      </c>
      <c r="B446" s="112" t="s">
        <v>32</v>
      </c>
      <c r="C446" s="36" t="s">
        <v>388</v>
      </c>
      <c r="D446" s="37">
        <v>45971.801761840281</v>
      </c>
      <c r="E446" s="36" t="s">
        <v>91</v>
      </c>
      <c r="F446" s="36" t="s">
        <v>389</v>
      </c>
      <c r="G446" s="88" t="s">
        <v>390</v>
      </c>
      <c r="H446" s="36" t="s">
        <v>391</v>
      </c>
      <c r="I446" s="36" t="s">
        <v>152</v>
      </c>
      <c r="J446" s="36" t="s">
        <v>392</v>
      </c>
      <c r="K446" s="36" t="s">
        <v>177</v>
      </c>
      <c r="L446" s="74">
        <f>VLOOKUP(E446,Diccionario!C$2:AC$150,22,0)</f>
        <v>4420115772</v>
      </c>
      <c r="M446" s="75">
        <f>VLOOKUP(E446,Diccionario!C$2:AC$150,24,0)</f>
        <v>45931</v>
      </c>
      <c r="N446" s="76">
        <f>VLOOKUP(E446,Diccionario!C$2:AC$150,25,0)</f>
        <v>46172</v>
      </c>
      <c r="O446" s="77">
        <f>VLOOKUP(E446,Diccionario!C$2:AC$150,26,0)</f>
        <v>7.97</v>
      </c>
      <c r="P446" s="77">
        <f t="shared" si="154"/>
        <v>-4.97</v>
      </c>
      <c r="Q446" s="78">
        <v>3</v>
      </c>
      <c r="R446" s="36">
        <v>8</v>
      </c>
      <c r="S446" s="86">
        <v>0.37</v>
      </c>
      <c r="T446" s="86">
        <v>0.37</v>
      </c>
      <c r="U446" s="82">
        <v>2664565868</v>
      </c>
      <c r="V446" s="82">
        <v>2664565868</v>
      </c>
      <c r="W446" s="82">
        <f t="shared" si="148"/>
        <v>1635442835.6399999</v>
      </c>
      <c r="X446" s="82">
        <f t="shared" si="155"/>
        <v>1635442835.6399999</v>
      </c>
      <c r="Y446" s="82">
        <f t="shared" si="149"/>
        <v>-1029123032.3600001</v>
      </c>
      <c r="Z446" s="82">
        <f t="shared" si="156"/>
        <v>0</v>
      </c>
      <c r="AA446" s="83">
        <f t="shared" si="153"/>
        <v>0.61377459468380458</v>
      </c>
      <c r="AB446" s="84" t="str">
        <f t="shared" si="157"/>
        <v>Costo ineficiente: se está gastando más de lo presupuestado</v>
      </c>
      <c r="AC446" s="84">
        <f t="shared" si="150"/>
        <v>1</v>
      </c>
      <c r="AD446" s="84" t="str">
        <f t="shared" si="158"/>
        <v>Proyecto a tiempo según lo planificado</v>
      </c>
      <c r="AE446" s="85">
        <f t="shared" si="151"/>
        <v>7201529372.9729729</v>
      </c>
      <c r="AF446" s="85">
        <f t="shared" si="152"/>
        <v>2781413600.9729729</v>
      </c>
      <c r="AG446" s="40" t="str">
        <f>VLOOKUP(Indicador!E446,Diccionario!C$1:AC$150,27,0)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46" s="40">
        <v>1</v>
      </c>
      <c r="AI446" s="40">
        <v>1</v>
      </c>
    </row>
    <row r="447" spans="1:35" ht="18.75" customHeight="1">
      <c r="A447" s="73">
        <v>2026</v>
      </c>
      <c r="B447" s="112" t="s">
        <v>14</v>
      </c>
      <c r="C447" s="36" t="s">
        <v>388</v>
      </c>
      <c r="D447" s="37">
        <v>45971.801761840281</v>
      </c>
      <c r="E447" s="36" t="s">
        <v>91</v>
      </c>
      <c r="F447" s="36" t="s">
        <v>389</v>
      </c>
      <c r="G447" s="88" t="s">
        <v>390</v>
      </c>
      <c r="H447" s="36" t="s">
        <v>391</v>
      </c>
      <c r="I447" s="36" t="s">
        <v>152</v>
      </c>
      <c r="J447" s="36" t="s">
        <v>392</v>
      </c>
      <c r="K447" s="36" t="s">
        <v>177</v>
      </c>
      <c r="L447" s="74">
        <f>VLOOKUP(E447,Diccionario!C$2:AC$150,22,0)</f>
        <v>4420115772</v>
      </c>
      <c r="M447" s="75">
        <f>VLOOKUP(E447,Diccionario!C$2:AC$150,24,0)</f>
        <v>45931</v>
      </c>
      <c r="N447" s="76">
        <f>VLOOKUP(E447,Diccionario!C$2:AC$150,25,0)</f>
        <v>46172</v>
      </c>
      <c r="O447" s="77">
        <f>VLOOKUP(E447,Diccionario!C$2:AC$150,26,0)</f>
        <v>7.97</v>
      </c>
      <c r="P447" s="77">
        <f t="shared" si="154"/>
        <v>-3.9699999999999998</v>
      </c>
      <c r="Q447" s="78">
        <v>4</v>
      </c>
      <c r="R447" s="36">
        <v>8</v>
      </c>
      <c r="S447" s="86">
        <v>0.48</v>
      </c>
      <c r="T447" s="86">
        <v>0.48</v>
      </c>
      <c r="U447" s="82">
        <v>1464680145</v>
      </c>
      <c r="V447" s="82">
        <v>1464680145</v>
      </c>
      <c r="W447" s="82">
        <f t="shared" si="148"/>
        <v>2121655570.5599999</v>
      </c>
      <c r="X447" s="82">
        <f t="shared" si="155"/>
        <v>2121655570.5599999</v>
      </c>
      <c r="Y447" s="82">
        <f t="shared" si="149"/>
        <v>656975425.55999994</v>
      </c>
      <c r="Z447" s="82">
        <f t="shared" si="156"/>
        <v>0</v>
      </c>
      <c r="AA447" s="83">
        <f t="shared" si="153"/>
        <v>1.4485453208352188</v>
      </c>
      <c r="AB447" s="84" t="str">
        <f t="shared" si="157"/>
        <v>Costo eficiente: se está gastando menos de lo presupuestado</v>
      </c>
      <c r="AC447" s="84">
        <f t="shared" si="150"/>
        <v>1</v>
      </c>
      <c r="AD447" s="84" t="str">
        <f t="shared" si="158"/>
        <v>Proyecto a tiempo según lo planificado</v>
      </c>
      <c r="AE447" s="85">
        <f t="shared" si="151"/>
        <v>3051416968.7500005</v>
      </c>
      <c r="AF447" s="85">
        <f t="shared" si="152"/>
        <v>-1368698803.2499995</v>
      </c>
      <c r="AG447" s="40" t="str">
        <f>VLOOKUP(Indicador!E447,Diccionario!C$1:AC$150,27,0)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47" s="40">
        <v>1</v>
      </c>
      <c r="AI447" s="40">
        <v>1</v>
      </c>
    </row>
    <row r="448" spans="1:35" ht="18.75" customHeight="1">
      <c r="A448" s="73">
        <v>2026</v>
      </c>
      <c r="B448" s="112" t="s">
        <v>22</v>
      </c>
      <c r="C448" s="36" t="s">
        <v>388</v>
      </c>
      <c r="D448" s="37">
        <v>45971.801761840281</v>
      </c>
      <c r="E448" s="36" t="s">
        <v>91</v>
      </c>
      <c r="F448" s="36" t="s">
        <v>389</v>
      </c>
      <c r="G448" s="88" t="s">
        <v>390</v>
      </c>
      <c r="H448" s="36" t="s">
        <v>391</v>
      </c>
      <c r="I448" s="36" t="s">
        <v>152</v>
      </c>
      <c r="J448" s="36" t="s">
        <v>392</v>
      </c>
      <c r="K448" s="36" t="s">
        <v>177</v>
      </c>
      <c r="L448" s="74">
        <f>VLOOKUP(E448,Diccionario!C$2:AC$150,22,0)</f>
        <v>4420115772</v>
      </c>
      <c r="M448" s="75">
        <f>VLOOKUP(E448,Diccionario!C$2:AC$150,24,0)</f>
        <v>45931</v>
      </c>
      <c r="N448" s="76">
        <f>VLOOKUP(E448,Diccionario!C$2:AC$150,25,0)</f>
        <v>46172</v>
      </c>
      <c r="O448" s="77">
        <f>VLOOKUP(E448,Diccionario!C$2:AC$150,26,0)</f>
        <v>7.97</v>
      </c>
      <c r="P448" s="77">
        <f t="shared" si="154"/>
        <v>-2.9699999999999998</v>
      </c>
      <c r="Q448" s="78">
        <v>5</v>
      </c>
      <c r="R448" s="36">
        <v>8</v>
      </c>
      <c r="S448" s="86">
        <v>0.52</v>
      </c>
      <c r="T448" s="86"/>
      <c r="U448" s="82"/>
      <c r="V448" s="82"/>
      <c r="W448" s="82">
        <f t="shared" si="148"/>
        <v>0</v>
      </c>
      <c r="X448" s="82">
        <f t="shared" si="155"/>
        <v>2298460201.4400001</v>
      </c>
      <c r="Y448" s="82">
        <f t="shared" si="149"/>
        <v>0</v>
      </c>
      <c r="Z448" s="82">
        <f t="shared" si="156"/>
        <v>-2298460201.4400001</v>
      </c>
      <c r="AA448" s="83" t="str">
        <f t="shared" si="153"/>
        <v>No se realizó gasto en este corte</v>
      </c>
      <c r="AB448" s="84" t="str">
        <f t="shared" si="157"/>
        <v>Costo eficiente: se está gastando menos de lo presupuestado</v>
      </c>
      <c r="AC448" s="84">
        <f t="shared" si="150"/>
        <v>0</v>
      </c>
      <c r="AD448" s="84" t="str">
        <f t="shared" si="158"/>
        <v>Sin Línea Base</v>
      </c>
      <c r="AE448" s="85">
        <f t="shared" si="151"/>
        <v>0</v>
      </c>
      <c r="AF448" s="85">
        <f t="shared" si="152"/>
        <v>-4420115772</v>
      </c>
      <c r="AG448" s="40" t="str">
        <f>VLOOKUP(Indicador!E448,Diccionario!C$1:AC$150,27,0)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48" s="40">
        <v>1</v>
      </c>
      <c r="AI448" s="40">
        <v>1</v>
      </c>
    </row>
    <row r="449" spans="1:35" ht="18.75" customHeight="1">
      <c r="A449" s="73">
        <v>2026</v>
      </c>
      <c r="B449" s="112" t="s">
        <v>24</v>
      </c>
      <c r="C449" s="36" t="s">
        <v>388</v>
      </c>
      <c r="D449" s="37">
        <v>45971.801761840281</v>
      </c>
      <c r="E449" s="36" t="s">
        <v>91</v>
      </c>
      <c r="F449" s="36" t="s">
        <v>389</v>
      </c>
      <c r="G449" s="88" t="s">
        <v>390</v>
      </c>
      <c r="H449" s="36" t="s">
        <v>391</v>
      </c>
      <c r="I449" s="36" t="s">
        <v>152</v>
      </c>
      <c r="J449" s="36" t="s">
        <v>392</v>
      </c>
      <c r="K449" s="36" t="s">
        <v>177</v>
      </c>
      <c r="L449" s="74">
        <f>VLOOKUP(E449,Diccionario!C$2:AC$150,22,0)</f>
        <v>4420115772</v>
      </c>
      <c r="M449" s="75">
        <f>VLOOKUP(E449,Diccionario!C$2:AC$150,24,0)</f>
        <v>45931</v>
      </c>
      <c r="N449" s="76">
        <f>VLOOKUP(E449,Diccionario!C$2:AC$150,25,0)</f>
        <v>46172</v>
      </c>
      <c r="O449" s="77">
        <f>VLOOKUP(E449,Diccionario!C$2:AC$150,26,0)</f>
        <v>7.97</v>
      </c>
      <c r="P449" s="77">
        <f t="shared" si="154"/>
        <v>-1.9699999999999998</v>
      </c>
      <c r="Q449" s="78">
        <v>6</v>
      </c>
      <c r="R449" s="36">
        <v>8</v>
      </c>
      <c r="S449" s="86">
        <v>0.75</v>
      </c>
      <c r="T449" s="86"/>
      <c r="U449" s="82"/>
      <c r="V449" s="82"/>
      <c r="W449" s="82">
        <f t="shared" si="148"/>
        <v>0</v>
      </c>
      <c r="X449" s="82">
        <f t="shared" si="155"/>
        <v>3315086829</v>
      </c>
      <c r="Y449" s="82">
        <f t="shared" si="149"/>
        <v>0</v>
      </c>
      <c r="Z449" s="82">
        <f t="shared" si="156"/>
        <v>-3315086829</v>
      </c>
      <c r="AA449" s="83" t="str">
        <f t="shared" si="153"/>
        <v>No se realizó gasto en este corte</v>
      </c>
      <c r="AB449" s="84" t="str">
        <f t="shared" si="157"/>
        <v>Costo eficiente: se está gastando menos de lo presupuestado</v>
      </c>
      <c r="AC449" s="84">
        <f t="shared" si="150"/>
        <v>0</v>
      </c>
      <c r="AD449" s="84" t="str">
        <f t="shared" si="158"/>
        <v>Sin Línea Base</v>
      </c>
      <c r="AE449" s="85">
        <f t="shared" si="151"/>
        <v>0</v>
      </c>
      <c r="AF449" s="85">
        <f t="shared" si="152"/>
        <v>-4420115772</v>
      </c>
      <c r="AG449" s="40" t="str">
        <f>VLOOKUP(Indicador!E449,Diccionario!C$1:AC$150,27,0)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49" s="40">
        <v>1</v>
      </c>
      <c r="AI449" s="40">
        <v>1</v>
      </c>
    </row>
    <row r="450" spans="1:35" ht="18.75" customHeight="1">
      <c r="A450" s="73">
        <v>2026</v>
      </c>
      <c r="B450" s="112" t="s">
        <v>27</v>
      </c>
      <c r="C450" s="36" t="s">
        <v>388</v>
      </c>
      <c r="D450" s="37">
        <v>45971.801761840281</v>
      </c>
      <c r="E450" s="36" t="s">
        <v>91</v>
      </c>
      <c r="F450" s="36" t="s">
        <v>389</v>
      </c>
      <c r="G450" s="88" t="s">
        <v>390</v>
      </c>
      <c r="H450" s="36" t="s">
        <v>391</v>
      </c>
      <c r="I450" s="36" t="s">
        <v>152</v>
      </c>
      <c r="J450" s="36" t="s">
        <v>392</v>
      </c>
      <c r="K450" s="36" t="s">
        <v>177</v>
      </c>
      <c r="L450" s="74">
        <f>VLOOKUP(E450,Diccionario!C$2:AC$150,22,0)</f>
        <v>4420115772</v>
      </c>
      <c r="M450" s="75">
        <f>VLOOKUP(E450,Diccionario!C$2:AC$150,24,0)</f>
        <v>45931</v>
      </c>
      <c r="N450" s="76">
        <f>VLOOKUP(E450,Diccionario!C$2:AC$150,25,0)</f>
        <v>46172</v>
      </c>
      <c r="O450" s="77">
        <f>VLOOKUP(E450,Diccionario!C$2:AC$150,26,0)</f>
        <v>7.97</v>
      </c>
      <c r="P450" s="77">
        <f t="shared" si="154"/>
        <v>-0.96999999999999975</v>
      </c>
      <c r="Q450" s="78">
        <v>7</v>
      </c>
      <c r="R450" s="36">
        <v>8</v>
      </c>
      <c r="S450" s="86">
        <v>0.85</v>
      </c>
      <c r="T450" s="86"/>
      <c r="U450" s="82"/>
      <c r="V450" s="82"/>
      <c r="W450" s="82">
        <f t="shared" ref="W450:W513" si="159">IFERROR(T450*L450,0)</f>
        <v>0</v>
      </c>
      <c r="X450" s="82">
        <f t="shared" si="155"/>
        <v>3757098406.1999998</v>
      </c>
      <c r="Y450" s="82">
        <f t="shared" ref="Y450:Y513" si="160">IFERROR(W450-U450,0)</f>
        <v>0</v>
      </c>
      <c r="Z450" s="82">
        <f t="shared" si="156"/>
        <v>-3757098406.1999998</v>
      </c>
      <c r="AA450" s="83" t="str">
        <f t="shared" si="153"/>
        <v>No se realizó gasto en este corte</v>
      </c>
      <c r="AB450" s="84" t="str">
        <f t="shared" si="157"/>
        <v>Costo eficiente: se está gastando menos de lo presupuestado</v>
      </c>
      <c r="AC450" s="84">
        <f t="shared" ref="AC450:AC513" si="161">IFERROR(W450/X450,0)</f>
        <v>0</v>
      </c>
      <c r="AD450" s="84" t="str">
        <f t="shared" si="158"/>
        <v>Sin Línea Base</v>
      </c>
      <c r="AE450" s="85">
        <f t="shared" ref="AE450:AE513" si="162">IFERROR(L450/AA450,0)</f>
        <v>0</v>
      </c>
      <c r="AF450" s="85">
        <f t="shared" ref="AF450:AF513" si="163">IFERROR(AE450-L450,0)</f>
        <v>-4420115772</v>
      </c>
      <c r="AG450" s="40" t="str">
        <f>VLOOKUP(Indicador!E450,Diccionario!C$1:AC$150,27,0)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50" s="40">
        <v>1</v>
      </c>
      <c r="AI450" s="40">
        <v>1</v>
      </c>
    </row>
    <row r="451" spans="1:35" ht="18.75" customHeight="1">
      <c r="A451" s="73">
        <v>2026</v>
      </c>
      <c r="B451" s="112" t="s">
        <v>13</v>
      </c>
      <c r="C451" s="36" t="s">
        <v>388</v>
      </c>
      <c r="D451" s="37">
        <v>45971.801761840281</v>
      </c>
      <c r="E451" s="36" t="s">
        <v>91</v>
      </c>
      <c r="F451" s="36" t="s">
        <v>389</v>
      </c>
      <c r="G451" s="88" t="s">
        <v>390</v>
      </c>
      <c r="H451" s="36" t="s">
        <v>391</v>
      </c>
      <c r="I451" s="36" t="s">
        <v>152</v>
      </c>
      <c r="J451" s="36" t="s">
        <v>392</v>
      </c>
      <c r="K451" s="36" t="s">
        <v>177</v>
      </c>
      <c r="L451" s="74">
        <f>VLOOKUP(E451,Diccionario!C$2:AC$150,22,0)</f>
        <v>4420115772</v>
      </c>
      <c r="M451" s="75">
        <f>VLOOKUP(E451,Diccionario!C$2:AC$150,24,0)</f>
        <v>45931</v>
      </c>
      <c r="N451" s="76">
        <f>VLOOKUP(E451,Diccionario!C$2:AC$150,25,0)</f>
        <v>46172</v>
      </c>
      <c r="O451" s="77">
        <f>VLOOKUP(E451,Diccionario!C$2:AC$150,26,0)</f>
        <v>7.97</v>
      </c>
      <c r="P451" s="77">
        <f t="shared" si="154"/>
        <v>3.0000000000000249E-2</v>
      </c>
      <c r="Q451" s="78">
        <v>8</v>
      </c>
      <c r="R451" s="36">
        <v>8</v>
      </c>
      <c r="S451" s="86">
        <v>1</v>
      </c>
      <c r="T451" s="86"/>
      <c r="U451" s="82"/>
      <c r="V451" s="82"/>
      <c r="W451" s="82">
        <f t="shared" si="159"/>
        <v>0</v>
      </c>
      <c r="X451" s="82">
        <f t="shared" si="155"/>
        <v>4420115772</v>
      </c>
      <c r="Y451" s="82">
        <f t="shared" si="160"/>
        <v>0</v>
      </c>
      <c r="Z451" s="82">
        <f t="shared" si="156"/>
        <v>-4420115772</v>
      </c>
      <c r="AA451" s="83" t="str">
        <f t="shared" si="153"/>
        <v>No se realizó gasto en este corte</v>
      </c>
      <c r="AB451" s="84" t="str">
        <f t="shared" si="157"/>
        <v>Costo eficiente: se está gastando menos de lo presupuestado</v>
      </c>
      <c r="AC451" s="84">
        <f t="shared" si="161"/>
        <v>0</v>
      </c>
      <c r="AD451" s="84" t="str">
        <f t="shared" si="158"/>
        <v>Sin Línea Base</v>
      </c>
      <c r="AE451" s="85">
        <f t="shared" si="162"/>
        <v>0</v>
      </c>
      <c r="AF451" s="85">
        <f t="shared" si="163"/>
        <v>-4420115772</v>
      </c>
      <c r="AG451" s="40" t="str">
        <f>VLOOKUP(Indicador!E451,Diccionario!C$1:AC$150,27,0)</f>
        <v>https://growdatasas.sharepoint.com/:x:/r/sites/Gestiondocumental/Administrativa/GD/Financiera/_layouts/15/Doc.aspx?sourcedoc=%7BBD7E6B05-C8DF-4CE6-95B4-3ED6B2F351D2%7D&amp;file=MODELO%20FINANCIERO%20SUMINISTRO%20HCI%20CANCILLER%C3%8DA%20-%20GROW%20DATA%20-%20Consolidado.xlsm&amp;action=default&amp;mobileredirect=true</v>
      </c>
      <c r="AH451" s="40">
        <v>1</v>
      </c>
      <c r="AI451" s="40">
        <v>1</v>
      </c>
    </row>
    <row r="452" spans="1:35" ht="18.75" customHeight="1">
      <c r="A452" s="98">
        <v>2025</v>
      </c>
      <c r="B452" s="113" t="s">
        <v>30</v>
      </c>
      <c r="C452" s="97" t="s">
        <v>393</v>
      </c>
      <c r="D452" s="99">
        <v>45932.853839039351</v>
      </c>
      <c r="E452" s="97" t="s">
        <v>101</v>
      </c>
      <c r="F452" s="36" t="s">
        <v>149</v>
      </c>
      <c r="G452" s="36" t="s">
        <v>394</v>
      </c>
      <c r="H452" s="36" t="s">
        <v>395</v>
      </c>
      <c r="I452" s="36" t="s">
        <v>152</v>
      </c>
      <c r="J452" s="36" t="s">
        <v>396</v>
      </c>
      <c r="K452" s="36" t="s">
        <v>339</v>
      </c>
      <c r="L452" s="74">
        <f>VLOOKUP(E452,Diccionario!C$2:AC$150,22,0)</f>
        <v>131114560</v>
      </c>
      <c r="M452" s="75">
        <f>VLOOKUP(E452,Diccionario!C$2:AC$150,24,0)</f>
        <v>45931</v>
      </c>
      <c r="N452" s="76">
        <f>VLOOKUP(E452,Diccionario!C$2:AC$150,25,0)</f>
        <v>47391</v>
      </c>
      <c r="O452" s="77">
        <f>VLOOKUP(E452,Diccionario!C$2:AC$150,26,0)</f>
        <v>47.97</v>
      </c>
      <c r="P452" s="77">
        <f t="shared" si="154"/>
        <v>-46.97</v>
      </c>
      <c r="Q452" s="78">
        <v>1</v>
      </c>
      <c r="R452" s="36">
        <v>48</v>
      </c>
      <c r="S452" s="86">
        <v>0.85</v>
      </c>
      <c r="T452" s="86">
        <v>0.85</v>
      </c>
      <c r="U452" s="82">
        <v>130801762</v>
      </c>
      <c r="V452" s="82">
        <v>130801762</v>
      </c>
      <c r="W452" s="82">
        <f t="shared" si="159"/>
        <v>111447376</v>
      </c>
      <c r="X452" s="82">
        <f t="shared" si="155"/>
        <v>111447376</v>
      </c>
      <c r="Y452" s="82">
        <f t="shared" si="160"/>
        <v>-19354386</v>
      </c>
      <c r="Z452" s="82">
        <f t="shared" si="156"/>
        <v>0</v>
      </c>
      <c r="AA452" s="83">
        <f t="shared" si="153"/>
        <v>0.85203268133345178</v>
      </c>
      <c r="AB452" s="84" t="str">
        <f t="shared" si="157"/>
        <v>Costo ineficiente: se está gastando más de lo presupuestado</v>
      </c>
      <c r="AC452" s="84">
        <f t="shared" si="161"/>
        <v>1</v>
      </c>
      <c r="AD452" s="84" t="str">
        <f t="shared" si="158"/>
        <v>Proyecto a tiempo según lo planificado</v>
      </c>
      <c r="AE452" s="85">
        <f t="shared" si="162"/>
        <v>153884425.88235295</v>
      </c>
      <c r="AF452" s="85">
        <f t="shared" si="163"/>
        <v>22769865.882352948</v>
      </c>
      <c r="AG452" s="40" t="str">
        <f>VLOOKUP(Indicador!E452,Diccionario!C$1:AC$150,27,0)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2" s="40">
        <v>1</v>
      </c>
      <c r="AI452" s="40">
        <v>1</v>
      </c>
    </row>
    <row r="453" spans="1:35" ht="18.75" customHeight="1">
      <c r="A453" s="98">
        <v>2025</v>
      </c>
      <c r="B453" s="113" t="s">
        <v>31</v>
      </c>
      <c r="C453" s="97" t="s">
        <v>393</v>
      </c>
      <c r="D453" s="99">
        <v>45932.853839039351</v>
      </c>
      <c r="E453" s="97" t="s">
        <v>101</v>
      </c>
      <c r="F453" s="36" t="s">
        <v>149</v>
      </c>
      <c r="G453" s="36" t="s">
        <v>394</v>
      </c>
      <c r="H453" s="36" t="s">
        <v>395</v>
      </c>
      <c r="I453" s="36" t="s">
        <v>152</v>
      </c>
      <c r="J453" s="36" t="s">
        <v>396</v>
      </c>
      <c r="K453" s="36" t="s">
        <v>339</v>
      </c>
      <c r="L453" s="74">
        <f>VLOOKUP(E453,Diccionario!C$2:AC$150,22,0)</f>
        <v>131114560</v>
      </c>
      <c r="M453" s="75">
        <f>VLOOKUP(E453,Diccionario!C$2:AC$150,24,0)</f>
        <v>45931</v>
      </c>
      <c r="N453" s="76">
        <f>VLOOKUP(E453,Diccionario!C$2:AC$150,25,0)</f>
        <v>47391</v>
      </c>
      <c r="O453" s="77">
        <f>VLOOKUP(E453,Diccionario!C$2:AC$150,26,0)</f>
        <v>47.97</v>
      </c>
      <c r="P453" s="77">
        <f t="shared" si="154"/>
        <v>-45.97</v>
      </c>
      <c r="Q453" s="78">
        <v>2</v>
      </c>
      <c r="R453" s="36">
        <v>48</v>
      </c>
      <c r="S453" s="86">
        <v>0.99</v>
      </c>
      <c r="T453" s="86">
        <v>0.99</v>
      </c>
      <c r="U453" s="82">
        <v>312798</v>
      </c>
      <c r="V453" s="82">
        <v>312798</v>
      </c>
      <c r="W453" s="82">
        <f t="shared" si="159"/>
        <v>129803414.40000001</v>
      </c>
      <c r="X453" s="82">
        <f t="shared" si="155"/>
        <v>129803414.40000001</v>
      </c>
      <c r="Y453" s="82">
        <f t="shared" si="160"/>
        <v>129490616.40000001</v>
      </c>
      <c r="Z453" s="82">
        <f t="shared" si="156"/>
        <v>0</v>
      </c>
      <c r="AA453" s="83">
        <f t="shared" si="153"/>
        <v>414.97520572382177</v>
      </c>
      <c r="AB453" s="84" t="str">
        <f t="shared" si="157"/>
        <v>Costo eficiente: se está gastando menos de lo presupuestado</v>
      </c>
      <c r="AC453" s="84">
        <f t="shared" si="161"/>
        <v>1</v>
      </c>
      <c r="AD453" s="84" t="str">
        <f t="shared" si="158"/>
        <v>Proyecto a tiempo según lo planificado</v>
      </c>
      <c r="AE453" s="85">
        <f t="shared" si="162"/>
        <v>315957.57575757575</v>
      </c>
      <c r="AF453" s="85">
        <f t="shared" si="163"/>
        <v>-130798602.42424242</v>
      </c>
      <c r="AG453" s="40" t="str">
        <f>VLOOKUP(Indicador!E453,Diccionario!C$1:AC$150,27,0)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3" s="40">
        <v>1</v>
      </c>
      <c r="AI453" s="40">
        <v>1</v>
      </c>
    </row>
    <row r="454" spans="1:35" ht="18.75" customHeight="1">
      <c r="A454" s="98">
        <v>2025</v>
      </c>
      <c r="B454" s="113" t="s">
        <v>32</v>
      </c>
      <c r="C454" s="97" t="s">
        <v>393</v>
      </c>
      <c r="D454" s="99">
        <v>45932.853839039351</v>
      </c>
      <c r="E454" s="97" t="s">
        <v>101</v>
      </c>
      <c r="F454" s="36" t="s">
        <v>149</v>
      </c>
      <c r="G454" s="36" t="s">
        <v>394</v>
      </c>
      <c r="H454" s="36" t="s">
        <v>395</v>
      </c>
      <c r="I454" s="36" t="s">
        <v>152</v>
      </c>
      <c r="J454" s="36" t="s">
        <v>396</v>
      </c>
      <c r="K454" s="36" t="s">
        <v>339</v>
      </c>
      <c r="L454" s="74">
        <f>VLOOKUP(E454,Diccionario!C$2:AC$150,22,0)</f>
        <v>131114560</v>
      </c>
      <c r="M454" s="75">
        <f>VLOOKUP(E454,Diccionario!C$2:AC$150,24,0)</f>
        <v>45931</v>
      </c>
      <c r="N454" s="76">
        <f>VLOOKUP(E454,Diccionario!C$2:AC$150,25,0)</f>
        <v>47391</v>
      </c>
      <c r="O454" s="77">
        <f>VLOOKUP(E454,Diccionario!C$2:AC$150,26,0)</f>
        <v>47.97</v>
      </c>
      <c r="P454" s="77">
        <f t="shared" si="154"/>
        <v>-44.97</v>
      </c>
      <c r="Q454" s="78">
        <v>3</v>
      </c>
      <c r="R454" s="36">
        <v>48</v>
      </c>
      <c r="S454" s="86">
        <v>0.99009999999999998</v>
      </c>
      <c r="T454" s="86">
        <v>0.99009999999999998</v>
      </c>
      <c r="U454" s="82"/>
      <c r="V454" s="82"/>
      <c r="W454" s="82">
        <f t="shared" si="159"/>
        <v>129816525.85599999</v>
      </c>
      <c r="X454" s="82">
        <f t="shared" si="155"/>
        <v>129816525.85599999</v>
      </c>
      <c r="Y454" s="82">
        <f t="shared" si="160"/>
        <v>129816525.85599999</v>
      </c>
      <c r="Z454" s="82">
        <f t="shared" si="156"/>
        <v>0</v>
      </c>
      <c r="AA454" s="83" t="str">
        <f t="shared" si="153"/>
        <v>No se realizó gasto en este corte</v>
      </c>
      <c r="AB454" s="84" t="str">
        <f t="shared" si="157"/>
        <v>Costo eficiente: se está gastando menos de lo presupuestado</v>
      </c>
      <c r="AC454" s="84">
        <f t="shared" si="161"/>
        <v>1</v>
      </c>
      <c r="AD454" s="84" t="str">
        <f t="shared" si="158"/>
        <v>Proyecto a tiempo según lo planificado</v>
      </c>
      <c r="AE454" s="85">
        <f t="shared" si="162"/>
        <v>0</v>
      </c>
      <c r="AF454" s="85">
        <f t="shared" si="163"/>
        <v>-131114560</v>
      </c>
      <c r="AG454" s="40" t="str">
        <f>VLOOKUP(Indicador!E454,Diccionario!C$1:AC$150,27,0)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4" s="40">
        <v>1</v>
      </c>
      <c r="AI454" s="40">
        <v>1</v>
      </c>
    </row>
    <row r="455" spans="1:35" ht="18.75" customHeight="1">
      <c r="A455" s="98">
        <v>2026</v>
      </c>
      <c r="B455" s="113" t="s">
        <v>14</v>
      </c>
      <c r="C455" s="97" t="s">
        <v>393</v>
      </c>
      <c r="D455" s="99">
        <v>45932.853839039351</v>
      </c>
      <c r="E455" s="97" t="s">
        <v>101</v>
      </c>
      <c r="F455" s="36" t="s">
        <v>149</v>
      </c>
      <c r="G455" s="36" t="s">
        <v>394</v>
      </c>
      <c r="H455" s="36" t="s">
        <v>395</v>
      </c>
      <c r="I455" s="36" t="s">
        <v>152</v>
      </c>
      <c r="J455" s="36" t="s">
        <v>396</v>
      </c>
      <c r="K455" s="36" t="s">
        <v>339</v>
      </c>
      <c r="L455" s="74">
        <f>VLOOKUP(E455,Diccionario!C$2:AC$150,22,0)</f>
        <v>131114560</v>
      </c>
      <c r="M455" s="75">
        <f>VLOOKUP(E455,Diccionario!C$2:AC$150,24,0)</f>
        <v>45931</v>
      </c>
      <c r="N455" s="76">
        <f>VLOOKUP(E455,Diccionario!C$2:AC$150,25,0)</f>
        <v>47391</v>
      </c>
      <c r="O455" s="77">
        <f>VLOOKUP(E455,Diccionario!C$2:AC$150,26,0)</f>
        <v>47.97</v>
      </c>
      <c r="P455" s="77">
        <f t="shared" si="154"/>
        <v>-43.97</v>
      </c>
      <c r="Q455" s="78">
        <v>4</v>
      </c>
      <c r="R455" s="36">
        <v>48</v>
      </c>
      <c r="S455" s="86">
        <v>0.99019999999999997</v>
      </c>
      <c r="T455" s="86">
        <v>0.99019999999999997</v>
      </c>
      <c r="U455" s="82"/>
      <c r="V455" s="82"/>
      <c r="W455" s="82">
        <f t="shared" si="159"/>
        <v>129829637.31199999</v>
      </c>
      <c r="X455" s="82">
        <f t="shared" si="155"/>
        <v>129829637.31199999</v>
      </c>
      <c r="Y455" s="82">
        <f t="shared" si="160"/>
        <v>129829637.31199999</v>
      </c>
      <c r="Z455" s="82">
        <f t="shared" si="156"/>
        <v>0</v>
      </c>
      <c r="AA455" s="83" t="str">
        <f t="shared" si="153"/>
        <v>No se realizó gasto en este corte</v>
      </c>
      <c r="AB455" s="84" t="str">
        <f t="shared" si="157"/>
        <v>Costo eficiente: se está gastando menos de lo presupuestado</v>
      </c>
      <c r="AC455" s="84">
        <f t="shared" si="161"/>
        <v>1</v>
      </c>
      <c r="AD455" s="84" t="str">
        <f t="shared" si="158"/>
        <v>Proyecto a tiempo según lo planificado</v>
      </c>
      <c r="AE455" s="85">
        <f t="shared" si="162"/>
        <v>0</v>
      </c>
      <c r="AF455" s="85">
        <f t="shared" si="163"/>
        <v>-131114560</v>
      </c>
      <c r="AG455" s="40" t="str">
        <f>VLOOKUP(Indicador!E455,Diccionario!C$1:AC$150,27,0)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5" s="40">
        <v>1</v>
      </c>
      <c r="AI455" s="40">
        <v>1</v>
      </c>
    </row>
    <row r="456" spans="1:35" ht="18.75" customHeight="1">
      <c r="A456" s="98">
        <v>2026</v>
      </c>
      <c r="B456" s="113" t="s">
        <v>22</v>
      </c>
      <c r="C456" s="97" t="s">
        <v>393</v>
      </c>
      <c r="D456" s="99">
        <v>45932.853839039351</v>
      </c>
      <c r="E456" s="97" t="s">
        <v>101</v>
      </c>
      <c r="F456" s="36" t="s">
        <v>149</v>
      </c>
      <c r="G456" s="36" t="s">
        <v>394</v>
      </c>
      <c r="H456" s="36" t="s">
        <v>395</v>
      </c>
      <c r="I456" s="36" t="s">
        <v>152</v>
      </c>
      <c r="J456" s="36" t="s">
        <v>396</v>
      </c>
      <c r="K456" s="36" t="s">
        <v>339</v>
      </c>
      <c r="L456" s="74">
        <f>VLOOKUP(E456,Diccionario!C$2:AC$150,22,0)</f>
        <v>131114560</v>
      </c>
      <c r="M456" s="75">
        <f>VLOOKUP(E456,Diccionario!C$2:AC$150,24,0)</f>
        <v>45931</v>
      </c>
      <c r="N456" s="76">
        <f>VLOOKUP(E456,Diccionario!C$2:AC$150,25,0)</f>
        <v>47391</v>
      </c>
      <c r="O456" s="77">
        <f>VLOOKUP(E456,Diccionario!C$2:AC$150,26,0)</f>
        <v>47.97</v>
      </c>
      <c r="P456" s="77">
        <f t="shared" si="154"/>
        <v>-42.97</v>
      </c>
      <c r="Q456" s="78">
        <v>5</v>
      </c>
      <c r="R456" s="36">
        <v>48</v>
      </c>
      <c r="S456" s="86">
        <v>0.99029999999999996</v>
      </c>
      <c r="T456" s="86"/>
      <c r="U456" s="82"/>
      <c r="V456" s="82"/>
      <c r="W456" s="82">
        <f t="shared" si="159"/>
        <v>0</v>
      </c>
      <c r="X456" s="82">
        <f t="shared" si="155"/>
        <v>129842748.76799999</v>
      </c>
      <c r="Y456" s="82">
        <f t="shared" si="160"/>
        <v>0</v>
      </c>
      <c r="Z456" s="82">
        <f t="shared" si="156"/>
        <v>-129842748.76799999</v>
      </c>
      <c r="AA456" s="83" t="str">
        <f t="shared" si="153"/>
        <v>No se realizó gasto en este corte</v>
      </c>
      <c r="AB456" s="84" t="str">
        <f t="shared" si="157"/>
        <v>Costo eficiente: se está gastando menos de lo presupuestado</v>
      </c>
      <c r="AC456" s="84">
        <f t="shared" si="161"/>
        <v>0</v>
      </c>
      <c r="AD456" s="84" t="str">
        <f t="shared" si="158"/>
        <v>Sin Línea Base</v>
      </c>
      <c r="AE456" s="85">
        <f t="shared" si="162"/>
        <v>0</v>
      </c>
      <c r="AF456" s="85">
        <f t="shared" si="163"/>
        <v>-131114560</v>
      </c>
      <c r="AG456" s="40" t="str">
        <f>VLOOKUP(Indicador!E456,Diccionario!C$1:AC$150,27,0)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6" s="40">
        <v>1</v>
      </c>
      <c r="AI456" s="40">
        <v>1</v>
      </c>
    </row>
    <row r="457" spans="1:35" ht="18.75" customHeight="1">
      <c r="A457" s="98">
        <v>2026</v>
      </c>
      <c r="B457" s="113" t="s">
        <v>24</v>
      </c>
      <c r="C457" s="97" t="s">
        <v>393</v>
      </c>
      <c r="D457" s="99">
        <v>45932.853839039351</v>
      </c>
      <c r="E457" s="97" t="s">
        <v>101</v>
      </c>
      <c r="F457" s="36" t="s">
        <v>149</v>
      </c>
      <c r="G457" s="36" t="s">
        <v>394</v>
      </c>
      <c r="H457" s="36" t="s">
        <v>395</v>
      </c>
      <c r="I457" s="36" t="s">
        <v>152</v>
      </c>
      <c r="J457" s="36" t="s">
        <v>396</v>
      </c>
      <c r="K457" s="36" t="s">
        <v>339</v>
      </c>
      <c r="L457" s="74">
        <f>VLOOKUP(E457,Diccionario!C$2:AC$150,22,0)</f>
        <v>131114560</v>
      </c>
      <c r="M457" s="75">
        <f>VLOOKUP(E457,Diccionario!C$2:AC$150,24,0)</f>
        <v>45931</v>
      </c>
      <c r="N457" s="76">
        <f>VLOOKUP(E457,Diccionario!C$2:AC$150,25,0)</f>
        <v>47391</v>
      </c>
      <c r="O457" s="77">
        <f>VLOOKUP(E457,Diccionario!C$2:AC$150,26,0)</f>
        <v>47.97</v>
      </c>
      <c r="P457" s="77">
        <f t="shared" si="154"/>
        <v>-41.97</v>
      </c>
      <c r="Q457" s="78">
        <v>6</v>
      </c>
      <c r="R457" s="36">
        <v>48</v>
      </c>
      <c r="S457" s="86">
        <v>0.99039999999999995</v>
      </c>
      <c r="T457" s="86"/>
      <c r="U457" s="82"/>
      <c r="V457" s="82"/>
      <c r="W457" s="82">
        <f t="shared" si="159"/>
        <v>0</v>
      </c>
      <c r="X457" s="82">
        <f t="shared" si="155"/>
        <v>129855860.22399999</v>
      </c>
      <c r="Y457" s="82">
        <f t="shared" si="160"/>
        <v>0</v>
      </c>
      <c r="Z457" s="82">
        <f t="shared" si="156"/>
        <v>-129855860.22399999</v>
      </c>
      <c r="AA457" s="83" t="str">
        <f t="shared" si="153"/>
        <v>No se realizó gasto en este corte</v>
      </c>
      <c r="AB457" s="84" t="str">
        <f t="shared" si="157"/>
        <v>Costo eficiente: se está gastando menos de lo presupuestado</v>
      </c>
      <c r="AC457" s="84">
        <f t="shared" si="161"/>
        <v>0</v>
      </c>
      <c r="AD457" s="84" t="str">
        <f t="shared" si="158"/>
        <v>Sin Línea Base</v>
      </c>
      <c r="AE457" s="85">
        <f t="shared" si="162"/>
        <v>0</v>
      </c>
      <c r="AF457" s="85">
        <f t="shared" si="163"/>
        <v>-131114560</v>
      </c>
      <c r="AG457" s="40" t="str">
        <f>VLOOKUP(Indicador!E457,Diccionario!C$1:AC$150,27,0)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7" s="40">
        <v>1</v>
      </c>
      <c r="AI457" s="40">
        <v>1</v>
      </c>
    </row>
    <row r="458" spans="1:35" ht="18.75" customHeight="1">
      <c r="A458" s="98">
        <v>2026</v>
      </c>
      <c r="B458" s="113" t="s">
        <v>27</v>
      </c>
      <c r="C458" s="97" t="s">
        <v>393</v>
      </c>
      <c r="D458" s="99">
        <v>45932.853839039351</v>
      </c>
      <c r="E458" s="97" t="s">
        <v>101</v>
      </c>
      <c r="F458" s="36" t="s">
        <v>149</v>
      </c>
      <c r="G458" s="36" t="s">
        <v>394</v>
      </c>
      <c r="H458" s="36" t="s">
        <v>395</v>
      </c>
      <c r="I458" s="36" t="s">
        <v>152</v>
      </c>
      <c r="J458" s="36" t="s">
        <v>396</v>
      </c>
      <c r="K458" s="36" t="s">
        <v>339</v>
      </c>
      <c r="L458" s="74">
        <f>VLOOKUP(E458,Diccionario!C$2:AC$150,22,0)</f>
        <v>131114560</v>
      </c>
      <c r="M458" s="75">
        <f>VLOOKUP(E458,Diccionario!C$2:AC$150,24,0)</f>
        <v>45931</v>
      </c>
      <c r="N458" s="76">
        <f>VLOOKUP(E458,Diccionario!C$2:AC$150,25,0)</f>
        <v>47391</v>
      </c>
      <c r="O458" s="77">
        <f>VLOOKUP(E458,Diccionario!C$2:AC$150,26,0)</f>
        <v>47.97</v>
      </c>
      <c r="P458" s="77">
        <f t="shared" si="154"/>
        <v>-40.97</v>
      </c>
      <c r="Q458" s="78">
        <v>7</v>
      </c>
      <c r="R458" s="36">
        <v>48</v>
      </c>
      <c r="S458" s="86">
        <v>0.99050000000000005</v>
      </c>
      <c r="T458" s="86"/>
      <c r="U458" s="82"/>
      <c r="V458" s="82"/>
      <c r="W458" s="82">
        <f t="shared" si="159"/>
        <v>0</v>
      </c>
      <c r="X458" s="82">
        <f t="shared" si="155"/>
        <v>129868971.68000001</v>
      </c>
      <c r="Y458" s="82">
        <f t="shared" si="160"/>
        <v>0</v>
      </c>
      <c r="Z458" s="82">
        <f t="shared" si="156"/>
        <v>-129868971.68000001</v>
      </c>
      <c r="AA458" s="83" t="str">
        <f t="shared" si="153"/>
        <v>No se realizó gasto en este corte</v>
      </c>
      <c r="AB458" s="84" t="str">
        <f t="shared" si="157"/>
        <v>Costo eficiente: se está gastando menos de lo presupuestado</v>
      </c>
      <c r="AC458" s="84">
        <f t="shared" si="161"/>
        <v>0</v>
      </c>
      <c r="AD458" s="84" t="str">
        <f t="shared" si="158"/>
        <v>Sin Línea Base</v>
      </c>
      <c r="AE458" s="85">
        <f t="shared" si="162"/>
        <v>0</v>
      </c>
      <c r="AF458" s="85">
        <f t="shared" si="163"/>
        <v>-131114560</v>
      </c>
      <c r="AG458" s="40" t="str">
        <f>VLOOKUP(Indicador!E458,Diccionario!C$1:AC$150,27,0)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8" s="40">
        <v>1</v>
      </c>
      <c r="AI458" s="40">
        <v>1</v>
      </c>
    </row>
    <row r="459" spans="1:35" ht="18.75" customHeight="1">
      <c r="A459" s="98">
        <v>2026</v>
      </c>
      <c r="B459" s="113" t="s">
        <v>13</v>
      </c>
      <c r="C459" s="97" t="s">
        <v>393</v>
      </c>
      <c r="D459" s="99">
        <v>45932.853839039351</v>
      </c>
      <c r="E459" s="97" t="s">
        <v>101</v>
      </c>
      <c r="F459" s="36" t="s">
        <v>149</v>
      </c>
      <c r="G459" s="36" t="s">
        <v>394</v>
      </c>
      <c r="H459" s="36" t="s">
        <v>395</v>
      </c>
      <c r="I459" s="36" t="s">
        <v>152</v>
      </c>
      <c r="J459" s="36" t="s">
        <v>396</v>
      </c>
      <c r="K459" s="36" t="s">
        <v>339</v>
      </c>
      <c r="L459" s="74">
        <f>VLOOKUP(E459,Diccionario!C$2:AC$150,22,0)</f>
        <v>131114560</v>
      </c>
      <c r="M459" s="75">
        <f>VLOOKUP(E459,Diccionario!C$2:AC$150,24,0)</f>
        <v>45931</v>
      </c>
      <c r="N459" s="76">
        <f>VLOOKUP(E459,Diccionario!C$2:AC$150,25,0)</f>
        <v>47391</v>
      </c>
      <c r="O459" s="77">
        <f>VLOOKUP(E459,Diccionario!C$2:AC$150,26,0)</f>
        <v>47.97</v>
      </c>
      <c r="P459" s="77">
        <f t="shared" si="154"/>
        <v>-39.97</v>
      </c>
      <c r="Q459" s="78">
        <v>8</v>
      </c>
      <c r="R459" s="36">
        <v>48</v>
      </c>
      <c r="S459" s="86">
        <v>0.99060000000000004</v>
      </c>
      <c r="T459" s="86"/>
      <c r="U459" s="82"/>
      <c r="V459" s="82"/>
      <c r="W459" s="82">
        <f t="shared" si="159"/>
        <v>0</v>
      </c>
      <c r="X459" s="82">
        <f t="shared" si="155"/>
        <v>129882083.13600001</v>
      </c>
      <c r="Y459" s="82">
        <f t="shared" si="160"/>
        <v>0</v>
      </c>
      <c r="Z459" s="82">
        <f t="shared" si="156"/>
        <v>-129882083.13600001</v>
      </c>
      <c r="AA459" s="83" t="str">
        <f t="shared" si="153"/>
        <v>No se realizó gasto en este corte</v>
      </c>
      <c r="AB459" s="84" t="str">
        <f t="shared" si="157"/>
        <v>Costo eficiente: se está gastando menos de lo presupuestado</v>
      </c>
      <c r="AC459" s="84">
        <f t="shared" si="161"/>
        <v>0</v>
      </c>
      <c r="AD459" s="84" t="str">
        <f t="shared" si="158"/>
        <v>Sin Línea Base</v>
      </c>
      <c r="AE459" s="85">
        <f t="shared" si="162"/>
        <v>0</v>
      </c>
      <c r="AF459" s="85">
        <f t="shared" si="163"/>
        <v>-131114560</v>
      </c>
      <c r="AG459" s="40" t="str">
        <f>VLOOKUP(Indicador!E459,Diccionario!C$1:AC$150,27,0)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59" s="40">
        <v>1</v>
      </c>
      <c r="AI459" s="40">
        <v>1</v>
      </c>
    </row>
    <row r="460" spans="1:35" ht="18.75" customHeight="1">
      <c r="A460" s="98">
        <v>2026</v>
      </c>
      <c r="B460" s="113" t="s">
        <v>21</v>
      </c>
      <c r="C460" s="97" t="s">
        <v>393</v>
      </c>
      <c r="D460" s="99">
        <v>45932.853839039351</v>
      </c>
      <c r="E460" s="97" t="s">
        <v>101</v>
      </c>
      <c r="F460" s="36" t="s">
        <v>149</v>
      </c>
      <c r="G460" s="36" t="s">
        <v>394</v>
      </c>
      <c r="H460" s="36" t="s">
        <v>395</v>
      </c>
      <c r="I460" s="36" t="s">
        <v>152</v>
      </c>
      <c r="J460" s="36" t="s">
        <v>396</v>
      </c>
      <c r="K460" s="36" t="s">
        <v>339</v>
      </c>
      <c r="L460" s="74">
        <f>VLOOKUP(E460,Diccionario!C$2:AC$150,22,0)</f>
        <v>131114560</v>
      </c>
      <c r="M460" s="75">
        <f>VLOOKUP(E460,Diccionario!C$2:AC$150,24,0)</f>
        <v>45931</v>
      </c>
      <c r="N460" s="76">
        <f>VLOOKUP(E460,Diccionario!C$2:AC$150,25,0)</f>
        <v>47391</v>
      </c>
      <c r="O460" s="77">
        <f>VLOOKUP(E460,Diccionario!C$2:AC$150,26,0)</f>
        <v>47.97</v>
      </c>
      <c r="P460" s="77">
        <f t="shared" si="154"/>
        <v>-38.97</v>
      </c>
      <c r="Q460" s="78">
        <v>9</v>
      </c>
      <c r="R460" s="36">
        <v>48</v>
      </c>
      <c r="S460" s="86">
        <v>0.99070000000000003</v>
      </c>
      <c r="T460" s="86"/>
      <c r="U460" s="82"/>
      <c r="V460" s="82"/>
      <c r="W460" s="82">
        <f t="shared" si="159"/>
        <v>0</v>
      </c>
      <c r="X460" s="82">
        <f t="shared" si="155"/>
        <v>129895194.59200001</v>
      </c>
      <c r="Y460" s="82">
        <f t="shared" si="160"/>
        <v>0</v>
      </c>
      <c r="Z460" s="82">
        <f t="shared" si="156"/>
        <v>-129895194.59200001</v>
      </c>
      <c r="AA460" s="83" t="str">
        <f t="shared" ref="AA460:AA523" si="164">IFERROR(W460/U460,"No se realizó gasto en este corte")</f>
        <v>No se realizó gasto en este corte</v>
      </c>
      <c r="AB460" s="84" t="str">
        <f t="shared" si="157"/>
        <v>Costo eficiente: se está gastando menos de lo presupuestado</v>
      </c>
      <c r="AC460" s="84">
        <f t="shared" si="161"/>
        <v>0</v>
      </c>
      <c r="AD460" s="84" t="str">
        <f t="shared" si="158"/>
        <v>Sin Línea Base</v>
      </c>
      <c r="AE460" s="85">
        <f t="shared" si="162"/>
        <v>0</v>
      </c>
      <c r="AF460" s="85">
        <f t="shared" si="163"/>
        <v>-131114560</v>
      </c>
      <c r="AG460" s="40" t="str">
        <f>VLOOKUP(Indicador!E460,Diccionario!C$1:AC$150,27,0)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0" s="40">
        <v>1</v>
      </c>
      <c r="AI460" s="40">
        <v>1</v>
      </c>
    </row>
    <row r="461" spans="1:35" ht="18.75" customHeight="1">
      <c r="A461" s="98">
        <v>2026</v>
      </c>
      <c r="B461" s="113" t="s">
        <v>23</v>
      </c>
      <c r="C461" s="97" t="s">
        <v>393</v>
      </c>
      <c r="D461" s="99">
        <v>45932.853839039351</v>
      </c>
      <c r="E461" s="97" t="s">
        <v>101</v>
      </c>
      <c r="F461" s="36" t="s">
        <v>149</v>
      </c>
      <c r="G461" s="36" t="s">
        <v>394</v>
      </c>
      <c r="H461" s="36" t="s">
        <v>395</v>
      </c>
      <c r="I461" s="36" t="s">
        <v>152</v>
      </c>
      <c r="J461" s="36" t="s">
        <v>396</v>
      </c>
      <c r="K461" s="36" t="s">
        <v>339</v>
      </c>
      <c r="L461" s="74">
        <f>VLOOKUP(E461,Diccionario!C$2:AC$150,22,0)</f>
        <v>131114560</v>
      </c>
      <c r="M461" s="75">
        <f>VLOOKUP(E461,Diccionario!C$2:AC$150,24,0)</f>
        <v>45931</v>
      </c>
      <c r="N461" s="76">
        <f>VLOOKUP(E461,Diccionario!C$2:AC$150,25,0)</f>
        <v>47391</v>
      </c>
      <c r="O461" s="77">
        <f>VLOOKUP(E461,Diccionario!C$2:AC$150,26,0)</f>
        <v>47.97</v>
      </c>
      <c r="P461" s="77">
        <f t="shared" si="154"/>
        <v>-37.97</v>
      </c>
      <c r="Q461" s="78">
        <v>10</v>
      </c>
      <c r="R461" s="36">
        <v>48</v>
      </c>
      <c r="S461" s="86">
        <v>0.99080000000000001</v>
      </c>
      <c r="T461" s="86"/>
      <c r="U461" s="82"/>
      <c r="V461" s="82"/>
      <c r="W461" s="82">
        <f t="shared" si="159"/>
        <v>0</v>
      </c>
      <c r="X461" s="82">
        <f t="shared" si="155"/>
        <v>129908306.04800001</v>
      </c>
      <c r="Y461" s="82">
        <f t="shared" si="160"/>
        <v>0</v>
      </c>
      <c r="Z461" s="82">
        <f t="shared" si="156"/>
        <v>-129908306.04800001</v>
      </c>
      <c r="AA461" s="83" t="str">
        <f t="shared" si="164"/>
        <v>No se realizó gasto en este corte</v>
      </c>
      <c r="AB461" s="84" t="str">
        <f t="shared" si="157"/>
        <v>Costo eficiente: se está gastando menos de lo presupuestado</v>
      </c>
      <c r="AC461" s="84">
        <f t="shared" si="161"/>
        <v>0</v>
      </c>
      <c r="AD461" s="84" t="str">
        <f t="shared" si="158"/>
        <v>Sin Línea Base</v>
      </c>
      <c r="AE461" s="85">
        <f t="shared" si="162"/>
        <v>0</v>
      </c>
      <c r="AF461" s="85">
        <f t="shared" si="163"/>
        <v>-131114560</v>
      </c>
      <c r="AG461" s="40" t="str">
        <f>VLOOKUP(Indicador!E461,Diccionario!C$1:AC$150,27,0)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1" s="40">
        <v>1</v>
      </c>
      <c r="AI461" s="40">
        <v>1</v>
      </c>
    </row>
    <row r="462" spans="1:35" ht="18.75" customHeight="1">
      <c r="A462" s="98">
        <v>2026</v>
      </c>
      <c r="B462" s="113" t="s">
        <v>26</v>
      </c>
      <c r="C462" s="97" t="s">
        <v>393</v>
      </c>
      <c r="D462" s="99">
        <v>45932.853839039351</v>
      </c>
      <c r="E462" s="97" t="s">
        <v>101</v>
      </c>
      <c r="F462" s="36" t="s">
        <v>149</v>
      </c>
      <c r="G462" s="36" t="s">
        <v>394</v>
      </c>
      <c r="H462" s="36" t="s">
        <v>395</v>
      </c>
      <c r="I462" s="36" t="s">
        <v>152</v>
      </c>
      <c r="J462" s="36" t="s">
        <v>396</v>
      </c>
      <c r="K462" s="36" t="s">
        <v>339</v>
      </c>
      <c r="L462" s="74">
        <f>VLOOKUP(E462,Diccionario!C$2:AC$150,22,0)</f>
        <v>131114560</v>
      </c>
      <c r="M462" s="75">
        <f>VLOOKUP(E462,Diccionario!C$2:AC$150,24,0)</f>
        <v>45931</v>
      </c>
      <c r="N462" s="76">
        <f>VLOOKUP(E462,Diccionario!C$2:AC$150,25,0)</f>
        <v>47391</v>
      </c>
      <c r="O462" s="77">
        <f>VLOOKUP(E462,Diccionario!C$2:AC$150,26,0)</f>
        <v>47.97</v>
      </c>
      <c r="P462" s="77">
        <f t="shared" si="154"/>
        <v>-36.97</v>
      </c>
      <c r="Q462" s="78">
        <v>11</v>
      </c>
      <c r="R462" s="36">
        <v>48</v>
      </c>
      <c r="S462" s="86">
        <v>0.9909</v>
      </c>
      <c r="T462" s="86"/>
      <c r="U462" s="82"/>
      <c r="V462" s="82"/>
      <c r="W462" s="82">
        <f t="shared" si="159"/>
        <v>0</v>
      </c>
      <c r="X462" s="82">
        <f t="shared" si="155"/>
        <v>129921417.50399999</v>
      </c>
      <c r="Y462" s="82">
        <f t="shared" si="160"/>
        <v>0</v>
      </c>
      <c r="Z462" s="82">
        <f t="shared" si="156"/>
        <v>-129921417.50399999</v>
      </c>
      <c r="AA462" s="83" t="str">
        <f t="shared" si="164"/>
        <v>No se realizó gasto en este corte</v>
      </c>
      <c r="AB462" s="84" t="str">
        <f t="shared" si="157"/>
        <v>Costo eficiente: se está gastando menos de lo presupuestado</v>
      </c>
      <c r="AC462" s="84">
        <f t="shared" si="161"/>
        <v>0</v>
      </c>
      <c r="AD462" s="84" t="str">
        <f t="shared" si="158"/>
        <v>Sin Línea Base</v>
      </c>
      <c r="AE462" s="85">
        <f t="shared" si="162"/>
        <v>0</v>
      </c>
      <c r="AF462" s="85">
        <f t="shared" si="163"/>
        <v>-131114560</v>
      </c>
      <c r="AG462" s="40" t="str">
        <f>VLOOKUP(Indicador!E462,Diccionario!C$1:AC$150,27,0)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2" s="40">
        <v>1</v>
      </c>
      <c r="AI462" s="40">
        <v>1</v>
      </c>
    </row>
    <row r="463" spans="1:35" ht="18.75" customHeight="1">
      <c r="A463" s="98">
        <v>2026</v>
      </c>
      <c r="B463" s="113" t="s">
        <v>28</v>
      </c>
      <c r="C463" s="97" t="s">
        <v>393</v>
      </c>
      <c r="D463" s="99">
        <v>45932.853839039351</v>
      </c>
      <c r="E463" s="97" t="s">
        <v>101</v>
      </c>
      <c r="F463" s="36" t="s">
        <v>149</v>
      </c>
      <c r="G463" s="36" t="s">
        <v>394</v>
      </c>
      <c r="H463" s="36" t="s">
        <v>395</v>
      </c>
      <c r="I463" s="36" t="s">
        <v>152</v>
      </c>
      <c r="J463" s="36" t="s">
        <v>396</v>
      </c>
      <c r="K463" s="36" t="s">
        <v>339</v>
      </c>
      <c r="L463" s="74">
        <f>VLOOKUP(E463,Diccionario!C$2:AC$150,22,0)</f>
        <v>131114560</v>
      </c>
      <c r="M463" s="75">
        <f>VLOOKUP(E463,Diccionario!C$2:AC$150,24,0)</f>
        <v>45931</v>
      </c>
      <c r="N463" s="76">
        <f>VLOOKUP(E463,Diccionario!C$2:AC$150,25,0)</f>
        <v>47391</v>
      </c>
      <c r="O463" s="77">
        <f>VLOOKUP(E463,Diccionario!C$2:AC$150,26,0)</f>
        <v>47.97</v>
      </c>
      <c r="P463" s="77">
        <f t="shared" si="154"/>
        <v>-35.97</v>
      </c>
      <c r="Q463" s="78">
        <v>12</v>
      </c>
      <c r="R463" s="36">
        <v>48</v>
      </c>
      <c r="S463" s="86">
        <v>0.99099999999999999</v>
      </c>
      <c r="T463" s="86"/>
      <c r="U463" s="82"/>
      <c r="V463" s="82"/>
      <c r="W463" s="82">
        <f t="shared" si="159"/>
        <v>0</v>
      </c>
      <c r="X463" s="82">
        <f t="shared" si="155"/>
        <v>129934528.95999999</v>
      </c>
      <c r="Y463" s="82">
        <f t="shared" si="160"/>
        <v>0</v>
      </c>
      <c r="Z463" s="82">
        <f t="shared" si="156"/>
        <v>-129934528.95999999</v>
      </c>
      <c r="AA463" s="83" t="str">
        <f t="shared" si="164"/>
        <v>No se realizó gasto en este corte</v>
      </c>
      <c r="AB463" s="84" t="str">
        <f t="shared" si="157"/>
        <v>Costo eficiente: se está gastando menos de lo presupuestado</v>
      </c>
      <c r="AC463" s="84">
        <f t="shared" si="161"/>
        <v>0</v>
      </c>
      <c r="AD463" s="84" t="str">
        <f t="shared" si="158"/>
        <v>Sin Línea Base</v>
      </c>
      <c r="AE463" s="85">
        <f t="shared" si="162"/>
        <v>0</v>
      </c>
      <c r="AF463" s="85">
        <f t="shared" si="163"/>
        <v>-131114560</v>
      </c>
      <c r="AG463" s="40" t="str">
        <f>VLOOKUP(Indicador!E463,Diccionario!C$1:AC$150,27,0)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3" s="40">
        <v>1</v>
      </c>
      <c r="AI463" s="40">
        <v>1</v>
      </c>
    </row>
    <row r="464" spans="1:35" ht="18.75" customHeight="1">
      <c r="A464" s="98">
        <v>2026</v>
      </c>
      <c r="B464" s="113" t="s">
        <v>30</v>
      </c>
      <c r="C464" s="97" t="s">
        <v>393</v>
      </c>
      <c r="D464" s="99">
        <v>45932.853839039351</v>
      </c>
      <c r="E464" s="97" t="s">
        <v>101</v>
      </c>
      <c r="F464" s="36" t="s">
        <v>149</v>
      </c>
      <c r="G464" s="36" t="s">
        <v>394</v>
      </c>
      <c r="H464" s="36" t="s">
        <v>395</v>
      </c>
      <c r="I464" s="36" t="s">
        <v>152</v>
      </c>
      <c r="J464" s="36" t="s">
        <v>396</v>
      </c>
      <c r="K464" s="36" t="s">
        <v>339</v>
      </c>
      <c r="L464" s="74">
        <f>VLOOKUP(E464,Diccionario!C$2:AC$150,22,0)</f>
        <v>131114560</v>
      </c>
      <c r="M464" s="75">
        <f>VLOOKUP(E464,Diccionario!C$2:AC$150,24,0)</f>
        <v>45931</v>
      </c>
      <c r="N464" s="76">
        <f>VLOOKUP(E464,Diccionario!C$2:AC$150,25,0)</f>
        <v>47391</v>
      </c>
      <c r="O464" s="77">
        <f>VLOOKUP(E464,Diccionario!C$2:AC$150,26,0)</f>
        <v>47.97</v>
      </c>
      <c r="P464" s="77">
        <f t="shared" si="154"/>
        <v>-34.97</v>
      </c>
      <c r="Q464" s="78">
        <v>13</v>
      </c>
      <c r="R464" s="36">
        <v>48</v>
      </c>
      <c r="S464" s="86">
        <v>0.99109999999999998</v>
      </c>
      <c r="T464" s="86"/>
      <c r="U464" s="82"/>
      <c r="V464" s="82"/>
      <c r="W464" s="82">
        <f t="shared" si="159"/>
        <v>0</v>
      </c>
      <c r="X464" s="82">
        <f t="shared" si="155"/>
        <v>129947640.41599999</v>
      </c>
      <c r="Y464" s="82">
        <f t="shared" si="160"/>
        <v>0</v>
      </c>
      <c r="Z464" s="82">
        <f t="shared" si="156"/>
        <v>-129947640.41599999</v>
      </c>
      <c r="AA464" s="83" t="str">
        <f t="shared" si="164"/>
        <v>No se realizó gasto en este corte</v>
      </c>
      <c r="AB464" s="84" t="str">
        <f t="shared" si="157"/>
        <v>Costo eficiente: se está gastando menos de lo presupuestado</v>
      </c>
      <c r="AC464" s="84">
        <f t="shared" si="161"/>
        <v>0</v>
      </c>
      <c r="AD464" s="84" t="str">
        <f t="shared" si="158"/>
        <v>Sin Línea Base</v>
      </c>
      <c r="AE464" s="85">
        <f t="shared" si="162"/>
        <v>0</v>
      </c>
      <c r="AF464" s="85">
        <f t="shared" si="163"/>
        <v>-131114560</v>
      </c>
      <c r="AG464" s="40" t="str">
        <f>VLOOKUP(Indicador!E464,Diccionario!C$1:AC$150,27,0)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4" s="40">
        <v>1</v>
      </c>
      <c r="AI464" s="40">
        <v>1</v>
      </c>
    </row>
    <row r="465" spans="1:35" ht="18.75" customHeight="1">
      <c r="A465" s="98">
        <v>2026</v>
      </c>
      <c r="B465" s="113" t="s">
        <v>31</v>
      </c>
      <c r="C465" s="97" t="s">
        <v>393</v>
      </c>
      <c r="D465" s="99">
        <v>45932.853839039351</v>
      </c>
      <c r="E465" s="97" t="s">
        <v>101</v>
      </c>
      <c r="F465" s="36" t="s">
        <v>149</v>
      </c>
      <c r="G465" s="36" t="s">
        <v>394</v>
      </c>
      <c r="H465" s="36" t="s">
        <v>395</v>
      </c>
      <c r="I465" s="36" t="s">
        <v>152</v>
      </c>
      <c r="J465" s="36" t="s">
        <v>396</v>
      </c>
      <c r="K465" s="36" t="s">
        <v>339</v>
      </c>
      <c r="L465" s="74">
        <f>VLOOKUP(E465,Diccionario!C$2:AC$150,22,0)</f>
        <v>131114560</v>
      </c>
      <c r="M465" s="75">
        <f>VLOOKUP(E465,Diccionario!C$2:AC$150,24,0)</f>
        <v>45931</v>
      </c>
      <c r="N465" s="76">
        <f>VLOOKUP(E465,Diccionario!C$2:AC$150,25,0)</f>
        <v>47391</v>
      </c>
      <c r="O465" s="77">
        <f>VLOOKUP(E465,Diccionario!C$2:AC$150,26,0)</f>
        <v>47.97</v>
      </c>
      <c r="P465" s="77">
        <f t="shared" si="154"/>
        <v>-33.97</v>
      </c>
      <c r="Q465" s="78">
        <v>14</v>
      </c>
      <c r="R465" s="36">
        <v>48</v>
      </c>
      <c r="S465" s="86">
        <v>0.99119999999999997</v>
      </c>
      <c r="T465" s="86"/>
      <c r="U465" s="82"/>
      <c r="V465" s="82"/>
      <c r="W465" s="82">
        <f t="shared" si="159"/>
        <v>0</v>
      </c>
      <c r="X465" s="82">
        <f t="shared" si="155"/>
        <v>129960751.87199999</v>
      </c>
      <c r="Y465" s="82">
        <f t="shared" si="160"/>
        <v>0</v>
      </c>
      <c r="Z465" s="82">
        <f t="shared" si="156"/>
        <v>-129960751.87199999</v>
      </c>
      <c r="AA465" s="83" t="str">
        <f t="shared" si="164"/>
        <v>No se realizó gasto en este corte</v>
      </c>
      <c r="AB465" s="84" t="str">
        <f t="shared" si="157"/>
        <v>Costo eficiente: se está gastando menos de lo presupuestado</v>
      </c>
      <c r="AC465" s="84">
        <f t="shared" si="161"/>
        <v>0</v>
      </c>
      <c r="AD465" s="84" t="str">
        <f t="shared" si="158"/>
        <v>Sin Línea Base</v>
      </c>
      <c r="AE465" s="85">
        <f t="shared" si="162"/>
        <v>0</v>
      </c>
      <c r="AF465" s="85">
        <f t="shared" si="163"/>
        <v>-131114560</v>
      </c>
      <c r="AG465" s="40" t="str">
        <f>VLOOKUP(Indicador!E465,Diccionario!C$1:AC$150,27,0)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5" s="40">
        <v>1</v>
      </c>
      <c r="AI465" s="40">
        <v>1</v>
      </c>
    </row>
    <row r="466" spans="1:35" ht="18.75" customHeight="1">
      <c r="A466" s="98">
        <v>2026</v>
      </c>
      <c r="B466" s="113" t="s">
        <v>32</v>
      </c>
      <c r="C466" s="97" t="s">
        <v>393</v>
      </c>
      <c r="D466" s="99">
        <v>45932.853839039351</v>
      </c>
      <c r="E466" s="97" t="s">
        <v>101</v>
      </c>
      <c r="F466" s="36" t="s">
        <v>149</v>
      </c>
      <c r="G466" s="36" t="s">
        <v>394</v>
      </c>
      <c r="H466" s="36" t="s">
        <v>395</v>
      </c>
      <c r="I466" s="36" t="s">
        <v>152</v>
      </c>
      <c r="J466" s="36" t="s">
        <v>396</v>
      </c>
      <c r="K466" s="36" t="s">
        <v>339</v>
      </c>
      <c r="L466" s="74">
        <f>VLOOKUP(E466,Diccionario!C$2:AC$150,22,0)</f>
        <v>131114560</v>
      </c>
      <c r="M466" s="75">
        <f>VLOOKUP(E466,Diccionario!C$2:AC$150,24,0)</f>
        <v>45931</v>
      </c>
      <c r="N466" s="76">
        <f>VLOOKUP(E466,Diccionario!C$2:AC$150,25,0)</f>
        <v>47391</v>
      </c>
      <c r="O466" s="77">
        <f>VLOOKUP(E466,Diccionario!C$2:AC$150,26,0)</f>
        <v>47.97</v>
      </c>
      <c r="P466" s="77">
        <f t="shared" si="154"/>
        <v>-32.97</v>
      </c>
      <c r="Q466" s="78">
        <v>15</v>
      </c>
      <c r="R466" s="36">
        <v>48</v>
      </c>
      <c r="S466" s="86">
        <v>0.99129999999999996</v>
      </c>
      <c r="T466" s="86"/>
      <c r="U466" s="82"/>
      <c r="V466" s="82"/>
      <c r="W466" s="82">
        <f t="shared" si="159"/>
        <v>0</v>
      </c>
      <c r="X466" s="82">
        <f t="shared" si="155"/>
        <v>129973863.32799999</v>
      </c>
      <c r="Y466" s="82">
        <f t="shared" si="160"/>
        <v>0</v>
      </c>
      <c r="Z466" s="82">
        <f t="shared" si="156"/>
        <v>-129973863.32799999</v>
      </c>
      <c r="AA466" s="83" t="str">
        <f t="shared" si="164"/>
        <v>No se realizó gasto en este corte</v>
      </c>
      <c r="AB466" s="84" t="str">
        <f t="shared" si="157"/>
        <v>Costo eficiente: se está gastando menos de lo presupuestado</v>
      </c>
      <c r="AC466" s="84">
        <f t="shared" si="161"/>
        <v>0</v>
      </c>
      <c r="AD466" s="84" t="str">
        <f t="shared" si="158"/>
        <v>Sin Línea Base</v>
      </c>
      <c r="AE466" s="85">
        <f t="shared" si="162"/>
        <v>0</v>
      </c>
      <c r="AF466" s="85">
        <f t="shared" si="163"/>
        <v>-131114560</v>
      </c>
      <c r="AG466" s="40" t="str">
        <f>VLOOKUP(Indicador!E466,Diccionario!C$1:AC$150,27,0)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6" s="40">
        <v>1</v>
      </c>
      <c r="AI466" s="40">
        <v>1</v>
      </c>
    </row>
    <row r="467" spans="1:35" ht="18.75" customHeight="1">
      <c r="A467" s="98">
        <v>2027</v>
      </c>
      <c r="B467" s="113" t="s">
        <v>14</v>
      </c>
      <c r="C467" s="97" t="s">
        <v>393</v>
      </c>
      <c r="D467" s="99">
        <v>45932.853839039351</v>
      </c>
      <c r="E467" s="97" t="s">
        <v>101</v>
      </c>
      <c r="F467" s="36" t="s">
        <v>149</v>
      </c>
      <c r="G467" s="36" t="s">
        <v>394</v>
      </c>
      <c r="H467" s="36" t="s">
        <v>395</v>
      </c>
      <c r="I467" s="36" t="s">
        <v>152</v>
      </c>
      <c r="J467" s="36" t="s">
        <v>396</v>
      </c>
      <c r="K467" s="36" t="s">
        <v>339</v>
      </c>
      <c r="L467" s="74">
        <f>VLOOKUP(E467,Diccionario!C$2:AC$150,22,0)</f>
        <v>131114560</v>
      </c>
      <c r="M467" s="75">
        <f>VLOOKUP(E467,Diccionario!C$2:AC$150,24,0)</f>
        <v>45931</v>
      </c>
      <c r="N467" s="76">
        <f>VLOOKUP(E467,Diccionario!C$2:AC$150,25,0)</f>
        <v>47391</v>
      </c>
      <c r="O467" s="77">
        <f>VLOOKUP(E467,Diccionario!C$2:AC$150,26,0)</f>
        <v>47.97</v>
      </c>
      <c r="P467" s="77">
        <f t="shared" si="154"/>
        <v>-31.97</v>
      </c>
      <c r="Q467" s="78">
        <v>16</v>
      </c>
      <c r="R467" s="36">
        <v>48</v>
      </c>
      <c r="S467" s="86">
        <v>0.99139999999999995</v>
      </c>
      <c r="T467" s="86"/>
      <c r="U467" s="82"/>
      <c r="V467" s="82"/>
      <c r="W467" s="82">
        <f t="shared" si="159"/>
        <v>0</v>
      </c>
      <c r="X467" s="82">
        <f t="shared" si="155"/>
        <v>129986974.78399999</v>
      </c>
      <c r="Y467" s="82">
        <f t="shared" si="160"/>
        <v>0</v>
      </c>
      <c r="Z467" s="82">
        <f t="shared" si="156"/>
        <v>-129986974.78399999</v>
      </c>
      <c r="AA467" s="83" t="str">
        <f t="shared" si="164"/>
        <v>No se realizó gasto en este corte</v>
      </c>
      <c r="AB467" s="84" t="str">
        <f t="shared" si="157"/>
        <v>Costo eficiente: se está gastando menos de lo presupuestado</v>
      </c>
      <c r="AC467" s="84">
        <f t="shared" si="161"/>
        <v>0</v>
      </c>
      <c r="AD467" s="84" t="str">
        <f t="shared" si="158"/>
        <v>Sin Línea Base</v>
      </c>
      <c r="AE467" s="85">
        <f t="shared" si="162"/>
        <v>0</v>
      </c>
      <c r="AF467" s="85">
        <f t="shared" si="163"/>
        <v>-131114560</v>
      </c>
      <c r="AG467" s="40" t="str">
        <f>VLOOKUP(Indicador!E467,Diccionario!C$1:AC$150,27,0)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7" s="40">
        <v>1</v>
      </c>
      <c r="AI467" s="40">
        <v>1</v>
      </c>
    </row>
    <row r="468" spans="1:35" ht="18.75" customHeight="1">
      <c r="A468" s="98">
        <v>2027</v>
      </c>
      <c r="B468" s="113" t="s">
        <v>22</v>
      </c>
      <c r="C468" s="97" t="s">
        <v>393</v>
      </c>
      <c r="D468" s="99">
        <v>45932.853839039351</v>
      </c>
      <c r="E468" s="97" t="s">
        <v>101</v>
      </c>
      <c r="F468" s="36" t="s">
        <v>149</v>
      </c>
      <c r="G468" s="36" t="s">
        <v>394</v>
      </c>
      <c r="H468" s="36" t="s">
        <v>395</v>
      </c>
      <c r="I468" s="36" t="s">
        <v>152</v>
      </c>
      <c r="J468" s="36" t="s">
        <v>396</v>
      </c>
      <c r="K468" s="36" t="s">
        <v>339</v>
      </c>
      <c r="L468" s="74">
        <f>VLOOKUP(E468,Diccionario!C$2:AC$150,22,0)</f>
        <v>131114560</v>
      </c>
      <c r="M468" s="75">
        <f>VLOOKUP(E468,Diccionario!C$2:AC$150,24,0)</f>
        <v>45931</v>
      </c>
      <c r="N468" s="76">
        <f>VLOOKUP(E468,Diccionario!C$2:AC$150,25,0)</f>
        <v>47391</v>
      </c>
      <c r="O468" s="77">
        <f>VLOOKUP(E468,Diccionario!C$2:AC$150,26,0)</f>
        <v>47.97</v>
      </c>
      <c r="P468" s="77">
        <f t="shared" si="154"/>
        <v>-30.97</v>
      </c>
      <c r="Q468" s="78">
        <v>17</v>
      </c>
      <c r="R468" s="36">
        <v>48</v>
      </c>
      <c r="S468" s="86">
        <v>0.99150000000000005</v>
      </c>
      <c r="T468" s="86"/>
      <c r="U468" s="82"/>
      <c r="V468" s="82"/>
      <c r="W468" s="82">
        <f t="shared" si="159"/>
        <v>0</v>
      </c>
      <c r="X468" s="82">
        <f t="shared" si="155"/>
        <v>130000086.24000001</v>
      </c>
      <c r="Y468" s="82">
        <f t="shared" si="160"/>
        <v>0</v>
      </c>
      <c r="Z468" s="82">
        <f t="shared" si="156"/>
        <v>-130000086.24000001</v>
      </c>
      <c r="AA468" s="83" t="str">
        <f t="shared" si="164"/>
        <v>No se realizó gasto en este corte</v>
      </c>
      <c r="AB468" s="84" t="str">
        <f t="shared" si="157"/>
        <v>Costo eficiente: se está gastando menos de lo presupuestado</v>
      </c>
      <c r="AC468" s="84">
        <f t="shared" si="161"/>
        <v>0</v>
      </c>
      <c r="AD468" s="84" t="str">
        <f t="shared" si="158"/>
        <v>Sin Línea Base</v>
      </c>
      <c r="AE468" s="85">
        <f t="shared" si="162"/>
        <v>0</v>
      </c>
      <c r="AF468" s="85">
        <f t="shared" si="163"/>
        <v>-131114560</v>
      </c>
      <c r="AG468" s="40" t="str">
        <f>VLOOKUP(Indicador!E468,Diccionario!C$1:AC$150,27,0)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8" s="40">
        <v>1</v>
      </c>
      <c r="AI468" s="40">
        <v>1</v>
      </c>
    </row>
    <row r="469" spans="1:35" ht="18.75" customHeight="1">
      <c r="A469" s="98">
        <v>2027</v>
      </c>
      <c r="B469" s="113" t="s">
        <v>24</v>
      </c>
      <c r="C469" s="97" t="s">
        <v>393</v>
      </c>
      <c r="D469" s="99">
        <v>45932.853839039351</v>
      </c>
      <c r="E469" s="97" t="s">
        <v>101</v>
      </c>
      <c r="F469" s="36" t="s">
        <v>149</v>
      </c>
      <c r="G469" s="36" t="s">
        <v>394</v>
      </c>
      <c r="H469" s="36" t="s">
        <v>395</v>
      </c>
      <c r="I469" s="36" t="s">
        <v>152</v>
      </c>
      <c r="J469" s="36" t="s">
        <v>396</v>
      </c>
      <c r="K469" s="36" t="s">
        <v>339</v>
      </c>
      <c r="L469" s="74">
        <f>VLOOKUP(E469,Diccionario!C$2:AC$150,22,0)</f>
        <v>131114560</v>
      </c>
      <c r="M469" s="75">
        <f>VLOOKUP(E469,Diccionario!C$2:AC$150,24,0)</f>
        <v>45931</v>
      </c>
      <c r="N469" s="76">
        <f>VLOOKUP(E469,Diccionario!C$2:AC$150,25,0)</f>
        <v>47391</v>
      </c>
      <c r="O469" s="77">
        <f>VLOOKUP(E469,Diccionario!C$2:AC$150,26,0)</f>
        <v>47.97</v>
      </c>
      <c r="P469" s="77">
        <f t="shared" si="154"/>
        <v>-29.97</v>
      </c>
      <c r="Q469" s="78">
        <v>18</v>
      </c>
      <c r="R469" s="36">
        <v>48</v>
      </c>
      <c r="S469" s="86">
        <v>0.99160000000000004</v>
      </c>
      <c r="T469" s="86"/>
      <c r="U469" s="82"/>
      <c r="V469" s="82"/>
      <c r="W469" s="82">
        <f t="shared" si="159"/>
        <v>0</v>
      </c>
      <c r="X469" s="82">
        <f t="shared" si="155"/>
        <v>130013197.69600001</v>
      </c>
      <c r="Y469" s="82">
        <f t="shared" si="160"/>
        <v>0</v>
      </c>
      <c r="Z469" s="82">
        <f t="shared" si="156"/>
        <v>-130013197.69600001</v>
      </c>
      <c r="AA469" s="83" t="str">
        <f t="shared" si="164"/>
        <v>No se realizó gasto en este corte</v>
      </c>
      <c r="AB469" s="84" t="str">
        <f t="shared" si="157"/>
        <v>Costo eficiente: se está gastando menos de lo presupuestado</v>
      </c>
      <c r="AC469" s="84">
        <f t="shared" si="161"/>
        <v>0</v>
      </c>
      <c r="AD469" s="84" t="str">
        <f t="shared" si="158"/>
        <v>Sin Línea Base</v>
      </c>
      <c r="AE469" s="85">
        <f t="shared" si="162"/>
        <v>0</v>
      </c>
      <c r="AF469" s="85">
        <f t="shared" si="163"/>
        <v>-131114560</v>
      </c>
      <c r="AG469" s="40" t="str">
        <f>VLOOKUP(Indicador!E469,Diccionario!C$1:AC$150,27,0)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69" s="40">
        <v>1</v>
      </c>
      <c r="AI469" s="40">
        <v>1</v>
      </c>
    </row>
    <row r="470" spans="1:35" ht="18.75" customHeight="1">
      <c r="A470" s="98">
        <v>2027</v>
      </c>
      <c r="B470" s="113" t="s">
        <v>27</v>
      </c>
      <c r="C470" s="97" t="s">
        <v>393</v>
      </c>
      <c r="D470" s="99">
        <v>45932.853839039351</v>
      </c>
      <c r="E470" s="97" t="s">
        <v>101</v>
      </c>
      <c r="F470" s="36" t="s">
        <v>149</v>
      </c>
      <c r="G470" s="36" t="s">
        <v>394</v>
      </c>
      <c r="H470" s="36" t="s">
        <v>395</v>
      </c>
      <c r="I470" s="36" t="s">
        <v>152</v>
      </c>
      <c r="J470" s="36" t="s">
        <v>396</v>
      </c>
      <c r="K470" s="36" t="s">
        <v>339</v>
      </c>
      <c r="L470" s="74">
        <f>VLOOKUP(E470,Diccionario!C$2:AC$150,22,0)</f>
        <v>131114560</v>
      </c>
      <c r="M470" s="75">
        <f>VLOOKUP(E470,Diccionario!C$2:AC$150,24,0)</f>
        <v>45931</v>
      </c>
      <c r="N470" s="76">
        <f>VLOOKUP(E470,Diccionario!C$2:AC$150,25,0)</f>
        <v>47391</v>
      </c>
      <c r="O470" s="77">
        <f>VLOOKUP(E470,Diccionario!C$2:AC$150,26,0)</f>
        <v>47.97</v>
      </c>
      <c r="P470" s="77">
        <f t="shared" si="154"/>
        <v>-28.97</v>
      </c>
      <c r="Q470" s="78">
        <v>19</v>
      </c>
      <c r="R470" s="36">
        <v>48</v>
      </c>
      <c r="S470" s="86">
        <v>0.99170000000000003</v>
      </c>
      <c r="T470" s="86"/>
      <c r="U470" s="82"/>
      <c r="V470" s="82"/>
      <c r="W470" s="82">
        <f t="shared" si="159"/>
        <v>0</v>
      </c>
      <c r="X470" s="82">
        <f t="shared" si="155"/>
        <v>130026309.15200001</v>
      </c>
      <c r="Y470" s="82">
        <f t="shared" si="160"/>
        <v>0</v>
      </c>
      <c r="Z470" s="82">
        <f t="shared" si="156"/>
        <v>-130026309.15200001</v>
      </c>
      <c r="AA470" s="83" t="str">
        <f t="shared" si="164"/>
        <v>No se realizó gasto en este corte</v>
      </c>
      <c r="AB470" s="84" t="str">
        <f t="shared" si="157"/>
        <v>Costo eficiente: se está gastando menos de lo presupuestado</v>
      </c>
      <c r="AC470" s="84">
        <f t="shared" si="161"/>
        <v>0</v>
      </c>
      <c r="AD470" s="84" t="str">
        <f t="shared" si="158"/>
        <v>Sin Línea Base</v>
      </c>
      <c r="AE470" s="85">
        <f t="shared" si="162"/>
        <v>0</v>
      </c>
      <c r="AF470" s="85">
        <f t="shared" si="163"/>
        <v>-131114560</v>
      </c>
      <c r="AG470" s="40" t="str">
        <f>VLOOKUP(Indicador!E470,Diccionario!C$1:AC$150,27,0)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0" s="40">
        <v>1</v>
      </c>
      <c r="AI470" s="40">
        <v>1</v>
      </c>
    </row>
    <row r="471" spans="1:35" ht="18.75" customHeight="1">
      <c r="A471" s="98">
        <v>2027</v>
      </c>
      <c r="B471" s="113" t="s">
        <v>13</v>
      </c>
      <c r="C471" s="97" t="s">
        <v>393</v>
      </c>
      <c r="D471" s="99">
        <v>45932.853839039351</v>
      </c>
      <c r="E471" s="97" t="s">
        <v>101</v>
      </c>
      <c r="F471" s="36" t="s">
        <v>149</v>
      </c>
      <c r="G471" s="36" t="s">
        <v>394</v>
      </c>
      <c r="H471" s="36" t="s">
        <v>395</v>
      </c>
      <c r="I471" s="36" t="s">
        <v>152</v>
      </c>
      <c r="J471" s="36" t="s">
        <v>396</v>
      </c>
      <c r="K471" s="36" t="s">
        <v>339</v>
      </c>
      <c r="L471" s="74">
        <f>VLOOKUP(E471,Diccionario!C$2:AC$150,22,0)</f>
        <v>131114560</v>
      </c>
      <c r="M471" s="75">
        <f>VLOOKUP(E471,Diccionario!C$2:AC$150,24,0)</f>
        <v>45931</v>
      </c>
      <c r="N471" s="76">
        <f>VLOOKUP(E471,Diccionario!C$2:AC$150,25,0)</f>
        <v>47391</v>
      </c>
      <c r="O471" s="77">
        <f>VLOOKUP(E471,Diccionario!C$2:AC$150,26,0)</f>
        <v>47.97</v>
      </c>
      <c r="P471" s="77">
        <f t="shared" si="154"/>
        <v>-27.97</v>
      </c>
      <c r="Q471" s="78">
        <v>20</v>
      </c>
      <c r="R471" s="36">
        <v>48</v>
      </c>
      <c r="S471" s="86">
        <v>0.99180000000000001</v>
      </c>
      <c r="T471" s="86"/>
      <c r="U471" s="82"/>
      <c r="V471" s="82"/>
      <c r="W471" s="82">
        <f t="shared" si="159"/>
        <v>0</v>
      </c>
      <c r="X471" s="82">
        <f t="shared" si="155"/>
        <v>130039420.608</v>
      </c>
      <c r="Y471" s="82">
        <f t="shared" si="160"/>
        <v>0</v>
      </c>
      <c r="Z471" s="82">
        <f t="shared" si="156"/>
        <v>-130039420.608</v>
      </c>
      <c r="AA471" s="83" t="str">
        <f t="shared" si="164"/>
        <v>No se realizó gasto en este corte</v>
      </c>
      <c r="AB471" s="84" t="str">
        <f t="shared" si="157"/>
        <v>Costo eficiente: se está gastando menos de lo presupuestado</v>
      </c>
      <c r="AC471" s="84">
        <f t="shared" si="161"/>
        <v>0</v>
      </c>
      <c r="AD471" s="84" t="str">
        <f t="shared" si="158"/>
        <v>Sin Línea Base</v>
      </c>
      <c r="AE471" s="85">
        <f t="shared" si="162"/>
        <v>0</v>
      </c>
      <c r="AF471" s="85">
        <f t="shared" si="163"/>
        <v>-131114560</v>
      </c>
      <c r="AG471" s="40" t="str">
        <f>VLOOKUP(Indicador!E471,Diccionario!C$1:AC$150,27,0)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1" s="40">
        <v>1</v>
      </c>
      <c r="AI471" s="40">
        <v>1</v>
      </c>
    </row>
    <row r="472" spans="1:35" ht="18.75" customHeight="1">
      <c r="A472" s="98">
        <v>2027</v>
      </c>
      <c r="B472" s="113" t="s">
        <v>21</v>
      </c>
      <c r="C472" s="97" t="s">
        <v>393</v>
      </c>
      <c r="D472" s="99">
        <v>45932.853839039351</v>
      </c>
      <c r="E472" s="97" t="s">
        <v>101</v>
      </c>
      <c r="F472" s="36" t="s">
        <v>149</v>
      </c>
      <c r="G472" s="36" t="s">
        <v>394</v>
      </c>
      <c r="H472" s="36" t="s">
        <v>395</v>
      </c>
      <c r="I472" s="36" t="s">
        <v>152</v>
      </c>
      <c r="J472" s="36" t="s">
        <v>396</v>
      </c>
      <c r="K472" s="36" t="s">
        <v>339</v>
      </c>
      <c r="L472" s="74">
        <f>VLOOKUP(E472,Diccionario!C$2:AC$150,22,0)</f>
        <v>131114560</v>
      </c>
      <c r="M472" s="75">
        <f>VLOOKUP(E472,Diccionario!C$2:AC$150,24,0)</f>
        <v>45931</v>
      </c>
      <c r="N472" s="76">
        <f>VLOOKUP(E472,Diccionario!C$2:AC$150,25,0)</f>
        <v>47391</v>
      </c>
      <c r="O472" s="77">
        <f>VLOOKUP(E472,Diccionario!C$2:AC$150,26,0)</f>
        <v>47.97</v>
      </c>
      <c r="P472" s="77">
        <f t="shared" si="154"/>
        <v>-26.97</v>
      </c>
      <c r="Q472" s="78">
        <v>21</v>
      </c>
      <c r="R472" s="36">
        <v>48</v>
      </c>
      <c r="S472" s="86">
        <v>0.9919</v>
      </c>
      <c r="T472" s="86"/>
      <c r="U472" s="82"/>
      <c r="V472" s="82"/>
      <c r="W472" s="82">
        <f t="shared" si="159"/>
        <v>0</v>
      </c>
      <c r="X472" s="82">
        <f t="shared" si="155"/>
        <v>130052532.064</v>
      </c>
      <c r="Y472" s="82">
        <f t="shared" si="160"/>
        <v>0</v>
      </c>
      <c r="Z472" s="82">
        <f t="shared" si="156"/>
        <v>-130052532.064</v>
      </c>
      <c r="AA472" s="83" t="str">
        <f t="shared" si="164"/>
        <v>No se realizó gasto en este corte</v>
      </c>
      <c r="AB472" s="84" t="str">
        <f t="shared" si="157"/>
        <v>Costo eficiente: se está gastando menos de lo presupuestado</v>
      </c>
      <c r="AC472" s="84">
        <f t="shared" si="161"/>
        <v>0</v>
      </c>
      <c r="AD472" s="84" t="str">
        <f t="shared" si="158"/>
        <v>Sin Línea Base</v>
      </c>
      <c r="AE472" s="85">
        <f t="shared" si="162"/>
        <v>0</v>
      </c>
      <c r="AF472" s="85">
        <f t="shared" si="163"/>
        <v>-131114560</v>
      </c>
      <c r="AG472" s="40" t="str">
        <f>VLOOKUP(Indicador!E472,Diccionario!C$1:AC$150,27,0)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2" s="40">
        <v>1</v>
      </c>
      <c r="AI472" s="40">
        <v>1</v>
      </c>
    </row>
    <row r="473" spans="1:35" ht="18.75" customHeight="1">
      <c r="A473" s="98">
        <v>2027</v>
      </c>
      <c r="B473" s="113" t="s">
        <v>23</v>
      </c>
      <c r="C473" s="97" t="s">
        <v>393</v>
      </c>
      <c r="D473" s="99">
        <v>45932.853839039351</v>
      </c>
      <c r="E473" s="97" t="s">
        <v>101</v>
      </c>
      <c r="F473" s="36" t="s">
        <v>149</v>
      </c>
      <c r="G473" s="36" t="s">
        <v>394</v>
      </c>
      <c r="H473" s="36" t="s">
        <v>395</v>
      </c>
      <c r="I473" s="36" t="s">
        <v>152</v>
      </c>
      <c r="J473" s="36" t="s">
        <v>396</v>
      </c>
      <c r="K473" s="36" t="s">
        <v>339</v>
      </c>
      <c r="L473" s="74">
        <f>VLOOKUP(E473,Diccionario!C$2:AC$150,22,0)</f>
        <v>131114560</v>
      </c>
      <c r="M473" s="75">
        <f>VLOOKUP(E473,Diccionario!C$2:AC$150,24,0)</f>
        <v>45931</v>
      </c>
      <c r="N473" s="76">
        <f>VLOOKUP(E473,Diccionario!C$2:AC$150,25,0)</f>
        <v>47391</v>
      </c>
      <c r="O473" s="77">
        <f>VLOOKUP(E473,Diccionario!C$2:AC$150,26,0)</f>
        <v>47.97</v>
      </c>
      <c r="P473" s="77">
        <f t="shared" si="154"/>
        <v>-25.97</v>
      </c>
      <c r="Q473" s="78">
        <v>22</v>
      </c>
      <c r="R473" s="36">
        <v>48</v>
      </c>
      <c r="S473" s="86">
        <v>0.99199999999999999</v>
      </c>
      <c r="T473" s="86"/>
      <c r="U473" s="82"/>
      <c r="V473" s="82"/>
      <c r="W473" s="82">
        <f t="shared" si="159"/>
        <v>0</v>
      </c>
      <c r="X473" s="82">
        <f t="shared" si="155"/>
        <v>130065643.52</v>
      </c>
      <c r="Y473" s="82">
        <f t="shared" si="160"/>
        <v>0</v>
      </c>
      <c r="Z473" s="82">
        <f t="shared" si="156"/>
        <v>-130065643.52</v>
      </c>
      <c r="AA473" s="83" t="str">
        <f t="shared" si="164"/>
        <v>No se realizó gasto en este corte</v>
      </c>
      <c r="AB473" s="84" t="str">
        <f t="shared" si="157"/>
        <v>Costo eficiente: se está gastando menos de lo presupuestado</v>
      </c>
      <c r="AC473" s="84">
        <f t="shared" si="161"/>
        <v>0</v>
      </c>
      <c r="AD473" s="84" t="str">
        <f t="shared" si="158"/>
        <v>Sin Línea Base</v>
      </c>
      <c r="AE473" s="85">
        <f t="shared" si="162"/>
        <v>0</v>
      </c>
      <c r="AF473" s="85">
        <f t="shared" si="163"/>
        <v>-131114560</v>
      </c>
      <c r="AG473" s="40" t="str">
        <f>VLOOKUP(Indicador!E473,Diccionario!C$1:AC$150,27,0)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3" s="40">
        <v>1</v>
      </c>
      <c r="AI473" s="40">
        <v>1</v>
      </c>
    </row>
    <row r="474" spans="1:35" ht="18.75" customHeight="1">
      <c r="A474" s="98">
        <v>2027</v>
      </c>
      <c r="B474" s="113" t="s">
        <v>26</v>
      </c>
      <c r="C474" s="97" t="s">
        <v>393</v>
      </c>
      <c r="D474" s="99">
        <v>45932.853839039351</v>
      </c>
      <c r="E474" s="97" t="s">
        <v>101</v>
      </c>
      <c r="F474" s="36" t="s">
        <v>149</v>
      </c>
      <c r="G474" s="36" t="s">
        <v>394</v>
      </c>
      <c r="H474" s="36" t="s">
        <v>395</v>
      </c>
      <c r="I474" s="36" t="s">
        <v>152</v>
      </c>
      <c r="J474" s="36" t="s">
        <v>396</v>
      </c>
      <c r="K474" s="36" t="s">
        <v>339</v>
      </c>
      <c r="L474" s="74">
        <f>VLOOKUP(E474,Diccionario!C$2:AC$150,22,0)</f>
        <v>131114560</v>
      </c>
      <c r="M474" s="75">
        <f>VLOOKUP(E474,Diccionario!C$2:AC$150,24,0)</f>
        <v>45931</v>
      </c>
      <c r="N474" s="76">
        <f>VLOOKUP(E474,Diccionario!C$2:AC$150,25,0)</f>
        <v>47391</v>
      </c>
      <c r="O474" s="77">
        <f>VLOOKUP(E474,Diccionario!C$2:AC$150,26,0)</f>
        <v>47.97</v>
      </c>
      <c r="P474" s="77">
        <f t="shared" si="154"/>
        <v>-24.97</v>
      </c>
      <c r="Q474" s="78">
        <v>23</v>
      </c>
      <c r="R474" s="36">
        <v>48</v>
      </c>
      <c r="S474" s="86">
        <v>0.99209999999999998</v>
      </c>
      <c r="T474" s="86"/>
      <c r="U474" s="82"/>
      <c r="V474" s="82"/>
      <c r="W474" s="82">
        <f t="shared" si="159"/>
        <v>0</v>
      </c>
      <c r="X474" s="82">
        <f t="shared" si="155"/>
        <v>130078754.976</v>
      </c>
      <c r="Y474" s="82">
        <f t="shared" si="160"/>
        <v>0</v>
      </c>
      <c r="Z474" s="82">
        <f t="shared" si="156"/>
        <v>-130078754.976</v>
      </c>
      <c r="AA474" s="83" t="str">
        <f t="shared" si="164"/>
        <v>No se realizó gasto en este corte</v>
      </c>
      <c r="AB474" s="84" t="str">
        <f t="shared" si="157"/>
        <v>Costo eficiente: se está gastando menos de lo presupuestado</v>
      </c>
      <c r="AC474" s="84">
        <f t="shared" si="161"/>
        <v>0</v>
      </c>
      <c r="AD474" s="84" t="str">
        <f t="shared" si="158"/>
        <v>Sin Línea Base</v>
      </c>
      <c r="AE474" s="85">
        <f t="shared" si="162"/>
        <v>0</v>
      </c>
      <c r="AF474" s="85">
        <f t="shared" si="163"/>
        <v>-131114560</v>
      </c>
      <c r="AG474" s="40" t="str">
        <f>VLOOKUP(Indicador!E474,Diccionario!C$1:AC$150,27,0)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4" s="40">
        <v>1</v>
      </c>
      <c r="AI474" s="40">
        <v>1</v>
      </c>
    </row>
    <row r="475" spans="1:35" ht="18.75" customHeight="1">
      <c r="A475" s="98">
        <v>2027</v>
      </c>
      <c r="B475" s="113" t="s">
        <v>28</v>
      </c>
      <c r="C475" s="97" t="s">
        <v>393</v>
      </c>
      <c r="D475" s="99">
        <v>45932.853839039351</v>
      </c>
      <c r="E475" s="97" t="s">
        <v>101</v>
      </c>
      <c r="F475" s="36" t="s">
        <v>149</v>
      </c>
      <c r="G475" s="36" t="s">
        <v>394</v>
      </c>
      <c r="H475" s="36" t="s">
        <v>395</v>
      </c>
      <c r="I475" s="36" t="s">
        <v>152</v>
      </c>
      <c r="J475" s="36" t="s">
        <v>396</v>
      </c>
      <c r="K475" s="36" t="s">
        <v>339</v>
      </c>
      <c r="L475" s="74">
        <f>VLOOKUP(E475,Diccionario!C$2:AC$150,22,0)</f>
        <v>131114560</v>
      </c>
      <c r="M475" s="75">
        <f>VLOOKUP(E475,Diccionario!C$2:AC$150,24,0)</f>
        <v>45931</v>
      </c>
      <c r="N475" s="76">
        <f>VLOOKUP(E475,Diccionario!C$2:AC$150,25,0)</f>
        <v>47391</v>
      </c>
      <c r="O475" s="77">
        <f>VLOOKUP(E475,Diccionario!C$2:AC$150,26,0)</f>
        <v>47.97</v>
      </c>
      <c r="P475" s="77">
        <f t="shared" si="154"/>
        <v>-23.97</v>
      </c>
      <c r="Q475" s="78">
        <v>24</v>
      </c>
      <c r="R475" s="36">
        <v>48</v>
      </c>
      <c r="S475" s="86">
        <v>0.99219999999999997</v>
      </c>
      <c r="T475" s="86"/>
      <c r="U475" s="82"/>
      <c r="V475" s="82"/>
      <c r="W475" s="82">
        <f t="shared" si="159"/>
        <v>0</v>
      </c>
      <c r="X475" s="82">
        <f t="shared" si="155"/>
        <v>130091866.432</v>
      </c>
      <c r="Y475" s="82">
        <f t="shared" si="160"/>
        <v>0</v>
      </c>
      <c r="Z475" s="82">
        <f t="shared" si="156"/>
        <v>-130091866.432</v>
      </c>
      <c r="AA475" s="83" t="str">
        <f t="shared" si="164"/>
        <v>No se realizó gasto en este corte</v>
      </c>
      <c r="AB475" s="84" t="str">
        <f t="shared" si="157"/>
        <v>Costo eficiente: se está gastando menos de lo presupuestado</v>
      </c>
      <c r="AC475" s="84">
        <f t="shared" si="161"/>
        <v>0</v>
      </c>
      <c r="AD475" s="84" t="str">
        <f t="shared" si="158"/>
        <v>Sin Línea Base</v>
      </c>
      <c r="AE475" s="85">
        <f t="shared" si="162"/>
        <v>0</v>
      </c>
      <c r="AF475" s="85">
        <f t="shared" si="163"/>
        <v>-131114560</v>
      </c>
      <c r="AG475" s="40" t="str">
        <f>VLOOKUP(Indicador!E475,Diccionario!C$1:AC$150,27,0)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5" s="40">
        <v>1</v>
      </c>
      <c r="AI475" s="40">
        <v>1</v>
      </c>
    </row>
    <row r="476" spans="1:35" ht="18.75" customHeight="1">
      <c r="A476" s="98">
        <v>2027</v>
      </c>
      <c r="B476" s="113" t="s">
        <v>30</v>
      </c>
      <c r="C476" s="97" t="s">
        <v>393</v>
      </c>
      <c r="D476" s="99">
        <v>45932.853839039351</v>
      </c>
      <c r="E476" s="97" t="s">
        <v>101</v>
      </c>
      <c r="F476" s="36" t="s">
        <v>149</v>
      </c>
      <c r="G476" s="36" t="s">
        <v>394</v>
      </c>
      <c r="H476" s="36" t="s">
        <v>395</v>
      </c>
      <c r="I476" s="36" t="s">
        <v>152</v>
      </c>
      <c r="J476" s="36" t="s">
        <v>396</v>
      </c>
      <c r="K476" s="36" t="s">
        <v>339</v>
      </c>
      <c r="L476" s="74">
        <f>VLOOKUP(E476,Diccionario!C$2:AC$150,22,0)</f>
        <v>131114560</v>
      </c>
      <c r="M476" s="75">
        <f>VLOOKUP(E476,Diccionario!C$2:AC$150,24,0)</f>
        <v>45931</v>
      </c>
      <c r="N476" s="76">
        <f>VLOOKUP(E476,Diccionario!C$2:AC$150,25,0)</f>
        <v>47391</v>
      </c>
      <c r="O476" s="77">
        <f>VLOOKUP(E476,Diccionario!C$2:AC$150,26,0)</f>
        <v>47.97</v>
      </c>
      <c r="P476" s="77">
        <f t="shared" si="154"/>
        <v>-22.97</v>
      </c>
      <c r="Q476" s="78">
        <v>25</v>
      </c>
      <c r="R476" s="36">
        <v>48</v>
      </c>
      <c r="S476" s="86">
        <v>0.99229999999999996</v>
      </c>
      <c r="T476" s="86"/>
      <c r="U476" s="82"/>
      <c r="V476" s="82"/>
      <c r="W476" s="82">
        <f t="shared" si="159"/>
        <v>0</v>
      </c>
      <c r="X476" s="82">
        <f t="shared" si="155"/>
        <v>130104977.888</v>
      </c>
      <c r="Y476" s="82">
        <f t="shared" si="160"/>
        <v>0</v>
      </c>
      <c r="Z476" s="82">
        <f t="shared" si="156"/>
        <v>-130104977.888</v>
      </c>
      <c r="AA476" s="83" t="str">
        <f t="shared" si="164"/>
        <v>No se realizó gasto en este corte</v>
      </c>
      <c r="AB476" s="84" t="str">
        <f t="shared" si="157"/>
        <v>Costo eficiente: se está gastando menos de lo presupuestado</v>
      </c>
      <c r="AC476" s="84">
        <f t="shared" si="161"/>
        <v>0</v>
      </c>
      <c r="AD476" s="84" t="str">
        <f t="shared" si="158"/>
        <v>Sin Línea Base</v>
      </c>
      <c r="AE476" s="85">
        <f t="shared" si="162"/>
        <v>0</v>
      </c>
      <c r="AF476" s="85">
        <f t="shared" si="163"/>
        <v>-131114560</v>
      </c>
      <c r="AG476" s="40" t="str">
        <f>VLOOKUP(Indicador!E476,Diccionario!C$1:AC$150,27,0)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6" s="40">
        <v>1</v>
      </c>
      <c r="AI476" s="40">
        <v>1</v>
      </c>
    </row>
    <row r="477" spans="1:35" ht="18.75" customHeight="1">
      <c r="A477" s="98">
        <v>2027</v>
      </c>
      <c r="B477" s="113" t="s">
        <v>31</v>
      </c>
      <c r="C477" s="97" t="s">
        <v>393</v>
      </c>
      <c r="D477" s="99">
        <v>45932.853839039351</v>
      </c>
      <c r="E477" s="97" t="s">
        <v>101</v>
      </c>
      <c r="F477" s="36" t="s">
        <v>149</v>
      </c>
      <c r="G477" s="36" t="s">
        <v>394</v>
      </c>
      <c r="H477" s="36" t="s">
        <v>395</v>
      </c>
      <c r="I477" s="36" t="s">
        <v>152</v>
      </c>
      <c r="J477" s="36" t="s">
        <v>396</v>
      </c>
      <c r="K477" s="36" t="s">
        <v>339</v>
      </c>
      <c r="L477" s="74">
        <f>VLOOKUP(E477,Diccionario!C$2:AC$150,22,0)</f>
        <v>131114560</v>
      </c>
      <c r="M477" s="75">
        <f>VLOOKUP(E477,Diccionario!C$2:AC$150,24,0)</f>
        <v>45931</v>
      </c>
      <c r="N477" s="76">
        <f>VLOOKUP(E477,Diccionario!C$2:AC$150,25,0)</f>
        <v>47391</v>
      </c>
      <c r="O477" s="77">
        <f>VLOOKUP(E477,Diccionario!C$2:AC$150,26,0)</f>
        <v>47.97</v>
      </c>
      <c r="P477" s="77">
        <f t="shared" ref="P477:P540" si="165">Q477-O477</f>
        <v>-21.97</v>
      </c>
      <c r="Q477" s="78">
        <v>26</v>
      </c>
      <c r="R477" s="36">
        <v>48</v>
      </c>
      <c r="S477" s="86">
        <v>0.99239999999999995</v>
      </c>
      <c r="T477" s="86"/>
      <c r="U477" s="82"/>
      <c r="V477" s="82"/>
      <c r="W477" s="82">
        <f t="shared" si="159"/>
        <v>0</v>
      </c>
      <c r="X477" s="82">
        <f t="shared" si="155"/>
        <v>130118089.344</v>
      </c>
      <c r="Y477" s="82">
        <f t="shared" si="160"/>
        <v>0</v>
      </c>
      <c r="Z477" s="82">
        <f t="shared" si="156"/>
        <v>-130118089.344</v>
      </c>
      <c r="AA477" s="83" t="str">
        <f t="shared" si="164"/>
        <v>No se realizó gasto en este corte</v>
      </c>
      <c r="AB477" s="84" t="str">
        <f t="shared" si="157"/>
        <v>Costo eficiente: se está gastando menos de lo presupuestado</v>
      </c>
      <c r="AC477" s="84">
        <f t="shared" si="161"/>
        <v>0</v>
      </c>
      <c r="AD477" s="84" t="str">
        <f t="shared" si="158"/>
        <v>Sin Línea Base</v>
      </c>
      <c r="AE477" s="85">
        <f t="shared" si="162"/>
        <v>0</v>
      </c>
      <c r="AF477" s="85">
        <f t="shared" si="163"/>
        <v>-131114560</v>
      </c>
      <c r="AG477" s="40" t="str">
        <f>VLOOKUP(Indicador!E477,Diccionario!C$1:AC$150,27,0)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7" s="40">
        <v>1</v>
      </c>
      <c r="AI477" s="40">
        <v>1</v>
      </c>
    </row>
    <row r="478" spans="1:35" ht="18.75" customHeight="1">
      <c r="A478" s="98">
        <v>2027</v>
      </c>
      <c r="B478" s="113" t="s">
        <v>32</v>
      </c>
      <c r="C478" s="97" t="s">
        <v>393</v>
      </c>
      <c r="D478" s="99">
        <v>45932.853839039351</v>
      </c>
      <c r="E478" s="97" t="s">
        <v>101</v>
      </c>
      <c r="F478" s="36" t="s">
        <v>149</v>
      </c>
      <c r="G478" s="36" t="s">
        <v>394</v>
      </c>
      <c r="H478" s="36" t="s">
        <v>395</v>
      </c>
      <c r="I478" s="36" t="s">
        <v>152</v>
      </c>
      <c r="J478" s="36" t="s">
        <v>396</v>
      </c>
      <c r="K478" s="36" t="s">
        <v>339</v>
      </c>
      <c r="L478" s="74">
        <f>VLOOKUP(E478,Diccionario!C$2:AC$150,22,0)</f>
        <v>131114560</v>
      </c>
      <c r="M478" s="75">
        <f>VLOOKUP(E478,Diccionario!C$2:AC$150,24,0)</f>
        <v>45931</v>
      </c>
      <c r="N478" s="76">
        <f>VLOOKUP(E478,Diccionario!C$2:AC$150,25,0)</f>
        <v>47391</v>
      </c>
      <c r="O478" s="77">
        <f>VLOOKUP(E478,Diccionario!C$2:AC$150,26,0)</f>
        <v>47.97</v>
      </c>
      <c r="P478" s="77">
        <f t="shared" si="165"/>
        <v>-20.97</v>
      </c>
      <c r="Q478" s="78">
        <v>27</v>
      </c>
      <c r="R478" s="36">
        <v>48</v>
      </c>
      <c r="S478" s="86">
        <v>0.99250000000000005</v>
      </c>
      <c r="T478" s="86"/>
      <c r="U478" s="82"/>
      <c r="V478" s="82"/>
      <c r="W478" s="82">
        <f t="shared" si="159"/>
        <v>0</v>
      </c>
      <c r="X478" s="82">
        <f t="shared" si="155"/>
        <v>130131200.80000001</v>
      </c>
      <c r="Y478" s="82">
        <f t="shared" si="160"/>
        <v>0</v>
      </c>
      <c r="Z478" s="82">
        <f t="shared" si="156"/>
        <v>-130131200.80000001</v>
      </c>
      <c r="AA478" s="83" t="str">
        <f t="shared" si="164"/>
        <v>No se realizó gasto en este corte</v>
      </c>
      <c r="AB478" s="84" t="str">
        <f t="shared" si="157"/>
        <v>Costo eficiente: se está gastando menos de lo presupuestado</v>
      </c>
      <c r="AC478" s="84">
        <f t="shared" si="161"/>
        <v>0</v>
      </c>
      <c r="AD478" s="84" t="str">
        <f t="shared" si="158"/>
        <v>Sin Línea Base</v>
      </c>
      <c r="AE478" s="85">
        <f t="shared" si="162"/>
        <v>0</v>
      </c>
      <c r="AF478" s="85">
        <f t="shared" si="163"/>
        <v>-131114560</v>
      </c>
      <c r="AG478" s="40" t="str">
        <f>VLOOKUP(Indicador!E478,Diccionario!C$1:AC$150,27,0)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8" s="40">
        <v>1</v>
      </c>
      <c r="AI478" s="40">
        <v>1</v>
      </c>
    </row>
    <row r="479" spans="1:35" ht="18.75" customHeight="1">
      <c r="A479" s="98">
        <v>2028</v>
      </c>
      <c r="B479" s="113" t="s">
        <v>14</v>
      </c>
      <c r="C479" s="97" t="s">
        <v>393</v>
      </c>
      <c r="D479" s="99">
        <v>45932.853839039351</v>
      </c>
      <c r="E479" s="97" t="s">
        <v>101</v>
      </c>
      <c r="F479" s="36" t="s">
        <v>149</v>
      </c>
      <c r="G479" s="36" t="s">
        <v>394</v>
      </c>
      <c r="H479" s="36" t="s">
        <v>395</v>
      </c>
      <c r="I479" s="36" t="s">
        <v>152</v>
      </c>
      <c r="J479" s="36" t="s">
        <v>396</v>
      </c>
      <c r="K479" s="36" t="s">
        <v>339</v>
      </c>
      <c r="L479" s="74">
        <f>VLOOKUP(E479,Diccionario!C$2:AC$150,22,0)</f>
        <v>131114560</v>
      </c>
      <c r="M479" s="75">
        <f>VLOOKUP(E479,Diccionario!C$2:AC$150,24,0)</f>
        <v>45931</v>
      </c>
      <c r="N479" s="76">
        <f>VLOOKUP(E479,Diccionario!C$2:AC$150,25,0)</f>
        <v>47391</v>
      </c>
      <c r="O479" s="77">
        <f>VLOOKUP(E479,Diccionario!C$2:AC$150,26,0)</f>
        <v>47.97</v>
      </c>
      <c r="P479" s="77">
        <f t="shared" si="165"/>
        <v>-19.97</v>
      </c>
      <c r="Q479" s="78">
        <v>28</v>
      </c>
      <c r="R479" s="36">
        <v>48</v>
      </c>
      <c r="S479" s="86">
        <v>0.99260000000000004</v>
      </c>
      <c r="T479" s="86"/>
      <c r="U479" s="82"/>
      <c r="V479" s="82"/>
      <c r="W479" s="82">
        <f t="shared" si="159"/>
        <v>0</v>
      </c>
      <c r="X479" s="82">
        <f t="shared" si="155"/>
        <v>130144312.25600001</v>
      </c>
      <c r="Y479" s="82">
        <f t="shared" si="160"/>
        <v>0</v>
      </c>
      <c r="Z479" s="82">
        <f t="shared" si="156"/>
        <v>-130144312.25600001</v>
      </c>
      <c r="AA479" s="83" t="str">
        <f t="shared" si="164"/>
        <v>No se realizó gasto en este corte</v>
      </c>
      <c r="AB479" s="84" t="str">
        <f t="shared" si="157"/>
        <v>Costo eficiente: se está gastando menos de lo presupuestado</v>
      </c>
      <c r="AC479" s="84">
        <f t="shared" si="161"/>
        <v>0</v>
      </c>
      <c r="AD479" s="84" t="str">
        <f t="shared" si="158"/>
        <v>Sin Línea Base</v>
      </c>
      <c r="AE479" s="85">
        <f t="shared" si="162"/>
        <v>0</v>
      </c>
      <c r="AF479" s="85">
        <f t="shared" si="163"/>
        <v>-131114560</v>
      </c>
      <c r="AG479" s="40" t="str">
        <f>VLOOKUP(Indicador!E479,Diccionario!C$1:AC$150,27,0)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79" s="40">
        <v>1</v>
      </c>
      <c r="AI479" s="40">
        <v>1</v>
      </c>
    </row>
    <row r="480" spans="1:35" ht="18.75" customHeight="1">
      <c r="A480" s="98">
        <v>2028</v>
      </c>
      <c r="B480" s="113" t="s">
        <v>22</v>
      </c>
      <c r="C480" s="97" t="s">
        <v>393</v>
      </c>
      <c r="D480" s="99">
        <v>45932.853839039351</v>
      </c>
      <c r="E480" s="97" t="s">
        <v>101</v>
      </c>
      <c r="F480" s="36" t="s">
        <v>149</v>
      </c>
      <c r="G480" s="36" t="s">
        <v>394</v>
      </c>
      <c r="H480" s="36" t="s">
        <v>395</v>
      </c>
      <c r="I480" s="36" t="s">
        <v>152</v>
      </c>
      <c r="J480" s="36" t="s">
        <v>396</v>
      </c>
      <c r="K480" s="36" t="s">
        <v>339</v>
      </c>
      <c r="L480" s="74">
        <f>VLOOKUP(E480,Diccionario!C$2:AC$150,22,0)</f>
        <v>131114560</v>
      </c>
      <c r="M480" s="75">
        <f>VLOOKUP(E480,Diccionario!C$2:AC$150,24,0)</f>
        <v>45931</v>
      </c>
      <c r="N480" s="76">
        <f>VLOOKUP(E480,Diccionario!C$2:AC$150,25,0)</f>
        <v>47391</v>
      </c>
      <c r="O480" s="77">
        <f>VLOOKUP(E480,Diccionario!C$2:AC$150,26,0)</f>
        <v>47.97</v>
      </c>
      <c r="P480" s="77">
        <f t="shared" si="165"/>
        <v>-18.97</v>
      </c>
      <c r="Q480" s="78">
        <v>29</v>
      </c>
      <c r="R480" s="36">
        <v>48</v>
      </c>
      <c r="S480" s="86">
        <v>0.99270000000000003</v>
      </c>
      <c r="T480" s="86"/>
      <c r="U480" s="82"/>
      <c r="V480" s="82"/>
      <c r="W480" s="82">
        <f t="shared" si="159"/>
        <v>0</v>
      </c>
      <c r="X480" s="82">
        <f t="shared" si="155"/>
        <v>130157423.712</v>
      </c>
      <c r="Y480" s="82">
        <f t="shared" si="160"/>
        <v>0</v>
      </c>
      <c r="Z480" s="82">
        <f t="shared" si="156"/>
        <v>-130157423.712</v>
      </c>
      <c r="AA480" s="83" t="str">
        <f t="shared" si="164"/>
        <v>No se realizó gasto en este corte</v>
      </c>
      <c r="AB480" s="84" t="str">
        <f t="shared" si="157"/>
        <v>Costo eficiente: se está gastando menos de lo presupuestado</v>
      </c>
      <c r="AC480" s="84">
        <f t="shared" si="161"/>
        <v>0</v>
      </c>
      <c r="AD480" s="84" t="str">
        <f t="shared" si="158"/>
        <v>Sin Línea Base</v>
      </c>
      <c r="AE480" s="85">
        <f t="shared" si="162"/>
        <v>0</v>
      </c>
      <c r="AF480" s="85">
        <f t="shared" si="163"/>
        <v>-131114560</v>
      </c>
      <c r="AG480" s="40" t="str">
        <f>VLOOKUP(Indicador!E480,Diccionario!C$1:AC$150,27,0)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0" s="40">
        <v>1</v>
      </c>
      <c r="AI480" s="40">
        <v>1</v>
      </c>
    </row>
    <row r="481" spans="1:35" ht="18.75" customHeight="1">
      <c r="A481" s="98">
        <v>2028</v>
      </c>
      <c r="B481" s="113" t="s">
        <v>24</v>
      </c>
      <c r="C481" s="97" t="s">
        <v>393</v>
      </c>
      <c r="D481" s="99">
        <v>45932.853839039351</v>
      </c>
      <c r="E481" s="97" t="s">
        <v>101</v>
      </c>
      <c r="F481" s="36" t="s">
        <v>149</v>
      </c>
      <c r="G481" s="36" t="s">
        <v>394</v>
      </c>
      <c r="H481" s="36" t="s">
        <v>395</v>
      </c>
      <c r="I481" s="36" t="s">
        <v>152</v>
      </c>
      <c r="J481" s="36" t="s">
        <v>396</v>
      </c>
      <c r="K481" s="36" t="s">
        <v>339</v>
      </c>
      <c r="L481" s="74">
        <f>VLOOKUP(E481,Diccionario!C$2:AC$150,22,0)</f>
        <v>131114560</v>
      </c>
      <c r="M481" s="75">
        <f>VLOOKUP(E481,Diccionario!C$2:AC$150,24,0)</f>
        <v>45931</v>
      </c>
      <c r="N481" s="76">
        <f>VLOOKUP(E481,Diccionario!C$2:AC$150,25,0)</f>
        <v>47391</v>
      </c>
      <c r="O481" s="77">
        <f>VLOOKUP(E481,Diccionario!C$2:AC$150,26,0)</f>
        <v>47.97</v>
      </c>
      <c r="P481" s="77">
        <f t="shared" si="165"/>
        <v>-17.97</v>
      </c>
      <c r="Q481" s="78">
        <v>30</v>
      </c>
      <c r="R481" s="36">
        <v>48</v>
      </c>
      <c r="S481" s="86">
        <v>0.99280000000000002</v>
      </c>
      <c r="T481" s="86"/>
      <c r="U481" s="82"/>
      <c r="V481" s="82"/>
      <c r="W481" s="82">
        <f t="shared" si="159"/>
        <v>0</v>
      </c>
      <c r="X481" s="82">
        <f t="shared" si="155"/>
        <v>130170535.168</v>
      </c>
      <c r="Y481" s="82">
        <f t="shared" si="160"/>
        <v>0</v>
      </c>
      <c r="Z481" s="82">
        <f t="shared" si="156"/>
        <v>-130170535.168</v>
      </c>
      <c r="AA481" s="83" t="str">
        <f t="shared" si="164"/>
        <v>No se realizó gasto en este corte</v>
      </c>
      <c r="AB481" s="84" t="str">
        <f t="shared" si="157"/>
        <v>Costo eficiente: se está gastando menos de lo presupuestado</v>
      </c>
      <c r="AC481" s="84">
        <f t="shared" si="161"/>
        <v>0</v>
      </c>
      <c r="AD481" s="84" t="str">
        <f t="shared" si="158"/>
        <v>Sin Línea Base</v>
      </c>
      <c r="AE481" s="85">
        <f t="shared" si="162"/>
        <v>0</v>
      </c>
      <c r="AF481" s="85">
        <f t="shared" si="163"/>
        <v>-131114560</v>
      </c>
      <c r="AG481" s="40" t="str">
        <f>VLOOKUP(Indicador!E481,Diccionario!C$1:AC$150,27,0)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1" s="40">
        <v>1</v>
      </c>
      <c r="AI481" s="40">
        <v>1</v>
      </c>
    </row>
    <row r="482" spans="1:35" ht="18.75" customHeight="1">
      <c r="A482" s="98">
        <v>2028</v>
      </c>
      <c r="B482" s="113" t="s">
        <v>27</v>
      </c>
      <c r="C482" s="97" t="s">
        <v>393</v>
      </c>
      <c r="D482" s="99">
        <v>45932.853839039351</v>
      </c>
      <c r="E482" s="97" t="s">
        <v>101</v>
      </c>
      <c r="F482" s="36" t="s">
        <v>149</v>
      </c>
      <c r="G482" s="36" t="s">
        <v>394</v>
      </c>
      <c r="H482" s="36" t="s">
        <v>395</v>
      </c>
      <c r="I482" s="36" t="s">
        <v>152</v>
      </c>
      <c r="J482" s="36" t="s">
        <v>396</v>
      </c>
      <c r="K482" s="36" t="s">
        <v>339</v>
      </c>
      <c r="L482" s="74">
        <f>VLOOKUP(E482,Diccionario!C$2:AC$150,22,0)</f>
        <v>131114560</v>
      </c>
      <c r="M482" s="75">
        <f>VLOOKUP(E482,Diccionario!C$2:AC$150,24,0)</f>
        <v>45931</v>
      </c>
      <c r="N482" s="76">
        <f>VLOOKUP(E482,Diccionario!C$2:AC$150,25,0)</f>
        <v>47391</v>
      </c>
      <c r="O482" s="77">
        <f>VLOOKUP(E482,Diccionario!C$2:AC$150,26,0)</f>
        <v>47.97</v>
      </c>
      <c r="P482" s="77">
        <f t="shared" si="165"/>
        <v>-16.97</v>
      </c>
      <c r="Q482" s="78">
        <v>31</v>
      </c>
      <c r="R482" s="36">
        <v>48</v>
      </c>
      <c r="S482" s="86">
        <v>0.9929</v>
      </c>
      <c r="T482" s="86"/>
      <c r="U482" s="82"/>
      <c r="V482" s="82"/>
      <c r="W482" s="82">
        <f t="shared" si="159"/>
        <v>0</v>
      </c>
      <c r="X482" s="82">
        <f t="shared" ref="X482:X545" si="166">S482*L482</f>
        <v>130183646.624</v>
      </c>
      <c r="Y482" s="82">
        <f t="shared" si="160"/>
        <v>0</v>
      </c>
      <c r="Z482" s="82">
        <f t="shared" ref="Z482:Z545" si="167">W482-X482</f>
        <v>-130183646.624</v>
      </c>
      <c r="AA482" s="83" t="str">
        <f t="shared" si="164"/>
        <v>No se realizó gasto en este corte</v>
      </c>
      <c r="AB482" s="84" t="str">
        <f t="shared" ref="AB482:AB545" si="168">IFERROR(
  IF(OR(AA482="",AA482=0),
    "No calculado",
    IF(AA482&gt;1,"Costo eficiente: se está gastando menos de lo presupuestado",
      IF(AA482=1,"Costo según lo presupuestado",
        "Costo ineficiente: se está gastando más de lo presupuestado"))),
"No calculado")</f>
        <v>Costo eficiente: se está gastando menos de lo presupuestado</v>
      </c>
      <c r="AC482" s="84">
        <f t="shared" si="161"/>
        <v>0</v>
      </c>
      <c r="AD482" s="84" t="str">
        <f t="shared" ref="AD482:AD545" si="169">IF(OR(AC482="",AC482=0),"Sin Línea Base",
IF(AC482&gt;1,"Proyecto adelantado respecto al cronograma",
IF(AC482=1,"Proyecto a tiempo según lo planificado",
IF(AC482&lt;1,"Proyecto atrasado con respecto al cronograma",
"No calculado"))))</f>
        <v>Sin Línea Base</v>
      </c>
      <c r="AE482" s="85">
        <f t="shared" si="162"/>
        <v>0</v>
      </c>
      <c r="AF482" s="85">
        <f t="shared" si="163"/>
        <v>-131114560</v>
      </c>
      <c r="AG482" s="40" t="str">
        <f>VLOOKUP(Indicador!E482,Diccionario!C$1:AC$150,27,0)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2" s="40">
        <v>1</v>
      </c>
      <c r="AI482" s="40">
        <v>1</v>
      </c>
    </row>
    <row r="483" spans="1:35" ht="18.75" customHeight="1">
      <c r="A483" s="98">
        <v>2028</v>
      </c>
      <c r="B483" s="113" t="s">
        <v>13</v>
      </c>
      <c r="C483" s="97" t="s">
        <v>393</v>
      </c>
      <c r="D483" s="99">
        <v>45932.853839039351</v>
      </c>
      <c r="E483" s="97" t="s">
        <v>101</v>
      </c>
      <c r="F483" s="36" t="s">
        <v>149</v>
      </c>
      <c r="G483" s="36" t="s">
        <v>394</v>
      </c>
      <c r="H483" s="36" t="s">
        <v>395</v>
      </c>
      <c r="I483" s="36" t="s">
        <v>152</v>
      </c>
      <c r="J483" s="36" t="s">
        <v>396</v>
      </c>
      <c r="K483" s="36" t="s">
        <v>339</v>
      </c>
      <c r="L483" s="74">
        <f>VLOOKUP(E483,Diccionario!C$2:AC$150,22,0)</f>
        <v>131114560</v>
      </c>
      <c r="M483" s="75">
        <f>VLOOKUP(E483,Diccionario!C$2:AC$150,24,0)</f>
        <v>45931</v>
      </c>
      <c r="N483" s="76">
        <f>VLOOKUP(E483,Diccionario!C$2:AC$150,25,0)</f>
        <v>47391</v>
      </c>
      <c r="O483" s="77">
        <f>VLOOKUP(E483,Diccionario!C$2:AC$150,26,0)</f>
        <v>47.97</v>
      </c>
      <c r="P483" s="77">
        <f t="shared" si="165"/>
        <v>-15.969999999999999</v>
      </c>
      <c r="Q483" s="78">
        <v>32</v>
      </c>
      <c r="R483" s="36">
        <v>48</v>
      </c>
      <c r="S483" s="86">
        <v>0.99299999999999999</v>
      </c>
      <c r="T483" s="86"/>
      <c r="U483" s="82"/>
      <c r="V483" s="82"/>
      <c r="W483" s="82">
        <f t="shared" si="159"/>
        <v>0</v>
      </c>
      <c r="X483" s="82">
        <f t="shared" si="166"/>
        <v>130196758.08</v>
      </c>
      <c r="Y483" s="82">
        <f t="shared" si="160"/>
        <v>0</v>
      </c>
      <c r="Z483" s="82">
        <f t="shared" si="167"/>
        <v>-130196758.08</v>
      </c>
      <c r="AA483" s="83" t="str">
        <f t="shared" si="164"/>
        <v>No se realizó gasto en este corte</v>
      </c>
      <c r="AB483" s="84" t="str">
        <f t="shared" si="168"/>
        <v>Costo eficiente: se está gastando menos de lo presupuestado</v>
      </c>
      <c r="AC483" s="84">
        <f t="shared" si="161"/>
        <v>0</v>
      </c>
      <c r="AD483" s="84" t="str">
        <f t="shared" si="169"/>
        <v>Sin Línea Base</v>
      </c>
      <c r="AE483" s="85">
        <f t="shared" si="162"/>
        <v>0</v>
      </c>
      <c r="AF483" s="85">
        <f t="shared" si="163"/>
        <v>-131114560</v>
      </c>
      <c r="AG483" s="40" t="str">
        <f>VLOOKUP(Indicador!E483,Diccionario!C$1:AC$150,27,0)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3" s="40">
        <v>1</v>
      </c>
      <c r="AI483" s="40">
        <v>1</v>
      </c>
    </row>
    <row r="484" spans="1:35" ht="18.75" customHeight="1">
      <c r="A484" s="98">
        <v>2028</v>
      </c>
      <c r="B484" s="113" t="s">
        <v>21</v>
      </c>
      <c r="C484" s="97" t="s">
        <v>393</v>
      </c>
      <c r="D484" s="99">
        <v>45932.853839039351</v>
      </c>
      <c r="E484" s="97" t="s">
        <v>101</v>
      </c>
      <c r="F484" s="36" t="s">
        <v>149</v>
      </c>
      <c r="G484" s="36" t="s">
        <v>394</v>
      </c>
      <c r="H484" s="36" t="s">
        <v>395</v>
      </c>
      <c r="I484" s="36" t="s">
        <v>152</v>
      </c>
      <c r="J484" s="36" t="s">
        <v>396</v>
      </c>
      <c r="K484" s="36" t="s">
        <v>339</v>
      </c>
      <c r="L484" s="74">
        <f>VLOOKUP(E484,Diccionario!C$2:AC$150,22,0)</f>
        <v>131114560</v>
      </c>
      <c r="M484" s="75">
        <f>VLOOKUP(E484,Diccionario!C$2:AC$150,24,0)</f>
        <v>45931</v>
      </c>
      <c r="N484" s="76">
        <f>VLOOKUP(E484,Diccionario!C$2:AC$150,25,0)</f>
        <v>47391</v>
      </c>
      <c r="O484" s="77">
        <f>VLOOKUP(E484,Diccionario!C$2:AC$150,26,0)</f>
        <v>47.97</v>
      </c>
      <c r="P484" s="77">
        <f t="shared" si="165"/>
        <v>-14.969999999999999</v>
      </c>
      <c r="Q484" s="78">
        <v>33</v>
      </c>
      <c r="R484" s="36">
        <v>48</v>
      </c>
      <c r="S484" s="86">
        <v>0.99309999999999998</v>
      </c>
      <c r="T484" s="86"/>
      <c r="U484" s="82"/>
      <c r="V484" s="82"/>
      <c r="W484" s="82">
        <f t="shared" si="159"/>
        <v>0</v>
      </c>
      <c r="X484" s="82">
        <f t="shared" si="166"/>
        <v>130209869.536</v>
      </c>
      <c r="Y484" s="82">
        <f t="shared" si="160"/>
        <v>0</v>
      </c>
      <c r="Z484" s="82">
        <f t="shared" si="167"/>
        <v>-130209869.536</v>
      </c>
      <c r="AA484" s="83" t="str">
        <f t="shared" si="164"/>
        <v>No se realizó gasto en este corte</v>
      </c>
      <c r="AB484" s="84" t="str">
        <f t="shared" si="168"/>
        <v>Costo eficiente: se está gastando menos de lo presupuestado</v>
      </c>
      <c r="AC484" s="84">
        <f t="shared" si="161"/>
        <v>0</v>
      </c>
      <c r="AD484" s="84" t="str">
        <f t="shared" si="169"/>
        <v>Sin Línea Base</v>
      </c>
      <c r="AE484" s="85">
        <f t="shared" si="162"/>
        <v>0</v>
      </c>
      <c r="AF484" s="85">
        <f t="shared" si="163"/>
        <v>-131114560</v>
      </c>
      <c r="AG484" s="40" t="str">
        <f>VLOOKUP(Indicador!E484,Diccionario!C$1:AC$150,27,0)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4" s="40">
        <v>1</v>
      </c>
      <c r="AI484" s="40">
        <v>1</v>
      </c>
    </row>
    <row r="485" spans="1:35" ht="18.75" customHeight="1">
      <c r="A485" s="98">
        <v>2028</v>
      </c>
      <c r="B485" s="113" t="s">
        <v>23</v>
      </c>
      <c r="C485" s="97" t="s">
        <v>393</v>
      </c>
      <c r="D485" s="99">
        <v>45932.853839039351</v>
      </c>
      <c r="E485" s="97" t="s">
        <v>101</v>
      </c>
      <c r="F485" s="36" t="s">
        <v>149</v>
      </c>
      <c r="G485" s="36" t="s">
        <v>394</v>
      </c>
      <c r="H485" s="36" t="s">
        <v>395</v>
      </c>
      <c r="I485" s="36" t="s">
        <v>152</v>
      </c>
      <c r="J485" s="36" t="s">
        <v>396</v>
      </c>
      <c r="K485" s="36" t="s">
        <v>339</v>
      </c>
      <c r="L485" s="74">
        <f>VLOOKUP(E485,Diccionario!C$2:AC$150,22,0)</f>
        <v>131114560</v>
      </c>
      <c r="M485" s="75">
        <f>VLOOKUP(E485,Diccionario!C$2:AC$150,24,0)</f>
        <v>45931</v>
      </c>
      <c r="N485" s="76">
        <f>VLOOKUP(E485,Diccionario!C$2:AC$150,25,0)</f>
        <v>47391</v>
      </c>
      <c r="O485" s="77">
        <f>VLOOKUP(E485,Diccionario!C$2:AC$150,26,0)</f>
        <v>47.97</v>
      </c>
      <c r="P485" s="77">
        <f t="shared" si="165"/>
        <v>-13.969999999999999</v>
      </c>
      <c r="Q485" s="78">
        <v>34</v>
      </c>
      <c r="R485" s="36">
        <v>48</v>
      </c>
      <c r="S485" s="86">
        <v>0.99319999999999997</v>
      </c>
      <c r="T485" s="86"/>
      <c r="U485" s="82"/>
      <c r="V485" s="82"/>
      <c r="W485" s="82">
        <f t="shared" si="159"/>
        <v>0</v>
      </c>
      <c r="X485" s="82">
        <f t="shared" si="166"/>
        <v>130222980.992</v>
      </c>
      <c r="Y485" s="82">
        <f t="shared" si="160"/>
        <v>0</v>
      </c>
      <c r="Z485" s="82">
        <f t="shared" si="167"/>
        <v>-130222980.992</v>
      </c>
      <c r="AA485" s="83" t="str">
        <f t="shared" si="164"/>
        <v>No se realizó gasto en este corte</v>
      </c>
      <c r="AB485" s="84" t="str">
        <f t="shared" si="168"/>
        <v>Costo eficiente: se está gastando menos de lo presupuestado</v>
      </c>
      <c r="AC485" s="84">
        <f t="shared" si="161"/>
        <v>0</v>
      </c>
      <c r="AD485" s="84" t="str">
        <f t="shared" si="169"/>
        <v>Sin Línea Base</v>
      </c>
      <c r="AE485" s="85">
        <f t="shared" si="162"/>
        <v>0</v>
      </c>
      <c r="AF485" s="85">
        <f t="shared" si="163"/>
        <v>-131114560</v>
      </c>
      <c r="AG485" s="40" t="str">
        <f>VLOOKUP(Indicador!E485,Diccionario!C$1:AC$150,27,0)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5" s="40">
        <v>1</v>
      </c>
      <c r="AI485" s="40">
        <v>1</v>
      </c>
    </row>
    <row r="486" spans="1:35" ht="18.75" customHeight="1">
      <c r="A486" s="98">
        <v>2028</v>
      </c>
      <c r="B486" s="113" t="s">
        <v>26</v>
      </c>
      <c r="C486" s="97" t="s">
        <v>393</v>
      </c>
      <c r="D486" s="99">
        <v>45932.853839039351</v>
      </c>
      <c r="E486" s="97" t="s">
        <v>101</v>
      </c>
      <c r="F486" s="36" t="s">
        <v>149</v>
      </c>
      <c r="G486" s="36" t="s">
        <v>394</v>
      </c>
      <c r="H486" s="36" t="s">
        <v>395</v>
      </c>
      <c r="I486" s="36" t="s">
        <v>152</v>
      </c>
      <c r="J486" s="36" t="s">
        <v>396</v>
      </c>
      <c r="K486" s="36" t="s">
        <v>339</v>
      </c>
      <c r="L486" s="74">
        <f>VLOOKUP(E486,Diccionario!C$2:AC$150,22,0)</f>
        <v>131114560</v>
      </c>
      <c r="M486" s="75">
        <f>VLOOKUP(E486,Diccionario!C$2:AC$150,24,0)</f>
        <v>45931</v>
      </c>
      <c r="N486" s="76">
        <f>VLOOKUP(E486,Diccionario!C$2:AC$150,25,0)</f>
        <v>47391</v>
      </c>
      <c r="O486" s="77">
        <f>VLOOKUP(E486,Diccionario!C$2:AC$150,26,0)</f>
        <v>47.97</v>
      </c>
      <c r="P486" s="77">
        <f t="shared" si="165"/>
        <v>-12.969999999999999</v>
      </c>
      <c r="Q486" s="78">
        <v>35</v>
      </c>
      <c r="R486" s="36">
        <v>48</v>
      </c>
      <c r="S486" s="86">
        <v>0.99329999999999996</v>
      </c>
      <c r="T486" s="86"/>
      <c r="U486" s="82"/>
      <c r="V486" s="82"/>
      <c r="W486" s="82">
        <f t="shared" si="159"/>
        <v>0</v>
      </c>
      <c r="X486" s="82">
        <f t="shared" si="166"/>
        <v>130236092.448</v>
      </c>
      <c r="Y486" s="82">
        <f t="shared" si="160"/>
        <v>0</v>
      </c>
      <c r="Z486" s="82">
        <f t="shared" si="167"/>
        <v>-130236092.448</v>
      </c>
      <c r="AA486" s="83" t="str">
        <f t="shared" si="164"/>
        <v>No se realizó gasto en este corte</v>
      </c>
      <c r="AB486" s="84" t="str">
        <f t="shared" si="168"/>
        <v>Costo eficiente: se está gastando menos de lo presupuestado</v>
      </c>
      <c r="AC486" s="84">
        <f t="shared" si="161"/>
        <v>0</v>
      </c>
      <c r="AD486" s="84" t="str">
        <f t="shared" si="169"/>
        <v>Sin Línea Base</v>
      </c>
      <c r="AE486" s="85">
        <f t="shared" si="162"/>
        <v>0</v>
      </c>
      <c r="AF486" s="85">
        <f t="shared" si="163"/>
        <v>-131114560</v>
      </c>
      <c r="AG486" s="40" t="str">
        <f>VLOOKUP(Indicador!E486,Diccionario!C$1:AC$150,27,0)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6" s="40">
        <v>1</v>
      </c>
      <c r="AI486" s="40">
        <v>1</v>
      </c>
    </row>
    <row r="487" spans="1:35" ht="18.75" customHeight="1">
      <c r="A487" s="98">
        <v>2028</v>
      </c>
      <c r="B487" s="113" t="s">
        <v>28</v>
      </c>
      <c r="C487" s="97" t="s">
        <v>393</v>
      </c>
      <c r="D487" s="99">
        <v>45932.853839039351</v>
      </c>
      <c r="E487" s="97" t="s">
        <v>101</v>
      </c>
      <c r="F487" s="36" t="s">
        <v>149</v>
      </c>
      <c r="G487" s="36" t="s">
        <v>394</v>
      </c>
      <c r="H487" s="36" t="s">
        <v>395</v>
      </c>
      <c r="I487" s="36" t="s">
        <v>152</v>
      </c>
      <c r="J487" s="36" t="s">
        <v>396</v>
      </c>
      <c r="K487" s="36" t="s">
        <v>339</v>
      </c>
      <c r="L487" s="74">
        <f>VLOOKUP(E487,Diccionario!C$2:AC$150,22,0)</f>
        <v>131114560</v>
      </c>
      <c r="M487" s="75">
        <f>VLOOKUP(E487,Diccionario!C$2:AC$150,24,0)</f>
        <v>45931</v>
      </c>
      <c r="N487" s="76">
        <f>VLOOKUP(E487,Diccionario!C$2:AC$150,25,0)</f>
        <v>47391</v>
      </c>
      <c r="O487" s="77">
        <f>VLOOKUP(E487,Diccionario!C$2:AC$150,26,0)</f>
        <v>47.97</v>
      </c>
      <c r="P487" s="77">
        <f t="shared" si="165"/>
        <v>-11.969999999999999</v>
      </c>
      <c r="Q487" s="78">
        <v>36</v>
      </c>
      <c r="R487" s="36">
        <v>48</v>
      </c>
      <c r="S487" s="86">
        <v>0.99339999999999995</v>
      </c>
      <c r="T487" s="86"/>
      <c r="U487" s="82"/>
      <c r="V487" s="82"/>
      <c r="W487" s="82">
        <f t="shared" si="159"/>
        <v>0</v>
      </c>
      <c r="X487" s="82">
        <f t="shared" si="166"/>
        <v>130249203.904</v>
      </c>
      <c r="Y487" s="82">
        <f t="shared" si="160"/>
        <v>0</v>
      </c>
      <c r="Z487" s="82">
        <f t="shared" si="167"/>
        <v>-130249203.904</v>
      </c>
      <c r="AA487" s="83" t="str">
        <f t="shared" si="164"/>
        <v>No se realizó gasto en este corte</v>
      </c>
      <c r="AB487" s="84" t="str">
        <f t="shared" si="168"/>
        <v>Costo eficiente: se está gastando menos de lo presupuestado</v>
      </c>
      <c r="AC487" s="84">
        <f t="shared" si="161"/>
        <v>0</v>
      </c>
      <c r="AD487" s="84" t="str">
        <f t="shared" si="169"/>
        <v>Sin Línea Base</v>
      </c>
      <c r="AE487" s="85">
        <f t="shared" si="162"/>
        <v>0</v>
      </c>
      <c r="AF487" s="85">
        <f t="shared" si="163"/>
        <v>-131114560</v>
      </c>
      <c r="AG487" s="40" t="str">
        <f>VLOOKUP(Indicador!E487,Diccionario!C$1:AC$150,27,0)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7" s="40">
        <v>1</v>
      </c>
      <c r="AI487" s="40">
        <v>1</v>
      </c>
    </row>
    <row r="488" spans="1:35" ht="18.75" customHeight="1">
      <c r="A488" s="98">
        <v>2028</v>
      </c>
      <c r="B488" s="113" t="s">
        <v>30</v>
      </c>
      <c r="C488" s="97" t="s">
        <v>393</v>
      </c>
      <c r="D488" s="99">
        <v>45932.853839039351</v>
      </c>
      <c r="E488" s="97" t="s">
        <v>101</v>
      </c>
      <c r="F488" s="36" t="s">
        <v>149</v>
      </c>
      <c r="G488" s="36" t="s">
        <v>394</v>
      </c>
      <c r="H488" s="36" t="s">
        <v>395</v>
      </c>
      <c r="I488" s="36" t="s">
        <v>152</v>
      </c>
      <c r="J488" s="36" t="s">
        <v>396</v>
      </c>
      <c r="K488" s="36" t="s">
        <v>339</v>
      </c>
      <c r="L488" s="74">
        <f>VLOOKUP(E488,Diccionario!C$2:AC$150,22,0)</f>
        <v>131114560</v>
      </c>
      <c r="M488" s="75">
        <f>VLOOKUP(E488,Diccionario!C$2:AC$150,24,0)</f>
        <v>45931</v>
      </c>
      <c r="N488" s="76">
        <f>VLOOKUP(E488,Diccionario!C$2:AC$150,25,0)</f>
        <v>47391</v>
      </c>
      <c r="O488" s="77">
        <f>VLOOKUP(E488,Diccionario!C$2:AC$150,26,0)</f>
        <v>47.97</v>
      </c>
      <c r="P488" s="77">
        <f t="shared" si="165"/>
        <v>-10.969999999999999</v>
      </c>
      <c r="Q488" s="78">
        <v>37</v>
      </c>
      <c r="R488" s="36">
        <v>48</v>
      </c>
      <c r="S488" s="86">
        <v>0.99350000000000005</v>
      </c>
      <c r="T488" s="86"/>
      <c r="U488" s="82"/>
      <c r="V488" s="82"/>
      <c r="W488" s="82">
        <f t="shared" si="159"/>
        <v>0</v>
      </c>
      <c r="X488" s="82">
        <f t="shared" si="166"/>
        <v>130262315.36</v>
      </c>
      <c r="Y488" s="82">
        <f t="shared" si="160"/>
        <v>0</v>
      </c>
      <c r="Z488" s="82">
        <f t="shared" si="167"/>
        <v>-130262315.36</v>
      </c>
      <c r="AA488" s="83" t="str">
        <f t="shared" si="164"/>
        <v>No se realizó gasto en este corte</v>
      </c>
      <c r="AB488" s="84" t="str">
        <f t="shared" si="168"/>
        <v>Costo eficiente: se está gastando menos de lo presupuestado</v>
      </c>
      <c r="AC488" s="84">
        <f t="shared" si="161"/>
        <v>0</v>
      </c>
      <c r="AD488" s="84" t="str">
        <f t="shared" si="169"/>
        <v>Sin Línea Base</v>
      </c>
      <c r="AE488" s="85">
        <f t="shared" si="162"/>
        <v>0</v>
      </c>
      <c r="AF488" s="85">
        <f t="shared" si="163"/>
        <v>-131114560</v>
      </c>
      <c r="AG488" s="40" t="str">
        <f>VLOOKUP(Indicador!E488,Diccionario!C$1:AC$150,27,0)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8" s="40">
        <v>1</v>
      </c>
      <c r="AI488" s="40">
        <v>1</v>
      </c>
    </row>
    <row r="489" spans="1:35" ht="18.75" customHeight="1">
      <c r="A489" s="98">
        <v>2028</v>
      </c>
      <c r="B489" s="113" t="s">
        <v>31</v>
      </c>
      <c r="C489" s="97" t="s">
        <v>393</v>
      </c>
      <c r="D489" s="99">
        <v>45932.853839039351</v>
      </c>
      <c r="E489" s="97" t="s">
        <v>101</v>
      </c>
      <c r="F489" s="36" t="s">
        <v>149</v>
      </c>
      <c r="G489" s="36" t="s">
        <v>394</v>
      </c>
      <c r="H489" s="36" t="s">
        <v>395</v>
      </c>
      <c r="I489" s="36" t="s">
        <v>152</v>
      </c>
      <c r="J489" s="36" t="s">
        <v>396</v>
      </c>
      <c r="K489" s="36" t="s">
        <v>339</v>
      </c>
      <c r="L489" s="74">
        <f>VLOOKUP(E489,Diccionario!C$2:AC$150,22,0)</f>
        <v>131114560</v>
      </c>
      <c r="M489" s="75">
        <f>VLOOKUP(E489,Diccionario!C$2:AC$150,24,0)</f>
        <v>45931</v>
      </c>
      <c r="N489" s="76">
        <f>VLOOKUP(E489,Diccionario!C$2:AC$150,25,0)</f>
        <v>47391</v>
      </c>
      <c r="O489" s="77">
        <f>VLOOKUP(E489,Diccionario!C$2:AC$150,26,0)</f>
        <v>47.97</v>
      </c>
      <c r="P489" s="77">
        <f t="shared" si="165"/>
        <v>-9.9699999999999989</v>
      </c>
      <c r="Q489" s="78">
        <v>38</v>
      </c>
      <c r="R489" s="36">
        <v>48</v>
      </c>
      <c r="S489" s="86">
        <v>0.99360000000000004</v>
      </c>
      <c r="T489" s="86"/>
      <c r="U489" s="82"/>
      <c r="V489" s="82"/>
      <c r="W489" s="82">
        <f t="shared" si="159"/>
        <v>0</v>
      </c>
      <c r="X489" s="82">
        <f t="shared" si="166"/>
        <v>130275426.816</v>
      </c>
      <c r="Y489" s="82">
        <f t="shared" si="160"/>
        <v>0</v>
      </c>
      <c r="Z489" s="82">
        <f t="shared" si="167"/>
        <v>-130275426.816</v>
      </c>
      <c r="AA489" s="83" t="str">
        <f t="shared" si="164"/>
        <v>No se realizó gasto en este corte</v>
      </c>
      <c r="AB489" s="84" t="str">
        <f t="shared" si="168"/>
        <v>Costo eficiente: se está gastando menos de lo presupuestado</v>
      </c>
      <c r="AC489" s="84">
        <f t="shared" si="161"/>
        <v>0</v>
      </c>
      <c r="AD489" s="84" t="str">
        <f t="shared" si="169"/>
        <v>Sin Línea Base</v>
      </c>
      <c r="AE489" s="85">
        <f t="shared" si="162"/>
        <v>0</v>
      </c>
      <c r="AF489" s="85">
        <f t="shared" si="163"/>
        <v>-131114560</v>
      </c>
      <c r="AG489" s="40" t="str">
        <f>VLOOKUP(Indicador!E489,Diccionario!C$1:AC$150,27,0)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89" s="40">
        <v>1</v>
      </c>
      <c r="AI489" s="40">
        <v>1</v>
      </c>
    </row>
    <row r="490" spans="1:35" ht="18.75" customHeight="1">
      <c r="A490" s="98">
        <v>2028</v>
      </c>
      <c r="B490" s="113" t="s">
        <v>32</v>
      </c>
      <c r="C490" s="97" t="s">
        <v>393</v>
      </c>
      <c r="D490" s="99">
        <v>45932.853839039351</v>
      </c>
      <c r="E490" s="97" t="s">
        <v>101</v>
      </c>
      <c r="F490" s="36" t="s">
        <v>149</v>
      </c>
      <c r="G490" s="36" t="s">
        <v>394</v>
      </c>
      <c r="H490" s="36" t="s">
        <v>395</v>
      </c>
      <c r="I490" s="36" t="s">
        <v>152</v>
      </c>
      <c r="J490" s="36" t="s">
        <v>396</v>
      </c>
      <c r="K490" s="36" t="s">
        <v>339</v>
      </c>
      <c r="L490" s="74">
        <f>VLOOKUP(E490,Diccionario!C$2:AC$150,22,0)</f>
        <v>131114560</v>
      </c>
      <c r="M490" s="75">
        <f>VLOOKUP(E490,Diccionario!C$2:AC$150,24,0)</f>
        <v>45931</v>
      </c>
      <c r="N490" s="76">
        <f>VLOOKUP(E490,Diccionario!C$2:AC$150,25,0)</f>
        <v>47391</v>
      </c>
      <c r="O490" s="77">
        <f>VLOOKUP(E490,Diccionario!C$2:AC$150,26,0)</f>
        <v>47.97</v>
      </c>
      <c r="P490" s="77">
        <f t="shared" si="165"/>
        <v>-8.9699999999999989</v>
      </c>
      <c r="Q490" s="78">
        <v>39</v>
      </c>
      <c r="R490" s="36">
        <v>48</v>
      </c>
      <c r="S490" s="86">
        <v>0.99370000000000003</v>
      </c>
      <c r="T490" s="86"/>
      <c r="U490" s="82"/>
      <c r="V490" s="82"/>
      <c r="W490" s="82">
        <f t="shared" si="159"/>
        <v>0</v>
      </c>
      <c r="X490" s="82">
        <f t="shared" si="166"/>
        <v>130288538.272</v>
      </c>
      <c r="Y490" s="82">
        <f t="shared" si="160"/>
        <v>0</v>
      </c>
      <c r="Z490" s="82">
        <f t="shared" si="167"/>
        <v>-130288538.272</v>
      </c>
      <c r="AA490" s="83" t="str">
        <f t="shared" si="164"/>
        <v>No se realizó gasto en este corte</v>
      </c>
      <c r="AB490" s="84" t="str">
        <f t="shared" si="168"/>
        <v>Costo eficiente: se está gastando menos de lo presupuestado</v>
      </c>
      <c r="AC490" s="84">
        <f t="shared" si="161"/>
        <v>0</v>
      </c>
      <c r="AD490" s="84" t="str">
        <f t="shared" si="169"/>
        <v>Sin Línea Base</v>
      </c>
      <c r="AE490" s="85">
        <f t="shared" si="162"/>
        <v>0</v>
      </c>
      <c r="AF490" s="85">
        <f t="shared" si="163"/>
        <v>-131114560</v>
      </c>
      <c r="AG490" s="40" t="str">
        <f>VLOOKUP(Indicador!E490,Diccionario!C$1:AC$150,27,0)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0" s="40">
        <v>1</v>
      </c>
      <c r="AI490" s="40">
        <v>1</v>
      </c>
    </row>
    <row r="491" spans="1:35" ht="18.75" customHeight="1">
      <c r="A491" s="98">
        <v>2029</v>
      </c>
      <c r="B491" s="113" t="s">
        <v>14</v>
      </c>
      <c r="C491" s="97" t="s">
        <v>393</v>
      </c>
      <c r="D491" s="99">
        <v>45932.853839039351</v>
      </c>
      <c r="E491" s="97" t="s">
        <v>101</v>
      </c>
      <c r="F491" s="36" t="s">
        <v>149</v>
      </c>
      <c r="G491" s="36" t="s">
        <v>394</v>
      </c>
      <c r="H491" s="36" t="s">
        <v>395</v>
      </c>
      <c r="I491" s="36" t="s">
        <v>152</v>
      </c>
      <c r="J491" s="36" t="s">
        <v>396</v>
      </c>
      <c r="K491" s="36" t="s">
        <v>339</v>
      </c>
      <c r="L491" s="74">
        <f>VLOOKUP(E491,Diccionario!C$2:AC$150,22,0)</f>
        <v>131114560</v>
      </c>
      <c r="M491" s="75">
        <f>VLOOKUP(E491,Diccionario!C$2:AC$150,24,0)</f>
        <v>45931</v>
      </c>
      <c r="N491" s="76">
        <f>VLOOKUP(E491,Diccionario!C$2:AC$150,25,0)</f>
        <v>47391</v>
      </c>
      <c r="O491" s="77">
        <f>VLOOKUP(E491,Diccionario!C$2:AC$150,26,0)</f>
        <v>47.97</v>
      </c>
      <c r="P491" s="77">
        <f t="shared" si="165"/>
        <v>-7.9699999999999989</v>
      </c>
      <c r="Q491" s="78">
        <v>40</v>
      </c>
      <c r="R491" s="36">
        <v>48</v>
      </c>
      <c r="S491" s="86">
        <v>0.99380000000000002</v>
      </c>
      <c r="T491" s="86"/>
      <c r="U491" s="82"/>
      <c r="V491" s="82"/>
      <c r="W491" s="82">
        <f t="shared" si="159"/>
        <v>0</v>
      </c>
      <c r="X491" s="82">
        <f t="shared" si="166"/>
        <v>130301649.728</v>
      </c>
      <c r="Y491" s="82">
        <f t="shared" si="160"/>
        <v>0</v>
      </c>
      <c r="Z491" s="82">
        <f t="shared" si="167"/>
        <v>-130301649.728</v>
      </c>
      <c r="AA491" s="83" t="str">
        <f t="shared" si="164"/>
        <v>No se realizó gasto en este corte</v>
      </c>
      <c r="AB491" s="84" t="str">
        <f t="shared" si="168"/>
        <v>Costo eficiente: se está gastando menos de lo presupuestado</v>
      </c>
      <c r="AC491" s="84">
        <f t="shared" si="161"/>
        <v>0</v>
      </c>
      <c r="AD491" s="84" t="str">
        <f t="shared" si="169"/>
        <v>Sin Línea Base</v>
      </c>
      <c r="AE491" s="85">
        <f t="shared" si="162"/>
        <v>0</v>
      </c>
      <c r="AF491" s="85">
        <f t="shared" si="163"/>
        <v>-131114560</v>
      </c>
      <c r="AG491" s="40" t="str">
        <f>VLOOKUP(Indicador!E491,Diccionario!C$1:AC$150,27,0)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1" s="40">
        <v>1</v>
      </c>
      <c r="AI491" s="40">
        <v>1</v>
      </c>
    </row>
    <row r="492" spans="1:35" ht="18.75" customHeight="1">
      <c r="A492" s="98">
        <v>2029</v>
      </c>
      <c r="B492" s="113" t="s">
        <v>22</v>
      </c>
      <c r="C492" s="97" t="s">
        <v>393</v>
      </c>
      <c r="D492" s="99">
        <v>45932.853839039351</v>
      </c>
      <c r="E492" s="97" t="s">
        <v>101</v>
      </c>
      <c r="F492" s="36" t="s">
        <v>149</v>
      </c>
      <c r="G492" s="36" t="s">
        <v>394</v>
      </c>
      <c r="H492" s="36" t="s">
        <v>395</v>
      </c>
      <c r="I492" s="36" t="s">
        <v>152</v>
      </c>
      <c r="J492" s="36" t="s">
        <v>396</v>
      </c>
      <c r="K492" s="36" t="s">
        <v>339</v>
      </c>
      <c r="L492" s="74">
        <f>VLOOKUP(E492,Diccionario!C$2:AC$150,22,0)</f>
        <v>131114560</v>
      </c>
      <c r="M492" s="75">
        <f>VLOOKUP(E492,Diccionario!C$2:AC$150,24,0)</f>
        <v>45931</v>
      </c>
      <c r="N492" s="76">
        <f>VLOOKUP(E492,Diccionario!C$2:AC$150,25,0)</f>
        <v>47391</v>
      </c>
      <c r="O492" s="77">
        <f>VLOOKUP(E492,Diccionario!C$2:AC$150,26,0)</f>
        <v>47.97</v>
      </c>
      <c r="P492" s="77">
        <f t="shared" si="165"/>
        <v>-6.9699999999999989</v>
      </c>
      <c r="Q492" s="78">
        <v>41</v>
      </c>
      <c r="R492" s="36">
        <v>48</v>
      </c>
      <c r="S492" s="86">
        <v>0.99390000000000001</v>
      </c>
      <c r="T492" s="86"/>
      <c r="U492" s="82"/>
      <c r="V492" s="82"/>
      <c r="W492" s="82">
        <f t="shared" si="159"/>
        <v>0</v>
      </c>
      <c r="X492" s="82">
        <f t="shared" si="166"/>
        <v>130314761.184</v>
      </c>
      <c r="Y492" s="82">
        <f t="shared" si="160"/>
        <v>0</v>
      </c>
      <c r="Z492" s="82">
        <f t="shared" si="167"/>
        <v>-130314761.184</v>
      </c>
      <c r="AA492" s="83" t="str">
        <f t="shared" si="164"/>
        <v>No se realizó gasto en este corte</v>
      </c>
      <c r="AB492" s="84" t="str">
        <f t="shared" si="168"/>
        <v>Costo eficiente: se está gastando menos de lo presupuestado</v>
      </c>
      <c r="AC492" s="84">
        <f t="shared" si="161"/>
        <v>0</v>
      </c>
      <c r="AD492" s="84" t="str">
        <f t="shared" si="169"/>
        <v>Sin Línea Base</v>
      </c>
      <c r="AE492" s="85">
        <f t="shared" si="162"/>
        <v>0</v>
      </c>
      <c r="AF492" s="85">
        <f t="shared" si="163"/>
        <v>-131114560</v>
      </c>
      <c r="AG492" s="40" t="str">
        <f>VLOOKUP(Indicador!E492,Diccionario!C$1:AC$150,27,0)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2" s="40">
        <v>1</v>
      </c>
      <c r="AI492" s="40">
        <v>1</v>
      </c>
    </row>
    <row r="493" spans="1:35" ht="18.75" customHeight="1">
      <c r="A493" s="98">
        <v>2029</v>
      </c>
      <c r="B493" s="113" t="s">
        <v>24</v>
      </c>
      <c r="C493" s="97" t="s">
        <v>393</v>
      </c>
      <c r="D493" s="99">
        <v>45932.853839039351</v>
      </c>
      <c r="E493" s="97" t="s">
        <v>101</v>
      </c>
      <c r="F493" s="36" t="s">
        <v>149</v>
      </c>
      <c r="G493" s="36" t="s">
        <v>394</v>
      </c>
      <c r="H493" s="36" t="s">
        <v>395</v>
      </c>
      <c r="I493" s="36" t="s">
        <v>152</v>
      </c>
      <c r="J493" s="36" t="s">
        <v>396</v>
      </c>
      <c r="K493" s="36" t="s">
        <v>339</v>
      </c>
      <c r="L493" s="74">
        <f>VLOOKUP(E493,Diccionario!C$2:AC$150,22,0)</f>
        <v>131114560</v>
      </c>
      <c r="M493" s="75">
        <f>VLOOKUP(E493,Diccionario!C$2:AC$150,24,0)</f>
        <v>45931</v>
      </c>
      <c r="N493" s="76">
        <f>VLOOKUP(E493,Diccionario!C$2:AC$150,25,0)</f>
        <v>47391</v>
      </c>
      <c r="O493" s="77">
        <f>VLOOKUP(E493,Diccionario!C$2:AC$150,26,0)</f>
        <v>47.97</v>
      </c>
      <c r="P493" s="77">
        <f t="shared" si="165"/>
        <v>-5.9699999999999989</v>
      </c>
      <c r="Q493" s="78">
        <v>42</v>
      </c>
      <c r="R493" s="36">
        <v>48</v>
      </c>
      <c r="S493" s="86">
        <v>0.99399999999999999</v>
      </c>
      <c r="T493" s="86"/>
      <c r="U493" s="82"/>
      <c r="V493" s="82"/>
      <c r="W493" s="82">
        <f t="shared" si="159"/>
        <v>0</v>
      </c>
      <c r="X493" s="82">
        <f t="shared" si="166"/>
        <v>130327872.64</v>
      </c>
      <c r="Y493" s="82">
        <f t="shared" si="160"/>
        <v>0</v>
      </c>
      <c r="Z493" s="82">
        <f t="shared" si="167"/>
        <v>-130327872.64</v>
      </c>
      <c r="AA493" s="83" t="str">
        <f t="shared" si="164"/>
        <v>No se realizó gasto en este corte</v>
      </c>
      <c r="AB493" s="84" t="str">
        <f t="shared" si="168"/>
        <v>Costo eficiente: se está gastando menos de lo presupuestado</v>
      </c>
      <c r="AC493" s="84">
        <f t="shared" si="161"/>
        <v>0</v>
      </c>
      <c r="AD493" s="84" t="str">
        <f t="shared" si="169"/>
        <v>Sin Línea Base</v>
      </c>
      <c r="AE493" s="85">
        <f t="shared" si="162"/>
        <v>0</v>
      </c>
      <c r="AF493" s="85">
        <f t="shared" si="163"/>
        <v>-131114560</v>
      </c>
      <c r="AG493" s="40" t="str">
        <f>VLOOKUP(Indicador!E493,Diccionario!C$1:AC$150,27,0)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3" s="40">
        <v>1</v>
      </c>
      <c r="AI493" s="40">
        <v>1</v>
      </c>
    </row>
    <row r="494" spans="1:35" ht="18.75" customHeight="1">
      <c r="A494" s="98">
        <v>2029</v>
      </c>
      <c r="B494" s="113" t="s">
        <v>27</v>
      </c>
      <c r="C494" s="97" t="s">
        <v>393</v>
      </c>
      <c r="D494" s="99">
        <v>45932.853839039351</v>
      </c>
      <c r="E494" s="97" t="s">
        <v>101</v>
      </c>
      <c r="F494" s="36" t="s">
        <v>149</v>
      </c>
      <c r="G494" s="36" t="s">
        <v>394</v>
      </c>
      <c r="H494" s="36" t="s">
        <v>395</v>
      </c>
      <c r="I494" s="36" t="s">
        <v>152</v>
      </c>
      <c r="J494" s="36" t="s">
        <v>396</v>
      </c>
      <c r="K494" s="36" t="s">
        <v>339</v>
      </c>
      <c r="L494" s="74">
        <f>VLOOKUP(E494,Diccionario!C$2:AC$150,22,0)</f>
        <v>131114560</v>
      </c>
      <c r="M494" s="75">
        <f>VLOOKUP(E494,Diccionario!C$2:AC$150,24,0)</f>
        <v>45931</v>
      </c>
      <c r="N494" s="76">
        <f>VLOOKUP(E494,Diccionario!C$2:AC$150,25,0)</f>
        <v>47391</v>
      </c>
      <c r="O494" s="77">
        <f>VLOOKUP(E494,Diccionario!C$2:AC$150,26,0)</f>
        <v>47.97</v>
      </c>
      <c r="P494" s="77">
        <f t="shared" si="165"/>
        <v>-4.9699999999999989</v>
      </c>
      <c r="Q494" s="78">
        <v>43</v>
      </c>
      <c r="R494" s="36">
        <v>48</v>
      </c>
      <c r="S494" s="86">
        <v>0.99409999999999998</v>
      </c>
      <c r="T494" s="86"/>
      <c r="U494" s="82"/>
      <c r="V494" s="82"/>
      <c r="W494" s="82">
        <f t="shared" si="159"/>
        <v>0</v>
      </c>
      <c r="X494" s="82">
        <f t="shared" si="166"/>
        <v>130340984.096</v>
      </c>
      <c r="Y494" s="82">
        <f t="shared" si="160"/>
        <v>0</v>
      </c>
      <c r="Z494" s="82">
        <f t="shared" si="167"/>
        <v>-130340984.096</v>
      </c>
      <c r="AA494" s="83" t="str">
        <f t="shared" si="164"/>
        <v>No se realizó gasto en este corte</v>
      </c>
      <c r="AB494" s="84" t="str">
        <f t="shared" si="168"/>
        <v>Costo eficiente: se está gastando menos de lo presupuestado</v>
      </c>
      <c r="AC494" s="84">
        <f t="shared" si="161"/>
        <v>0</v>
      </c>
      <c r="AD494" s="84" t="str">
        <f t="shared" si="169"/>
        <v>Sin Línea Base</v>
      </c>
      <c r="AE494" s="85">
        <f t="shared" si="162"/>
        <v>0</v>
      </c>
      <c r="AF494" s="85">
        <f t="shared" si="163"/>
        <v>-131114560</v>
      </c>
      <c r="AG494" s="40" t="str">
        <f>VLOOKUP(Indicador!E494,Diccionario!C$1:AC$150,27,0)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4" s="40">
        <v>1</v>
      </c>
      <c r="AI494" s="40">
        <v>1</v>
      </c>
    </row>
    <row r="495" spans="1:35" ht="18.75" customHeight="1">
      <c r="A495" s="98">
        <v>2029</v>
      </c>
      <c r="B495" s="113" t="s">
        <v>13</v>
      </c>
      <c r="C495" s="97" t="s">
        <v>393</v>
      </c>
      <c r="D495" s="99">
        <v>45932.853839039351</v>
      </c>
      <c r="E495" s="97" t="s">
        <v>101</v>
      </c>
      <c r="F495" s="36" t="s">
        <v>149</v>
      </c>
      <c r="G495" s="36" t="s">
        <v>394</v>
      </c>
      <c r="H495" s="36" t="s">
        <v>395</v>
      </c>
      <c r="I495" s="36" t="s">
        <v>152</v>
      </c>
      <c r="J495" s="36" t="s">
        <v>396</v>
      </c>
      <c r="K495" s="36" t="s">
        <v>339</v>
      </c>
      <c r="L495" s="74">
        <f>VLOOKUP(E495,Diccionario!C$2:AC$150,22,0)</f>
        <v>131114560</v>
      </c>
      <c r="M495" s="75">
        <f>VLOOKUP(E495,Diccionario!C$2:AC$150,24,0)</f>
        <v>45931</v>
      </c>
      <c r="N495" s="76">
        <f>VLOOKUP(E495,Diccionario!C$2:AC$150,25,0)</f>
        <v>47391</v>
      </c>
      <c r="O495" s="77">
        <f>VLOOKUP(E495,Diccionario!C$2:AC$150,26,0)</f>
        <v>47.97</v>
      </c>
      <c r="P495" s="77">
        <f t="shared" si="165"/>
        <v>-3.9699999999999989</v>
      </c>
      <c r="Q495" s="78">
        <v>44</v>
      </c>
      <c r="R495" s="36">
        <v>48</v>
      </c>
      <c r="S495" s="86">
        <v>0.99419999999999997</v>
      </c>
      <c r="T495" s="86"/>
      <c r="U495" s="82"/>
      <c r="V495" s="82"/>
      <c r="W495" s="82">
        <f t="shared" si="159"/>
        <v>0</v>
      </c>
      <c r="X495" s="82">
        <f t="shared" si="166"/>
        <v>130354095.552</v>
      </c>
      <c r="Y495" s="82">
        <f t="shared" si="160"/>
        <v>0</v>
      </c>
      <c r="Z495" s="82">
        <f t="shared" si="167"/>
        <v>-130354095.552</v>
      </c>
      <c r="AA495" s="83" t="str">
        <f t="shared" si="164"/>
        <v>No se realizó gasto en este corte</v>
      </c>
      <c r="AB495" s="84" t="str">
        <f t="shared" si="168"/>
        <v>Costo eficiente: se está gastando menos de lo presupuestado</v>
      </c>
      <c r="AC495" s="84">
        <f t="shared" si="161"/>
        <v>0</v>
      </c>
      <c r="AD495" s="84" t="str">
        <f t="shared" si="169"/>
        <v>Sin Línea Base</v>
      </c>
      <c r="AE495" s="85">
        <f t="shared" si="162"/>
        <v>0</v>
      </c>
      <c r="AF495" s="85">
        <f t="shared" si="163"/>
        <v>-131114560</v>
      </c>
      <c r="AG495" s="40" t="str">
        <f>VLOOKUP(Indicador!E495,Diccionario!C$1:AC$150,27,0)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5" s="40">
        <v>1</v>
      </c>
      <c r="AI495" s="40">
        <v>1</v>
      </c>
    </row>
    <row r="496" spans="1:35" ht="18.75" customHeight="1">
      <c r="A496" s="98">
        <v>2029</v>
      </c>
      <c r="B496" s="113" t="s">
        <v>21</v>
      </c>
      <c r="C496" s="97" t="s">
        <v>393</v>
      </c>
      <c r="D496" s="99">
        <v>45932.853839039351</v>
      </c>
      <c r="E496" s="97" t="s">
        <v>101</v>
      </c>
      <c r="F496" s="36" t="s">
        <v>149</v>
      </c>
      <c r="G496" s="36" t="s">
        <v>394</v>
      </c>
      <c r="H496" s="36" t="s">
        <v>395</v>
      </c>
      <c r="I496" s="36" t="s">
        <v>152</v>
      </c>
      <c r="J496" s="36" t="s">
        <v>396</v>
      </c>
      <c r="K496" s="36" t="s">
        <v>339</v>
      </c>
      <c r="L496" s="74">
        <f>VLOOKUP(E496,Diccionario!C$2:AC$150,22,0)</f>
        <v>131114560</v>
      </c>
      <c r="M496" s="75">
        <f>VLOOKUP(E496,Diccionario!C$2:AC$150,24,0)</f>
        <v>45931</v>
      </c>
      <c r="N496" s="76">
        <f>VLOOKUP(E496,Diccionario!C$2:AC$150,25,0)</f>
        <v>47391</v>
      </c>
      <c r="O496" s="77">
        <f>VLOOKUP(E496,Diccionario!C$2:AC$150,26,0)</f>
        <v>47.97</v>
      </c>
      <c r="P496" s="77">
        <f t="shared" si="165"/>
        <v>-2.9699999999999989</v>
      </c>
      <c r="Q496" s="78">
        <v>45</v>
      </c>
      <c r="R496" s="36">
        <v>48</v>
      </c>
      <c r="S496" s="86">
        <v>0.99429999999999996</v>
      </c>
      <c r="T496" s="86"/>
      <c r="U496" s="82"/>
      <c r="V496" s="82"/>
      <c r="W496" s="82">
        <f t="shared" si="159"/>
        <v>0</v>
      </c>
      <c r="X496" s="82">
        <f t="shared" si="166"/>
        <v>130367207.008</v>
      </c>
      <c r="Y496" s="82">
        <f t="shared" si="160"/>
        <v>0</v>
      </c>
      <c r="Z496" s="82">
        <f t="shared" si="167"/>
        <v>-130367207.008</v>
      </c>
      <c r="AA496" s="83" t="str">
        <f t="shared" si="164"/>
        <v>No se realizó gasto en este corte</v>
      </c>
      <c r="AB496" s="84" t="str">
        <f t="shared" si="168"/>
        <v>Costo eficiente: se está gastando menos de lo presupuestado</v>
      </c>
      <c r="AC496" s="84">
        <f t="shared" si="161"/>
        <v>0</v>
      </c>
      <c r="AD496" s="84" t="str">
        <f t="shared" si="169"/>
        <v>Sin Línea Base</v>
      </c>
      <c r="AE496" s="85">
        <f t="shared" si="162"/>
        <v>0</v>
      </c>
      <c r="AF496" s="85">
        <f t="shared" si="163"/>
        <v>-131114560</v>
      </c>
      <c r="AG496" s="40" t="str">
        <f>VLOOKUP(Indicador!E496,Diccionario!C$1:AC$150,27,0)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6" s="40">
        <v>1</v>
      </c>
      <c r="AI496" s="40">
        <v>1</v>
      </c>
    </row>
    <row r="497" spans="1:35" ht="18.75" customHeight="1">
      <c r="A497" s="98">
        <v>2029</v>
      </c>
      <c r="B497" s="113" t="s">
        <v>23</v>
      </c>
      <c r="C497" s="97" t="s">
        <v>393</v>
      </c>
      <c r="D497" s="99">
        <v>45932.853839039351</v>
      </c>
      <c r="E497" s="97" t="s">
        <v>101</v>
      </c>
      <c r="F497" s="36" t="s">
        <v>149</v>
      </c>
      <c r="G497" s="36" t="s">
        <v>394</v>
      </c>
      <c r="H497" s="36" t="s">
        <v>395</v>
      </c>
      <c r="I497" s="36" t="s">
        <v>152</v>
      </c>
      <c r="J497" s="36" t="s">
        <v>396</v>
      </c>
      <c r="K497" s="36" t="s">
        <v>339</v>
      </c>
      <c r="L497" s="74">
        <f>VLOOKUP(E497,Diccionario!C$2:AC$150,22,0)</f>
        <v>131114560</v>
      </c>
      <c r="M497" s="75">
        <f>VLOOKUP(E497,Diccionario!C$2:AC$150,24,0)</f>
        <v>45931</v>
      </c>
      <c r="N497" s="76">
        <f>VLOOKUP(E497,Diccionario!C$2:AC$150,25,0)</f>
        <v>47391</v>
      </c>
      <c r="O497" s="77">
        <f>VLOOKUP(E497,Diccionario!C$2:AC$150,26,0)</f>
        <v>47.97</v>
      </c>
      <c r="P497" s="77">
        <f t="shared" si="165"/>
        <v>-1.9699999999999989</v>
      </c>
      <c r="Q497" s="78">
        <v>46</v>
      </c>
      <c r="R497" s="36">
        <v>48</v>
      </c>
      <c r="S497" s="86">
        <v>0.99439999999999995</v>
      </c>
      <c r="T497" s="86"/>
      <c r="U497" s="82"/>
      <c r="V497" s="82"/>
      <c r="W497" s="82">
        <f t="shared" si="159"/>
        <v>0</v>
      </c>
      <c r="X497" s="82">
        <f t="shared" si="166"/>
        <v>130380318.46399999</v>
      </c>
      <c r="Y497" s="82">
        <f t="shared" si="160"/>
        <v>0</v>
      </c>
      <c r="Z497" s="82">
        <f t="shared" si="167"/>
        <v>-130380318.46399999</v>
      </c>
      <c r="AA497" s="83" t="str">
        <f t="shared" si="164"/>
        <v>No se realizó gasto en este corte</v>
      </c>
      <c r="AB497" s="84" t="str">
        <f t="shared" si="168"/>
        <v>Costo eficiente: se está gastando menos de lo presupuestado</v>
      </c>
      <c r="AC497" s="84">
        <f t="shared" si="161"/>
        <v>0</v>
      </c>
      <c r="AD497" s="84" t="str">
        <f t="shared" si="169"/>
        <v>Sin Línea Base</v>
      </c>
      <c r="AE497" s="85">
        <f t="shared" si="162"/>
        <v>0</v>
      </c>
      <c r="AF497" s="85">
        <f t="shared" si="163"/>
        <v>-131114560</v>
      </c>
      <c r="AG497" s="40" t="str">
        <f>VLOOKUP(Indicador!E497,Diccionario!C$1:AC$150,27,0)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7" s="40">
        <v>1</v>
      </c>
      <c r="AI497" s="40">
        <v>1</v>
      </c>
    </row>
    <row r="498" spans="1:35" ht="18.75" customHeight="1">
      <c r="A498" s="98">
        <v>2029</v>
      </c>
      <c r="B498" s="113" t="s">
        <v>26</v>
      </c>
      <c r="C498" s="97" t="s">
        <v>393</v>
      </c>
      <c r="D498" s="99">
        <v>45932.853839039351</v>
      </c>
      <c r="E498" s="97" t="s">
        <v>101</v>
      </c>
      <c r="F498" s="36" t="s">
        <v>149</v>
      </c>
      <c r="G498" s="36" t="s">
        <v>394</v>
      </c>
      <c r="H498" s="36" t="s">
        <v>395</v>
      </c>
      <c r="I498" s="36" t="s">
        <v>152</v>
      </c>
      <c r="J498" s="36" t="s">
        <v>396</v>
      </c>
      <c r="K498" s="36" t="s">
        <v>339</v>
      </c>
      <c r="L498" s="74">
        <f>VLOOKUP(E498,Diccionario!C$2:AC$150,22,0)</f>
        <v>131114560</v>
      </c>
      <c r="M498" s="75">
        <f>VLOOKUP(E498,Diccionario!C$2:AC$150,24,0)</f>
        <v>45931</v>
      </c>
      <c r="N498" s="76">
        <f>VLOOKUP(E498,Diccionario!C$2:AC$150,25,0)</f>
        <v>47391</v>
      </c>
      <c r="O498" s="77">
        <f>VLOOKUP(E498,Diccionario!C$2:AC$150,26,0)</f>
        <v>47.97</v>
      </c>
      <c r="P498" s="77">
        <f t="shared" si="165"/>
        <v>-0.96999999999999886</v>
      </c>
      <c r="Q498" s="78">
        <v>47</v>
      </c>
      <c r="R498" s="36">
        <v>48</v>
      </c>
      <c r="S498" s="86">
        <v>0.99449999999999905</v>
      </c>
      <c r="T498" s="86"/>
      <c r="U498" s="82"/>
      <c r="V498" s="82"/>
      <c r="W498" s="82">
        <f t="shared" si="159"/>
        <v>0</v>
      </c>
      <c r="X498" s="82">
        <f t="shared" si="166"/>
        <v>130393429.91999988</v>
      </c>
      <c r="Y498" s="82">
        <f t="shared" si="160"/>
        <v>0</v>
      </c>
      <c r="Z498" s="82">
        <f t="shared" si="167"/>
        <v>-130393429.91999988</v>
      </c>
      <c r="AA498" s="83" t="str">
        <f t="shared" si="164"/>
        <v>No se realizó gasto en este corte</v>
      </c>
      <c r="AB498" s="84" t="str">
        <f t="shared" si="168"/>
        <v>Costo eficiente: se está gastando menos de lo presupuestado</v>
      </c>
      <c r="AC498" s="84">
        <f t="shared" si="161"/>
        <v>0</v>
      </c>
      <c r="AD498" s="84" t="str">
        <f t="shared" si="169"/>
        <v>Sin Línea Base</v>
      </c>
      <c r="AE498" s="85">
        <f t="shared" si="162"/>
        <v>0</v>
      </c>
      <c r="AF498" s="85">
        <f t="shared" si="163"/>
        <v>-131114560</v>
      </c>
      <c r="AG498" s="40" t="str">
        <f>VLOOKUP(Indicador!E498,Diccionario!C$1:AC$150,27,0)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8" s="40">
        <v>1</v>
      </c>
      <c r="AI498" s="40">
        <v>1</v>
      </c>
    </row>
    <row r="499" spans="1:35" ht="18.75" customHeight="1">
      <c r="A499" s="98">
        <v>2029</v>
      </c>
      <c r="B499" s="113" t="s">
        <v>28</v>
      </c>
      <c r="C499" s="97" t="s">
        <v>393</v>
      </c>
      <c r="D499" s="99">
        <v>45932.853839039351</v>
      </c>
      <c r="E499" s="97" t="s">
        <v>101</v>
      </c>
      <c r="F499" s="36" t="s">
        <v>149</v>
      </c>
      <c r="G499" s="36" t="s">
        <v>394</v>
      </c>
      <c r="H499" s="36" t="s">
        <v>395</v>
      </c>
      <c r="I499" s="36" t="s">
        <v>152</v>
      </c>
      <c r="J499" s="36" t="s">
        <v>396</v>
      </c>
      <c r="K499" s="36" t="s">
        <v>339</v>
      </c>
      <c r="L499" s="74">
        <f>VLOOKUP(E499,Diccionario!C$2:AC$150,22,0)</f>
        <v>131114560</v>
      </c>
      <c r="M499" s="75">
        <f>VLOOKUP(E499,Diccionario!C$2:AC$150,24,0)</f>
        <v>45931</v>
      </c>
      <c r="N499" s="76">
        <f>VLOOKUP(E499,Diccionario!C$2:AC$150,25,0)</f>
        <v>47391</v>
      </c>
      <c r="O499" s="77">
        <f>VLOOKUP(E499,Diccionario!C$2:AC$150,26,0)</f>
        <v>47.97</v>
      </c>
      <c r="P499" s="77">
        <f t="shared" si="165"/>
        <v>3.0000000000001137E-2</v>
      </c>
      <c r="Q499" s="78">
        <v>48</v>
      </c>
      <c r="R499" s="36">
        <v>48</v>
      </c>
      <c r="S499" s="86">
        <v>1</v>
      </c>
      <c r="T499" s="86"/>
      <c r="U499" s="82"/>
      <c r="V499" s="82"/>
      <c r="W499" s="82">
        <f t="shared" si="159"/>
        <v>0</v>
      </c>
      <c r="X499" s="82">
        <f t="shared" si="166"/>
        <v>131114560</v>
      </c>
      <c r="Y499" s="82">
        <f t="shared" si="160"/>
        <v>0</v>
      </c>
      <c r="Z499" s="82">
        <f t="shared" si="167"/>
        <v>-131114560</v>
      </c>
      <c r="AA499" s="83" t="str">
        <f t="shared" si="164"/>
        <v>No se realizó gasto en este corte</v>
      </c>
      <c r="AB499" s="84" t="str">
        <f t="shared" si="168"/>
        <v>Costo eficiente: se está gastando menos de lo presupuestado</v>
      </c>
      <c r="AC499" s="84">
        <f t="shared" si="161"/>
        <v>0</v>
      </c>
      <c r="AD499" s="84" t="str">
        <f t="shared" si="169"/>
        <v>Sin Línea Base</v>
      </c>
      <c r="AE499" s="85">
        <f t="shared" si="162"/>
        <v>0</v>
      </c>
      <c r="AF499" s="85">
        <f t="shared" si="163"/>
        <v>-131114560</v>
      </c>
      <c r="AG499" s="40" t="str">
        <f>VLOOKUP(Indicador!E499,Diccionario!C$1:AC$150,27,0)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499" s="40">
        <v>1</v>
      </c>
      <c r="AI499" s="40">
        <v>1</v>
      </c>
    </row>
    <row r="500" spans="1:35" ht="18.75" customHeight="1">
      <c r="A500" s="73">
        <v>2025</v>
      </c>
      <c r="B500" s="112" t="s">
        <v>30</v>
      </c>
      <c r="C500" s="36" t="s">
        <v>397</v>
      </c>
      <c r="D500" s="37">
        <v>45932.836031516206</v>
      </c>
      <c r="E500" s="36" t="s">
        <v>102</v>
      </c>
      <c r="F500" s="36" t="s">
        <v>149</v>
      </c>
      <c r="G500" s="36" t="s">
        <v>398</v>
      </c>
      <c r="H500" s="36" t="s">
        <v>399</v>
      </c>
      <c r="I500" s="36" t="s">
        <v>152</v>
      </c>
      <c r="J500" s="36" t="s">
        <v>400</v>
      </c>
      <c r="K500" s="36" t="s">
        <v>177</v>
      </c>
      <c r="L500" s="74">
        <f>VLOOKUP(E500,Diccionario!C$2:AC$150,22,0)</f>
        <v>3810581437</v>
      </c>
      <c r="M500" s="75">
        <f>VLOOKUP(E500,Diccionario!C$2:AC$150,24,0)</f>
        <v>45931</v>
      </c>
      <c r="N500" s="76">
        <f>VLOOKUP(E500,Diccionario!C$2:AC$150,25,0)</f>
        <v>47483</v>
      </c>
      <c r="O500" s="77">
        <f>VLOOKUP(E500,Diccionario!C$2:AC$150,26,0)</f>
        <v>51</v>
      </c>
      <c r="P500" s="77">
        <f t="shared" si="165"/>
        <v>-50</v>
      </c>
      <c r="Q500" s="78">
        <v>1</v>
      </c>
      <c r="R500" s="36">
        <v>47</v>
      </c>
      <c r="S500" s="86">
        <v>0.5</v>
      </c>
      <c r="T500" s="86">
        <v>0.5</v>
      </c>
      <c r="U500" s="82">
        <v>85245827</v>
      </c>
      <c r="V500" s="82">
        <v>85245827</v>
      </c>
      <c r="W500" s="82">
        <f t="shared" si="159"/>
        <v>1905290718.5</v>
      </c>
      <c r="X500" s="82">
        <f t="shared" si="166"/>
        <v>1905290718.5</v>
      </c>
      <c r="Y500" s="82">
        <f t="shared" si="160"/>
        <v>1820044891.5</v>
      </c>
      <c r="Z500" s="82">
        <f t="shared" si="167"/>
        <v>0</v>
      </c>
      <c r="AA500" s="83">
        <f t="shared" si="164"/>
        <v>22.350545305871687</v>
      </c>
      <c r="AB500" s="84" t="str">
        <f t="shared" si="168"/>
        <v>Costo eficiente: se está gastando menos de lo presupuestado</v>
      </c>
      <c r="AC500" s="84">
        <f t="shared" si="161"/>
        <v>1</v>
      </c>
      <c r="AD500" s="84" t="str">
        <f t="shared" si="169"/>
        <v>Proyecto a tiempo según lo planificado</v>
      </c>
      <c r="AE500" s="85">
        <f t="shared" si="162"/>
        <v>170491654</v>
      </c>
      <c r="AF500" s="85">
        <f t="shared" si="163"/>
        <v>-3640089783</v>
      </c>
      <c r="AG500" s="40" t="str">
        <f>VLOOKUP(Indicador!E500,Diccionario!C$1:AC$150,27,0)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0" s="40">
        <v>1</v>
      </c>
      <c r="AI500" s="40">
        <v>1</v>
      </c>
    </row>
    <row r="501" spans="1:35" ht="18.75" customHeight="1">
      <c r="A501" s="73">
        <v>2025</v>
      </c>
      <c r="B501" s="112" t="s">
        <v>31</v>
      </c>
      <c r="C501" s="36" t="s">
        <v>397</v>
      </c>
      <c r="D501" s="37">
        <v>45932.836031516206</v>
      </c>
      <c r="E501" s="36" t="s">
        <v>102</v>
      </c>
      <c r="F501" s="36" t="s">
        <v>149</v>
      </c>
      <c r="G501" s="36" t="s">
        <v>398</v>
      </c>
      <c r="H501" s="36" t="s">
        <v>399</v>
      </c>
      <c r="I501" s="36" t="s">
        <v>152</v>
      </c>
      <c r="J501" s="36" t="s">
        <v>400</v>
      </c>
      <c r="K501" s="36" t="s">
        <v>177</v>
      </c>
      <c r="L501" s="74">
        <f>VLOOKUP(E501,Diccionario!C$2:AC$150,22,0)</f>
        <v>3810581437</v>
      </c>
      <c r="M501" s="75">
        <f>VLOOKUP(E501,Diccionario!C$2:AC$150,24,0)</f>
        <v>45931</v>
      </c>
      <c r="N501" s="76">
        <f>VLOOKUP(E501,Diccionario!C$2:AC$150,25,0)</f>
        <v>47483</v>
      </c>
      <c r="O501" s="77">
        <f>VLOOKUP(E501,Diccionario!C$2:AC$150,26,0)</f>
        <v>51</v>
      </c>
      <c r="P501" s="77">
        <f t="shared" si="165"/>
        <v>-49</v>
      </c>
      <c r="Q501" s="78">
        <v>2</v>
      </c>
      <c r="R501" s="36">
        <v>47</v>
      </c>
      <c r="S501" s="86">
        <v>0.75</v>
      </c>
      <c r="T501" s="86">
        <v>0.75</v>
      </c>
      <c r="U501" s="82">
        <v>103587494</v>
      </c>
      <c r="V501" s="82">
        <v>103587494</v>
      </c>
      <c r="W501" s="82">
        <f t="shared" si="159"/>
        <v>2857936077.75</v>
      </c>
      <c r="X501" s="82">
        <f t="shared" si="166"/>
        <v>2857936077.75</v>
      </c>
      <c r="Y501" s="82">
        <f t="shared" si="160"/>
        <v>2754348583.75</v>
      </c>
      <c r="Z501" s="82">
        <f t="shared" si="167"/>
        <v>0</v>
      </c>
      <c r="AA501" s="83">
        <f t="shared" si="164"/>
        <v>27.589586033908688</v>
      </c>
      <c r="AB501" s="84" t="str">
        <f t="shared" si="168"/>
        <v>Costo eficiente: se está gastando menos de lo presupuestado</v>
      </c>
      <c r="AC501" s="84">
        <f t="shared" si="161"/>
        <v>1</v>
      </c>
      <c r="AD501" s="84" t="str">
        <f t="shared" si="169"/>
        <v>Proyecto a tiempo según lo planificado</v>
      </c>
      <c r="AE501" s="85">
        <f t="shared" si="162"/>
        <v>138116658.66666666</v>
      </c>
      <c r="AF501" s="85">
        <f t="shared" si="163"/>
        <v>-3672464778.3333335</v>
      </c>
      <c r="AG501" s="40" t="str">
        <f>VLOOKUP(Indicador!E501,Diccionario!C$1:AC$150,27,0)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1" s="40">
        <v>1</v>
      </c>
      <c r="AI501" s="40">
        <v>1</v>
      </c>
    </row>
    <row r="502" spans="1:35" ht="18.75" customHeight="1">
      <c r="A502" s="73">
        <v>2025</v>
      </c>
      <c r="B502" s="112" t="s">
        <v>32</v>
      </c>
      <c r="C502" s="36" t="s">
        <v>397</v>
      </c>
      <c r="D502" s="37">
        <v>45932.836031516206</v>
      </c>
      <c r="E502" s="36" t="s">
        <v>102</v>
      </c>
      <c r="F502" s="36" t="s">
        <v>149</v>
      </c>
      <c r="G502" s="36" t="s">
        <v>398</v>
      </c>
      <c r="H502" s="36" t="s">
        <v>399</v>
      </c>
      <c r="I502" s="36" t="s">
        <v>152</v>
      </c>
      <c r="J502" s="36" t="s">
        <v>400</v>
      </c>
      <c r="K502" s="36" t="s">
        <v>177</v>
      </c>
      <c r="L502" s="74">
        <f>VLOOKUP(E502,Diccionario!C$2:AC$150,22,0)</f>
        <v>3810581437</v>
      </c>
      <c r="M502" s="75">
        <f>VLOOKUP(E502,Diccionario!C$2:AC$150,24,0)</f>
        <v>45931</v>
      </c>
      <c r="N502" s="76">
        <f>VLOOKUP(E502,Diccionario!C$2:AC$150,25,0)</f>
        <v>47483</v>
      </c>
      <c r="O502" s="77">
        <f>VLOOKUP(E502,Diccionario!C$2:AC$150,26,0)</f>
        <v>51</v>
      </c>
      <c r="P502" s="77">
        <f t="shared" si="165"/>
        <v>-48</v>
      </c>
      <c r="Q502" s="78">
        <v>3</v>
      </c>
      <c r="R502" s="36">
        <v>47</v>
      </c>
      <c r="S502" s="100">
        <v>0.999</v>
      </c>
      <c r="T502" s="100">
        <v>0.999</v>
      </c>
      <c r="U502" s="82">
        <v>15867004</v>
      </c>
      <c r="V502" s="82">
        <v>15867004</v>
      </c>
      <c r="W502" s="82">
        <f t="shared" si="159"/>
        <v>3806770855.5630002</v>
      </c>
      <c r="X502" s="82">
        <f t="shared" si="166"/>
        <v>3806770855.5630002</v>
      </c>
      <c r="Y502" s="82">
        <f t="shared" si="160"/>
        <v>3790903851.5630002</v>
      </c>
      <c r="Z502" s="82">
        <f t="shared" si="167"/>
        <v>0</v>
      </c>
      <c r="AA502" s="83">
        <f t="shared" si="164"/>
        <v>239.91743214806021</v>
      </c>
      <c r="AB502" s="84" t="str">
        <f t="shared" si="168"/>
        <v>Costo eficiente: se está gastando menos de lo presupuestado</v>
      </c>
      <c r="AC502" s="84">
        <f t="shared" si="161"/>
        <v>1</v>
      </c>
      <c r="AD502" s="84" t="str">
        <f t="shared" si="169"/>
        <v>Proyecto a tiempo según lo planificado</v>
      </c>
      <c r="AE502" s="85">
        <f t="shared" si="162"/>
        <v>15882886.886886887</v>
      </c>
      <c r="AF502" s="85">
        <f t="shared" si="163"/>
        <v>-3794698550.1131129</v>
      </c>
      <c r="AG502" s="40" t="str">
        <f>VLOOKUP(Indicador!E502,Diccionario!C$1:AC$150,27,0)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2" s="40">
        <v>1</v>
      </c>
      <c r="AI502" s="40">
        <v>1</v>
      </c>
    </row>
    <row r="503" spans="1:35" ht="18.75" customHeight="1">
      <c r="A503" s="73">
        <v>2026</v>
      </c>
      <c r="B503" s="112" t="s">
        <v>14</v>
      </c>
      <c r="C503" s="36" t="s">
        <v>397</v>
      </c>
      <c r="D503" s="37">
        <v>45932.836031516206</v>
      </c>
      <c r="E503" s="36" t="s">
        <v>102</v>
      </c>
      <c r="F503" s="36" t="s">
        <v>149</v>
      </c>
      <c r="G503" s="36" t="s">
        <v>398</v>
      </c>
      <c r="H503" s="36" t="s">
        <v>399</v>
      </c>
      <c r="I503" s="36" t="s">
        <v>152</v>
      </c>
      <c r="J503" s="36" t="s">
        <v>400</v>
      </c>
      <c r="K503" s="36" t="s">
        <v>177</v>
      </c>
      <c r="L503" s="74">
        <f>VLOOKUP(E503,Diccionario!C$2:AC$150,22,0)</f>
        <v>3810581437</v>
      </c>
      <c r="M503" s="75">
        <f>VLOOKUP(E503,Diccionario!C$2:AC$150,24,0)</f>
        <v>45931</v>
      </c>
      <c r="N503" s="76">
        <f>VLOOKUP(E503,Diccionario!C$2:AC$150,25,0)</f>
        <v>47483</v>
      </c>
      <c r="O503" s="77">
        <f>VLOOKUP(E503,Diccionario!C$2:AC$150,26,0)</f>
        <v>51</v>
      </c>
      <c r="P503" s="77">
        <f t="shared" si="165"/>
        <v>-47</v>
      </c>
      <c r="Q503" s="78">
        <v>4</v>
      </c>
      <c r="R503" s="36">
        <v>47</v>
      </c>
      <c r="S503" s="100">
        <v>0.999</v>
      </c>
      <c r="T503" s="86"/>
      <c r="U503" s="82"/>
      <c r="V503" s="82"/>
      <c r="W503" s="82">
        <f t="shared" si="159"/>
        <v>0</v>
      </c>
      <c r="X503" s="110">
        <f>S503*L503</f>
        <v>3806770855.5630002</v>
      </c>
      <c r="Y503" s="82">
        <f t="shared" si="160"/>
        <v>0</v>
      </c>
      <c r="Z503" s="82">
        <f t="shared" si="167"/>
        <v>-3806770855.5630002</v>
      </c>
      <c r="AA503" s="83" t="str">
        <f t="shared" si="164"/>
        <v>No se realizó gasto en este corte</v>
      </c>
      <c r="AB503" s="84" t="str">
        <f t="shared" si="168"/>
        <v>Costo eficiente: se está gastando menos de lo presupuestado</v>
      </c>
      <c r="AC503" s="84">
        <f t="shared" si="161"/>
        <v>0</v>
      </c>
      <c r="AD503" s="84" t="str">
        <f t="shared" si="169"/>
        <v>Sin Línea Base</v>
      </c>
      <c r="AE503" s="85">
        <f t="shared" si="162"/>
        <v>0</v>
      </c>
      <c r="AF503" s="85">
        <f t="shared" si="163"/>
        <v>-3810581437</v>
      </c>
      <c r="AG503" s="40" t="str">
        <f>VLOOKUP(Indicador!E503,Diccionario!C$1:AC$150,27,0)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3" s="40">
        <v>1</v>
      </c>
      <c r="AI503" s="40">
        <v>1</v>
      </c>
    </row>
    <row r="504" spans="1:35" ht="18.75" customHeight="1">
      <c r="A504" s="73">
        <v>2026</v>
      </c>
      <c r="B504" s="112" t="s">
        <v>22</v>
      </c>
      <c r="C504" s="36" t="s">
        <v>397</v>
      </c>
      <c r="D504" s="37">
        <v>45932.836031516206</v>
      </c>
      <c r="E504" s="36" t="s">
        <v>102</v>
      </c>
      <c r="F504" s="36" t="s">
        <v>149</v>
      </c>
      <c r="G504" s="36" t="s">
        <v>398</v>
      </c>
      <c r="H504" s="36" t="s">
        <v>399</v>
      </c>
      <c r="I504" s="36" t="s">
        <v>152</v>
      </c>
      <c r="J504" s="36" t="s">
        <v>400</v>
      </c>
      <c r="K504" s="36" t="s">
        <v>177</v>
      </c>
      <c r="L504" s="74">
        <f>VLOOKUP(E504,Diccionario!C$2:AC$150,22,0)</f>
        <v>3810581437</v>
      </c>
      <c r="M504" s="75">
        <f>VLOOKUP(E504,Diccionario!C$2:AC$150,24,0)</f>
        <v>45931</v>
      </c>
      <c r="N504" s="76">
        <f>VLOOKUP(E504,Diccionario!C$2:AC$150,25,0)</f>
        <v>47483</v>
      </c>
      <c r="O504" s="77">
        <f>VLOOKUP(E504,Diccionario!C$2:AC$150,26,0)</f>
        <v>51</v>
      </c>
      <c r="P504" s="77">
        <f t="shared" si="165"/>
        <v>-46</v>
      </c>
      <c r="Q504" s="78">
        <v>5</v>
      </c>
      <c r="R504" s="36">
        <v>47</v>
      </c>
      <c r="S504" s="100">
        <v>0.999</v>
      </c>
      <c r="T504" s="86"/>
      <c r="U504" s="82"/>
      <c r="V504" s="82"/>
      <c r="W504" s="82">
        <f t="shared" si="159"/>
        <v>0</v>
      </c>
      <c r="X504" s="82">
        <f t="shared" si="166"/>
        <v>3806770855.5630002</v>
      </c>
      <c r="Y504" s="82">
        <f t="shared" si="160"/>
        <v>0</v>
      </c>
      <c r="Z504" s="82">
        <f t="shared" si="167"/>
        <v>-3806770855.5630002</v>
      </c>
      <c r="AA504" s="83" t="str">
        <f t="shared" si="164"/>
        <v>No se realizó gasto en este corte</v>
      </c>
      <c r="AB504" s="84" t="str">
        <f t="shared" si="168"/>
        <v>Costo eficiente: se está gastando menos de lo presupuestado</v>
      </c>
      <c r="AC504" s="84">
        <f t="shared" si="161"/>
        <v>0</v>
      </c>
      <c r="AD504" s="84" t="str">
        <f t="shared" si="169"/>
        <v>Sin Línea Base</v>
      </c>
      <c r="AE504" s="85">
        <f t="shared" si="162"/>
        <v>0</v>
      </c>
      <c r="AF504" s="85">
        <f t="shared" si="163"/>
        <v>-3810581437</v>
      </c>
      <c r="AG504" s="40" t="str">
        <f>VLOOKUP(Indicador!E504,Diccionario!C$1:AC$150,27,0)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4" s="40">
        <v>1</v>
      </c>
      <c r="AI504" s="40">
        <v>1</v>
      </c>
    </row>
    <row r="505" spans="1:35" ht="18.75" customHeight="1">
      <c r="A505" s="73">
        <v>2026</v>
      </c>
      <c r="B505" s="112" t="s">
        <v>24</v>
      </c>
      <c r="C505" s="36" t="s">
        <v>397</v>
      </c>
      <c r="D505" s="37">
        <v>45932.836031516206</v>
      </c>
      <c r="E505" s="36" t="s">
        <v>102</v>
      </c>
      <c r="F505" s="36" t="s">
        <v>149</v>
      </c>
      <c r="G505" s="36" t="s">
        <v>398</v>
      </c>
      <c r="H505" s="36" t="s">
        <v>399</v>
      </c>
      <c r="I505" s="36" t="s">
        <v>152</v>
      </c>
      <c r="J505" s="36" t="s">
        <v>400</v>
      </c>
      <c r="K505" s="36" t="s">
        <v>177</v>
      </c>
      <c r="L505" s="74">
        <f>VLOOKUP(E505,Diccionario!C$2:AC$150,22,0)</f>
        <v>3810581437</v>
      </c>
      <c r="M505" s="75">
        <f>VLOOKUP(E505,Diccionario!C$2:AC$150,24,0)</f>
        <v>45931</v>
      </c>
      <c r="N505" s="76">
        <f>VLOOKUP(E505,Diccionario!C$2:AC$150,25,0)</f>
        <v>47483</v>
      </c>
      <c r="O505" s="77">
        <f>VLOOKUP(E505,Diccionario!C$2:AC$150,26,0)</f>
        <v>51</v>
      </c>
      <c r="P505" s="77">
        <f t="shared" si="165"/>
        <v>-45</v>
      </c>
      <c r="Q505" s="78">
        <v>6</v>
      </c>
      <c r="R505" s="36">
        <v>47</v>
      </c>
      <c r="S505" s="100">
        <v>0.999</v>
      </c>
      <c r="T505" s="86"/>
      <c r="U505" s="82"/>
      <c r="V505" s="82"/>
      <c r="W505" s="82">
        <f t="shared" si="159"/>
        <v>0</v>
      </c>
      <c r="X505" s="82">
        <f t="shared" si="166"/>
        <v>3806770855.5630002</v>
      </c>
      <c r="Y505" s="82">
        <f t="shared" si="160"/>
        <v>0</v>
      </c>
      <c r="Z505" s="82">
        <f t="shared" si="167"/>
        <v>-3806770855.5630002</v>
      </c>
      <c r="AA505" s="83" t="str">
        <f t="shared" si="164"/>
        <v>No se realizó gasto en este corte</v>
      </c>
      <c r="AB505" s="84" t="str">
        <f t="shared" si="168"/>
        <v>Costo eficiente: se está gastando menos de lo presupuestado</v>
      </c>
      <c r="AC505" s="84">
        <f t="shared" si="161"/>
        <v>0</v>
      </c>
      <c r="AD505" s="84" t="str">
        <f t="shared" si="169"/>
        <v>Sin Línea Base</v>
      </c>
      <c r="AE505" s="85">
        <f t="shared" si="162"/>
        <v>0</v>
      </c>
      <c r="AF505" s="85">
        <f t="shared" si="163"/>
        <v>-3810581437</v>
      </c>
      <c r="AG505" s="40" t="str">
        <f>VLOOKUP(Indicador!E505,Diccionario!C$1:AC$150,27,0)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5" s="40">
        <v>1</v>
      </c>
      <c r="AI505" s="40">
        <v>1</v>
      </c>
    </row>
    <row r="506" spans="1:35" ht="18.75" customHeight="1">
      <c r="A506" s="73">
        <v>2026</v>
      </c>
      <c r="B506" s="112" t="s">
        <v>27</v>
      </c>
      <c r="C506" s="36" t="s">
        <v>397</v>
      </c>
      <c r="D506" s="37">
        <v>45932.836031516206</v>
      </c>
      <c r="E506" s="36" t="s">
        <v>102</v>
      </c>
      <c r="F506" s="36" t="s">
        <v>149</v>
      </c>
      <c r="G506" s="36" t="s">
        <v>398</v>
      </c>
      <c r="H506" s="36" t="s">
        <v>399</v>
      </c>
      <c r="I506" s="36" t="s">
        <v>152</v>
      </c>
      <c r="J506" s="36" t="s">
        <v>400</v>
      </c>
      <c r="K506" s="36" t="s">
        <v>177</v>
      </c>
      <c r="L506" s="74">
        <f>VLOOKUP(E506,Diccionario!C$2:AC$150,22,0)</f>
        <v>3810581437</v>
      </c>
      <c r="M506" s="75">
        <f>VLOOKUP(E506,Diccionario!C$2:AC$150,24,0)</f>
        <v>45931</v>
      </c>
      <c r="N506" s="76">
        <f>VLOOKUP(E506,Diccionario!C$2:AC$150,25,0)</f>
        <v>47483</v>
      </c>
      <c r="O506" s="77">
        <f>VLOOKUP(E506,Diccionario!C$2:AC$150,26,0)</f>
        <v>51</v>
      </c>
      <c r="P506" s="77">
        <f t="shared" si="165"/>
        <v>-44</v>
      </c>
      <c r="Q506" s="78">
        <v>7</v>
      </c>
      <c r="R506" s="36">
        <v>47</v>
      </c>
      <c r="S506" s="100">
        <v>0.999</v>
      </c>
      <c r="T506" s="86"/>
      <c r="U506" s="82"/>
      <c r="V506" s="82"/>
      <c r="W506" s="82">
        <f t="shared" si="159"/>
        <v>0</v>
      </c>
      <c r="X506" s="82">
        <f t="shared" si="166"/>
        <v>3806770855.5630002</v>
      </c>
      <c r="Y506" s="82">
        <f t="shared" si="160"/>
        <v>0</v>
      </c>
      <c r="Z506" s="82">
        <f t="shared" si="167"/>
        <v>-3806770855.5630002</v>
      </c>
      <c r="AA506" s="83" t="str">
        <f t="shared" si="164"/>
        <v>No se realizó gasto en este corte</v>
      </c>
      <c r="AB506" s="84" t="str">
        <f t="shared" si="168"/>
        <v>Costo eficiente: se está gastando menos de lo presupuestado</v>
      </c>
      <c r="AC506" s="84">
        <f t="shared" si="161"/>
        <v>0</v>
      </c>
      <c r="AD506" s="84" t="str">
        <f t="shared" si="169"/>
        <v>Sin Línea Base</v>
      </c>
      <c r="AE506" s="85">
        <f t="shared" si="162"/>
        <v>0</v>
      </c>
      <c r="AF506" s="85">
        <f t="shared" si="163"/>
        <v>-3810581437</v>
      </c>
      <c r="AG506" s="40" t="str">
        <f>VLOOKUP(Indicador!E506,Diccionario!C$1:AC$150,27,0)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6" s="40">
        <v>1</v>
      </c>
      <c r="AI506" s="40">
        <v>1</v>
      </c>
    </row>
    <row r="507" spans="1:35" ht="18.75" customHeight="1">
      <c r="A507" s="73">
        <v>2026</v>
      </c>
      <c r="B507" s="112" t="s">
        <v>13</v>
      </c>
      <c r="C507" s="36" t="s">
        <v>397</v>
      </c>
      <c r="D507" s="37">
        <v>45932.836031516206</v>
      </c>
      <c r="E507" s="36" t="s">
        <v>102</v>
      </c>
      <c r="F507" s="36" t="s">
        <v>149</v>
      </c>
      <c r="G507" s="36" t="s">
        <v>398</v>
      </c>
      <c r="H507" s="36" t="s">
        <v>399</v>
      </c>
      <c r="I507" s="36" t="s">
        <v>152</v>
      </c>
      <c r="J507" s="36" t="s">
        <v>400</v>
      </c>
      <c r="K507" s="36" t="s">
        <v>177</v>
      </c>
      <c r="L507" s="74">
        <f>VLOOKUP(E507,Diccionario!C$2:AC$150,22,0)</f>
        <v>3810581437</v>
      </c>
      <c r="M507" s="75">
        <f>VLOOKUP(E507,Diccionario!C$2:AC$150,24,0)</f>
        <v>45931</v>
      </c>
      <c r="N507" s="76">
        <f>VLOOKUP(E507,Diccionario!C$2:AC$150,25,0)</f>
        <v>47483</v>
      </c>
      <c r="O507" s="77">
        <f>VLOOKUP(E507,Diccionario!C$2:AC$150,26,0)</f>
        <v>51</v>
      </c>
      <c r="P507" s="77">
        <f t="shared" si="165"/>
        <v>-43</v>
      </c>
      <c r="Q507" s="78">
        <v>8</v>
      </c>
      <c r="R507" s="36">
        <v>47</v>
      </c>
      <c r="S507" s="100">
        <v>0.999</v>
      </c>
      <c r="T507" s="86"/>
      <c r="U507" s="82"/>
      <c r="V507" s="82"/>
      <c r="W507" s="82">
        <f t="shared" si="159"/>
        <v>0</v>
      </c>
      <c r="X507" s="82">
        <f t="shared" si="166"/>
        <v>3806770855.5630002</v>
      </c>
      <c r="Y507" s="82">
        <f t="shared" si="160"/>
        <v>0</v>
      </c>
      <c r="Z507" s="82">
        <f t="shared" si="167"/>
        <v>-3806770855.5630002</v>
      </c>
      <c r="AA507" s="83" t="str">
        <f t="shared" si="164"/>
        <v>No se realizó gasto en este corte</v>
      </c>
      <c r="AB507" s="84" t="str">
        <f t="shared" si="168"/>
        <v>Costo eficiente: se está gastando menos de lo presupuestado</v>
      </c>
      <c r="AC507" s="84">
        <f t="shared" si="161"/>
        <v>0</v>
      </c>
      <c r="AD507" s="84" t="str">
        <f t="shared" si="169"/>
        <v>Sin Línea Base</v>
      </c>
      <c r="AE507" s="85">
        <f t="shared" si="162"/>
        <v>0</v>
      </c>
      <c r="AF507" s="85">
        <f t="shared" si="163"/>
        <v>-3810581437</v>
      </c>
      <c r="AG507" s="40" t="str">
        <f>VLOOKUP(Indicador!E507,Diccionario!C$1:AC$150,27,0)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7" s="40">
        <v>1</v>
      </c>
      <c r="AI507" s="40">
        <v>1</v>
      </c>
    </row>
    <row r="508" spans="1:35" ht="18.75" customHeight="1">
      <c r="A508" s="73">
        <v>2026</v>
      </c>
      <c r="B508" s="112" t="s">
        <v>21</v>
      </c>
      <c r="C508" s="36" t="s">
        <v>397</v>
      </c>
      <c r="D508" s="37">
        <v>45932.836031516206</v>
      </c>
      <c r="E508" s="36" t="s">
        <v>102</v>
      </c>
      <c r="F508" s="36" t="s">
        <v>149</v>
      </c>
      <c r="G508" s="36" t="s">
        <v>398</v>
      </c>
      <c r="H508" s="36" t="s">
        <v>399</v>
      </c>
      <c r="I508" s="36" t="s">
        <v>152</v>
      </c>
      <c r="J508" s="36" t="s">
        <v>400</v>
      </c>
      <c r="K508" s="36" t="s">
        <v>177</v>
      </c>
      <c r="L508" s="74">
        <f>VLOOKUP(E508,Diccionario!C$2:AC$150,22,0)</f>
        <v>3810581437</v>
      </c>
      <c r="M508" s="75">
        <f>VLOOKUP(E508,Diccionario!C$2:AC$150,24,0)</f>
        <v>45931</v>
      </c>
      <c r="N508" s="76">
        <f>VLOOKUP(E508,Diccionario!C$2:AC$150,25,0)</f>
        <v>47483</v>
      </c>
      <c r="O508" s="77">
        <f>VLOOKUP(E508,Diccionario!C$2:AC$150,26,0)</f>
        <v>51</v>
      </c>
      <c r="P508" s="77">
        <f t="shared" si="165"/>
        <v>-42</v>
      </c>
      <c r="Q508" s="78">
        <v>9</v>
      </c>
      <c r="R508" s="36">
        <v>47</v>
      </c>
      <c r="S508" s="100">
        <v>0.999</v>
      </c>
      <c r="T508" s="86"/>
      <c r="U508" s="82"/>
      <c r="V508" s="82"/>
      <c r="W508" s="82">
        <f t="shared" si="159"/>
        <v>0</v>
      </c>
      <c r="X508" s="82">
        <f t="shared" si="166"/>
        <v>3806770855.5630002</v>
      </c>
      <c r="Y508" s="82">
        <f t="shared" si="160"/>
        <v>0</v>
      </c>
      <c r="Z508" s="82">
        <f t="shared" si="167"/>
        <v>-3806770855.5630002</v>
      </c>
      <c r="AA508" s="83" t="str">
        <f t="shared" si="164"/>
        <v>No se realizó gasto en este corte</v>
      </c>
      <c r="AB508" s="84" t="str">
        <f t="shared" si="168"/>
        <v>Costo eficiente: se está gastando menos de lo presupuestado</v>
      </c>
      <c r="AC508" s="84">
        <f t="shared" si="161"/>
        <v>0</v>
      </c>
      <c r="AD508" s="84" t="str">
        <f t="shared" si="169"/>
        <v>Sin Línea Base</v>
      </c>
      <c r="AE508" s="85">
        <f t="shared" si="162"/>
        <v>0</v>
      </c>
      <c r="AF508" s="85">
        <f t="shared" si="163"/>
        <v>-3810581437</v>
      </c>
      <c r="AG508" s="40" t="str">
        <f>VLOOKUP(Indicador!E508,Diccionario!C$1:AC$150,27,0)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8" s="40">
        <v>1</v>
      </c>
      <c r="AI508" s="40">
        <v>1</v>
      </c>
    </row>
    <row r="509" spans="1:35" ht="18.75" customHeight="1">
      <c r="A509" s="73">
        <v>2026</v>
      </c>
      <c r="B509" s="112" t="s">
        <v>23</v>
      </c>
      <c r="C509" s="36" t="s">
        <v>397</v>
      </c>
      <c r="D509" s="37">
        <v>45932.836031516206</v>
      </c>
      <c r="E509" s="36" t="s">
        <v>102</v>
      </c>
      <c r="F509" s="36" t="s">
        <v>149</v>
      </c>
      <c r="G509" s="36" t="s">
        <v>398</v>
      </c>
      <c r="H509" s="36" t="s">
        <v>399</v>
      </c>
      <c r="I509" s="36" t="s">
        <v>152</v>
      </c>
      <c r="J509" s="36" t="s">
        <v>400</v>
      </c>
      <c r="K509" s="36" t="s">
        <v>177</v>
      </c>
      <c r="L509" s="74">
        <f>VLOOKUP(E509,Diccionario!C$2:AC$150,22,0)</f>
        <v>3810581437</v>
      </c>
      <c r="M509" s="75">
        <f>VLOOKUP(E509,Diccionario!C$2:AC$150,24,0)</f>
        <v>45931</v>
      </c>
      <c r="N509" s="76">
        <f>VLOOKUP(E509,Diccionario!C$2:AC$150,25,0)</f>
        <v>47483</v>
      </c>
      <c r="O509" s="77">
        <f>VLOOKUP(E509,Diccionario!C$2:AC$150,26,0)</f>
        <v>51</v>
      </c>
      <c r="P509" s="77">
        <f t="shared" si="165"/>
        <v>-41</v>
      </c>
      <c r="Q509" s="78">
        <v>10</v>
      </c>
      <c r="R509" s="36">
        <v>47</v>
      </c>
      <c r="S509" s="100">
        <v>0.999</v>
      </c>
      <c r="T509" s="86"/>
      <c r="U509" s="82"/>
      <c r="V509" s="82"/>
      <c r="W509" s="82">
        <f t="shared" si="159"/>
        <v>0</v>
      </c>
      <c r="X509" s="82">
        <f t="shared" si="166"/>
        <v>3806770855.5630002</v>
      </c>
      <c r="Y509" s="82">
        <f t="shared" si="160"/>
        <v>0</v>
      </c>
      <c r="Z509" s="82">
        <f t="shared" si="167"/>
        <v>-3806770855.5630002</v>
      </c>
      <c r="AA509" s="83" t="str">
        <f t="shared" si="164"/>
        <v>No se realizó gasto en este corte</v>
      </c>
      <c r="AB509" s="84" t="str">
        <f t="shared" si="168"/>
        <v>Costo eficiente: se está gastando menos de lo presupuestado</v>
      </c>
      <c r="AC509" s="84">
        <f t="shared" si="161"/>
        <v>0</v>
      </c>
      <c r="AD509" s="84" t="str">
        <f t="shared" si="169"/>
        <v>Sin Línea Base</v>
      </c>
      <c r="AE509" s="85">
        <f t="shared" si="162"/>
        <v>0</v>
      </c>
      <c r="AF509" s="85">
        <f t="shared" si="163"/>
        <v>-3810581437</v>
      </c>
      <c r="AG509" s="40" t="str">
        <f>VLOOKUP(Indicador!E509,Diccionario!C$1:AC$150,27,0)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09" s="40">
        <v>1</v>
      </c>
      <c r="AI509" s="40">
        <v>1</v>
      </c>
    </row>
    <row r="510" spans="1:35" ht="18.75" customHeight="1">
      <c r="A510" s="73">
        <v>2026</v>
      </c>
      <c r="B510" s="112" t="s">
        <v>26</v>
      </c>
      <c r="C510" s="36" t="s">
        <v>397</v>
      </c>
      <c r="D510" s="37">
        <v>45932.836031516206</v>
      </c>
      <c r="E510" s="36" t="s">
        <v>102</v>
      </c>
      <c r="F510" s="36" t="s">
        <v>149</v>
      </c>
      <c r="G510" s="36" t="s">
        <v>398</v>
      </c>
      <c r="H510" s="36" t="s">
        <v>399</v>
      </c>
      <c r="I510" s="36" t="s">
        <v>152</v>
      </c>
      <c r="J510" s="36" t="s">
        <v>400</v>
      </c>
      <c r="K510" s="36" t="s">
        <v>177</v>
      </c>
      <c r="L510" s="74">
        <f>VLOOKUP(E510,Diccionario!C$2:AC$150,22,0)</f>
        <v>3810581437</v>
      </c>
      <c r="M510" s="75">
        <f>VLOOKUP(E510,Diccionario!C$2:AC$150,24,0)</f>
        <v>45931</v>
      </c>
      <c r="N510" s="76">
        <f>VLOOKUP(E510,Diccionario!C$2:AC$150,25,0)</f>
        <v>47483</v>
      </c>
      <c r="O510" s="77">
        <f>VLOOKUP(E510,Diccionario!C$2:AC$150,26,0)</f>
        <v>51</v>
      </c>
      <c r="P510" s="77">
        <f t="shared" si="165"/>
        <v>-40</v>
      </c>
      <c r="Q510" s="78">
        <v>11</v>
      </c>
      <c r="R510" s="36">
        <v>47</v>
      </c>
      <c r="S510" s="100">
        <v>0.999</v>
      </c>
      <c r="T510" s="86"/>
      <c r="U510" s="82"/>
      <c r="V510" s="82"/>
      <c r="W510" s="82">
        <f t="shared" si="159"/>
        <v>0</v>
      </c>
      <c r="X510" s="82">
        <f t="shared" si="166"/>
        <v>3806770855.5630002</v>
      </c>
      <c r="Y510" s="82">
        <f t="shared" si="160"/>
        <v>0</v>
      </c>
      <c r="Z510" s="82">
        <f t="shared" si="167"/>
        <v>-3806770855.5630002</v>
      </c>
      <c r="AA510" s="83" t="str">
        <f t="shared" si="164"/>
        <v>No se realizó gasto en este corte</v>
      </c>
      <c r="AB510" s="84" t="str">
        <f t="shared" si="168"/>
        <v>Costo eficiente: se está gastando menos de lo presupuestado</v>
      </c>
      <c r="AC510" s="84">
        <f t="shared" si="161"/>
        <v>0</v>
      </c>
      <c r="AD510" s="84" t="str">
        <f t="shared" si="169"/>
        <v>Sin Línea Base</v>
      </c>
      <c r="AE510" s="85">
        <f t="shared" si="162"/>
        <v>0</v>
      </c>
      <c r="AF510" s="85">
        <f t="shared" si="163"/>
        <v>-3810581437</v>
      </c>
      <c r="AG510" s="40" t="str">
        <f>VLOOKUP(Indicador!E510,Diccionario!C$1:AC$150,27,0)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0" s="40">
        <v>1</v>
      </c>
      <c r="AI510" s="40">
        <v>1</v>
      </c>
    </row>
    <row r="511" spans="1:35" ht="18.75" customHeight="1">
      <c r="A511" s="73">
        <v>2026</v>
      </c>
      <c r="B511" s="112" t="s">
        <v>28</v>
      </c>
      <c r="C511" s="36" t="s">
        <v>397</v>
      </c>
      <c r="D511" s="37">
        <v>45932.836031516206</v>
      </c>
      <c r="E511" s="36" t="s">
        <v>102</v>
      </c>
      <c r="F511" s="36" t="s">
        <v>149</v>
      </c>
      <c r="G511" s="36" t="s">
        <v>398</v>
      </c>
      <c r="H511" s="36" t="s">
        <v>399</v>
      </c>
      <c r="I511" s="36" t="s">
        <v>152</v>
      </c>
      <c r="J511" s="36" t="s">
        <v>400</v>
      </c>
      <c r="K511" s="36" t="s">
        <v>177</v>
      </c>
      <c r="L511" s="74">
        <f>VLOOKUP(E511,Diccionario!C$2:AC$150,22,0)</f>
        <v>3810581437</v>
      </c>
      <c r="M511" s="75">
        <f>VLOOKUP(E511,Diccionario!C$2:AC$150,24,0)</f>
        <v>45931</v>
      </c>
      <c r="N511" s="76">
        <f>VLOOKUP(E511,Diccionario!C$2:AC$150,25,0)</f>
        <v>47483</v>
      </c>
      <c r="O511" s="77">
        <f>VLOOKUP(E511,Diccionario!C$2:AC$150,26,0)</f>
        <v>51</v>
      </c>
      <c r="P511" s="77">
        <f t="shared" si="165"/>
        <v>-39</v>
      </c>
      <c r="Q511" s="78">
        <v>12</v>
      </c>
      <c r="R511" s="36">
        <v>47</v>
      </c>
      <c r="S511" s="100">
        <v>0.999</v>
      </c>
      <c r="T511" s="86"/>
      <c r="U511" s="82"/>
      <c r="V511" s="82"/>
      <c r="W511" s="82">
        <f t="shared" si="159"/>
        <v>0</v>
      </c>
      <c r="X511" s="82">
        <f t="shared" si="166"/>
        <v>3806770855.5630002</v>
      </c>
      <c r="Y511" s="82">
        <f t="shared" si="160"/>
        <v>0</v>
      </c>
      <c r="Z511" s="82">
        <f t="shared" si="167"/>
        <v>-3806770855.5630002</v>
      </c>
      <c r="AA511" s="83" t="str">
        <f t="shared" si="164"/>
        <v>No se realizó gasto en este corte</v>
      </c>
      <c r="AB511" s="84" t="str">
        <f t="shared" si="168"/>
        <v>Costo eficiente: se está gastando menos de lo presupuestado</v>
      </c>
      <c r="AC511" s="84">
        <f t="shared" si="161"/>
        <v>0</v>
      </c>
      <c r="AD511" s="84" t="str">
        <f t="shared" si="169"/>
        <v>Sin Línea Base</v>
      </c>
      <c r="AE511" s="85">
        <f t="shared" si="162"/>
        <v>0</v>
      </c>
      <c r="AF511" s="85">
        <f t="shared" si="163"/>
        <v>-3810581437</v>
      </c>
      <c r="AG511" s="40" t="str">
        <f>VLOOKUP(Indicador!E511,Diccionario!C$1:AC$150,27,0)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1" s="40">
        <v>1</v>
      </c>
      <c r="AI511" s="40">
        <v>1</v>
      </c>
    </row>
    <row r="512" spans="1:35" ht="18.75" customHeight="1">
      <c r="A512" s="73">
        <v>2026</v>
      </c>
      <c r="B512" s="112" t="s">
        <v>30</v>
      </c>
      <c r="C512" s="36" t="s">
        <v>397</v>
      </c>
      <c r="D512" s="37">
        <v>45932.836031516206</v>
      </c>
      <c r="E512" s="36" t="s">
        <v>102</v>
      </c>
      <c r="F512" s="36" t="s">
        <v>149</v>
      </c>
      <c r="G512" s="36" t="s">
        <v>398</v>
      </c>
      <c r="H512" s="36" t="s">
        <v>399</v>
      </c>
      <c r="I512" s="36" t="s">
        <v>152</v>
      </c>
      <c r="J512" s="36" t="s">
        <v>400</v>
      </c>
      <c r="K512" s="36" t="s">
        <v>177</v>
      </c>
      <c r="L512" s="74">
        <f>VLOOKUP(E512,Diccionario!C$2:AC$150,22,0)</f>
        <v>3810581437</v>
      </c>
      <c r="M512" s="75">
        <f>VLOOKUP(E512,Diccionario!C$2:AC$150,24,0)</f>
        <v>45931</v>
      </c>
      <c r="N512" s="76">
        <f>VLOOKUP(E512,Diccionario!C$2:AC$150,25,0)</f>
        <v>47483</v>
      </c>
      <c r="O512" s="77">
        <f>VLOOKUP(E512,Diccionario!C$2:AC$150,26,0)</f>
        <v>51</v>
      </c>
      <c r="P512" s="77">
        <f t="shared" si="165"/>
        <v>-38</v>
      </c>
      <c r="Q512" s="78">
        <v>13</v>
      </c>
      <c r="R512" s="36">
        <v>47</v>
      </c>
      <c r="S512" s="100">
        <v>0.999</v>
      </c>
      <c r="T512" s="86"/>
      <c r="U512" s="82"/>
      <c r="V512" s="82"/>
      <c r="W512" s="82">
        <f t="shared" si="159"/>
        <v>0</v>
      </c>
      <c r="X512" s="82">
        <f t="shared" si="166"/>
        <v>3806770855.5630002</v>
      </c>
      <c r="Y512" s="82">
        <f t="shared" si="160"/>
        <v>0</v>
      </c>
      <c r="Z512" s="82">
        <f t="shared" si="167"/>
        <v>-3806770855.5630002</v>
      </c>
      <c r="AA512" s="83" t="str">
        <f t="shared" si="164"/>
        <v>No se realizó gasto en este corte</v>
      </c>
      <c r="AB512" s="84" t="str">
        <f t="shared" si="168"/>
        <v>Costo eficiente: se está gastando menos de lo presupuestado</v>
      </c>
      <c r="AC512" s="84">
        <f t="shared" si="161"/>
        <v>0</v>
      </c>
      <c r="AD512" s="84" t="str">
        <f t="shared" si="169"/>
        <v>Sin Línea Base</v>
      </c>
      <c r="AE512" s="85">
        <f t="shared" si="162"/>
        <v>0</v>
      </c>
      <c r="AF512" s="85">
        <f t="shared" si="163"/>
        <v>-3810581437</v>
      </c>
      <c r="AG512" s="40" t="str">
        <f>VLOOKUP(Indicador!E512,Diccionario!C$1:AC$150,27,0)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2" s="40">
        <v>1</v>
      </c>
      <c r="AI512" s="40">
        <v>1</v>
      </c>
    </row>
    <row r="513" spans="1:35" ht="18.75" customHeight="1">
      <c r="A513" s="73">
        <v>2026</v>
      </c>
      <c r="B513" s="112" t="s">
        <v>31</v>
      </c>
      <c r="C513" s="36" t="s">
        <v>397</v>
      </c>
      <c r="D513" s="37">
        <v>45932.836031516206</v>
      </c>
      <c r="E513" s="36" t="s">
        <v>102</v>
      </c>
      <c r="F513" s="36" t="s">
        <v>149</v>
      </c>
      <c r="G513" s="36" t="s">
        <v>398</v>
      </c>
      <c r="H513" s="36" t="s">
        <v>399</v>
      </c>
      <c r="I513" s="36" t="s">
        <v>152</v>
      </c>
      <c r="J513" s="36" t="s">
        <v>400</v>
      </c>
      <c r="K513" s="36" t="s">
        <v>177</v>
      </c>
      <c r="L513" s="74">
        <f>VLOOKUP(E513,Diccionario!C$2:AC$150,22,0)</f>
        <v>3810581437</v>
      </c>
      <c r="M513" s="75">
        <f>VLOOKUP(E513,Diccionario!C$2:AC$150,24,0)</f>
        <v>45931</v>
      </c>
      <c r="N513" s="76">
        <f>VLOOKUP(E513,Diccionario!C$2:AC$150,25,0)</f>
        <v>47483</v>
      </c>
      <c r="O513" s="77">
        <f>VLOOKUP(E513,Diccionario!C$2:AC$150,26,0)</f>
        <v>51</v>
      </c>
      <c r="P513" s="77">
        <f t="shared" si="165"/>
        <v>-37</v>
      </c>
      <c r="Q513" s="78">
        <v>14</v>
      </c>
      <c r="R513" s="36">
        <v>47</v>
      </c>
      <c r="S513" s="100">
        <v>0.999</v>
      </c>
      <c r="T513" s="86"/>
      <c r="U513" s="82"/>
      <c r="V513" s="82"/>
      <c r="W513" s="82">
        <f t="shared" si="159"/>
        <v>0</v>
      </c>
      <c r="X513" s="82">
        <f t="shared" si="166"/>
        <v>3806770855.5630002</v>
      </c>
      <c r="Y513" s="82">
        <f t="shared" si="160"/>
        <v>0</v>
      </c>
      <c r="Z513" s="82">
        <f t="shared" si="167"/>
        <v>-3806770855.5630002</v>
      </c>
      <c r="AA513" s="83" t="str">
        <f t="shared" si="164"/>
        <v>No se realizó gasto en este corte</v>
      </c>
      <c r="AB513" s="84" t="str">
        <f t="shared" si="168"/>
        <v>Costo eficiente: se está gastando menos de lo presupuestado</v>
      </c>
      <c r="AC513" s="84">
        <f t="shared" si="161"/>
        <v>0</v>
      </c>
      <c r="AD513" s="84" t="str">
        <f t="shared" si="169"/>
        <v>Sin Línea Base</v>
      </c>
      <c r="AE513" s="85">
        <f t="shared" si="162"/>
        <v>0</v>
      </c>
      <c r="AF513" s="85">
        <f t="shared" si="163"/>
        <v>-3810581437</v>
      </c>
      <c r="AG513" s="40" t="str">
        <f>VLOOKUP(Indicador!E513,Diccionario!C$1:AC$150,27,0)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3" s="40">
        <v>1</v>
      </c>
      <c r="AI513" s="40">
        <v>1</v>
      </c>
    </row>
    <row r="514" spans="1:35" ht="18.75" customHeight="1">
      <c r="A514" s="73">
        <v>2026</v>
      </c>
      <c r="B514" s="112" t="s">
        <v>32</v>
      </c>
      <c r="C514" s="36" t="s">
        <v>397</v>
      </c>
      <c r="D514" s="37">
        <v>45932.836031516206</v>
      </c>
      <c r="E514" s="36" t="s">
        <v>102</v>
      </c>
      <c r="F514" s="36" t="s">
        <v>149</v>
      </c>
      <c r="G514" s="36" t="s">
        <v>398</v>
      </c>
      <c r="H514" s="36" t="s">
        <v>399</v>
      </c>
      <c r="I514" s="36" t="s">
        <v>152</v>
      </c>
      <c r="J514" s="36" t="s">
        <v>400</v>
      </c>
      <c r="K514" s="36" t="s">
        <v>177</v>
      </c>
      <c r="L514" s="74">
        <f>VLOOKUP(E514,Diccionario!C$2:AC$150,22,0)</f>
        <v>3810581437</v>
      </c>
      <c r="M514" s="75">
        <f>VLOOKUP(E514,Diccionario!C$2:AC$150,24,0)</f>
        <v>45931</v>
      </c>
      <c r="N514" s="76">
        <f>VLOOKUP(E514,Diccionario!C$2:AC$150,25,0)</f>
        <v>47483</v>
      </c>
      <c r="O514" s="77">
        <f>VLOOKUP(E514,Diccionario!C$2:AC$150,26,0)</f>
        <v>51</v>
      </c>
      <c r="P514" s="77">
        <f t="shared" si="165"/>
        <v>-36</v>
      </c>
      <c r="Q514" s="78">
        <v>15</v>
      </c>
      <c r="R514" s="36">
        <v>47</v>
      </c>
      <c r="S514" s="100">
        <v>0.999</v>
      </c>
      <c r="T514" s="86"/>
      <c r="U514" s="82"/>
      <c r="V514" s="82"/>
      <c r="W514" s="82">
        <f t="shared" ref="W514:W577" si="170">IFERROR(T514*L514,0)</f>
        <v>0</v>
      </c>
      <c r="X514" s="82">
        <f t="shared" si="166"/>
        <v>3806770855.5630002</v>
      </c>
      <c r="Y514" s="82">
        <f t="shared" ref="Y514:Y577" si="171">IFERROR(W514-U514,0)</f>
        <v>0</v>
      </c>
      <c r="Z514" s="82">
        <f t="shared" si="167"/>
        <v>-3806770855.5630002</v>
      </c>
      <c r="AA514" s="83" t="str">
        <f t="shared" si="164"/>
        <v>No se realizó gasto en este corte</v>
      </c>
      <c r="AB514" s="84" t="str">
        <f t="shared" si="168"/>
        <v>Costo eficiente: se está gastando menos de lo presupuestado</v>
      </c>
      <c r="AC514" s="84">
        <f t="shared" ref="AC514:AC577" si="172">IFERROR(W514/X514,0)</f>
        <v>0</v>
      </c>
      <c r="AD514" s="84" t="str">
        <f t="shared" si="169"/>
        <v>Sin Línea Base</v>
      </c>
      <c r="AE514" s="85">
        <f t="shared" ref="AE514:AE577" si="173">IFERROR(L514/AA514,0)</f>
        <v>0</v>
      </c>
      <c r="AF514" s="85">
        <f t="shared" ref="AF514:AF577" si="174">IFERROR(AE514-L514,0)</f>
        <v>-3810581437</v>
      </c>
      <c r="AG514" s="40" t="str">
        <f>VLOOKUP(Indicador!E514,Diccionario!C$1:AC$150,27,0)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4" s="40">
        <v>1</v>
      </c>
      <c r="AI514" s="40">
        <v>1</v>
      </c>
    </row>
    <row r="515" spans="1:35" ht="18.75" customHeight="1">
      <c r="A515" s="73">
        <v>2027</v>
      </c>
      <c r="B515" s="112" t="s">
        <v>14</v>
      </c>
      <c r="C515" s="36" t="s">
        <v>397</v>
      </c>
      <c r="D515" s="37">
        <v>45932.836031516206</v>
      </c>
      <c r="E515" s="36" t="s">
        <v>102</v>
      </c>
      <c r="F515" s="36" t="s">
        <v>149</v>
      </c>
      <c r="G515" s="36" t="s">
        <v>398</v>
      </c>
      <c r="H515" s="36" t="s">
        <v>399</v>
      </c>
      <c r="I515" s="36" t="s">
        <v>152</v>
      </c>
      <c r="J515" s="36" t="s">
        <v>400</v>
      </c>
      <c r="K515" s="36" t="s">
        <v>177</v>
      </c>
      <c r="L515" s="74">
        <f>VLOOKUP(E515,Diccionario!C$2:AC$150,22,0)</f>
        <v>3810581437</v>
      </c>
      <c r="M515" s="75">
        <f>VLOOKUP(E515,Diccionario!C$2:AC$150,24,0)</f>
        <v>45931</v>
      </c>
      <c r="N515" s="76">
        <f>VLOOKUP(E515,Diccionario!C$2:AC$150,25,0)</f>
        <v>47483</v>
      </c>
      <c r="O515" s="77">
        <f>VLOOKUP(E515,Diccionario!C$2:AC$150,26,0)</f>
        <v>51</v>
      </c>
      <c r="P515" s="77">
        <f t="shared" si="165"/>
        <v>-35</v>
      </c>
      <c r="Q515" s="78">
        <v>16</v>
      </c>
      <c r="R515" s="36">
        <v>47</v>
      </c>
      <c r="S515" s="100">
        <v>0.999</v>
      </c>
      <c r="T515" s="86"/>
      <c r="U515" s="82"/>
      <c r="V515" s="82"/>
      <c r="W515" s="82">
        <f t="shared" si="170"/>
        <v>0</v>
      </c>
      <c r="X515" s="82">
        <f t="shared" si="166"/>
        <v>3806770855.5630002</v>
      </c>
      <c r="Y515" s="82">
        <f t="shared" si="171"/>
        <v>0</v>
      </c>
      <c r="Z515" s="82">
        <f t="shared" si="167"/>
        <v>-3806770855.5630002</v>
      </c>
      <c r="AA515" s="83" t="str">
        <f t="shared" si="164"/>
        <v>No se realizó gasto en este corte</v>
      </c>
      <c r="AB515" s="84" t="str">
        <f t="shared" si="168"/>
        <v>Costo eficiente: se está gastando menos de lo presupuestado</v>
      </c>
      <c r="AC515" s="84">
        <f t="shared" si="172"/>
        <v>0</v>
      </c>
      <c r="AD515" s="84" t="str">
        <f t="shared" si="169"/>
        <v>Sin Línea Base</v>
      </c>
      <c r="AE515" s="85">
        <f t="shared" si="173"/>
        <v>0</v>
      </c>
      <c r="AF515" s="85">
        <f t="shared" si="174"/>
        <v>-3810581437</v>
      </c>
      <c r="AG515" s="40" t="str">
        <f>VLOOKUP(Indicador!E515,Diccionario!C$1:AC$150,27,0)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5" s="40">
        <v>1</v>
      </c>
      <c r="AI515" s="40">
        <v>1</v>
      </c>
    </row>
    <row r="516" spans="1:35" ht="18.75" customHeight="1">
      <c r="A516" s="73">
        <v>2027</v>
      </c>
      <c r="B516" s="112" t="s">
        <v>22</v>
      </c>
      <c r="C516" s="36" t="s">
        <v>397</v>
      </c>
      <c r="D516" s="37">
        <v>45932.836031516206</v>
      </c>
      <c r="E516" s="36" t="s">
        <v>102</v>
      </c>
      <c r="F516" s="36" t="s">
        <v>149</v>
      </c>
      <c r="G516" s="36" t="s">
        <v>398</v>
      </c>
      <c r="H516" s="36" t="s">
        <v>399</v>
      </c>
      <c r="I516" s="36" t="s">
        <v>152</v>
      </c>
      <c r="J516" s="36" t="s">
        <v>400</v>
      </c>
      <c r="K516" s="36" t="s">
        <v>177</v>
      </c>
      <c r="L516" s="74">
        <f>VLOOKUP(E516,Diccionario!C$2:AC$150,22,0)</f>
        <v>3810581437</v>
      </c>
      <c r="M516" s="75">
        <f>VLOOKUP(E516,Diccionario!C$2:AC$150,24,0)</f>
        <v>45931</v>
      </c>
      <c r="N516" s="76">
        <f>VLOOKUP(E516,Diccionario!C$2:AC$150,25,0)</f>
        <v>47483</v>
      </c>
      <c r="O516" s="77">
        <f>VLOOKUP(E516,Diccionario!C$2:AC$150,26,0)</f>
        <v>51</v>
      </c>
      <c r="P516" s="77">
        <f t="shared" si="165"/>
        <v>-34</v>
      </c>
      <c r="Q516" s="78">
        <v>17</v>
      </c>
      <c r="R516" s="36">
        <v>47</v>
      </c>
      <c r="S516" s="100">
        <v>0.999</v>
      </c>
      <c r="T516" s="86"/>
      <c r="U516" s="82"/>
      <c r="V516" s="82"/>
      <c r="W516" s="82">
        <f t="shared" si="170"/>
        <v>0</v>
      </c>
      <c r="X516" s="82">
        <f t="shared" si="166"/>
        <v>3806770855.5630002</v>
      </c>
      <c r="Y516" s="82">
        <f t="shared" si="171"/>
        <v>0</v>
      </c>
      <c r="Z516" s="82">
        <f t="shared" si="167"/>
        <v>-3806770855.5630002</v>
      </c>
      <c r="AA516" s="83" t="str">
        <f t="shared" si="164"/>
        <v>No se realizó gasto en este corte</v>
      </c>
      <c r="AB516" s="84" t="str">
        <f t="shared" si="168"/>
        <v>Costo eficiente: se está gastando menos de lo presupuestado</v>
      </c>
      <c r="AC516" s="84">
        <f t="shared" si="172"/>
        <v>0</v>
      </c>
      <c r="AD516" s="84" t="str">
        <f t="shared" si="169"/>
        <v>Sin Línea Base</v>
      </c>
      <c r="AE516" s="85">
        <f t="shared" si="173"/>
        <v>0</v>
      </c>
      <c r="AF516" s="85">
        <f t="shared" si="174"/>
        <v>-3810581437</v>
      </c>
      <c r="AG516" s="40" t="str">
        <f>VLOOKUP(Indicador!E516,Diccionario!C$1:AC$150,27,0)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6" s="40">
        <v>1</v>
      </c>
      <c r="AI516" s="40">
        <v>1</v>
      </c>
    </row>
    <row r="517" spans="1:35" ht="18.75" customHeight="1">
      <c r="A517" s="73">
        <v>2027</v>
      </c>
      <c r="B517" s="112" t="s">
        <v>24</v>
      </c>
      <c r="C517" s="36" t="s">
        <v>397</v>
      </c>
      <c r="D517" s="37">
        <v>45932.836031516206</v>
      </c>
      <c r="E517" s="36" t="s">
        <v>102</v>
      </c>
      <c r="F517" s="36" t="s">
        <v>149</v>
      </c>
      <c r="G517" s="36" t="s">
        <v>398</v>
      </c>
      <c r="H517" s="36" t="s">
        <v>399</v>
      </c>
      <c r="I517" s="36" t="s">
        <v>152</v>
      </c>
      <c r="J517" s="36" t="s">
        <v>400</v>
      </c>
      <c r="K517" s="36" t="s">
        <v>177</v>
      </c>
      <c r="L517" s="74">
        <f>VLOOKUP(E517,Diccionario!C$2:AC$150,22,0)</f>
        <v>3810581437</v>
      </c>
      <c r="M517" s="75">
        <f>VLOOKUP(E517,Diccionario!C$2:AC$150,24,0)</f>
        <v>45931</v>
      </c>
      <c r="N517" s="76">
        <f>VLOOKUP(E517,Diccionario!C$2:AC$150,25,0)</f>
        <v>47483</v>
      </c>
      <c r="O517" s="77">
        <f>VLOOKUP(E517,Diccionario!C$2:AC$150,26,0)</f>
        <v>51</v>
      </c>
      <c r="P517" s="77">
        <f t="shared" si="165"/>
        <v>-33</v>
      </c>
      <c r="Q517" s="78">
        <v>18</v>
      </c>
      <c r="R517" s="36">
        <v>47</v>
      </c>
      <c r="S517" s="100">
        <v>0.999</v>
      </c>
      <c r="T517" s="86"/>
      <c r="U517" s="82"/>
      <c r="V517" s="82"/>
      <c r="W517" s="82">
        <f t="shared" si="170"/>
        <v>0</v>
      </c>
      <c r="X517" s="82">
        <f t="shared" si="166"/>
        <v>3806770855.5630002</v>
      </c>
      <c r="Y517" s="82">
        <f t="shared" si="171"/>
        <v>0</v>
      </c>
      <c r="Z517" s="82">
        <f t="shared" si="167"/>
        <v>-3806770855.5630002</v>
      </c>
      <c r="AA517" s="83" t="str">
        <f t="shared" si="164"/>
        <v>No se realizó gasto en este corte</v>
      </c>
      <c r="AB517" s="84" t="str">
        <f t="shared" si="168"/>
        <v>Costo eficiente: se está gastando menos de lo presupuestado</v>
      </c>
      <c r="AC517" s="84">
        <f t="shared" si="172"/>
        <v>0</v>
      </c>
      <c r="AD517" s="84" t="str">
        <f t="shared" si="169"/>
        <v>Sin Línea Base</v>
      </c>
      <c r="AE517" s="85">
        <f t="shared" si="173"/>
        <v>0</v>
      </c>
      <c r="AF517" s="85">
        <f t="shared" si="174"/>
        <v>-3810581437</v>
      </c>
      <c r="AG517" s="40" t="str">
        <f>VLOOKUP(Indicador!E517,Diccionario!C$1:AC$150,27,0)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7" s="40">
        <v>1</v>
      </c>
      <c r="AI517" s="40">
        <v>1</v>
      </c>
    </row>
    <row r="518" spans="1:35" ht="18.75" customHeight="1">
      <c r="A518" s="73">
        <v>2027</v>
      </c>
      <c r="B518" s="112" t="s">
        <v>27</v>
      </c>
      <c r="C518" s="36" t="s">
        <v>397</v>
      </c>
      <c r="D518" s="37">
        <v>45932.836031516206</v>
      </c>
      <c r="E518" s="36" t="s">
        <v>102</v>
      </c>
      <c r="F518" s="36" t="s">
        <v>149</v>
      </c>
      <c r="G518" s="36" t="s">
        <v>398</v>
      </c>
      <c r="H518" s="36" t="s">
        <v>399</v>
      </c>
      <c r="I518" s="36" t="s">
        <v>152</v>
      </c>
      <c r="J518" s="36" t="s">
        <v>400</v>
      </c>
      <c r="K518" s="36" t="s">
        <v>177</v>
      </c>
      <c r="L518" s="74">
        <f>VLOOKUP(E518,Diccionario!C$2:AC$150,22,0)</f>
        <v>3810581437</v>
      </c>
      <c r="M518" s="75">
        <f>VLOOKUP(E518,Diccionario!C$2:AC$150,24,0)</f>
        <v>45931</v>
      </c>
      <c r="N518" s="76">
        <f>VLOOKUP(E518,Diccionario!C$2:AC$150,25,0)</f>
        <v>47483</v>
      </c>
      <c r="O518" s="77">
        <f>VLOOKUP(E518,Diccionario!C$2:AC$150,26,0)</f>
        <v>51</v>
      </c>
      <c r="P518" s="77">
        <f t="shared" si="165"/>
        <v>-32</v>
      </c>
      <c r="Q518" s="78">
        <v>19</v>
      </c>
      <c r="R518" s="36">
        <v>47</v>
      </c>
      <c r="S518" s="100">
        <v>0.999</v>
      </c>
      <c r="T518" s="86"/>
      <c r="U518" s="82"/>
      <c r="V518" s="82"/>
      <c r="W518" s="82">
        <f t="shared" si="170"/>
        <v>0</v>
      </c>
      <c r="X518" s="82">
        <f t="shared" si="166"/>
        <v>3806770855.5630002</v>
      </c>
      <c r="Y518" s="82">
        <f t="shared" si="171"/>
        <v>0</v>
      </c>
      <c r="Z518" s="82">
        <f t="shared" si="167"/>
        <v>-3806770855.5630002</v>
      </c>
      <c r="AA518" s="83" t="str">
        <f t="shared" si="164"/>
        <v>No se realizó gasto en este corte</v>
      </c>
      <c r="AB518" s="84" t="str">
        <f t="shared" si="168"/>
        <v>Costo eficiente: se está gastando menos de lo presupuestado</v>
      </c>
      <c r="AC518" s="84">
        <f t="shared" si="172"/>
        <v>0</v>
      </c>
      <c r="AD518" s="84" t="str">
        <f t="shared" si="169"/>
        <v>Sin Línea Base</v>
      </c>
      <c r="AE518" s="85">
        <f t="shared" si="173"/>
        <v>0</v>
      </c>
      <c r="AF518" s="85">
        <f t="shared" si="174"/>
        <v>-3810581437</v>
      </c>
      <c r="AG518" s="40" t="str">
        <f>VLOOKUP(Indicador!E518,Diccionario!C$1:AC$150,27,0)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8" s="40">
        <v>1</v>
      </c>
      <c r="AI518" s="40">
        <v>1</v>
      </c>
    </row>
    <row r="519" spans="1:35" ht="18.75" customHeight="1">
      <c r="A519" s="73">
        <v>2027</v>
      </c>
      <c r="B519" s="112" t="s">
        <v>13</v>
      </c>
      <c r="C519" s="36" t="s">
        <v>397</v>
      </c>
      <c r="D519" s="37">
        <v>45932.836031516206</v>
      </c>
      <c r="E519" s="36" t="s">
        <v>102</v>
      </c>
      <c r="F519" s="36" t="s">
        <v>149</v>
      </c>
      <c r="G519" s="36" t="s">
        <v>398</v>
      </c>
      <c r="H519" s="36" t="s">
        <v>399</v>
      </c>
      <c r="I519" s="36" t="s">
        <v>152</v>
      </c>
      <c r="J519" s="36" t="s">
        <v>400</v>
      </c>
      <c r="K519" s="36" t="s">
        <v>177</v>
      </c>
      <c r="L519" s="74">
        <f>VLOOKUP(E519,Diccionario!C$2:AC$150,22,0)</f>
        <v>3810581437</v>
      </c>
      <c r="M519" s="75">
        <f>VLOOKUP(E519,Diccionario!C$2:AC$150,24,0)</f>
        <v>45931</v>
      </c>
      <c r="N519" s="76">
        <f>VLOOKUP(E519,Diccionario!C$2:AC$150,25,0)</f>
        <v>47483</v>
      </c>
      <c r="O519" s="77">
        <f>VLOOKUP(E519,Diccionario!C$2:AC$150,26,0)</f>
        <v>51</v>
      </c>
      <c r="P519" s="77">
        <f t="shared" si="165"/>
        <v>-31</v>
      </c>
      <c r="Q519" s="78">
        <v>20</v>
      </c>
      <c r="R519" s="36">
        <v>47</v>
      </c>
      <c r="S519" s="100">
        <v>0.999</v>
      </c>
      <c r="T519" s="86"/>
      <c r="U519" s="82"/>
      <c r="V519" s="82"/>
      <c r="W519" s="82">
        <f t="shared" si="170"/>
        <v>0</v>
      </c>
      <c r="X519" s="82">
        <f t="shared" si="166"/>
        <v>3806770855.5630002</v>
      </c>
      <c r="Y519" s="82">
        <f t="shared" si="171"/>
        <v>0</v>
      </c>
      <c r="Z519" s="82">
        <f t="shared" si="167"/>
        <v>-3806770855.5630002</v>
      </c>
      <c r="AA519" s="83" t="str">
        <f t="shared" si="164"/>
        <v>No se realizó gasto en este corte</v>
      </c>
      <c r="AB519" s="84" t="str">
        <f t="shared" si="168"/>
        <v>Costo eficiente: se está gastando menos de lo presupuestado</v>
      </c>
      <c r="AC519" s="84">
        <f t="shared" si="172"/>
        <v>0</v>
      </c>
      <c r="AD519" s="84" t="str">
        <f t="shared" si="169"/>
        <v>Sin Línea Base</v>
      </c>
      <c r="AE519" s="85">
        <f t="shared" si="173"/>
        <v>0</v>
      </c>
      <c r="AF519" s="85">
        <f t="shared" si="174"/>
        <v>-3810581437</v>
      </c>
      <c r="AG519" s="40" t="str">
        <f>VLOOKUP(Indicador!E519,Diccionario!C$1:AC$150,27,0)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19" s="40">
        <v>1</v>
      </c>
      <c r="AI519" s="40">
        <v>1</v>
      </c>
    </row>
    <row r="520" spans="1:35" ht="18.75" customHeight="1">
      <c r="A520" s="73">
        <v>2027</v>
      </c>
      <c r="B520" s="112" t="s">
        <v>21</v>
      </c>
      <c r="C520" s="36" t="s">
        <v>397</v>
      </c>
      <c r="D520" s="37">
        <v>45932.836031516206</v>
      </c>
      <c r="E520" s="36" t="s">
        <v>102</v>
      </c>
      <c r="F520" s="36" t="s">
        <v>149</v>
      </c>
      <c r="G520" s="36" t="s">
        <v>398</v>
      </c>
      <c r="H520" s="36" t="s">
        <v>399</v>
      </c>
      <c r="I520" s="36" t="s">
        <v>152</v>
      </c>
      <c r="J520" s="36" t="s">
        <v>400</v>
      </c>
      <c r="K520" s="36" t="s">
        <v>177</v>
      </c>
      <c r="L520" s="74">
        <f>VLOOKUP(E520,Diccionario!C$2:AC$150,22,0)</f>
        <v>3810581437</v>
      </c>
      <c r="M520" s="75">
        <f>VLOOKUP(E520,Diccionario!C$2:AC$150,24,0)</f>
        <v>45931</v>
      </c>
      <c r="N520" s="76">
        <f>VLOOKUP(E520,Diccionario!C$2:AC$150,25,0)</f>
        <v>47483</v>
      </c>
      <c r="O520" s="77">
        <f>VLOOKUP(E520,Diccionario!C$2:AC$150,26,0)</f>
        <v>51</v>
      </c>
      <c r="P520" s="77">
        <f t="shared" si="165"/>
        <v>-30</v>
      </c>
      <c r="Q520" s="78">
        <v>21</v>
      </c>
      <c r="R520" s="36">
        <v>47</v>
      </c>
      <c r="S520" s="100">
        <v>0.999</v>
      </c>
      <c r="T520" s="86"/>
      <c r="U520" s="82"/>
      <c r="V520" s="82"/>
      <c r="W520" s="82">
        <f t="shared" si="170"/>
        <v>0</v>
      </c>
      <c r="X520" s="82">
        <f t="shared" si="166"/>
        <v>3806770855.5630002</v>
      </c>
      <c r="Y520" s="82">
        <f t="shared" si="171"/>
        <v>0</v>
      </c>
      <c r="Z520" s="82">
        <f t="shared" si="167"/>
        <v>-3806770855.5630002</v>
      </c>
      <c r="AA520" s="83" t="str">
        <f t="shared" si="164"/>
        <v>No se realizó gasto en este corte</v>
      </c>
      <c r="AB520" s="84" t="str">
        <f t="shared" si="168"/>
        <v>Costo eficiente: se está gastando menos de lo presupuestado</v>
      </c>
      <c r="AC520" s="84">
        <f t="shared" si="172"/>
        <v>0</v>
      </c>
      <c r="AD520" s="84" t="str">
        <f t="shared" si="169"/>
        <v>Sin Línea Base</v>
      </c>
      <c r="AE520" s="85">
        <f t="shared" si="173"/>
        <v>0</v>
      </c>
      <c r="AF520" s="85">
        <f t="shared" si="174"/>
        <v>-3810581437</v>
      </c>
      <c r="AG520" s="40" t="str">
        <f>VLOOKUP(Indicador!E520,Diccionario!C$1:AC$150,27,0)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0" s="40">
        <v>1</v>
      </c>
      <c r="AI520" s="40">
        <v>1</v>
      </c>
    </row>
    <row r="521" spans="1:35" ht="18.75" customHeight="1">
      <c r="A521" s="73">
        <v>2027</v>
      </c>
      <c r="B521" s="112" t="s">
        <v>23</v>
      </c>
      <c r="C521" s="36" t="s">
        <v>397</v>
      </c>
      <c r="D521" s="37">
        <v>45932.836031516206</v>
      </c>
      <c r="E521" s="36" t="s">
        <v>102</v>
      </c>
      <c r="F521" s="36" t="s">
        <v>149</v>
      </c>
      <c r="G521" s="36" t="s">
        <v>398</v>
      </c>
      <c r="H521" s="36" t="s">
        <v>399</v>
      </c>
      <c r="I521" s="36" t="s">
        <v>152</v>
      </c>
      <c r="J521" s="36" t="s">
        <v>400</v>
      </c>
      <c r="K521" s="36" t="s">
        <v>177</v>
      </c>
      <c r="L521" s="74">
        <f>VLOOKUP(E521,Diccionario!C$2:AC$150,22,0)</f>
        <v>3810581437</v>
      </c>
      <c r="M521" s="75">
        <f>VLOOKUP(E521,Diccionario!C$2:AC$150,24,0)</f>
        <v>45931</v>
      </c>
      <c r="N521" s="76">
        <f>VLOOKUP(E521,Diccionario!C$2:AC$150,25,0)</f>
        <v>47483</v>
      </c>
      <c r="O521" s="77">
        <f>VLOOKUP(E521,Diccionario!C$2:AC$150,26,0)</f>
        <v>51</v>
      </c>
      <c r="P521" s="77">
        <f t="shared" si="165"/>
        <v>-29</v>
      </c>
      <c r="Q521" s="78">
        <v>22</v>
      </c>
      <c r="R521" s="36">
        <v>47</v>
      </c>
      <c r="S521" s="100">
        <v>0.999</v>
      </c>
      <c r="T521" s="86"/>
      <c r="U521" s="82"/>
      <c r="V521" s="82"/>
      <c r="W521" s="82">
        <f t="shared" si="170"/>
        <v>0</v>
      </c>
      <c r="X521" s="82">
        <f t="shared" si="166"/>
        <v>3806770855.5630002</v>
      </c>
      <c r="Y521" s="82">
        <f t="shared" si="171"/>
        <v>0</v>
      </c>
      <c r="Z521" s="82">
        <f t="shared" si="167"/>
        <v>-3806770855.5630002</v>
      </c>
      <c r="AA521" s="83" t="str">
        <f t="shared" si="164"/>
        <v>No se realizó gasto en este corte</v>
      </c>
      <c r="AB521" s="84" t="str">
        <f t="shared" si="168"/>
        <v>Costo eficiente: se está gastando menos de lo presupuestado</v>
      </c>
      <c r="AC521" s="84">
        <f t="shared" si="172"/>
        <v>0</v>
      </c>
      <c r="AD521" s="84" t="str">
        <f t="shared" si="169"/>
        <v>Sin Línea Base</v>
      </c>
      <c r="AE521" s="85">
        <f t="shared" si="173"/>
        <v>0</v>
      </c>
      <c r="AF521" s="85">
        <f t="shared" si="174"/>
        <v>-3810581437</v>
      </c>
      <c r="AG521" s="40" t="str">
        <f>VLOOKUP(Indicador!E521,Diccionario!C$1:AC$150,27,0)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1" s="40">
        <v>1</v>
      </c>
      <c r="AI521" s="40">
        <v>1</v>
      </c>
    </row>
    <row r="522" spans="1:35" ht="18.75" customHeight="1">
      <c r="A522" s="73">
        <v>2027</v>
      </c>
      <c r="B522" s="112" t="s">
        <v>26</v>
      </c>
      <c r="C522" s="36" t="s">
        <v>397</v>
      </c>
      <c r="D522" s="37">
        <v>45932.836031516206</v>
      </c>
      <c r="E522" s="36" t="s">
        <v>102</v>
      </c>
      <c r="F522" s="36" t="s">
        <v>149</v>
      </c>
      <c r="G522" s="36" t="s">
        <v>398</v>
      </c>
      <c r="H522" s="36" t="s">
        <v>399</v>
      </c>
      <c r="I522" s="36" t="s">
        <v>152</v>
      </c>
      <c r="J522" s="36" t="s">
        <v>400</v>
      </c>
      <c r="K522" s="36" t="s">
        <v>177</v>
      </c>
      <c r="L522" s="74">
        <f>VLOOKUP(E522,Diccionario!C$2:AC$150,22,0)</f>
        <v>3810581437</v>
      </c>
      <c r="M522" s="75">
        <f>VLOOKUP(E522,Diccionario!C$2:AC$150,24,0)</f>
        <v>45931</v>
      </c>
      <c r="N522" s="76">
        <f>VLOOKUP(E522,Diccionario!C$2:AC$150,25,0)</f>
        <v>47483</v>
      </c>
      <c r="O522" s="77">
        <f>VLOOKUP(E522,Diccionario!C$2:AC$150,26,0)</f>
        <v>51</v>
      </c>
      <c r="P522" s="77">
        <f t="shared" si="165"/>
        <v>-28</v>
      </c>
      <c r="Q522" s="78">
        <v>23</v>
      </c>
      <c r="R522" s="36">
        <v>47</v>
      </c>
      <c r="S522" s="100">
        <v>0.999</v>
      </c>
      <c r="T522" s="86"/>
      <c r="U522" s="82"/>
      <c r="V522" s="82"/>
      <c r="W522" s="82">
        <f t="shared" si="170"/>
        <v>0</v>
      </c>
      <c r="X522" s="82">
        <f t="shared" si="166"/>
        <v>3806770855.5630002</v>
      </c>
      <c r="Y522" s="82">
        <f t="shared" si="171"/>
        <v>0</v>
      </c>
      <c r="Z522" s="82">
        <f t="shared" si="167"/>
        <v>-3806770855.5630002</v>
      </c>
      <c r="AA522" s="83" t="str">
        <f t="shared" si="164"/>
        <v>No se realizó gasto en este corte</v>
      </c>
      <c r="AB522" s="84" t="str">
        <f t="shared" si="168"/>
        <v>Costo eficiente: se está gastando menos de lo presupuestado</v>
      </c>
      <c r="AC522" s="84">
        <f t="shared" si="172"/>
        <v>0</v>
      </c>
      <c r="AD522" s="84" t="str">
        <f t="shared" si="169"/>
        <v>Sin Línea Base</v>
      </c>
      <c r="AE522" s="85">
        <f t="shared" si="173"/>
        <v>0</v>
      </c>
      <c r="AF522" s="85">
        <f t="shared" si="174"/>
        <v>-3810581437</v>
      </c>
      <c r="AG522" s="40" t="str">
        <f>VLOOKUP(Indicador!E522,Diccionario!C$1:AC$150,27,0)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2" s="40">
        <v>1</v>
      </c>
      <c r="AI522" s="40">
        <v>1</v>
      </c>
    </row>
    <row r="523" spans="1:35" ht="18.75" customHeight="1">
      <c r="A523" s="73">
        <v>2027</v>
      </c>
      <c r="B523" s="112" t="s">
        <v>28</v>
      </c>
      <c r="C523" s="36" t="s">
        <v>397</v>
      </c>
      <c r="D523" s="37">
        <v>45932.836031516206</v>
      </c>
      <c r="E523" s="36" t="s">
        <v>102</v>
      </c>
      <c r="F523" s="36" t="s">
        <v>149</v>
      </c>
      <c r="G523" s="36" t="s">
        <v>398</v>
      </c>
      <c r="H523" s="36" t="s">
        <v>399</v>
      </c>
      <c r="I523" s="36" t="s">
        <v>152</v>
      </c>
      <c r="J523" s="36" t="s">
        <v>400</v>
      </c>
      <c r="K523" s="36" t="s">
        <v>177</v>
      </c>
      <c r="L523" s="74">
        <f>VLOOKUP(E523,Diccionario!C$2:AC$150,22,0)</f>
        <v>3810581437</v>
      </c>
      <c r="M523" s="75">
        <f>VLOOKUP(E523,Diccionario!C$2:AC$150,24,0)</f>
        <v>45931</v>
      </c>
      <c r="N523" s="76">
        <f>VLOOKUP(E523,Diccionario!C$2:AC$150,25,0)</f>
        <v>47483</v>
      </c>
      <c r="O523" s="77">
        <f>VLOOKUP(E523,Diccionario!C$2:AC$150,26,0)</f>
        <v>51</v>
      </c>
      <c r="P523" s="77">
        <f t="shared" si="165"/>
        <v>-27</v>
      </c>
      <c r="Q523" s="78">
        <v>24</v>
      </c>
      <c r="R523" s="36">
        <v>47</v>
      </c>
      <c r="S523" s="100">
        <v>0.999</v>
      </c>
      <c r="T523" s="86"/>
      <c r="U523" s="82"/>
      <c r="V523" s="82"/>
      <c r="W523" s="82">
        <f t="shared" si="170"/>
        <v>0</v>
      </c>
      <c r="X523" s="82">
        <f t="shared" si="166"/>
        <v>3806770855.5630002</v>
      </c>
      <c r="Y523" s="82">
        <f t="shared" si="171"/>
        <v>0</v>
      </c>
      <c r="Z523" s="82">
        <f t="shared" si="167"/>
        <v>-3806770855.5630002</v>
      </c>
      <c r="AA523" s="83" t="str">
        <f t="shared" si="164"/>
        <v>No se realizó gasto en este corte</v>
      </c>
      <c r="AB523" s="84" t="str">
        <f t="shared" si="168"/>
        <v>Costo eficiente: se está gastando menos de lo presupuestado</v>
      </c>
      <c r="AC523" s="84">
        <f t="shared" si="172"/>
        <v>0</v>
      </c>
      <c r="AD523" s="84" t="str">
        <f t="shared" si="169"/>
        <v>Sin Línea Base</v>
      </c>
      <c r="AE523" s="85">
        <f t="shared" si="173"/>
        <v>0</v>
      </c>
      <c r="AF523" s="85">
        <f t="shared" si="174"/>
        <v>-3810581437</v>
      </c>
      <c r="AG523" s="40" t="str">
        <f>VLOOKUP(Indicador!E523,Diccionario!C$1:AC$150,27,0)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3" s="40">
        <v>1</v>
      </c>
      <c r="AI523" s="40">
        <v>1</v>
      </c>
    </row>
    <row r="524" spans="1:35" ht="18.75" customHeight="1">
      <c r="A524" s="73">
        <v>2027</v>
      </c>
      <c r="B524" s="112" t="s">
        <v>30</v>
      </c>
      <c r="C524" s="36" t="s">
        <v>397</v>
      </c>
      <c r="D524" s="37">
        <v>45932.836031516206</v>
      </c>
      <c r="E524" s="36" t="s">
        <v>102</v>
      </c>
      <c r="F524" s="36" t="s">
        <v>149</v>
      </c>
      <c r="G524" s="36" t="s">
        <v>398</v>
      </c>
      <c r="H524" s="36" t="s">
        <v>399</v>
      </c>
      <c r="I524" s="36" t="s">
        <v>152</v>
      </c>
      <c r="J524" s="36" t="s">
        <v>400</v>
      </c>
      <c r="K524" s="36" t="s">
        <v>177</v>
      </c>
      <c r="L524" s="74">
        <f>VLOOKUP(E524,Diccionario!C$2:AC$150,22,0)</f>
        <v>3810581437</v>
      </c>
      <c r="M524" s="75">
        <f>VLOOKUP(E524,Diccionario!C$2:AC$150,24,0)</f>
        <v>45931</v>
      </c>
      <c r="N524" s="76">
        <f>VLOOKUP(E524,Diccionario!C$2:AC$150,25,0)</f>
        <v>47483</v>
      </c>
      <c r="O524" s="77">
        <f>VLOOKUP(E524,Diccionario!C$2:AC$150,26,0)</f>
        <v>51</v>
      </c>
      <c r="P524" s="77">
        <f t="shared" si="165"/>
        <v>-26</v>
      </c>
      <c r="Q524" s="78">
        <v>25</v>
      </c>
      <c r="R524" s="36">
        <v>47</v>
      </c>
      <c r="S524" s="100">
        <v>0.999</v>
      </c>
      <c r="T524" s="86"/>
      <c r="U524" s="82"/>
      <c r="V524" s="82"/>
      <c r="W524" s="82">
        <f t="shared" si="170"/>
        <v>0</v>
      </c>
      <c r="X524" s="82">
        <f t="shared" si="166"/>
        <v>3806770855.5630002</v>
      </c>
      <c r="Y524" s="82">
        <f t="shared" si="171"/>
        <v>0</v>
      </c>
      <c r="Z524" s="82">
        <f t="shared" si="167"/>
        <v>-3806770855.5630002</v>
      </c>
      <c r="AA524" s="83" t="str">
        <f t="shared" ref="AA524:AA587" si="175">IFERROR(W524/U524,"No se realizó gasto en este corte")</f>
        <v>No se realizó gasto en este corte</v>
      </c>
      <c r="AB524" s="84" t="str">
        <f t="shared" si="168"/>
        <v>Costo eficiente: se está gastando menos de lo presupuestado</v>
      </c>
      <c r="AC524" s="84">
        <f t="shared" si="172"/>
        <v>0</v>
      </c>
      <c r="AD524" s="84" t="str">
        <f t="shared" si="169"/>
        <v>Sin Línea Base</v>
      </c>
      <c r="AE524" s="85">
        <f t="shared" si="173"/>
        <v>0</v>
      </c>
      <c r="AF524" s="85">
        <f t="shared" si="174"/>
        <v>-3810581437</v>
      </c>
      <c r="AG524" s="40" t="str">
        <f>VLOOKUP(Indicador!E524,Diccionario!C$1:AC$150,27,0)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4" s="40">
        <v>1</v>
      </c>
      <c r="AI524" s="40">
        <v>1</v>
      </c>
    </row>
    <row r="525" spans="1:35" ht="18.75" customHeight="1">
      <c r="A525" s="73">
        <v>2027</v>
      </c>
      <c r="B525" s="112" t="s">
        <v>31</v>
      </c>
      <c r="C525" s="36" t="s">
        <v>397</v>
      </c>
      <c r="D525" s="37">
        <v>45932.836031516206</v>
      </c>
      <c r="E525" s="36" t="s">
        <v>102</v>
      </c>
      <c r="F525" s="36" t="s">
        <v>149</v>
      </c>
      <c r="G525" s="36" t="s">
        <v>398</v>
      </c>
      <c r="H525" s="36" t="s">
        <v>399</v>
      </c>
      <c r="I525" s="36" t="s">
        <v>152</v>
      </c>
      <c r="J525" s="36" t="s">
        <v>400</v>
      </c>
      <c r="K525" s="36" t="s">
        <v>177</v>
      </c>
      <c r="L525" s="74">
        <f>VLOOKUP(E525,Diccionario!C$2:AC$150,22,0)</f>
        <v>3810581437</v>
      </c>
      <c r="M525" s="75">
        <f>VLOOKUP(E525,Diccionario!C$2:AC$150,24,0)</f>
        <v>45931</v>
      </c>
      <c r="N525" s="76">
        <f>VLOOKUP(E525,Diccionario!C$2:AC$150,25,0)</f>
        <v>47483</v>
      </c>
      <c r="O525" s="77">
        <f>VLOOKUP(E525,Diccionario!C$2:AC$150,26,0)</f>
        <v>51</v>
      </c>
      <c r="P525" s="77">
        <f t="shared" si="165"/>
        <v>-25</v>
      </c>
      <c r="Q525" s="78">
        <v>26</v>
      </c>
      <c r="R525" s="36">
        <v>47</v>
      </c>
      <c r="S525" s="100">
        <v>0.999</v>
      </c>
      <c r="T525" s="86"/>
      <c r="U525" s="82"/>
      <c r="V525" s="82"/>
      <c r="W525" s="82">
        <f t="shared" si="170"/>
        <v>0</v>
      </c>
      <c r="X525" s="82">
        <f t="shared" si="166"/>
        <v>3806770855.5630002</v>
      </c>
      <c r="Y525" s="82">
        <f t="shared" si="171"/>
        <v>0</v>
      </c>
      <c r="Z525" s="82">
        <f t="shared" si="167"/>
        <v>-3806770855.5630002</v>
      </c>
      <c r="AA525" s="83" t="str">
        <f t="shared" si="175"/>
        <v>No se realizó gasto en este corte</v>
      </c>
      <c r="AB525" s="84" t="str">
        <f t="shared" si="168"/>
        <v>Costo eficiente: se está gastando menos de lo presupuestado</v>
      </c>
      <c r="AC525" s="84">
        <f t="shared" si="172"/>
        <v>0</v>
      </c>
      <c r="AD525" s="84" t="str">
        <f t="shared" si="169"/>
        <v>Sin Línea Base</v>
      </c>
      <c r="AE525" s="85">
        <f t="shared" si="173"/>
        <v>0</v>
      </c>
      <c r="AF525" s="85">
        <f t="shared" si="174"/>
        <v>-3810581437</v>
      </c>
      <c r="AG525" s="40" t="str">
        <f>VLOOKUP(Indicador!E525,Diccionario!C$1:AC$150,27,0)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5" s="40">
        <v>1</v>
      </c>
      <c r="AI525" s="40">
        <v>1</v>
      </c>
    </row>
    <row r="526" spans="1:35" ht="18.75" customHeight="1">
      <c r="A526" s="73">
        <v>2027</v>
      </c>
      <c r="B526" s="112" t="s">
        <v>32</v>
      </c>
      <c r="C526" s="36" t="s">
        <v>397</v>
      </c>
      <c r="D526" s="37">
        <v>45932.836031516206</v>
      </c>
      <c r="E526" s="36" t="s">
        <v>102</v>
      </c>
      <c r="F526" s="36" t="s">
        <v>149</v>
      </c>
      <c r="G526" s="36" t="s">
        <v>398</v>
      </c>
      <c r="H526" s="36" t="s">
        <v>399</v>
      </c>
      <c r="I526" s="36" t="s">
        <v>152</v>
      </c>
      <c r="J526" s="36" t="s">
        <v>400</v>
      </c>
      <c r="K526" s="36" t="s">
        <v>177</v>
      </c>
      <c r="L526" s="74">
        <f>VLOOKUP(E526,Diccionario!C$2:AC$150,22,0)</f>
        <v>3810581437</v>
      </c>
      <c r="M526" s="75">
        <f>VLOOKUP(E526,Diccionario!C$2:AC$150,24,0)</f>
        <v>45931</v>
      </c>
      <c r="N526" s="76">
        <f>VLOOKUP(E526,Diccionario!C$2:AC$150,25,0)</f>
        <v>47483</v>
      </c>
      <c r="O526" s="77">
        <f>VLOOKUP(E526,Diccionario!C$2:AC$150,26,0)</f>
        <v>51</v>
      </c>
      <c r="P526" s="77">
        <f t="shared" si="165"/>
        <v>-24</v>
      </c>
      <c r="Q526" s="78">
        <v>27</v>
      </c>
      <c r="R526" s="36">
        <v>47</v>
      </c>
      <c r="S526" s="100">
        <v>0.999</v>
      </c>
      <c r="T526" s="86"/>
      <c r="U526" s="82"/>
      <c r="V526" s="82"/>
      <c r="W526" s="82">
        <f t="shared" si="170"/>
        <v>0</v>
      </c>
      <c r="X526" s="82">
        <f t="shared" si="166"/>
        <v>3806770855.5630002</v>
      </c>
      <c r="Y526" s="82">
        <f t="shared" si="171"/>
        <v>0</v>
      </c>
      <c r="Z526" s="82">
        <f t="shared" si="167"/>
        <v>-3806770855.5630002</v>
      </c>
      <c r="AA526" s="83" t="str">
        <f t="shared" si="175"/>
        <v>No se realizó gasto en este corte</v>
      </c>
      <c r="AB526" s="84" t="str">
        <f t="shared" si="168"/>
        <v>Costo eficiente: se está gastando menos de lo presupuestado</v>
      </c>
      <c r="AC526" s="84">
        <f t="shared" si="172"/>
        <v>0</v>
      </c>
      <c r="AD526" s="84" t="str">
        <f t="shared" si="169"/>
        <v>Sin Línea Base</v>
      </c>
      <c r="AE526" s="85">
        <f t="shared" si="173"/>
        <v>0</v>
      </c>
      <c r="AF526" s="85">
        <f t="shared" si="174"/>
        <v>-3810581437</v>
      </c>
      <c r="AG526" s="40" t="str">
        <f>VLOOKUP(Indicador!E526,Diccionario!C$1:AC$150,27,0)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6" s="40">
        <v>1</v>
      </c>
      <c r="AI526" s="40">
        <v>1</v>
      </c>
    </row>
    <row r="527" spans="1:35" ht="18.75" customHeight="1">
      <c r="A527" s="73">
        <v>2028</v>
      </c>
      <c r="B527" s="112" t="s">
        <v>14</v>
      </c>
      <c r="C527" s="36" t="s">
        <v>397</v>
      </c>
      <c r="D527" s="37">
        <v>45932.836031516206</v>
      </c>
      <c r="E527" s="36" t="s">
        <v>102</v>
      </c>
      <c r="F527" s="36" t="s">
        <v>149</v>
      </c>
      <c r="G527" s="36" t="s">
        <v>398</v>
      </c>
      <c r="H527" s="36" t="s">
        <v>399</v>
      </c>
      <c r="I527" s="36" t="s">
        <v>152</v>
      </c>
      <c r="J527" s="36" t="s">
        <v>400</v>
      </c>
      <c r="K527" s="36" t="s">
        <v>177</v>
      </c>
      <c r="L527" s="74">
        <f>VLOOKUP(E527,Diccionario!C$2:AC$150,22,0)</f>
        <v>3810581437</v>
      </c>
      <c r="M527" s="75">
        <f>VLOOKUP(E527,Diccionario!C$2:AC$150,24,0)</f>
        <v>45931</v>
      </c>
      <c r="N527" s="76">
        <f>VLOOKUP(E527,Diccionario!C$2:AC$150,25,0)</f>
        <v>47483</v>
      </c>
      <c r="O527" s="77">
        <f>VLOOKUP(E527,Diccionario!C$2:AC$150,26,0)</f>
        <v>51</v>
      </c>
      <c r="P527" s="77">
        <f t="shared" si="165"/>
        <v>-23</v>
      </c>
      <c r="Q527" s="78">
        <v>28</v>
      </c>
      <c r="R527" s="36">
        <v>47</v>
      </c>
      <c r="S527" s="100">
        <v>0.999</v>
      </c>
      <c r="T527" s="86"/>
      <c r="U527" s="82"/>
      <c r="V527" s="82"/>
      <c r="W527" s="82">
        <f t="shared" si="170"/>
        <v>0</v>
      </c>
      <c r="X527" s="82">
        <f t="shared" si="166"/>
        <v>3806770855.5630002</v>
      </c>
      <c r="Y527" s="82">
        <f t="shared" si="171"/>
        <v>0</v>
      </c>
      <c r="Z527" s="82">
        <f t="shared" si="167"/>
        <v>-3806770855.5630002</v>
      </c>
      <c r="AA527" s="83" t="str">
        <f t="shared" si="175"/>
        <v>No se realizó gasto en este corte</v>
      </c>
      <c r="AB527" s="84" t="str">
        <f t="shared" si="168"/>
        <v>Costo eficiente: se está gastando menos de lo presupuestado</v>
      </c>
      <c r="AC527" s="84">
        <f t="shared" si="172"/>
        <v>0</v>
      </c>
      <c r="AD527" s="84" t="str">
        <f t="shared" si="169"/>
        <v>Sin Línea Base</v>
      </c>
      <c r="AE527" s="85">
        <f t="shared" si="173"/>
        <v>0</v>
      </c>
      <c r="AF527" s="85">
        <f t="shared" si="174"/>
        <v>-3810581437</v>
      </c>
      <c r="AG527" s="40" t="str">
        <f>VLOOKUP(Indicador!E527,Diccionario!C$1:AC$150,27,0)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7" s="40">
        <v>1</v>
      </c>
      <c r="AI527" s="40">
        <v>1</v>
      </c>
    </row>
    <row r="528" spans="1:35" ht="18.75" customHeight="1">
      <c r="A528" s="73">
        <v>2028</v>
      </c>
      <c r="B528" s="112" t="s">
        <v>22</v>
      </c>
      <c r="C528" s="36" t="s">
        <v>397</v>
      </c>
      <c r="D528" s="37">
        <v>45932.836031516206</v>
      </c>
      <c r="E528" s="36" t="s">
        <v>102</v>
      </c>
      <c r="F528" s="36" t="s">
        <v>149</v>
      </c>
      <c r="G528" s="36" t="s">
        <v>398</v>
      </c>
      <c r="H528" s="36" t="s">
        <v>399</v>
      </c>
      <c r="I528" s="36" t="s">
        <v>152</v>
      </c>
      <c r="J528" s="36" t="s">
        <v>400</v>
      </c>
      <c r="K528" s="36" t="s">
        <v>177</v>
      </c>
      <c r="L528" s="74">
        <f>VLOOKUP(E528,Diccionario!C$2:AC$150,22,0)</f>
        <v>3810581437</v>
      </c>
      <c r="M528" s="75">
        <f>VLOOKUP(E528,Diccionario!C$2:AC$150,24,0)</f>
        <v>45931</v>
      </c>
      <c r="N528" s="76">
        <f>VLOOKUP(E528,Diccionario!C$2:AC$150,25,0)</f>
        <v>47483</v>
      </c>
      <c r="O528" s="77">
        <f>VLOOKUP(E528,Diccionario!C$2:AC$150,26,0)</f>
        <v>51</v>
      </c>
      <c r="P528" s="77">
        <f t="shared" si="165"/>
        <v>-22</v>
      </c>
      <c r="Q528" s="78">
        <v>29</v>
      </c>
      <c r="R528" s="36">
        <v>47</v>
      </c>
      <c r="S528" s="100">
        <v>0.999</v>
      </c>
      <c r="T528" s="86"/>
      <c r="U528" s="82"/>
      <c r="V528" s="82"/>
      <c r="W528" s="82">
        <f t="shared" si="170"/>
        <v>0</v>
      </c>
      <c r="X528" s="82">
        <f t="shared" si="166"/>
        <v>3806770855.5630002</v>
      </c>
      <c r="Y528" s="82">
        <f t="shared" si="171"/>
        <v>0</v>
      </c>
      <c r="Z528" s="82">
        <f t="shared" si="167"/>
        <v>-3806770855.5630002</v>
      </c>
      <c r="AA528" s="83" t="str">
        <f t="shared" si="175"/>
        <v>No se realizó gasto en este corte</v>
      </c>
      <c r="AB528" s="84" t="str">
        <f t="shared" si="168"/>
        <v>Costo eficiente: se está gastando menos de lo presupuestado</v>
      </c>
      <c r="AC528" s="84">
        <f t="shared" si="172"/>
        <v>0</v>
      </c>
      <c r="AD528" s="84" t="str">
        <f t="shared" si="169"/>
        <v>Sin Línea Base</v>
      </c>
      <c r="AE528" s="85">
        <f t="shared" si="173"/>
        <v>0</v>
      </c>
      <c r="AF528" s="85">
        <f t="shared" si="174"/>
        <v>-3810581437</v>
      </c>
      <c r="AG528" s="40" t="str">
        <f>VLOOKUP(Indicador!E528,Diccionario!C$1:AC$150,27,0)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8" s="40">
        <v>1</v>
      </c>
      <c r="AI528" s="40">
        <v>1</v>
      </c>
    </row>
    <row r="529" spans="1:35" ht="18.75" customHeight="1">
      <c r="A529" s="73">
        <v>2028</v>
      </c>
      <c r="B529" s="112" t="s">
        <v>24</v>
      </c>
      <c r="C529" s="36" t="s">
        <v>397</v>
      </c>
      <c r="D529" s="37">
        <v>45932.836031516206</v>
      </c>
      <c r="E529" s="36" t="s">
        <v>102</v>
      </c>
      <c r="F529" s="36" t="s">
        <v>149</v>
      </c>
      <c r="G529" s="36" t="s">
        <v>398</v>
      </c>
      <c r="H529" s="36" t="s">
        <v>399</v>
      </c>
      <c r="I529" s="36" t="s">
        <v>152</v>
      </c>
      <c r="J529" s="36" t="s">
        <v>400</v>
      </c>
      <c r="K529" s="36" t="s">
        <v>177</v>
      </c>
      <c r="L529" s="74">
        <f>VLOOKUP(E529,Diccionario!C$2:AC$150,22,0)</f>
        <v>3810581437</v>
      </c>
      <c r="M529" s="75">
        <f>VLOOKUP(E529,Diccionario!C$2:AC$150,24,0)</f>
        <v>45931</v>
      </c>
      <c r="N529" s="76">
        <f>VLOOKUP(E529,Diccionario!C$2:AC$150,25,0)</f>
        <v>47483</v>
      </c>
      <c r="O529" s="77">
        <f>VLOOKUP(E529,Diccionario!C$2:AC$150,26,0)</f>
        <v>51</v>
      </c>
      <c r="P529" s="77">
        <f t="shared" si="165"/>
        <v>-21</v>
      </c>
      <c r="Q529" s="78">
        <v>30</v>
      </c>
      <c r="R529" s="36">
        <v>47</v>
      </c>
      <c r="S529" s="100">
        <v>0.999</v>
      </c>
      <c r="T529" s="86"/>
      <c r="U529" s="82"/>
      <c r="V529" s="82"/>
      <c r="W529" s="82">
        <f t="shared" si="170"/>
        <v>0</v>
      </c>
      <c r="X529" s="82">
        <f t="shared" si="166"/>
        <v>3806770855.5630002</v>
      </c>
      <c r="Y529" s="82">
        <f t="shared" si="171"/>
        <v>0</v>
      </c>
      <c r="Z529" s="82">
        <f t="shared" si="167"/>
        <v>-3806770855.5630002</v>
      </c>
      <c r="AA529" s="83" t="str">
        <f t="shared" si="175"/>
        <v>No se realizó gasto en este corte</v>
      </c>
      <c r="AB529" s="84" t="str">
        <f t="shared" si="168"/>
        <v>Costo eficiente: se está gastando menos de lo presupuestado</v>
      </c>
      <c r="AC529" s="84">
        <f t="shared" si="172"/>
        <v>0</v>
      </c>
      <c r="AD529" s="84" t="str">
        <f t="shared" si="169"/>
        <v>Sin Línea Base</v>
      </c>
      <c r="AE529" s="85">
        <f t="shared" si="173"/>
        <v>0</v>
      </c>
      <c r="AF529" s="85">
        <f t="shared" si="174"/>
        <v>-3810581437</v>
      </c>
      <c r="AG529" s="40" t="str">
        <f>VLOOKUP(Indicador!E529,Diccionario!C$1:AC$150,27,0)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29" s="40">
        <v>1</v>
      </c>
      <c r="AI529" s="40">
        <v>1</v>
      </c>
    </row>
    <row r="530" spans="1:35" ht="18.75" customHeight="1">
      <c r="A530" s="73">
        <v>2028</v>
      </c>
      <c r="B530" s="112" t="s">
        <v>27</v>
      </c>
      <c r="C530" s="36" t="s">
        <v>397</v>
      </c>
      <c r="D530" s="37">
        <v>45932.836031516206</v>
      </c>
      <c r="E530" s="36" t="s">
        <v>102</v>
      </c>
      <c r="F530" s="36" t="s">
        <v>149</v>
      </c>
      <c r="G530" s="36" t="s">
        <v>398</v>
      </c>
      <c r="H530" s="36" t="s">
        <v>399</v>
      </c>
      <c r="I530" s="36" t="s">
        <v>152</v>
      </c>
      <c r="J530" s="36" t="s">
        <v>400</v>
      </c>
      <c r="K530" s="36" t="s">
        <v>177</v>
      </c>
      <c r="L530" s="74">
        <f>VLOOKUP(E530,Diccionario!C$2:AC$150,22,0)</f>
        <v>3810581437</v>
      </c>
      <c r="M530" s="75">
        <f>VLOOKUP(E530,Diccionario!C$2:AC$150,24,0)</f>
        <v>45931</v>
      </c>
      <c r="N530" s="76">
        <f>VLOOKUP(E530,Diccionario!C$2:AC$150,25,0)</f>
        <v>47483</v>
      </c>
      <c r="O530" s="77">
        <f>VLOOKUP(E530,Diccionario!C$2:AC$150,26,0)</f>
        <v>51</v>
      </c>
      <c r="P530" s="77">
        <f t="shared" si="165"/>
        <v>-20</v>
      </c>
      <c r="Q530" s="78">
        <v>31</v>
      </c>
      <c r="R530" s="36">
        <v>47</v>
      </c>
      <c r="S530" s="100">
        <v>0.999</v>
      </c>
      <c r="T530" s="86"/>
      <c r="U530" s="82"/>
      <c r="V530" s="82"/>
      <c r="W530" s="82">
        <f t="shared" si="170"/>
        <v>0</v>
      </c>
      <c r="X530" s="82">
        <f t="shared" si="166"/>
        <v>3806770855.5630002</v>
      </c>
      <c r="Y530" s="82">
        <f t="shared" si="171"/>
        <v>0</v>
      </c>
      <c r="Z530" s="82">
        <f t="shared" si="167"/>
        <v>-3806770855.5630002</v>
      </c>
      <c r="AA530" s="83" t="str">
        <f t="shared" si="175"/>
        <v>No se realizó gasto en este corte</v>
      </c>
      <c r="AB530" s="84" t="str">
        <f t="shared" si="168"/>
        <v>Costo eficiente: se está gastando menos de lo presupuestado</v>
      </c>
      <c r="AC530" s="84">
        <f t="shared" si="172"/>
        <v>0</v>
      </c>
      <c r="AD530" s="84" t="str">
        <f t="shared" si="169"/>
        <v>Sin Línea Base</v>
      </c>
      <c r="AE530" s="85">
        <f t="shared" si="173"/>
        <v>0</v>
      </c>
      <c r="AF530" s="85">
        <f t="shared" si="174"/>
        <v>-3810581437</v>
      </c>
      <c r="AG530" s="40" t="str">
        <f>VLOOKUP(Indicador!E530,Diccionario!C$1:AC$150,27,0)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0" s="40">
        <v>1</v>
      </c>
      <c r="AI530" s="40">
        <v>1</v>
      </c>
    </row>
    <row r="531" spans="1:35" ht="18.75" customHeight="1">
      <c r="A531" s="73">
        <v>2028</v>
      </c>
      <c r="B531" s="112" t="s">
        <v>13</v>
      </c>
      <c r="C531" s="36" t="s">
        <v>397</v>
      </c>
      <c r="D531" s="37">
        <v>45932.836031516206</v>
      </c>
      <c r="E531" s="36" t="s">
        <v>102</v>
      </c>
      <c r="F531" s="36" t="s">
        <v>149</v>
      </c>
      <c r="G531" s="36" t="s">
        <v>398</v>
      </c>
      <c r="H531" s="36" t="s">
        <v>399</v>
      </c>
      <c r="I531" s="36" t="s">
        <v>152</v>
      </c>
      <c r="J531" s="36" t="s">
        <v>400</v>
      </c>
      <c r="K531" s="36" t="s">
        <v>177</v>
      </c>
      <c r="L531" s="74">
        <f>VLOOKUP(E531,Diccionario!C$2:AC$150,22,0)</f>
        <v>3810581437</v>
      </c>
      <c r="M531" s="75">
        <f>VLOOKUP(E531,Diccionario!C$2:AC$150,24,0)</f>
        <v>45931</v>
      </c>
      <c r="N531" s="76">
        <f>VLOOKUP(E531,Diccionario!C$2:AC$150,25,0)</f>
        <v>47483</v>
      </c>
      <c r="O531" s="77">
        <f>VLOOKUP(E531,Diccionario!C$2:AC$150,26,0)</f>
        <v>51</v>
      </c>
      <c r="P531" s="77">
        <f t="shared" si="165"/>
        <v>-19</v>
      </c>
      <c r="Q531" s="78">
        <v>32</v>
      </c>
      <c r="R531" s="36">
        <v>47</v>
      </c>
      <c r="S531" s="100">
        <v>0.999</v>
      </c>
      <c r="T531" s="86"/>
      <c r="U531" s="82"/>
      <c r="V531" s="82"/>
      <c r="W531" s="82">
        <f t="shared" si="170"/>
        <v>0</v>
      </c>
      <c r="X531" s="82">
        <f t="shared" si="166"/>
        <v>3806770855.5630002</v>
      </c>
      <c r="Y531" s="82">
        <f t="shared" si="171"/>
        <v>0</v>
      </c>
      <c r="Z531" s="82">
        <f t="shared" si="167"/>
        <v>-3806770855.5630002</v>
      </c>
      <c r="AA531" s="83" t="str">
        <f t="shared" si="175"/>
        <v>No se realizó gasto en este corte</v>
      </c>
      <c r="AB531" s="84" t="str">
        <f t="shared" si="168"/>
        <v>Costo eficiente: se está gastando menos de lo presupuestado</v>
      </c>
      <c r="AC531" s="84">
        <f t="shared" si="172"/>
        <v>0</v>
      </c>
      <c r="AD531" s="84" t="str">
        <f t="shared" si="169"/>
        <v>Sin Línea Base</v>
      </c>
      <c r="AE531" s="85">
        <f t="shared" si="173"/>
        <v>0</v>
      </c>
      <c r="AF531" s="85">
        <f t="shared" si="174"/>
        <v>-3810581437</v>
      </c>
      <c r="AG531" s="40" t="str">
        <f>VLOOKUP(Indicador!E531,Diccionario!C$1:AC$150,27,0)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1" s="40">
        <v>1</v>
      </c>
      <c r="AI531" s="40">
        <v>1</v>
      </c>
    </row>
    <row r="532" spans="1:35" ht="18.75" customHeight="1">
      <c r="A532" s="73">
        <v>2028</v>
      </c>
      <c r="B532" s="112" t="s">
        <v>21</v>
      </c>
      <c r="C532" s="36" t="s">
        <v>397</v>
      </c>
      <c r="D532" s="37">
        <v>45932.836031516206</v>
      </c>
      <c r="E532" s="36" t="s">
        <v>102</v>
      </c>
      <c r="F532" s="36" t="s">
        <v>149</v>
      </c>
      <c r="G532" s="36" t="s">
        <v>398</v>
      </c>
      <c r="H532" s="36" t="s">
        <v>399</v>
      </c>
      <c r="I532" s="36" t="s">
        <v>152</v>
      </c>
      <c r="J532" s="36" t="s">
        <v>400</v>
      </c>
      <c r="K532" s="36" t="s">
        <v>177</v>
      </c>
      <c r="L532" s="74">
        <f>VLOOKUP(E532,Diccionario!C$2:AC$150,22,0)</f>
        <v>3810581437</v>
      </c>
      <c r="M532" s="75">
        <f>VLOOKUP(E532,Diccionario!C$2:AC$150,24,0)</f>
        <v>45931</v>
      </c>
      <c r="N532" s="76">
        <f>VLOOKUP(E532,Diccionario!C$2:AC$150,25,0)</f>
        <v>47483</v>
      </c>
      <c r="O532" s="77">
        <f>VLOOKUP(E532,Diccionario!C$2:AC$150,26,0)</f>
        <v>51</v>
      </c>
      <c r="P532" s="77">
        <f t="shared" si="165"/>
        <v>-18</v>
      </c>
      <c r="Q532" s="78">
        <v>33</v>
      </c>
      <c r="R532" s="36">
        <v>47</v>
      </c>
      <c r="S532" s="100">
        <v>0.999</v>
      </c>
      <c r="T532" s="86"/>
      <c r="U532" s="82"/>
      <c r="V532" s="82"/>
      <c r="W532" s="82">
        <f t="shared" si="170"/>
        <v>0</v>
      </c>
      <c r="X532" s="82">
        <f t="shared" si="166"/>
        <v>3806770855.5630002</v>
      </c>
      <c r="Y532" s="82">
        <f t="shared" si="171"/>
        <v>0</v>
      </c>
      <c r="Z532" s="82">
        <f t="shared" si="167"/>
        <v>-3806770855.5630002</v>
      </c>
      <c r="AA532" s="83" t="str">
        <f t="shared" si="175"/>
        <v>No se realizó gasto en este corte</v>
      </c>
      <c r="AB532" s="84" t="str">
        <f t="shared" si="168"/>
        <v>Costo eficiente: se está gastando menos de lo presupuestado</v>
      </c>
      <c r="AC532" s="84">
        <f t="shared" si="172"/>
        <v>0</v>
      </c>
      <c r="AD532" s="84" t="str">
        <f t="shared" si="169"/>
        <v>Sin Línea Base</v>
      </c>
      <c r="AE532" s="85">
        <f t="shared" si="173"/>
        <v>0</v>
      </c>
      <c r="AF532" s="85">
        <f t="shared" si="174"/>
        <v>-3810581437</v>
      </c>
      <c r="AG532" s="40" t="str">
        <f>VLOOKUP(Indicador!E532,Diccionario!C$1:AC$150,27,0)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2" s="40">
        <v>1</v>
      </c>
      <c r="AI532" s="40">
        <v>1</v>
      </c>
    </row>
    <row r="533" spans="1:35" ht="18.75" customHeight="1">
      <c r="A533" s="73">
        <v>2028</v>
      </c>
      <c r="B533" s="112" t="s">
        <v>23</v>
      </c>
      <c r="C533" s="36" t="s">
        <v>397</v>
      </c>
      <c r="D533" s="37">
        <v>45932.836031516206</v>
      </c>
      <c r="E533" s="36" t="s">
        <v>102</v>
      </c>
      <c r="F533" s="36" t="s">
        <v>149</v>
      </c>
      <c r="G533" s="36" t="s">
        <v>398</v>
      </c>
      <c r="H533" s="36" t="s">
        <v>399</v>
      </c>
      <c r="I533" s="36" t="s">
        <v>152</v>
      </c>
      <c r="J533" s="36" t="s">
        <v>400</v>
      </c>
      <c r="K533" s="36" t="s">
        <v>177</v>
      </c>
      <c r="L533" s="74">
        <f>VLOOKUP(E533,Diccionario!C$2:AC$150,22,0)</f>
        <v>3810581437</v>
      </c>
      <c r="M533" s="75">
        <f>VLOOKUP(E533,Diccionario!C$2:AC$150,24,0)</f>
        <v>45931</v>
      </c>
      <c r="N533" s="76">
        <f>VLOOKUP(E533,Diccionario!C$2:AC$150,25,0)</f>
        <v>47483</v>
      </c>
      <c r="O533" s="77">
        <f>VLOOKUP(E533,Diccionario!C$2:AC$150,26,0)</f>
        <v>51</v>
      </c>
      <c r="P533" s="77">
        <f t="shared" si="165"/>
        <v>-17</v>
      </c>
      <c r="Q533" s="78">
        <v>34</v>
      </c>
      <c r="R533" s="36">
        <v>47</v>
      </c>
      <c r="S533" s="100">
        <v>0.999</v>
      </c>
      <c r="T533" s="86"/>
      <c r="U533" s="82"/>
      <c r="V533" s="82"/>
      <c r="W533" s="82">
        <f t="shared" si="170"/>
        <v>0</v>
      </c>
      <c r="X533" s="82">
        <f t="shared" si="166"/>
        <v>3806770855.5630002</v>
      </c>
      <c r="Y533" s="82">
        <f t="shared" si="171"/>
        <v>0</v>
      </c>
      <c r="Z533" s="82">
        <f t="shared" si="167"/>
        <v>-3806770855.5630002</v>
      </c>
      <c r="AA533" s="83" t="str">
        <f t="shared" si="175"/>
        <v>No se realizó gasto en este corte</v>
      </c>
      <c r="AB533" s="84" t="str">
        <f t="shared" si="168"/>
        <v>Costo eficiente: se está gastando menos de lo presupuestado</v>
      </c>
      <c r="AC533" s="84">
        <f t="shared" si="172"/>
        <v>0</v>
      </c>
      <c r="AD533" s="84" t="str">
        <f t="shared" si="169"/>
        <v>Sin Línea Base</v>
      </c>
      <c r="AE533" s="85">
        <f t="shared" si="173"/>
        <v>0</v>
      </c>
      <c r="AF533" s="85">
        <f t="shared" si="174"/>
        <v>-3810581437</v>
      </c>
      <c r="AG533" s="40" t="str">
        <f>VLOOKUP(Indicador!E533,Diccionario!C$1:AC$150,27,0)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3" s="40">
        <v>1</v>
      </c>
      <c r="AI533" s="40">
        <v>1</v>
      </c>
    </row>
    <row r="534" spans="1:35" ht="18.75" customHeight="1">
      <c r="A534" s="73">
        <v>2028</v>
      </c>
      <c r="B534" s="112" t="s">
        <v>26</v>
      </c>
      <c r="C534" s="36" t="s">
        <v>397</v>
      </c>
      <c r="D534" s="37">
        <v>45932.836031516206</v>
      </c>
      <c r="E534" s="36" t="s">
        <v>102</v>
      </c>
      <c r="F534" s="36" t="s">
        <v>149</v>
      </c>
      <c r="G534" s="36" t="s">
        <v>398</v>
      </c>
      <c r="H534" s="36" t="s">
        <v>399</v>
      </c>
      <c r="I534" s="36" t="s">
        <v>152</v>
      </c>
      <c r="J534" s="36" t="s">
        <v>400</v>
      </c>
      <c r="K534" s="36" t="s">
        <v>177</v>
      </c>
      <c r="L534" s="74">
        <f>VLOOKUP(E534,Diccionario!C$2:AC$150,22,0)</f>
        <v>3810581437</v>
      </c>
      <c r="M534" s="75">
        <f>VLOOKUP(E534,Diccionario!C$2:AC$150,24,0)</f>
        <v>45931</v>
      </c>
      <c r="N534" s="76">
        <f>VLOOKUP(E534,Diccionario!C$2:AC$150,25,0)</f>
        <v>47483</v>
      </c>
      <c r="O534" s="77">
        <f>VLOOKUP(E534,Diccionario!C$2:AC$150,26,0)</f>
        <v>51</v>
      </c>
      <c r="P534" s="77">
        <f t="shared" si="165"/>
        <v>-16</v>
      </c>
      <c r="Q534" s="78">
        <v>35</v>
      </c>
      <c r="R534" s="36">
        <v>47</v>
      </c>
      <c r="S534" s="100">
        <v>0.999</v>
      </c>
      <c r="T534" s="86"/>
      <c r="U534" s="82"/>
      <c r="V534" s="82"/>
      <c r="W534" s="82">
        <f t="shared" si="170"/>
        <v>0</v>
      </c>
      <c r="X534" s="82">
        <f t="shared" si="166"/>
        <v>3806770855.5630002</v>
      </c>
      <c r="Y534" s="82">
        <f t="shared" si="171"/>
        <v>0</v>
      </c>
      <c r="Z534" s="82">
        <f t="shared" si="167"/>
        <v>-3806770855.5630002</v>
      </c>
      <c r="AA534" s="83" t="str">
        <f t="shared" si="175"/>
        <v>No se realizó gasto en este corte</v>
      </c>
      <c r="AB534" s="84" t="str">
        <f t="shared" si="168"/>
        <v>Costo eficiente: se está gastando menos de lo presupuestado</v>
      </c>
      <c r="AC534" s="84">
        <f t="shared" si="172"/>
        <v>0</v>
      </c>
      <c r="AD534" s="84" t="str">
        <f t="shared" si="169"/>
        <v>Sin Línea Base</v>
      </c>
      <c r="AE534" s="85">
        <f t="shared" si="173"/>
        <v>0</v>
      </c>
      <c r="AF534" s="85">
        <f t="shared" si="174"/>
        <v>-3810581437</v>
      </c>
      <c r="AG534" s="40" t="str">
        <f>VLOOKUP(Indicador!E534,Diccionario!C$1:AC$150,27,0)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4" s="40">
        <v>1</v>
      </c>
      <c r="AI534" s="40">
        <v>1</v>
      </c>
    </row>
    <row r="535" spans="1:35" ht="18.75" customHeight="1">
      <c r="A535" s="73">
        <v>2028</v>
      </c>
      <c r="B535" s="112" t="s">
        <v>28</v>
      </c>
      <c r="C535" s="36" t="s">
        <v>397</v>
      </c>
      <c r="D535" s="37">
        <v>45932.836031516206</v>
      </c>
      <c r="E535" s="36" t="s">
        <v>102</v>
      </c>
      <c r="F535" s="36" t="s">
        <v>149</v>
      </c>
      <c r="G535" s="36" t="s">
        <v>398</v>
      </c>
      <c r="H535" s="36" t="s">
        <v>399</v>
      </c>
      <c r="I535" s="36" t="s">
        <v>152</v>
      </c>
      <c r="J535" s="36" t="s">
        <v>400</v>
      </c>
      <c r="K535" s="36" t="s">
        <v>177</v>
      </c>
      <c r="L535" s="74">
        <f>VLOOKUP(E535,Diccionario!C$2:AC$150,22,0)</f>
        <v>3810581437</v>
      </c>
      <c r="M535" s="75">
        <f>VLOOKUP(E535,Diccionario!C$2:AC$150,24,0)</f>
        <v>45931</v>
      </c>
      <c r="N535" s="76">
        <f>VLOOKUP(E535,Diccionario!C$2:AC$150,25,0)</f>
        <v>47483</v>
      </c>
      <c r="O535" s="77">
        <f>VLOOKUP(E535,Diccionario!C$2:AC$150,26,0)</f>
        <v>51</v>
      </c>
      <c r="P535" s="77">
        <f t="shared" si="165"/>
        <v>-15</v>
      </c>
      <c r="Q535" s="78">
        <v>36</v>
      </c>
      <c r="R535" s="36">
        <v>47</v>
      </c>
      <c r="S535" s="100">
        <v>0.999</v>
      </c>
      <c r="T535" s="86"/>
      <c r="U535" s="82"/>
      <c r="V535" s="82"/>
      <c r="W535" s="82">
        <f t="shared" si="170"/>
        <v>0</v>
      </c>
      <c r="X535" s="82">
        <f t="shared" si="166"/>
        <v>3806770855.5630002</v>
      </c>
      <c r="Y535" s="82">
        <f t="shared" si="171"/>
        <v>0</v>
      </c>
      <c r="Z535" s="82">
        <f t="shared" si="167"/>
        <v>-3806770855.5630002</v>
      </c>
      <c r="AA535" s="83" t="str">
        <f t="shared" si="175"/>
        <v>No se realizó gasto en este corte</v>
      </c>
      <c r="AB535" s="84" t="str">
        <f t="shared" si="168"/>
        <v>Costo eficiente: se está gastando menos de lo presupuestado</v>
      </c>
      <c r="AC535" s="84">
        <f t="shared" si="172"/>
        <v>0</v>
      </c>
      <c r="AD535" s="84" t="str">
        <f t="shared" si="169"/>
        <v>Sin Línea Base</v>
      </c>
      <c r="AE535" s="85">
        <f t="shared" si="173"/>
        <v>0</v>
      </c>
      <c r="AF535" s="85">
        <f t="shared" si="174"/>
        <v>-3810581437</v>
      </c>
      <c r="AG535" s="40" t="str">
        <f>VLOOKUP(Indicador!E535,Diccionario!C$1:AC$150,27,0)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5" s="40">
        <v>1</v>
      </c>
      <c r="AI535" s="40">
        <v>1</v>
      </c>
    </row>
    <row r="536" spans="1:35" ht="18.75" customHeight="1">
      <c r="A536" s="73">
        <v>2028</v>
      </c>
      <c r="B536" s="112" t="s">
        <v>30</v>
      </c>
      <c r="C536" s="36" t="s">
        <v>397</v>
      </c>
      <c r="D536" s="37">
        <v>45932.836031516206</v>
      </c>
      <c r="E536" s="36" t="s">
        <v>102</v>
      </c>
      <c r="F536" s="36" t="s">
        <v>149</v>
      </c>
      <c r="G536" s="36" t="s">
        <v>398</v>
      </c>
      <c r="H536" s="36" t="s">
        <v>399</v>
      </c>
      <c r="I536" s="36" t="s">
        <v>152</v>
      </c>
      <c r="J536" s="36" t="s">
        <v>400</v>
      </c>
      <c r="K536" s="36" t="s">
        <v>177</v>
      </c>
      <c r="L536" s="74">
        <f>VLOOKUP(E536,Diccionario!C$2:AC$150,22,0)</f>
        <v>3810581437</v>
      </c>
      <c r="M536" s="75">
        <f>VLOOKUP(E536,Diccionario!C$2:AC$150,24,0)</f>
        <v>45931</v>
      </c>
      <c r="N536" s="76">
        <f>VLOOKUP(E536,Diccionario!C$2:AC$150,25,0)</f>
        <v>47483</v>
      </c>
      <c r="O536" s="77">
        <f>VLOOKUP(E536,Diccionario!C$2:AC$150,26,0)</f>
        <v>51</v>
      </c>
      <c r="P536" s="77">
        <f t="shared" si="165"/>
        <v>-14</v>
      </c>
      <c r="Q536" s="78">
        <v>37</v>
      </c>
      <c r="R536" s="36">
        <v>47</v>
      </c>
      <c r="S536" s="100">
        <v>0.999</v>
      </c>
      <c r="T536" s="86"/>
      <c r="U536" s="82"/>
      <c r="V536" s="82"/>
      <c r="W536" s="82">
        <f t="shared" si="170"/>
        <v>0</v>
      </c>
      <c r="X536" s="82">
        <f t="shared" si="166"/>
        <v>3806770855.5630002</v>
      </c>
      <c r="Y536" s="82">
        <f t="shared" si="171"/>
        <v>0</v>
      </c>
      <c r="Z536" s="82">
        <f t="shared" si="167"/>
        <v>-3806770855.5630002</v>
      </c>
      <c r="AA536" s="83" t="str">
        <f t="shared" si="175"/>
        <v>No se realizó gasto en este corte</v>
      </c>
      <c r="AB536" s="84" t="str">
        <f t="shared" si="168"/>
        <v>Costo eficiente: se está gastando menos de lo presupuestado</v>
      </c>
      <c r="AC536" s="84">
        <f t="shared" si="172"/>
        <v>0</v>
      </c>
      <c r="AD536" s="84" t="str">
        <f t="shared" si="169"/>
        <v>Sin Línea Base</v>
      </c>
      <c r="AE536" s="85">
        <f t="shared" si="173"/>
        <v>0</v>
      </c>
      <c r="AF536" s="85">
        <f t="shared" si="174"/>
        <v>-3810581437</v>
      </c>
      <c r="AG536" s="40" t="str">
        <f>VLOOKUP(Indicador!E536,Diccionario!C$1:AC$150,27,0)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6" s="40">
        <v>1</v>
      </c>
      <c r="AI536" s="40">
        <v>1</v>
      </c>
    </row>
    <row r="537" spans="1:35" ht="18.75" customHeight="1">
      <c r="A537" s="73">
        <v>2028</v>
      </c>
      <c r="B537" s="112" t="s">
        <v>31</v>
      </c>
      <c r="C537" s="36" t="s">
        <v>397</v>
      </c>
      <c r="D537" s="37">
        <v>45932.836031516206</v>
      </c>
      <c r="E537" s="36" t="s">
        <v>102</v>
      </c>
      <c r="F537" s="36" t="s">
        <v>149</v>
      </c>
      <c r="G537" s="36" t="s">
        <v>398</v>
      </c>
      <c r="H537" s="36" t="s">
        <v>399</v>
      </c>
      <c r="I537" s="36" t="s">
        <v>152</v>
      </c>
      <c r="J537" s="36" t="s">
        <v>400</v>
      </c>
      <c r="K537" s="36" t="s">
        <v>177</v>
      </c>
      <c r="L537" s="74">
        <f>VLOOKUP(E537,Diccionario!C$2:AC$150,22,0)</f>
        <v>3810581437</v>
      </c>
      <c r="M537" s="75">
        <f>VLOOKUP(E537,Diccionario!C$2:AC$150,24,0)</f>
        <v>45931</v>
      </c>
      <c r="N537" s="76">
        <f>VLOOKUP(E537,Diccionario!C$2:AC$150,25,0)</f>
        <v>47483</v>
      </c>
      <c r="O537" s="77">
        <f>VLOOKUP(E537,Diccionario!C$2:AC$150,26,0)</f>
        <v>51</v>
      </c>
      <c r="P537" s="77">
        <f t="shared" si="165"/>
        <v>-13</v>
      </c>
      <c r="Q537" s="78">
        <v>38</v>
      </c>
      <c r="R537" s="36">
        <v>47</v>
      </c>
      <c r="S537" s="100">
        <v>0.999</v>
      </c>
      <c r="T537" s="86"/>
      <c r="U537" s="82"/>
      <c r="V537" s="82"/>
      <c r="W537" s="82">
        <f t="shared" si="170"/>
        <v>0</v>
      </c>
      <c r="X537" s="82">
        <f t="shared" si="166"/>
        <v>3806770855.5630002</v>
      </c>
      <c r="Y537" s="82">
        <f t="shared" si="171"/>
        <v>0</v>
      </c>
      <c r="Z537" s="82">
        <f t="shared" si="167"/>
        <v>-3806770855.5630002</v>
      </c>
      <c r="AA537" s="83" t="str">
        <f t="shared" si="175"/>
        <v>No se realizó gasto en este corte</v>
      </c>
      <c r="AB537" s="84" t="str">
        <f t="shared" si="168"/>
        <v>Costo eficiente: se está gastando menos de lo presupuestado</v>
      </c>
      <c r="AC537" s="84">
        <f t="shared" si="172"/>
        <v>0</v>
      </c>
      <c r="AD537" s="84" t="str">
        <f t="shared" si="169"/>
        <v>Sin Línea Base</v>
      </c>
      <c r="AE537" s="85">
        <f t="shared" si="173"/>
        <v>0</v>
      </c>
      <c r="AF537" s="85">
        <f t="shared" si="174"/>
        <v>-3810581437</v>
      </c>
      <c r="AG537" s="40" t="str">
        <f>VLOOKUP(Indicador!E537,Diccionario!C$1:AC$150,27,0)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7" s="40">
        <v>1</v>
      </c>
      <c r="AI537" s="40">
        <v>1</v>
      </c>
    </row>
    <row r="538" spans="1:35" ht="18.75" customHeight="1">
      <c r="A538" s="73">
        <v>2028</v>
      </c>
      <c r="B538" s="112" t="s">
        <v>32</v>
      </c>
      <c r="C538" s="36" t="s">
        <v>397</v>
      </c>
      <c r="D538" s="37">
        <v>45932.836031516206</v>
      </c>
      <c r="E538" s="36" t="s">
        <v>102</v>
      </c>
      <c r="F538" s="36" t="s">
        <v>149</v>
      </c>
      <c r="G538" s="36" t="s">
        <v>398</v>
      </c>
      <c r="H538" s="36" t="s">
        <v>399</v>
      </c>
      <c r="I538" s="36" t="s">
        <v>152</v>
      </c>
      <c r="J538" s="36" t="s">
        <v>400</v>
      </c>
      <c r="K538" s="36" t="s">
        <v>177</v>
      </c>
      <c r="L538" s="74">
        <f>VLOOKUP(E538,Diccionario!C$2:AC$150,22,0)</f>
        <v>3810581437</v>
      </c>
      <c r="M538" s="75">
        <f>VLOOKUP(E538,Diccionario!C$2:AC$150,24,0)</f>
        <v>45931</v>
      </c>
      <c r="N538" s="76">
        <f>VLOOKUP(E538,Diccionario!C$2:AC$150,25,0)</f>
        <v>47483</v>
      </c>
      <c r="O538" s="77">
        <f>VLOOKUP(E538,Diccionario!C$2:AC$150,26,0)</f>
        <v>51</v>
      </c>
      <c r="P538" s="77">
        <f t="shared" si="165"/>
        <v>-12</v>
      </c>
      <c r="Q538" s="78">
        <v>39</v>
      </c>
      <c r="R538" s="36">
        <v>47</v>
      </c>
      <c r="S538" s="100">
        <v>0.999</v>
      </c>
      <c r="T538" s="86"/>
      <c r="U538" s="82"/>
      <c r="V538" s="82"/>
      <c r="W538" s="82">
        <f t="shared" si="170"/>
        <v>0</v>
      </c>
      <c r="X538" s="82">
        <f t="shared" si="166"/>
        <v>3806770855.5630002</v>
      </c>
      <c r="Y538" s="82">
        <f t="shared" si="171"/>
        <v>0</v>
      </c>
      <c r="Z538" s="82">
        <f t="shared" si="167"/>
        <v>-3806770855.5630002</v>
      </c>
      <c r="AA538" s="83" t="str">
        <f t="shared" si="175"/>
        <v>No se realizó gasto en este corte</v>
      </c>
      <c r="AB538" s="84" t="str">
        <f t="shared" si="168"/>
        <v>Costo eficiente: se está gastando menos de lo presupuestado</v>
      </c>
      <c r="AC538" s="84">
        <f t="shared" si="172"/>
        <v>0</v>
      </c>
      <c r="AD538" s="84" t="str">
        <f t="shared" si="169"/>
        <v>Sin Línea Base</v>
      </c>
      <c r="AE538" s="85">
        <f t="shared" si="173"/>
        <v>0</v>
      </c>
      <c r="AF538" s="85">
        <f t="shared" si="174"/>
        <v>-3810581437</v>
      </c>
      <c r="AG538" s="40" t="str">
        <f>VLOOKUP(Indicador!E538,Diccionario!C$1:AC$150,27,0)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8" s="40">
        <v>1</v>
      </c>
      <c r="AI538" s="40">
        <v>1</v>
      </c>
    </row>
    <row r="539" spans="1:35" ht="18.75" customHeight="1">
      <c r="A539" s="73">
        <v>2029</v>
      </c>
      <c r="B539" s="112" t="s">
        <v>14</v>
      </c>
      <c r="C539" s="36" t="s">
        <v>397</v>
      </c>
      <c r="D539" s="37">
        <v>45932.836031516206</v>
      </c>
      <c r="E539" s="36" t="s">
        <v>102</v>
      </c>
      <c r="F539" s="36" t="s">
        <v>149</v>
      </c>
      <c r="G539" s="36" t="s">
        <v>398</v>
      </c>
      <c r="H539" s="36" t="s">
        <v>399</v>
      </c>
      <c r="I539" s="36" t="s">
        <v>152</v>
      </c>
      <c r="J539" s="36" t="s">
        <v>400</v>
      </c>
      <c r="K539" s="36" t="s">
        <v>177</v>
      </c>
      <c r="L539" s="74">
        <f>VLOOKUP(E539,Diccionario!C$2:AC$150,22,0)</f>
        <v>3810581437</v>
      </c>
      <c r="M539" s="75">
        <f>VLOOKUP(E539,Diccionario!C$2:AC$150,24,0)</f>
        <v>45931</v>
      </c>
      <c r="N539" s="76">
        <f>VLOOKUP(E539,Diccionario!C$2:AC$150,25,0)</f>
        <v>47483</v>
      </c>
      <c r="O539" s="77">
        <f>VLOOKUP(E539,Diccionario!C$2:AC$150,26,0)</f>
        <v>51</v>
      </c>
      <c r="P539" s="77">
        <f t="shared" si="165"/>
        <v>-11</v>
      </c>
      <c r="Q539" s="78">
        <v>40</v>
      </c>
      <c r="R539" s="36">
        <v>47</v>
      </c>
      <c r="S539" s="100">
        <v>0.999</v>
      </c>
      <c r="T539" s="86"/>
      <c r="U539" s="82"/>
      <c r="V539" s="82"/>
      <c r="W539" s="82">
        <f t="shared" si="170"/>
        <v>0</v>
      </c>
      <c r="X539" s="82">
        <f t="shared" si="166"/>
        <v>3806770855.5630002</v>
      </c>
      <c r="Y539" s="82">
        <f t="shared" si="171"/>
        <v>0</v>
      </c>
      <c r="Z539" s="82">
        <f t="shared" si="167"/>
        <v>-3806770855.5630002</v>
      </c>
      <c r="AA539" s="83" t="str">
        <f t="shared" si="175"/>
        <v>No se realizó gasto en este corte</v>
      </c>
      <c r="AB539" s="84" t="str">
        <f t="shared" si="168"/>
        <v>Costo eficiente: se está gastando menos de lo presupuestado</v>
      </c>
      <c r="AC539" s="84">
        <f t="shared" si="172"/>
        <v>0</v>
      </c>
      <c r="AD539" s="84" t="str">
        <f t="shared" si="169"/>
        <v>Sin Línea Base</v>
      </c>
      <c r="AE539" s="85">
        <f t="shared" si="173"/>
        <v>0</v>
      </c>
      <c r="AF539" s="85">
        <f t="shared" si="174"/>
        <v>-3810581437</v>
      </c>
      <c r="AG539" s="40" t="str">
        <f>VLOOKUP(Indicador!E539,Diccionario!C$1:AC$150,27,0)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39" s="40">
        <v>1</v>
      </c>
      <c r="AI539" s="40">
        <v>1</v>
      </c>
    </row>
    <row r="540" spans="1:35" ht="18.75" customHeight="1">
      <c r="A540" s="73">
        <v>2029</v>
      </c>
      <c r="B540" s="112" t="s">
        <v>22</v>
      </c>
      <c r="C540" s="36" t="s">
        <v>397</v>
      </c>
      <c r="D540" s="37">
        <v>45932.836031516206</v>
      </c>
      <c r="E540" s="36" t="s">
        <v>102</v>
      </c>
      <c r="F540" s="36" t="s">
        <v>149</v>
      </c>
      <c r="G540" s="36" t="s">
        <v>398</v>
      </c>
      <c r="H540" s="36" t="s">
        <v>399</v>
      </c>
      <c r="I540" s="36" t="s">
        <v>152</v>
      </c>
      <c r="J540" s="36" t="s">
        <v>400</v>
      </c>
      <c r="K540" s="36" t="s">
        <v>177</v>
      </c>
      <c r="L540" s="74">
        <f>VLOOKUP(E540,Diccionario!C$2:AC$150,22,0)</f>
        <v>3810581437</v>
      </c>
      <c r="M540" s="75">
        <f>VLOOKUP(E540,Diccionario!C$2:AC$150,24,0)</f>
        <v>45931</v>
      </c>
      <c r="N540" s="76">
        <f>VLOOKUP(E540,Diccionario!C$2:AC$150,25,0)</f>
        <v>47483</v>
      </c>
      <c r="O540" s="77">
        <f>VLOOKUP(E540,Diccionario!C$2:AC$150,26,0)</f>
        <v>51</v>
      </c>
      <c r="P540" s="77">
        <f t="shared" si="165"/>
        <v>-10</v>
      </c>
      <c r="Q540" s="78">
        <v>41</v>
      </c>
      <c r="R540" s="36">
        <v>47</v>
      </c>
      <c r="S540" s="100">
        <v>0.999</v>
      </c>
      <c r="T540" s="86"/>
      <c r="U540" s="82"/>
      <c r="V540" s="82"/>
      <c r="W540" s="82">
        <f t="shared" si="170"/>
        <v>0</v>
      </c>
      <c r="X540" s="82">
        <f t="shared" si="166"/>
        <v>3806770855.5630002</v>
      </c>
      <c r="Y540" s="82">
        <f t="shared" si="171"/>
        <v>0</v>
      </c>
      <c r="Z540" s="82">
        <f t="shared" si="167"/>
        <v>-3806770855.5630002</v>
      </c>
      <c r="AA540" s="83" t="str">
        <f t="shared" si="175"/>
        <v>No se realizó gasto en este corte</v>
      </c>
      <c r="AB540" s="84" t="str">
        <f t="shared" si="168"/>
        <v>Costo eficiente: se está gastando menos de lo presupuestado</v>
      </c>
      <c r="AC540" s="84">
        <f t="shared" si="172"/>
        <v>0</v>
      </c>
      <c r="AD540" s="84" t="str">
        <f t="shared" si="169"/>
        <v>Sin Línea Base</v>
      </c>
      <c r="AE540" s="85">
        <f t="shared" si="173"/>
        <v>0</v>
      </c>
      <c r="AF540" s="85">
        <f t="shared" si="174"/>
        <v>-3810581437</v>
      </c>
      <c r="AG540" s="40" t="str">
        <f>VLOOKUP(Indicador!E540,Diccionario!C$1:AC$150,27,0)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0" s="40">
        <v>1</v>
      </c>
      <c r="AI540" s="40">
        <v>1</v>
      </c>
    </row>
    <row r="541" spans="1:35" ht="18.75" customHeight="1">
      <c r="A541" s="73">
        <v>2029</v>
      </c>
      <c r="B541" s="112" t="s">
        <v>24</v>
      </c>
      <c r="C541" s="36" t="s">
        <v>397</v>
      </c>
      <c r="D541" s="37">
        <v>45932.836031516206</v>
      </c>
      <c r="E541" s="36" t="s">
        <v>102</v>
      </c>
      <c r="F541" s="36" t="s">
        <v>149</v>
      </c>
      <c r="G541" s="36" t="s">
        <v>398</v>
      </c>
      <c r="H541" s="36" t="s">
        <v>399</v>
      </c>
      <c r="I541" s="36" t="s">
        <v>152</v>
      </c>
      <c r="J541" s="36" t="s">
        <v>400</v>
      </c>
      <c r="K541" s="36" t="s">
        <v>177</v>
      </c>
      <c r="L541" s="74">
        <f>VLOOKUP(E541,Diccionario!C$2:AC$150,22,0)</f>
        <v>3810581437</v>
      </c>
      <c r="M541" s="75">
        <f>VLOOKUP(E541,Diccionario!C$2:AC$150,24,0)</f>
        <v>45931</v>
      </c>
      <c r="N541" s="76">
        <f>VLOOKUP(E541,Diccionario!C$2:AC$150,25,0)</f>
        <v>47483</v>
      </c>
      <c r="O541" s="77">
        <f>VLOOKUP(E541,Diccionario!C$2:AC$150,26,0)</f>
        <v>51</v>
      </c>
      <c r="P541" s="77">
        <f t="shared" ref="P541:P604" si="176">Q541-O541</f>
        <v>-9</v>
      </c>
      <c r="Q541" s="78">
        <v>42</v>
      </c>
      <c r="R541" s="36">
        <v>47</v>
      </c>
      <c r="S541" s="100">
        <v>0.999</v>
      </c>
      <c r="T541" s="86"/>
      <c r="U541" s="82"/>
      <c r="V541" s="82"/>
      <c r="W541" s="82">
        <f t="shared" si="170"/>
        <v>0</v>
      </c>
      <c r="X541" s="82">
        <f t="shared" si="166"/>
        <v>3806770855.5630002</v>
      </c>
      <c r="Y541" s="82">
        <f t="shared" si="171"/>
        <v>0</v>
      </c>
      <c r="Z541" s="82">
        <f t="shared" si="167"/>
        <v>-3806770855.5630002</v>
      </c>
      <c r="AA541" s="83" t="str">
        <f t="shared" si="175"/>
        <v>No se realizó gasto en este corte</v>
      </c>
      <c r="AB541" s="84" t="str">
        <f t="shared" si="168"/>
        <v>Costo eficiente: se está gastando menos de lo presupuestado</v>
      </c>
      <c r="AC541" s="84">
        <f t="shared" si="172"/>
        <v>0</v>
      </c>
      <c r="AD541" s="84" t="str">
        <f t="shared" si="169"/>
        <v>Sin Línea Base</v>
      </c>
      <c r="AE541" s="85">
        <f t="shared" si="173"/>
        <v>0</v>
      </c>
      <c r="AF541" s="85">
        <f t="shared" si="174"/>
        <v>-3810581437</v>
      </c>
      <c r="AG541" s="40" t="str">
        <f>VLOOKUP(Indicador!E541,Diccionario!C$1:AC$150,27,0)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1" s="40">
        <v>1</v>
      </c>
      <c r="AI541" s="40">
        <v>1</v>
      </c>
    </row>
    <row r="542" spans="1:35" ht="18.75" customHeight="1">
      <c r="A542" s="73">
        <v>2029</v>
      </c>
      <c r="B542" s="112" t="s">
        <v>27</v>
      </c>
      <c r="C542" s="36" t="s">
        <v>397</v>
      </c>
      <c r="D542" s="37">
        <v>45932.836031516206</v>
      </c>
      <c r="E542" s="36" t="s">
        <v>102</v>
      </c>
      <c r="F542" s="36" t="s">
        <v>149</v>
      </c>
      <c r="G542" s="36" t="s">
        <v>398</v>
      </c>
      <c r="H542" s="36" t="s">
        <v>399</v>
      </c>
      <c r="I542" s="36" t="s">
        <v>152</v>
      </c>
      <c r="J542" s="36" t="s">
        <v>400</v>
      </c>
      <c r="K542" s="36" t="s">
        <v>177</v>
      </c>
      <c r="L542" s="74">
        <f>VLOOKUP(E542,Diccionario!C$2:AC$150,22,0)</f>
        <v>3810581437</v>
      </c>
      <c r="M542" s="75">
        <f>VLOOKUP(E542,Diccionario!C$2:AC$150,24,0)</f>
        <v>45931</v>
      </c>
      <c r="N542" s="76">
        <f>VLOOKUP(E542,Diccionario!C$2:AC$150,25,0)</f>
        <v>47483</v>
      </c>
      <c r="O542" s="77">
        <f>VLOOKUP(E542,Diccionario!C$2:AC$150,26,0)</f>
        <v>51</v>
      </c>
      <c r="P542" s="77">
        <f t="shared" si="176"/>
        <v>-8</v>
      </c>
      <c r="Q542" s="78">
        <v>43</v>
      </c>
      <c r="R542" s="36">
        <v>47</v>
      </c>
      <c r="S542" s="100">
        <v>0.999</v>
      </c>
      <c r="T542" s="86"/>
      <c r="U542" s="82"/>
      <c r="V542" s="82"/>
      <c r="W542" s="82">
        <f t="shared" si="170"/>
        <v>0</v>
      </c>
      <c r="X542" s="82">
        <f t="shared" si="166"/>
        <v>3806770855.5630002</v>
      </c>
      <c r="Y542" s="82">
        <f t="shared" si="171"/>
        <v>0</v>
      </c>
      <c r="Z542" s="82">
        <f t="shared" si="167"/>
        <v>-3806770855.5630002</v>
      </c>
      <c r="AA542" s="83" t="str">
        <f t="shared" si="175"/>
        <v>No se realizó gasto en este corte</v>
      </c>
      <c r="AB542" s="84" t="str">
        <f t="shared" si="168"/>
        <v>Costo eficiente: se está gastando menos de lo presupuestado</v>
      </c>
      <c r="AC542" s="84">
        <f t="shared" si="172"/>
        <v>0</v>
      </c>
      <c r="AD542" s="84" t="str">
        <f t="shared" si="169"/>
        <v>Sin Línea Base</v>
      </c>
      <c r="AE542" s="85">
        <f t="shared" si="173"/>
        <v>0</v>
      </c>
      <c r="AF542" s="85">
        <f t="shared" si="174"/>
        <v>-3810581437</v>
      </c>
      <c r="AG542" s="40" t="str">
        <f>VLOOKUP(Indicador!E542,Diccionario!C$1:AC$150,27,0)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2" s="40">
        <v>1</v>
      </c>
      <c r="AI542" s="40">
        <v>1</v>
      </c>
    </row>
    <row r="543" spans="1:35" ht="18.75" customHeight="1">
      <c r="A543" s="73">
        <v>2029</v>
      </c>
      <c r="B543" s="112" t="s">
        <v>13</v>
      </c>
      <c r="C543" s="36" t="s">
        <v>397</v>
      </c>
      <c r="D543" s="37">
        <v>45932.836031516206</v>
      </c>
      <c r="E543" s="36" t="s">
        <v>102</v>
      </c>
      <c r="F543" s="36" t="s">
        <v>149</v>
      </c>
      <c r="G543" s="36" t="s">
        <v>398</v>
      </c>
      <c r="H543" s="36" t="s">
        <v>399</v>
      </c>
      <c r="I543" s="36" t="s">
        <v>152</v>
      </c>
      <c r="J543" s="36" t="s">
        <v>400</v>
      </c>
      <c r="K543" s="36" t="s">
        <v>177</v>
      </c>
      <c r="L543" s="74">
        <f>VLOOKUP(E543,Diccionario!C$2:AC$150,22,0)</f>
        <v>3810581437</v>
      </c>
      <c r="M543" s="75">
        <f>VLOOKUP(E543,Diccionario!C$2:AC$150,24,0)</f>
        <v>45931</v>
      </c>
      <c r="N543" s="76">
        <f>VLOOKUP(E543,Diccionario!C$2:AC$150,25,0)</f>
        <v>47483</v>
      </c>
      <c r="O543" s="77">
        <f>VLOOKUP(E543,Diccionario!C$2:AC$150,26,0)</f>
        <v>51</v>
      </c>
      <c r="P543" s="77">
        <f t="shared" si="176"/>
        <v>-7</v>
      </c>
      <c r="Q543" s="78">
        <v>44</v>
      </c>
      <c r="R543" s="36">
        <v>47</v>
      </c>
      <c r="S543" s="100">
        <v>0.999</v>
      </c>
      <c r="T543" s="86"/>
      <c r="U543" s="82"/>
      <c r="V543" s="82"/>
      <c r="W543" s="82">
        <f t="shared" si="170"/>
        <v>0</v>
      </c>
      <c r="X543" s="82">
        <f t="shared" si="166"/>
        <v>3806770855.5630002</v>
      </c>
      <c r="Y543" s="82">
        <f t="shared" si="171"/>
        <v>0</v>
      </c>
      <c r="Z543" s="82">
        <f t="shared" si="167"/>
        <v>-3806770855.5630002</v>
      </c>
      <c r="AA543" s="83" t="str">
        <f t="shared" si="175"/>
        <v>No se realizó gasto en este corte</v>
      </c>
      <c r="AB543" s="84" t="str">
        <f t="shared" si="168"/>
        <v>Costo eficiente: se está gastando menos de lo presupuestado</v>
      </c>
      <c r="AC543" s="84">
        <f t="shared" si="172"/>
        <v>0</v>
      </c>
      <c r="AD543" s="84" t="str">
        <f t="shared" si="169"/>
        <v>Sin Línea Base</v>
      </c>
      <c r="AE543" s="85">
        <f t="shared" si="173"/>
        <v>0</v>
      </c>
      <c r="AF543" s="85">
        <f t="shared" si="174"/>
        <v>-3810581437</v>
      </c>
      <c r="AG543" s="40" t="str">
        <f>VLOOKUP(Indicador!E543,Diccionario!C$1:AC$150,27,0)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3" s="40">
        <v>1</v>
      </c>
      <c r="AI543" s="40">
        <v>1</v>
      </c>
    </row>
    <row r="544" spans="1:35" ht="18.75" customHeight="1">
      <c r="A544" s="73">
        <v>2029</v>
      </c>
      <c r="B544" s="112" t="s">
        <v>21</v>
      </c>
      <c r="C544" s="36" t="s">
        <v>397</v>
      </c>
      <c r="D544" s="37">
        <v>45932.836031516206</v>
      </c>
      <c r="E544" s="36" t="s">
        <v>102</v>
      </c>
      <c r="F544" s="36" t="s">
        <v>149</v>
      </c>
      <c r="G544" s="36" t="s">
        <v>398</v>
      </c>
      <c r="H544" s="36" t="s">
        <v>399</v>
      </c>
      <c r="I544" s="36" t="s">
        <v>152</v>
      </c>
      <c r="J544" s="36" t="s">
        <v>400</v>
      </c>
      <c r="K544" s="36" t="s">
        <v>177</v>
      </c>
      <c r="L544" s="74">
        <f>VLOOKUP(E544,Diccionario!C$2:AC$150,22,0)</f>
        <v>3810581437</v>
      </c>
      <c r="M544" s="75">
        <f>VLOOKUP(E544,Diccionario!C$2:AC$150,24,0)</f>
        <v>45931</v>
      </c>
      <c r="N544" s="76">
        <f>VLOOKUP(E544,Diccionario!C$2:AC$150,25,0)</f>
        <v>47483</v>
      </c>
      <c r="O544" s="77">
        <f>VLOOKUP(E544,Diccionario!C$2:AC$150,26,0)</f>
        <v>51</v>
      </c>
      <c r="P544" s="77">
        <f t="shared" si="176"/>
        <v>-6</v>
      </c>
      <c r="Q544" s="78">
        <v>45</v>
      </c>
      <c r="R544" s="36">
        <v>47</v>
      </c>
      <c r="S544" s="100">
        <v>0.999</v>
      </c>
      <c r="T544" s="86"/>
      <c r="U544" s="82"/>
      <c r="V544" s="82"/>
      <c r="W544" s="82">
        <f t="shared" si="170"/>
        <v>0</v>
      </c>
      <c r="X544" s="82">
        <f t="shared" si="166"/>
        <v>3806770855.5630002</v>
      </c>
      <c r="Y544" s="82">
        <f t="shared" si="171"/>
        <v>0</v>
      </c>
      <c r="Z544" s="82">
        <f t="shared" si="167"/>
        <v>-3806770855.5630002</v>
      </c>
      <c r="AA544" s="83" t="str">
        <f t="shared" si="175"/>
        <v>No se realizó gasto en este corte</v>
      </c>
      <c r="AB544" s="84" t="str">
        <f t="shared" si="168"/>
        <v>Costo eficiente: se está gastando menos de lo presupuestado</v>
      </c>
      <c r="AC544" s="84">
        <f t="shared" si="172"/>
        <v>0</v>
      </c>
      <c r="AD544" s="84" t="str">
        <f t="shared" si="169"/>
        <v>Sin Línea Base</v>
      </c>
      <c r="AE544" s="85">
        <f t="shared" si="173"/>
        <v>0</v>
      </c>
      <c r="AF544" s="85">
        <f t="shared" si="174"/>
        <v>-3810581437</v>
      </c>
      <c r="AG544" s="40" t="str">
        <f>VLOOKUP(Indicador!E544,Diccionario!C$1:AC$150,27,0)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4" s="40">
        <v>1</v>
      </c>
      <c r="AI544" s="40">
        <v>1</v>
      </c>
    </row>
    <row r="545" spans="1:35" ht="18.75" customHeight="1">
      <c r="A545" s="73">
        <v>2029</v>
      </c>
      <c r="B545" s="112" t="s">
        <v>23</v>
      </c>
      <c r="C545" s="36" t="s">
        <v>397</v>
      </c>
      <c r="D545" s="37">
        <v>45932.836031516206</v>
      </c>
      <c r="E545" s="36" t="s">
        <v>102</v>
      </c>
      <c r="F545" s="36" t="s">
        <v>149</v>
      </c>
      <c r="G545" s="36" t="s">
        <v>398</v>
      </c>
      <c r="H545" s="36" t="s">
        <v>399</v>
      </c>
      <c r="I545" s="36" t="s">
        <v>152</v>
      </c>
      <c r="J545" s="36" t="s">
        <v>400</v>
      </c>
      <c r="K545" s="36" t="s">
        <v>177</v>
      </c>
      <c r="L545" s="74">
        <f>VLOOKUP(E545,Diccionario!C$2:AC$150,22,0)</f>
        <v>3810581437</v>
      </c>
      <c r="M545" s="75">
        <f>VLOOKUP(E545,Diccionario!C$2:AC$150,24,0)</f>
        <v>45931</v>
      </c>
      <c r="N545" s="76">
        <f>VLOOKUP(E545,Diccionario!C$2:AC$150,25,0)</f>
        <v>47483</v>
      </c>
      <c r="O545" s="77">
        <f>VLOOKUP(E545,Diccionario!C$2:AC$150,26,0)</f>
        <v>51</v>
      </c>
      <c r="P545" s="77">
        <f t="shared" si="176"/>
        <v>-5</v>
      </c>
      <c r="Q545" s="78">
        <v>46</v>
      </c>
      <c r="R545" s="36">
        <v>47</v>
      </c>
      <c r="S545" s="100">
        <v>0.999</v>
      </c>
      <c r="T545" s="86"/>
      <c r="U545" s="82"/>
      <c r="V545" s="82"/>
      <c r="W545" s="82">
        <f t="shared" si="170"/>
        <v>0</v>
      </c>
      <c r="X545" s="82">
        <f t="shared" si="166"/>
        <v>3806770855.5630002</v>
      </c>
      <c r="Y545" s="82">
        <f t="shared" si="171"/>
        <v>0</v>
      </c>
      <c r="Z545" s="82">
        <f t="shared" si="167"/>
        <v>-3806770855.5630002</v>
      </c>
      <c r="AA545" s="83" t="str">
        <f t="shared" si="175"/>
        <v>No se realizó gasto en este corte</v>
      </c>
      <c r="AB545" s="84" t="str">
        <f t="shared" si="168"/>
        <v>Costo eficiente: se está gastando menos de lo presupuestado</v>
      </c>
      <c r="AC545" s="84">
        <f t="shared" si="172"/>
        <v>0</v>
      </c>
      <c r="AD545" s="84" t="str">
        <f t="shared" si="169"/>
        <v>Sin Línea Base</v>
      </c>
      <c r="AE545" s="85">
        <f t="shared" si="173"/>
        <v>0</v>
      </c>
      <c r="AF545" s="85">
        <f t="shared" si="174"/>
        <v>-3810581437</v>
      </c>
      <c r="AG545" s="40" t="str">
        <f>VLOOKUP(Indicador!E545,Diccionario!C$1:AC$150,27,0)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5" s="40">
        <v>1</v>
      </c>
      <c r="AI545" s="40">
        <v>1</v>
      </c>
    </row>
    <row r="546" spans="1:35" ht="18.75" customHeight="1">
      <c r="A546" s="73">
        <v>2029</v>
      </c>
      <c r="B546" s="112" t="s">
        <v>26</v>
      </c>
      <c r="C546" s="36" t="s">
        <v>397</v>
      </c>
      <c r="D546" s="37">
        <v>45932.836031516206</v>
      </c>
      <c r="E546" s="36" t="s">
        <v>102</v>
      </c>
      <c r="F546" s="36" t="s">
        <v>149</v>
      </c>
      <c r="G546" s="36" t="s">
        <v>398</v>
      </c>
      <c r="H546" s="36" t="s">
        <v>399</v>
      </c>
      <c r="I546" s="36" t="s">
        <v>152</v>
      </c>
      <c r="J546" s="36" t="s">
        <v>400</v>
      </c>
      <c r="K546" s="36" t="s">
        <v>177</v>
      </c>
      <c r="L546" s="74">
        <f>VLOOKUP(E546,Diccionario!C$2:AC$150,22,0)</f>
        <v>3810581437</v>
      </c>
      <c r="M546" s="75">
        <f>VLOOKUP(E546,Diccionario!C$2:AC$150,24,0)</f>
        <v>45931</v>
      </c>
      <c r="N546" s="76">
        <f>VLOOKUP(E546,Diccionario!C$2:AC$150,25,0)</f>
        <v>47483</v>
      </c>
      <c r="O546" s="77">
        <f>VLOOKUP(E546,Diccionario!C$2:AC$150,26,0)</f>
        <v>51</v>
      </c>
      <c r="P546" s="77">
        <f t="shared" si="176"/>
        <v>-4</v>
      </c>
      <c r="Q546" s="78">
        <v>47</v>
      </c>
      <c r="R546" s="36">
        <v>47</v>
      </c>
      <c r="S546" s="100">
        <v>0.999</v>
      </c>
      <c r="T546" s="86"/>
      <c r="U546" s="82"/>
      <c r="V546" s="82"/>
      <c r="W546" s="82">
        <f t="shared" si="170"/>
        <v>0</v>
      </c>
      <c r="X546" s="82">
        <f t="shared" ref="X546:X609" si="177">S546*L546</f>
        <v>3806770855.5630002</v>
      </c>
      <c r="Y546" s="82">
        <f t="shared" si="171"/>
        <v>0</v>
      </c>
      <c r="Z546" s="82">
        <f t="shared" ref="Z546:Z609" si="178">W546-X546</f>
        <v>-3806770855.5630002</v>
      </c>
      <c r="AA546" s="83" t="str">
        <f t="shared" si="175"/>
        <v>No se realizó gasto en este corte</v>
      </c>
      <c r="AB546" s="84" t="str">
        <f t="shared" ref="AB546:AB609" si="179">IFERROR(
  IF(OR(AA546="",AA546=0),
    "No calculado",
    IF(AA546&gt;1,"Costo eficiente: se está gastando menos de lo presupuestado",
      IF(AA546=1,"Costo según lo presupuestado",
        "Costo ineficiente: se está gastando más de lo presupuestado"))),
"No calculado")</f>
        <v>Costo eficiente: se está gastando menos de lo presupuestado</v>
      </c>
      <c r="AC546" s="84">
        <f t="shared" si="172"/>
        <v>0</v>
      </c>
      <c r="AD546" s="84" t="str">
        <f t="shared" ref="AD546:AD609" si="180">IF(OR(AC546="",AC546=0),"Sin Línea Base",
IF(AC546&gt;1,"Proyecto adelantado respecto al cronograma",
IF(AC546=1,"Proyecto a tiempo según lo planificado",
IF(AC546&lt;1,"Proyecto atrasado con respecto al cronograma",
"No calculado"))))</f>
        <v>Sin Línea Base</v>
      </c>
      <c r="AE546" s="85">
        <f t="shared" si="173"/>
        <v>0</v>
      </c>
      <c r="AF546" s="85">
        <f t="shared" si="174"/>
        <v>-3810581437</v>
      </c>
      <c r="AG546" s="40" t="str">
        <f>VLOOKUP(Indicador!E546,Diccionario!C$1:AC$150,27,0)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6" s="40">
        <v>1</v>
      </c>
      <c r="AI546" s="40">
        <v>1</v>
      </c>
    </row>
    <row r="547" spans="1:35" ht="18.75" customHeight="1">
      <c r="A547" s="73">
        <v>2029</v>
      </c>
      <c r="B547" s="112" t="s">
        <v>28</v>
      </c>
      <c r="C547" s="36" t="s">
        <v>397</v>
      </c>
      <c r="D547" s="37">
        <v>45932.836031516206</v>
      </c>
      <c r="E547" s="36" t="s">
        <v>102</v>
      </c>
      <c r="F547" s="36" t="s">
        <v>149</v>
      </c>
      <c r="G547" s="36" t="s">
        <v>398</v>
      </c>
      <c r="H547" s="36" t="s">
        <v>399</v>
      </c>
      <c r="I547" s="36" t="s">
        <v>152</v>
      </c>
      <c r="J547" s="36" t="s">
        <v>400</v>
      </c>
      <c r="K547" s="36" t="s">
        <v>177</v>
      </c>
      <c r="L547" s="74">
        <f>VLOOKUP(E547,Diccionario!C$2:AC$150,22,0)</f>
        <v>3810581437</v>
      </c>
      <c r="M547" s="75">
        <f>VLOOKUP(E547,Diccionario!C$2:AC$150,24,0)</f>
        <v>45931</v>
      </c>
      <c r="N547" s="76">
        <f>VLOOKUP(E547,Diccionario!C$2:AC$150,25,0)</f>
        <v>47483</v>
      </c>
      <c r="O547" s="77">
        <f>VLOOKUP(E547,Diccionario!C$2:AC$150,26,0)</f>
        <v>51</v>
      </c>
      <c r="P547" s="77">
        <f t="shared" si="176"/>
        <v>-3</v>
      </c>
      <c r="Q547" s="78">
        <v>48</v>
      </c>
      <c r="R547" s="36">
        <v>47</v>
      </c>
      <c r="S547" s="100">
        <v>0.999</v>
      </c>
      <c r="T547" s="86"/>
      <c r="U547" s="82"/>
      <c r="V547" s="82"/>
      <c r="W547" s="82">
        <f t="shared" si="170"/>
        <v>0</v>
      </c>
      <c r="X547" s="82">
        <f t="shared" si="177"/>
        <v>3806770855.5630002</v>
      </c>
      <c r="Y547" s="82">
        <f t="shared" si="171"/>
        <v>0</v>
      </c>
      <c r="Z547" s="82">
        <f t="shared" si="178"/>
        <v>-3806770855.5630002</v>
      </c>
      <c r="AA547" s="83" t="str">
        <f t="shared" si="175"/>
        <v>No se realizó gasto en este corte</v>
      </c>
      <c r="AB547" s="84" t="str">
        <f t="shared" si="179"/>
        <v>Costo eficiente: se está gastando menos de lo presupuestado</v>
      </c>
      <c r="AC547" s="84">
        <f t="shared" si="172"/>
        <v>0</v>
      </c>
      <c r="AD547" s="84" t="str">
        <f t="shared" si="180"/>
        <v>Sin Línea Base</v>
      </c>
      <c r="AE547" s="85">
        <f t="shared" si="173"/>
        <v>0</v>
      </c>
      <c r="AF547" s="85">
        <f t="shared" si="174"/>
        <v>-3810581437</v>
      </c>
      <c r="AG547" s="40" t="str">
        <f>VLOOKUP(Indicador!E547,Diccionario!C$1:AC$150,27,0)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7" s="40">
        <v>1</v>
      </c>
      <c r="AI547" s="40">
        <v>1</v>
      </c>
    </row>
    <row r="548" spans="1:35" ht="18.75" customHeight="1">
      <c r="A548" s="73">
        <v>2029</v>
      </c>
      <c r="B548" s="112" t="s">
        <v>30</v>
      </c>
      <c r="C548" s="36" t="s">
        <v>397</v>
      </c>
      <c r="D548" s="37">
        <v>45932.836031516206</v>
      </c>
      <c r="E548" s="36" t="s">
        <v>102</v>
      </c>
      <c r="F548" s="36" t="s">
        <v>149</v>
      </c>
      <c r="G548" s="36" t="s">
        <v>398</v>
      </c>
      <c r="H548" s="36" t="s">
        <v>399</v>
      </c>
      <c r="I548" s="36" t="s">
        <v>152</v>
      </c>
      <c r="J548" s="36" t="s">
        <v>400</v>
      </c>
      <c r="K548" s="36" t="s">
        <v>177</v>
      </c>
      <c r="L548" s="74">
        <f>VLOOKUP(E548,Diccionario!C$2:AC$150,22,0)</f>
        <v>3810581437</v>
      </c>
      <c r="M548" s="75">
        <f>VLOOKUP(E548,Diccionario!C$2:AC$150,24,0)</f>
        <v>45931</v>
      </c>
      <c r="N548" s="76">
        <f>VLOOKUP(E548,Diccionario!C$2:AC$150,25,0)</f>
        <v>47483</v>
      </c>
      <c r="O548" s="77">
        <f>VLOOKUP(E548,Diccionario!C$2:AC$150,26,0)</f>
        <v>51</v>
      </c>
      <c r="P548" s="77">
        <f t="shared" si="176"/>
        <v>-2</v>
      </c>
      <c r="Q548" s="78">
        <v>49</v>
      </c>
      <c r="R548" s="36">
        <v>47</v>
      </c>
      <c r="S548" s="100">
        <v>0.999</v>
      </c>
      <c r="T548" s="86"/>
      <c r="U548" s="82"/>
      <c r="V548" s="82"/>
      <c r="W548" s="82">
        <f t="shared" si="170"/>
        <v>0</v>
      </c>
      <c r="X548" s="82">
        <f t="shared" si="177"/>
        <v>3806770855.5630002</v>
      </c>
      <c r="Y548" s="82">
        <f t="shared" si="171"/>
        <v>0</v>
      </c>
      <c r="Z548" s="82">
        <f t="shared" si="178"/>
        <v>-3806770855.5630002</v>
      </c>
      <c r="AA548" s="83" t="str">
        <f t="shared" si="175"/>
        <v>No se realizó gasto en este corte</v>
      </c>
      <c r="AB548" s="84" t="str">
        <f t="shared" si="179"/>
        <v>Costo eficiente: se está gastando menos de lo presupuestado</v>
      </c>
      <c r="AC548" s="84">
        <f t="shared" si="172"/>
        <v>0</v>
      </c>
      <c r="AD548" s="84" t="str">
        <f t="shared" si="180"/>
        <v>Sin Línea Base</v>
      </c>
      <c r="AE548" s="85">
        <f t="shared" si="173"/>
        <v>0</v>
      </c>
      <c r="AF548" s="85">
        <f t="shared" si="174"/>
        <v>-3810581437</v>
      </c>
      <c r="AG548" s="40" t="str">
        <f>VLOOKUP(Indicador!E548,Diccionario!C$1:AC$150,27,0)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8" s="40">
        <v>1</v>
      </c>
      <c r="AI548" s="40">
        <v>1</v>
      </c>
    </row>
    <row r="549" spans="1:35" ht="18.75" customHeight="1">
      <c r="A549" s="73">
        <v>2029</v>
      </c>
      <c r="B549" s="112" t="s">
        <v>31</v>
      </c>
      <c r="C549" s="36" t="s">
        <v>397</v>
      </c>
      <c r="D549" s="37">
        <v>45932.836031516206</v>
      </c>
      <c r="E549" s="36" t="s">
        <v>102</v>
      </c>
      <c r="F549" s="36" t="s">
        <v>149</v>
      </c>
      <c r="G549" s="36" t="s">
        <v>398</v>
      </c>
      <c r="H549" s="36" t="s">
        <v>399</v>
      </c>
      <c r="I549" s="36" t="s">
        <v>152</v>
      </c>
      <c r="J549" s="36" t="s">
        <v>400</v>
      </c>
      <c r="K549" s="36" t="s">
        <v>177</v>
      </c>
      <c r="L549" s="74">
        <f>VLOOKUP(E549,Diccionario!C$2:AC$150,22,0)</f>
        <v>3810581437</v>
      </c>
      <c r="M549" s="75">
        <f>VLOOKUP(E549,Diccionario!C$2:AC$150,24,0)</f>
        <v>45931</v>
      </c>
      <c r="N549" s="76">
        <f>VLOOKUP(E549,Diccionario!C$2:AC$150,25,0)</f>
        <v>47483</v>
      </c>
      <c r="O549" s="77">
        <f>VLOOKUP(E549,Diccionario!C$2:AC$150,26,0)</f>
        <v>51</v>
      </c>
      <c r="P549" s="77">
        <f t="shared" si="176"/>
        <v>-1</v>
      </c>
      <c r="Q549" s="78">
        <v>50</v>
      </c>
      <c r="R549" s="36">
        <v>47</v>
      </c>
      <c r="S549" s="100">
        <v>0.999</v>
      </c>
      <c r="T549" s="86"/>
      <c r="U549" s="82"/>
      <c r="V549" s="82"/>
      <c r="W549" s="82">
        <f t="shared" si="170"/>
        <v>0</v>
      </c>
      <c r="X549" s="82">
        <f t="shared" si="177"/>
        <v>3806770855.5630002</v>
      </c>
      <c r="Y549" s="82">
        <f t="shared" si="171"/>
        <v>0</v>
      </c>
      <c r="Z549" s="82">
        <f t="shared" si="178"/>
        <v>-3806770855.5630002</v>
      </c>
      <c r="AA549" s="83" t="str">
        <f t="shared" si="175"/>
        <v>No se realizó gasto en este corte</v>
      </c>
      <c r="AB549" s="84" t="str">
        <f t="shared" si="179"/>
        <v>Costo eficiente: se está gastando menos de lo presupuestado</v>
      </c>
      <c r="AC549" s="84">
        <f t="shared" si="172"/>
        <v>0</v>
      </c>
      <c r="AD549" s="84" t="str">
        <f t="shared" si="180"/>
        <v>Sin Línea Base</v>
      </c>
      <c r="AE549" s="85">
        <f t="shared" si="173"/>
        <v>0</v>
      </c>
      <c r="AF549" s="85">
        <f t="shared" si="174"/>
        <v>-3810581437</v>
      </c>
      <c r="AG549" s="40" t="str">
        <f>VLOOKUP(Indicador!E549,Diccionario!C$1:AC$150,27,0)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49" s="40">
        <v>1</v>
      </c>
      <c r="AI549" s="40">
        <v>1</v>
      </c>
    </row>
    <row r="550" spans="1:35" ht="18.75" customHeight="1">
      <c r="A550" s="73">
        <v>2029</v>
      </c>
      <c r="B550" s="112" t="s">
        <v>32</v>
      </c>
      <c r="C550" s="36" t="s">
        <v>397</v>
      </c>
      <c r="D550" s="37">
        <v>45932.836031516206</v>
      </c>
      <c r="E550" s="36" t="s">
        <v>102</v>
      </c>
      <c r="F550" s="36" t="s">
        <v>149</v>
      </c>
      <c r="G550" s="36" t="s">
        <v>398</v>
      </c>
      <c r="H550" s="36" t="s">
        <v>399</v>
      </c>
      <c r="I550" s="36" t="s">
        <v>152</v>
      </c>
      <c r="J550" s="36" t="s">
        <v>400</v>
      </c>
      <c r="K550" s="36" t="s">
        <v>177</v>
      </c>
      <c r="L550" s="74">
        <f>VLOOKUP(E550,Diccionario!C$2:AC$150,22,0)</f>
        <v>3810581437</v>
      </c>
      <c r="M550" s="75">
        <f>VLOOKUP(E550,Diccionario!C$2:AC$150,24,0)</f>
        <v>45931</v>
      </c>
      <c r="N550" s="76">
        <f>VLOOKUP(E550,Diccionario!C$2:AC$150,25,0)</f>
        <v>47483</v>
      </c>
      <c r="O550" s="77">
        <f>VLOOKUP(E550,Diccionario!C$2:AC$150,26,0)</f>
        <v>51</v>
      </c>
      <c r="P550" s="77">
        <f t="shared" si="176"/>
        <v>0</v>
      </c>
      <c r="Q550" s="78">
        <v>51</v>
      </c>
      <c r="R550" s="36">
        <v>47</v>
      </c>
      <c r="S550" s="86">
        <v>1</v>
      </c>
      <c r="T550" s="86"/>
      <c r="U550" s="82"/>
      <c r="V550" s="82"/>
      <c r="W550" s="82">
        <f t="shared" si="170"/>
        <v>0</v>
      </c>
      <c r="X550" s="82">
        <f t="shared" si="177"/>
        <v>3810581437</v>
      </c>
      <c r="Y550" s="82">
        <f t="shared" si="171"/>
        <v>0</v>
      </c>
      <c r="Z550" s="82">
        <f t="shared" si="178"/>
        <v>-3810581437</v>
      </c>
      <c r="AA550" s="83" t="str">
        <f t="shared" si="175"/>
        <v>No se realizó gasto en este corte</v>
      </c>
      <c r="AB550" s="84" t="str">
        <f t="shared" si="179"/>
        <v>Costo eficiente: se está gastando menos de lo presupuestado</v>
      </c>
      <c r="AC550" s="84">
        <f t="shared" si="172"/>
        <v>0</v>
      </c>
      <c r="AD550" s="84" t="str">
        <f t="shared" si="180"/>
        <v>Sin Línea Base</v>
      </c>
      <c r="AE550" s="85">
        <f t="shared" si="173"/>
        <v>0</v>
      </c>
      <c r="AF550" s="85">
        <f t="shared" si="174"/>
        <v>-3810581437</v>
      </c>
      <c r="AG550" s="40" t="str">
        <f>VLOOKUP(Indicador!E550,Diccionario!C$1:AC$150,27,0)</f>
        <v>https://growdatasas.sharepoint.com/:x:/r/sites/Gestiondocumental/Administrativa/GD/Financiera/_layouts/15/Doc.aspx?sourcedoc=%7BB9F619F2-CED9-492C-9912-ECF7B94ECFDC%7D&amp;file=MODELO%20FINANCIERO%20HCI%20Ministerio%20del%20Interior%20-%20UT%20GD%20HC%2026-09-2025.xlsm&amp;action=default&amp;mobileredirect=true</v>
      </c>
      <c r="AH550" s="40">
        <v>1</v>
      </c>
      <c r="AI550" s="40">
        <v>1</v>
      </c>
    </row>
    <row r="551" spans="1:35" ht="18.75" customHeight="1">
      <c r="A551" s="73">
        <v>2025</v>
      </c>
      <c r="B551" s="112" t="s">
        <v>30</v>
      </c>
      <c r="C551" s="36" t="s">
        <v>401</v>
      </c>
      <c r="D551" s="37">
        <v>45768.647169212963</v>
      </c>
      <c r="E551" s="36" t="s">
        <v>104</v>
      </c>
      <c r="F551" s="36" t="s">
        <v>149</v>
      </c>
      <c r="G551" s="36" t="s">
        <v>402</v>
      </c>
      <c r="H551" s="36" t="s">
        <v>403</v>
      </c>
      <c r="I551" s="36" t="s">
        <v>152</v>
      </c>
      <c r="J551" s="36" t="s">
        <v>404</v>
      </c>
      <c r="K551" s="36" t="s">
        <v>154</v>
      </c>
      <c r="L551" s="74">
        <f>VLOOKUP(E551,Diccionario!C$2:AC$150,22,0)</f>
        <v>93771886</v>
      </c>
      <c r="M551" s="75">
        <f>VLOOKUP(E551,Diccionario!C$2:AC$150,24,0)</f>
        <v>45931</v>
      </c>
      <c r="N551" s="76">
        <f>VLOOKUP(E551,Diccionario!C$2:AC$150,25,0)</f>
        <v>47756</v>
      </c>
      <c r="O551" s="77">
        <f>VLOOKUP(E551,Diccionario!C$2:AC$150,26,0)</f>
        <v>59.97</v>
      </c>
      <c r="P551" s="77">
        <f t="shared" si="176"/>
        <v>-58.97</v>
      </c>
      <c r="Q551" s="78">
        <v>1</v>
      </c>
      <c r="R551" s="36">
        <v>56</v>
      </c>
      <c r="S551" s="86">
        <v>0.75</v>
      </c>
      <c r="T551" s="86">
        <v>0.75</v>
      </c>
      <c r="U551" s="82">
        <v>130801762</v>
      </c>
      <c r="V551" s="82">
        <v>130801762</v>
      </c>
      <c r="W551" s="82">
        <f t="shared" si="170"/>
        <v>70328914.5</v>
      </c>
      <c r="X551" s="82">
        <f t="shared" si="177"/>
        <v>70328914.5</v>
      </c>
      <c r="Y551" s="82">
        <f t="shared" si="171"/>
        <v>-60472847.5</v>
      </c>
      <c r="Z551" s="82">
        <f t="shared" si="178"/>
        <v>0</v>
      </c>
      <c r="AA551" s="83">
        <f t="shared" si="175"/>
        <v>0.53767558956889283</v>
      </c>
      <c r="AB551" s="84" t="str">
        <f t="shared" si="179"/>
        <v>Costo ineficiente: se está gastando más de lo presupuestado</v>
      </c>
      <c r="AC551" s="84">
        <f t="shared" si="172"/>
        <v>1</v>
      </c>
      <c r="AD551" s="84" t="str">
        <f t="shared" si="180"/>
        <v>Proyecto a tiempo según lo planificado</v>
      </c>
      <c r="AE551" s="85">
        <f t="shared" si="173"/>
        <v>174402349.33333331</v>
      </c>
      <c r="AF551" s="85">
        <f t="shared" si="174"/>
        <v>80630463.333333313</v>
      </c>
      <c r="AG551" s="40" t="str">
        <f>VLOOKUP(Indicador!E551,Diccionario!C$1:AC$150,27,0)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1" s="40">
        <v>1</v>
      </c>
      <c r="AI551" s="40">
        <v>1</v>
      </c>
    </row>
    <row r="552" spans="1:35" ht="18.75" customHeight="1">
      <c r="A552" s="73">
        <v>2025</v>
      </c>
      <c r="B552" s="112" t="s">
        <v>31</v>
      </c>
      <c r="C552" s="36" t="s">
        <v>401</v>
      </c>
      <c r="D552" s="37">
        <v>45768.647169212963</v>
      </c>
      <c r="E552" s="36" t="s">
        <v>104</v>
      </c>
      <c r="F552" s="36" t="s">
        <v>149</v>
      </c>
      <c r="G552" s="36" t="s">
        <v>402</v>
      </c>
      <c r="H552" s="36" t="s">
        <v>403</v>
      </c>
      <c r="I552" s="36" t="s">
        <v>152</v>
      </c>
      <c r="J552" s="36" t="s">
        <v>404</v>
      </c>
      <c r="K552" s="36" t="s">
        <v>154</v>
      </c>
      <c r="L552" s="74">
        <f>VLOOKUP(E552,Diccionario!C$2:AC$150,22,0)</f>
        <v>93771886</v>
      </c>
      <c r="M552" s="75">
        <f>VLOOKUP(E552,Diccionario!C$2:AC$150,24,0)</f>
        <v>45931</v>
      </c>
      <c r="N552" s="76">
        <f>VLOOKUP(E552,Diccionario!C$2:AC$150,25,0)</f>
        <v>47756</v>
      </c>
      <c r="O552" s="77">
        <f>VLOOKUP(E552,Diccionario!C$2:AC$150,26,0)</f>
        <v>59.97</v>
      </c>
      <c r="P552" s="77">
        <f t="shared" si="176"/>
        <v>-57.97</v>
      </c>
      <c r="Q552" s="78">
        <v>2</v>
      </c>
      <c r="R552" s="36">
        <v>56</v>
      </c>
      <c r="S552" s="100">
        <v>0.999</v>
      </c>
      <c r="T552" s="100">
        <v>0.999</v>
      </c>
      <c r="U552" s="82">
        <v>312798</v>
      </c>
      <c r="V552" s="82">
        <v>312798</v>
      </c>
      <c r="W552" s="82">
        <f t="shared" si="170"/>
        <v>93678114.113999993</v>
      </c>
      <c r="X552" s="82">
        <f t="shared" si="177"/>
        <v>93678114.113999993</v>
      </c>
      <c r="Y552" s="82">
        <f t="shared" si="171"/>
        <v>93365316.113999993</v>
      </c>
      <c r="Z552" s="82">
        <f t="shared" si="178"/>
        <v>0</v>
      </c>
      <c r="AA552" s="83">
        <f t="shared" si="175"/>
        <v>299.48437686302339</v>
      </c>
      <c r="AB552" s="84" t="str">
        <f t="shared" si="179"/>
        <v>Costo eficiente: se está gastando menos de lo presupuestado</v>
      </c>
      <c r="AC552" s="84">
        <f t="shared" si="172"/>
        <v>1</v>
      </c>
      <c r="AD552" s="84" t="str">
        <f t="shared" si="180"/>
        <v>Proyecto a tiempo según lo planificado</v>
      </c>
      <c r="AE552" s="85">
        <f t="shared" si="173"/>
        <v>313111.11111111112</v>
      </c>
      <c r="AF552" s="85">
        <f t="shared" si="174"/>
        <v>-93458774.888888896</v>
      </c>
      <c r="AG552" s="40" t="str">
        <f>VLOOKUP(Indicador!E552,Diccionario!C$1:AC$150,27,0)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2" s="40">
        <v>1</v>
      </c>
      <c r="AI552" s="40">
        <v>1</v>
      </c>
    </row>
    <row r="553" spans="1:35" ht="18.75" customHeight="1">
      <c r="A553" s="73">
        <v>2025</v>
      </c>
      <c r="B553" s="112" t="s">
        <v>32</v>
      </c>
      <c r="C553" s="36" t="s">
        <v>401</v>
      </c>
      <c r="D553" s="37">
        <v>45768.647169212963</v>
      </c>
      <c r="E553" s="36" t="s">
        <v>104</v>
      </c>
      <c r="F553" s="36" t="s">
        <v>149</v>
      </c>
      <c r="G553" s="36" t="s">
        <v>402</v>
      </c>
      <c r="H553" s="36" t="s">
        <v>403</v>
      </c>
      <c r="I553" s="36" t="s">
        <v>152</v>
      </c>
      <c r="J553" s="36" t="s">
        <v>404</v>
      </c>
      <c r="K553" s="36" t="s">
        <v>154</v>
      </c>
      <c r="L553" s="74">
        <f>VLOOKUP(E553,Diccionario!C$2:AC$150,22,0)</f>
        <v>93771886</v>
      </c>
      <c r="M553" s="75">
        <f>VLOOKUP(E553,Diccionario!C$2:AC$150,24,0)</f>
        <v>45931</v>
      </c>
      <c r="N553" s="76">
        <f>VLOOKUP(E553,Diccionario!C$2:AC$150,25,0)</f>
        <v>47756</v>
      </c>
      <c r="O553" s="77">
        <f>VLOOKUP(E553,Diccionario!C$2:AC$150,26,0)</f>
        <v>59.97</v>
      </c>
      <c r="P553" s="77">
        <f t="shared" si="176"/>
        <v>-56.97</v>
      </c>
      <c r="Q553" s="78">
        <v>3</v>
      </c>
      <c r="R553" s="36">
        <v>56</v>
      </c>
      <c r="S553" s="100">
        <v>0.999</v>
      </c>
      <c r="T553" s="100">
        <v>0.999</v>
      </c>
      <c r="U553" s="82">
        <v>0</v>
      </c>
      <c r="V553" s="82">
        <v>0</v>
      </c>
      <c r="W553" s="82">
        <f t="shared" si="170"/>
        <v>93678114.113999993</v>
      </c>
      <c r="X553" s="82">
        <f t="shared" si="177"/>
        <v>93678114.113999993</v>
      </c>
      <c r="Y553" s="82">
        <f t="shared" si="171"/>
        <v>93678114.113999993</v>
      </c>
      <c r="Z553" s="82">
        <f t="shared" si="178"/>
        <v>0</v>
      </c>
      <c r="AA553" s="83" t="str">
        <f t="shared" si="175"/>
        <v>No se realizó gasto en este corte</v>
      </c>
      <c r="AB553" s="84" t="str">
        <f t="shared" si="179"/>
        <v>Costo eficiente: se está gastando menos de lo presupuestado</v>
      </c>
      <c r="AC553" s="84">
        <f t="shared" si="172"/>
        <v>1</v>
      </c>
      <c r="AD553" s="84" t="str">
        <f t="shared" si="180"/>
        <v>Proyecto a tiempo según lo planificado</v>
      </c>
      <c r="AE553" s="85">
        <f t="shared" si="173"/>
        <v>0</v>
      </c>
      <c r="AF553" s="85">
        <f t="shared" si="174"/>
        <v>-93771886</v>
      </c>
      <c r="AG553" s="40" t="str">
        <f>VLOOKUP(Indicador!E553,Diccionario!C$1:AC$150,27,0)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3" s="40">
        <v>1</v>
      </c>
      <c r="AI553" s="40">
        <v>1</v>
      </c>
    </row>
    <row r="554" spans="1:35" ht="18.75" customHeight="1">
      <c r="A554" s="73">
        <v>2026</v>
      </c>
      <c r="B554" s="112" t="s">
        <v>14</v>
      </c>
      <c r="C554" s="36" t="s">
        <v>401</v>
      </c>
      <c r="D554" s="37">
        <v>45768.647169212963</v>
      </c>
      <c r="E554" s="36" t="s">
        <v>104</v>
      </c>
      <c r="F554" s="36" t="s">
        <v>149</v>
      </c>
      <c r="G554" s="36" t="s">
        <v>402</v>
      </c>
      <c r="H554" s="36" t="s">
        <v>403</v>
      </c>
      <c r="I554" s="36" t="s">
        <v>152</v>
      </c>
      <c r="J554" s="36" t="s">
        <v>404</v>
      </c>
      <c r="K554" s="36" t="s">
        <v>154</v>
      </c>
      <c r="L554" s="74">
        <f>VLOOKUP(E554,Diccionario!C$2:AC$150,22,0)</f>
        <v>93771886</v>
      </c>
      <c r="M554" s="75">
        <f>VLOOKUP(E554,Diccionario!C$2:AC$150,24,0)</f>
        <v>45931</v>
      </c>
      <c r="N554" s="76">
        <f>VLOOKUP(E554,Diccionario!C$2:AC$150,25,0)</f>
        <v>47756</v>
      </c>
      <c r="O554" s="77">
        <f>VLOOKUP(E554,Diccionario!C$2:AC$150,26,0)</f>
        <v>59.97</v>
      </c>
      <c r="P554" s="77">
        <f t="shared" si="176"/>
        <v>-55.97</v>
      </c>
      <c r="Q554" s="78">
        <v>4</v>
      </c>
      <c r="R554" s="36">
        <v>56</v>
      </c>
      <c r="S554" s="100">
        <v>0.999</v>
      </c>
      <c r="T554" s="86"/>
      <c r="U554" s="82">
        <v>0</v>
      </c>
      <c r="V554" s="82">
        <v>0</v>
      </c>
      <c r="W554" s="82">
        <f t="shared" si="170"/>
        <v>0</v>
      </c>
      <c r="X554" s="82">
        <f t="shared" si="177"/>
        <v>93678114.113999993</v>
      </c>
      <c r="Y554" s="82">
        <f t="shared" si="171"/>
        <v>0</v>
      </c>
      <c r="Z554" s="82">
        <f t="shared" si="178"/>
        <v>-93678114.113999993</v>
      </c>
      <c r="AA554" s="83" t="str">
        <f t="shared" si="175"/>
        <v>No se realizó gasto en este corte</v>
      </c>
      <c r="AB554" s="84" t="str">
        <f t="shared" si="179"/>
        <v>Costo eficiente: se está gastando menos de lo presupuestado</v>
      </c>
      <c r="AC554" s="84">
        <f t="shared" si="172"/>
        <v>0</v>
      </c>
      <c r="AD554" s="84" t="str">
        <f t="shared" si="180"/>
        <v>Sin Línea Base</v>
      </c>
      <c r="AE554" s="85">
        <f t="shared" si="173"/>
        <v>0</v>
      </c>
      <c r="AF554" s="85">
        <f t="shared" si="174"/>
        <v>-93771886</v>
      </c>
      <c r="AG554" s="40" t="str">
        <f>VLOOKUP(Indicador!E554,Diccionario!C$1:AC$150,27,0)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4" s="40">
        <v>1</v>
      </c>
      <c r="AI554" s="40">
        <v>1</v>
      </c>
    </row>
    <row r="555" spans="1:35" ht="18.75" customHeight="1">
      <c r="A555" s="73">
        <v>2026</v>
      </c>
      <c r="B555" s="112" t="s">
        <v>22</v>
      </c>
      <c r="C555" s="36" t="s">
        <v>401</v>
      </c>
      <c r="D555" s="37">
        <v>45768.647169212963</v>
      </c>
      <c r="E555" s="36" t="s">
        <v>104</v>
      </c>
      <c r="F555" s="36" t="s">
        <v>149</v>
      </c>
      <c r="G555" s="36" t="s">
        <v>402</v>
      </c>
      <c r="H555" s="36" t="s">
        <v>403</v>
      </c>
      <c r="I555" s="36" t="s">
        <v>152</v>
      </c>
      <c r="J555" s="36" t="s">
        <v>404</v>
      </c>
      <c r="K555" s="36" t="s">
        <v>154</v>
      </c>
      <c r="L555" s="74">
        <f>VLOOKUP(E555,Diccionario!C$2:AC$150,22,0)</f>
        <v>93771886</v>
      </c>
      <c r="M555" s="75">
        <f>VLOOKUP(E555,Diccionario!C$2:AC$150,24,0)</f>
        <v>45931</v>
      </c>
      <c r="N555" s="76">
        <f>VLOOKUP(E555,Diccionario!C$2:AC$150,25,0)</f>
        <v>47756</v>
      </c>
      <c r="O555" s="77">
        <f>VLOOKUP(E555,Diccionario!C$2:AC$150,26,0)</f>
        <v>59.97</v>
      </c>
      <c r="P555" s="77">
        <f t="shared" si="176"/>
        <v>-54.97</v>
      </c>
      <c r="Q555" s="78">
        <v>5</v>
      </c>
      <c r="R555" s="36">
        <v>56</v>
      </c>
      <c r="S555" s="100">
        <v>0.999</v>
      </c>
      <c r="T555" s="86"/>
      <c r="U555" s="82"/>
      <c r="V555" s="82"/>
      <c r="W555" s="82">
        <f t="shared" si="170"/>
        <v>0</v>
      </c>
      <c r="X555" s="82">
        <f t="shared" si="177"/>
        <v>93678114.113999993</v>
      </c>
      <c r="Y555" s="82">
        <f t="shared" si="171"/>
        <v>0</v>
      </c>
      <c r="Z555" s="82">
        <f t="shared" si="178"/>
        <v>-93678114.113999993</v>
      </c>
      <c r="AA555" s="83" t="str">
        <f t="shared" si="175"/>
        <v>No se realizó gasto en este corte</v>
      </c>
      <c r="AB555" s="84" t="str">
        <f t="shared" si="179"/>
        <v>Costo eficiente: se está gastando menos de lo presupuestado</v>
      </c>
      <c r="AC555" s="84">
        <f t="shared" si="172"/>
        <v>0</v>
      </c>
      <c r="AD555" s="84" t="str">
        <f t="shared" si="180"/>
        <v>Sin Línea Base</v>
      </c>
      <c r="AE555" s="85">
        <f t="shared" si="173"/>
        <v>0</v>
      </c>
      <c r="AF555" s="85">
        <f t="shared" si="174"/>
        <v>-93771886</v>
      </c>
      <c r="AG555" s="40" t="str">
        <f>VLOOKUP(Indicador!E555,Diccionario!C$1:AC$150,27,0)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5" s="40">
        <v>1</v>
      </c>
      <c r="AI555" s="40">
        <v>1</v>
      </c>
    </row>
    <row r="556" spans="1:35" ht="18.75" customHeight="1">
      <c r="A556" s="73">
        <v>2026</v>
      </c>
      <c r="B556" s="112" t="s">
        <v>24</v>
      </c>
      <c r="C556" s="36" t="s">
        <v>401</v>
      </c>
      <c r="D556" s="37">
        <v>45768.647169212963</v>
      </c>
      <c r="E556" s="36" t="s">
        <v>104</v>
      </c>
      <c r="F556" s="36" t="s">
        <v>149</v>
      </c>
      <c r="G556" s="36" t="s">
        <v>402</v>
      </c>
      <c r="H556" s="36" t="s">
        <v>403</v>
      </c>
      <c r="I556" s="36" t="s">
        <v>152</v>
      </c>
      <c r="J556" s="36" t="s">
        <v>404</v>
      </c>
      <c r="K556" s="36" t="s">
        <v>154</v>
      </c>
      <c r="L556" s="74">
        <f>VLOOKUP(E556,Diccionario!C$2:AC$150,22,0)</f>
        <v>93771886</v>
      </c>
      <c r="M556" s="75">
        <f>VLOOKUP(E556,Diccionario!C$2:AC$150,24,0)</f>
        <v>45931</v>
      </c>
      <c r="N556" s="76">
        <f>VLOOKUP(E556,Diccionario!C$2:AC$150,25,0)</f>
        <v>47756</v>
      </c>
      <c r="O556" s="77">
        <f>VLOOKUP(E556,Diccionario!C$2:AC$150,26,0)</f>
        <v>59.97</v>
      </c>
      <c r="P556" s="77">
        <f t="shared" si="176"/>
        <v>-53.97</v>
      </c>
      <c r="Q556" s="78">
        <v>6</v>
      </c>
      <c r="R556" s="36">
        <v>56</v>
      </c>
      <c r="S556" s="100">
        <v>0.999</v>
      </c>
      <c r="T556" s="86"/>
      <c r="U556" s="82"/>
      <c r="V556" s="82"/>
      <c r="W556" s="82">
        <f t="shared" si="170"/>
        <v>0</v>
      </c>
      <c r="X556" s="82">
        <f t="shared" si="177"/>
        <v>93678114.113999993</v>
      </c>
      <c r="Y556" s="82">
        <f t="shared" si="171"/>
        <v>0</v>
      </c>
      <c r="Z556" s="82">
        <f t="shared" si="178"/>
        <v>-93678114.113999993</v>
      </c>
      <c r="AA556" s="83" t="str">
        <f t="shared" si="175"/>
        <v>No se realizó gasto en este corte</v>
      </c>
      <c r="AB556" s="84" t="str">
        <f t="shared" si="179"/>
        <v>Costo eficiente: se está gastando menos de lo presupuestado</v>
      </c>
      <c r="AC556" s="84">
        <f t="shared" si="172"/>
        <v>0</v>
      </c>
      <c r="AD556" s="84" t="str">
        <f t="shared" si="180"/>
        <v>Sin Línea Base</v>
      </c>
      <c r="AE556" s="85">
        <f t="shared" si="173"/>
        <v>0</v>
      </c>
      <c r="AF556" s="85">
        <f t="shared" si="174"/>
        <v>-93771886</v>
      </c>
      <c r="AG556" s="40" t="str">
        <f>VLOOKUP(Indicador!E556,Diccionario!C$1:AC$150,27,0)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6" s="40">
        <v>1</v>
      </c>
      <c r="AI556" s="40">
        <v>1</v>
      </c>
    </row>
    <row r="557" spans="1:35" ht="18.75" customHeight="1">
      <c r="A557" s="73">
        <v>2026</v>
      </c>
      <c r="B557" s="112" t="s">
        <v>27</v>
      </c>
      <c r="C557" s="36" t="s">
        <v>401</v>
      </c>
      <c r="D557" s="37">
        <v>45768.647169212963</v>
      </c>
      <c r="E557" s="36" t="s">
        <v>104</v>
      </c>
      <c r="F557" s="36" t="s">
        <v>149</v>
      </c>
      <c r="G557" s="36" t="s">
        <v>402</v>
      </c>
      <c r="H557" s="36" t="s">
        <v>403</v>
      </c>
      <c r="I557" s="36" t="s">
        <v>152</v>
      </c>
      <c r="J557" s="36" t="s">
        <v>404</v>
      </c>
      <c r="K557" s="36" t="s">
        <v>154</v>
      </c>
      <c r="L557" s="74">
        <f>VLOOKUP(E557,Diccionario!C$2:AC$150,22,0)</f>
        <v>93771886</v>
      </c>
      <c r="M557" s="75">
        <f>VLOOKUP(E557,Diccionario!C$2:AC$150,24,0)</f>
        <v>45931</v>
      </c>
      <c r="N557" s="76">
        <f>VLOOKUP(E557,Diccionario!C$2:AC$150,25,0)</f>
        <v>47756</v>
      </c>
      <c r="O557" s="77">
        <f>VLOOKUP(E557,Diccionario!C$2:AC$150,26,0)</f>
        <v>59.97</v>
      </c>
      <c r="P557" s="77">
        <f t="shared" si="176"/>
        <v>-52.97</v>
      </c>
      <c r="Q557" s="78">
        <v>7</v>
      </c>
      <c r="R557" s="36">
        <v>56</v>
      </c>
      <c r="S557" s="100">
        <v>0.999</v>
      </c>
      <c r="T557" s="86"/>
      <c r="U557" s="82"/>
      <c r="V557" s="82"/>
      <c r="W557" s="82">
        <f t="shared" si="170"/>
        <v>0</v>
      </c>
      <c r="X557" s="82">
        <f t="shared" si="177"/>
        <v>93678114.113999993</v>
      </c>
      <c r="Y557" s="82">
        <f t="shared" si="171"/>
        <v>0</v>
      </c>
      <c r="Z557" s="82">
        <f t="shared" si="178"/>
        <v>-93678114.113999993</v>
      </c>
      <c r="AA557" s="83" t="str">
        <f t="shared" si="175"/>
        <v>No se realizó gasto en este corte</v>
      </c>
      <c r="AB557" s="84" t="str">
        <f t="shared" si="179"/>
        <v>Costo eficiente: se está gastando menos de lo presupuestado</v>
      </c>
      <c r="AC557" s="84">
        <f t="shared" si="172"/>
        <v>0</v>
      </c>
      <c r="AD557" s="84" t="str">
        <f t="shared" si="180"/>
        <v>Sin Línea Base</v>
      </c>
      <c r="AE557" s="85">
        <f t="shared" si="173"/>
        <v>0</v>
      </c>
      <c r="AF557" s="85">
        <f t="shared" si="174"/>
        <v>-93771886</v>
      </c>
      <c r="AG557" s="40" t="str">
        <f>VLOOKUP(Indicador!E557,Diccionario!C$1:AC$150,27,0)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7" s="40">
        <v>1</v>
      </c>
      <c r="AI557" s="40">
        <v>1</v>
      </c>
    </row>
    <row r="558" spans="1:35" ht="18.75" customHeight="1">
      <c r="A558" s="73">
        <v>2026</v>
      </c>
      <c r="B558" s="112" t="s">
        <v>13</v>
      </c>
      <c r="C558" s="36" t="s">
        <v>401</v>
      </c>
      <c r="D558" s="37">
        <v>45768.647169212963</v>
      </c>
      <c r="E558" s="36" t="s">
        <v>104</v>
      </c>
      <c r="F558" s="36" t="s">
        <v>149</v>
      </c>
      <c r="G558" s="36" t="s">
        <v>402</v>
      </c>
      <c r="H558" s="36" t="s">
        <v>403</v>
      </c>
      <c r="I558" s="36" t="s">
        <v>152</v>
      </c>
      <c r="J558" s="36" t="s">
        <v>404</v>
      </c>
      <c r="K558" s="36" t="s">
        <v>154</v>
      </c>
      <c r="L558" s="74">
        <f>VLOOKUP(E558,Diccionario!C$2:AC$150,22,0)</f>
        <v>93771886</v>
      </c>
      <c r="M558" s="75">
        <f>VLOOKUP(E558,Diccionario!C$2:AC$150,24,0)</f>
        <v>45931</v>
      </c>
      <c r="N558" s="76">
        <f>VLOOKUP(E558,Diccionario!C$2:AC$150,25,0)</f>
        <v>47756</v>
      </c>
      <c r="O558" s="77">
        <f>VLOOKUP(E558,Diccionario!C$2:AC$150,26,0)</f>
        <v>59.97</v>
      </c>
      <c r="P558" s="77">
        <f t="shared" si="176"/>
        <v>-51.97</v>
      </c>
      <c r="Q558" s="78">
        <v>8</v>
      </c>
      <c r="R558" s="36">
        <v>56</v>
      </c>
      <c r="S558" s="100">
        <v>0.999</v>
      </c>
      <c r="T558" s="86"/>
      <c r="U558" s="82"/>
      <c r="V558" s="82"/>
      <c r="W558" s="82">
        <f t="shared" si="170"/>
        <v>0</v>
      </c>
      <c r="X558" s="82">
        <f t="shared" si="177"/>
        <v>93678114.113999993</v>
      </c>
      <c r="Y558" s="82">
        <f t="shared" si="171"/>
        <v>0</v>
      </c>
      <c r="Z558" s="82">
        <f t="shared" si="178"/>
        <v>-93678114.113999993</v>
      </c>
      <c r="AA558" s="83" t="str">
        <f t="shared" si="175"/>
        <v>No se realizó gasto en este corte</v>
      </c>
      <c r="AB558" s="84" t="str">
        <f t="shared" si="179"/>
        <v>Costo eficiente: se está gastando menos de lo presupuestado</v>
      </c>
      <c r="AC558" s="84">
        <f t="shared" si="172"/>
        <v>0</v>
      </c>
      <c r="AD558" s="84" t="str">
        <f t="shared" si="180"/>
        <v>Sin Línea Base</v>
      </c>
      <c r="AE558" s="85">
        <f t="shared" si="173"/>
        <v>0</v>
      </c>
      <c r="AF558" s="85">
        <f t="shared" si="174"/>
        <v>-93771886</v>
      </c>
      <c r="AG558" s="40" t="str">
        <f>VLOOKUP(Indicador!E558,Diccionario!C$1:AC$150,27,0)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8" s="40">
        <v>1</v>
      </c>
      <c r="AI558" s="40">
        <v>1</v>
      </c>
    </row>
    <row r="559" spans="1:35" ht="18.75" customHeight="1">
      <c r="A559" s="73">
        <v>2026</v>
      </c>
      <c r="B559" s="112" t="s">
        <v>21</v>
      </c>
      <c r="C559" s="36" t="s">
        <v>401</v>
      </c>
      <c r="D559" s="37">
        <v>45768.647169212963</v>
      </c>
      <c r="E559" s="36" t="s">
        <v>104</v>
      </c>
      <c r="F559" s="36" t="s">
        <v>149</v>
      </c>
      <c r="G559" s="36" t="s">
        <v>402</v>
      </c>
      <c r="H559" s="36" t="s">
        <v>403</v>
      </c>
      <c r="I559" s="36" t="s">
        <v>152</v>
      </c>
      <c r="J559" s="36" t="s">
        <v>404</v>
      </c>
      <c r="K559" s="36" t="s">
        <v>154</v>
      </c>
      <c r="L559" s="74">
        <f>VLOOKUP(E559,Diccionario!C$2:AC$150,22,0)</f>
        <v>93771886</v>
      </c>
      <c r="M559" s="75">
        <f>VLOOKUP(E559,Diccionario!C$2:AC$150,24,0)</f>
        <v>45931</v>
      </c>
      <c r="N559" s="76">
        <f>VLOOKUP(E559,Diccionario!C$2:AC$150,25,0)</f>
        <v>47756</v>
      </c>
      <c r="O559" s="77">
        <f>VLOOKUP(E559,Diccionario!C$2:AC$150,26,0)</f>
        <v>59.97</v>
      </c>
      <c r="P559" s="77">
        <f t="shared" si="176"/>
        <v>-50.97</v>
      </c>
      <c r="Q559" s="78">
        <v>9</v>
      </c>
      <c r="R559" s="36">
        <v>56</v>
      </c>
      <c r="S559" s="100">
        <v>0.999</v>
      </c>
      <c r="T559" s="86"/>
      <c r="U559" s="82"/>
      <c r="V559" s="82"/>
      <c r="W559" s="82">
        <f t="shared" si="170"/>
        <v>0</v>
      </c>
      <c r="X559" s="82">
        <f t="shared" si="177"/>
        <v>93678114.113999993</v>
      </c>
      <c r="Y559" s="82">
        <f t="shared" si="171"/>
        <v>0</v>
      </c>
      <c r="Z559" s="82">
        <f t="shared" si="178"/>
        <v>-93678114.113999993</v>
      </c>
      <c r="AA559" s="83" t="str">
        <f t="shared" si="175"/>
        <v>No se realizó gasto en este corte</v>
      </c>
      <c r="AB559" s="84" t="str">
        <f t="shared" si="179"/>
        <v>Costo eficiente: se está gastando menos de lo presupuestado</v>
      </c>
      <c r="AC559" s="84">
        <f t="shared" si="172"/>
        <v>0</v>
      </c>
      <c r="AD559" s="84" t="str">
        <f t="shared" si="180"/>
        <v>Sin Línea Base</v>
      </c>
      <c r="AE559" s="85">
        <f t="shared" si="173"/>
        <v>0</v>
      </c>
      <c r="AF559" s="85">
        <f t="shared" si="174"/>
        <v>-93771886</v>
      </c>
      <c r="AG559" s="40" t="str">
        <f>VLOOKUP(Indicador!E559,Diccionario!C$1:AC$150,27,0)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59" s="40">
        <v>1</v>
      </c>
      <c r="AI559" s="40">
        <v>1</v>
      </c>
    </row>
    <row r="560" spans="1:35" ht="18.75" customHeight="1">
      <c r="A560" s="73">
        <v>2026</v>
      </c>
      <c r="B560" s="112" t="s">
        <v>23</v>
      </c>
      <c r="C560" s="36" t="s">
        <v>401</v>
      </c>
      <c r="D560" s="37">
        <v>45768.647169212963</v>
      </c>
      <c r="E560" s="36" t="s">
        <v>104</v>
      </c>
      <c r="F560" s="36" t="s">
        <v>149</v>
      </c>
      <c r="G560" s="36" t="s">
        <v>402</v>
      </c>
      <c r="H560" s="36" t="s">
        <v>403</v>
      </c>
      <c r="I560" s="36" t="s">
        <v>152</v>
      </c>
      <c r="J560" s="36" t="s">
        <v>404</v>
      </c>
      <c r="K560" s="36" t="s">
        <v>154</v>
      </c>
      <c r="L560" s="74">
        <f>VLOOKUP(E560,Diccionario!C$2:AC$150,22,0)</f>
        <v>93771886</v>
      </c>
      <c r="M560" s="75">
        <f>VLOOKUP(E560,Diccionario!C$2:AC$150,24,0)</f>
        <v>45931</v>
      </c>
      <c r="N560" s="76">
        <f>VLOOKUP(E560,Diccionario!C$2:AC$150,25,0)</f>
        <v>47756</v>
      </c>
      <c r="O560" s="77">
        <f>VLOOKUP(E560,Diccionario!C$2:AC$150,26,0)</f>
        <v>59.97</v>
      </c>
      <c r="P560" s="77">
        <f t="shared" si="176"/>
        <v>-49.97</v>
      </c>
      <c r="Q560" s="78">
        <v>10</v>
      </c>
      <c r="R560" s="36">
        <v>56</v>
      </c>
      <c r="S560" s="100">
        <v>0.999</v>
      </c>
      <c r="T560" s="86"/>
      <c r="U560" s="82"/>
      <c r="V560" s="82"/>
      <c r="W560" s="82">
        <f t="shared" si="170"/>
        <v>0</v>
      </c>
      <c r="X560" s="82">
        <f t="shared" si="177"/>
        <v>93678114.113999993</v>
      </c>
      <c r="Y560" s="82">
        <f t="shared" si="171"/>
        <v>0</v>
      </c>
      <c r="Z560" s="82">
        <f t="shared" si="178"/>
        <v>-93678114.113999993</v>
      </c>
      <c r="AA560" s="83" t="str">
        <f t="shared" si="175"/>
        <v>No se realizó gasto en este corte</v>
      </c>
      <c r="AB560" s="84" t="str">
        <f t="shared" si="179"/>
        <v>Costo eficiente: se está gastando menos de lo presupuestado</v>
      </c>
      <c r="AC560" s="84">
        <f t="shared" si="172"/>
        <v>0</v>
      </c>
      <c r="AD560" s="84" t="str">
        <f t="shared" si="180"/>
        <v>Sin Línea Base</v>
      </c>
      <c r="AE560" s="85">
        <f t="shared" si="173"/>
        <v>0</v>
      </c>
      <c r="AF560" s="85">
        <f t="shared" si="174"/>
        <v>-93771886</v>
      </c>
      <c r="AG560" s="40" t="str">
        <f>VLOOKUP(Indicador!E560,Diccionario!C$1:AC$150,27,0)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0" s="40">
        <v>1</v>
      </c>
      <c r="AI560" s="40">
        <v>1</v>
      </c>
    </row>
    <row r="561" spans="1:35" ht="18.75" customHeight="1">
      <c r="A561" s="73">
        <v>2026</v>
      </c>
      <c r="B561" s="112" t="s">
        <v>26</v>
      </c>
      <c r="C561" s="36" t="s">
        <v>401</v>
      </c>
      <c r="D561" s="37">
        <v>45768.647169212963</v>
      </c>
      <c r="E561" s="36" t="s">
        <v>104</v>
      </c>
      <c r="F561" s="36" t="s">
        <v>149</v>
      </c>
      <c r="G561" s="36" t="s">
        <v>402</v>
      </c>
      <c r="H561" s="36" t="s">
        <v>403</v>
      </c>
      <c r="I561" s="36" t="s">
        <v>152</v>
      </c>
      <c r="J561" s="36" t="s">
        <v>404</v>
      </c>
      <c r="K561" s="36" t="s">
        <v>154</v>
      </c>
      <c r="L561" s="74">
        <f>VLOOKUP(E561,Diccionario!C$2:AC$150,22,0)</f>
        <v>93771886</v>
      </c>
      <c r="M561" s="75">
        <f>VLOOKUP(E561,Diccionario!C$2:AC$150,24,0)</f>
        <v>45931</v>
      </c>
      <c r="N561" s="76">
        <f>VLOOKUP(E561,Diccionario!C$2:AC$150,25,0)</f>
        <v>47756</v>
      </c>
      <c r="O561" s="77">
        <f>VLOOKUP(E561,Diccionario!C$2:AC$150,26,0)</f>
        <v>59.97</v>
      </c>
      <c r="P561" s="77">
        <f t="shared" si="176"/>
        <v>-48.97</v>
      </c>
      <c r="Q561" s="78">
        <v>11</v>
      </c>
      <c r="R561" s="36">
        <v>56</v>
      </c>
      <c r="S561" s="100">
        <v>0.999</v>
      </c>
      <c r="T561" s="86"/>
      <c r="U561" s="82"/>
      <c r="V561" s="82"/>
      <c r="W561" s="82">
        <f t="shared" si="170"/>
        <v>0</v>
      </c>
      <c r="X561" s="82">
        <f t="shared" si="177"/>
        <v>93678114.113999993</v>
      </c>
      <c r="Y561" s="82">
        <f t="shared" si="171"/>
        <v>0</v>
      </c>
      <c r="Z561" s="82">
        <f t="shared" si="178"/>
        <v>-93678114.113999993</v>
      </c>
      <c r="AA561" s="83" t="str">
        <f t="shared" si="175"/>
        <v>No se realizó gasto en este corte</v>
      </c>
      <c r="AB561" s="84" t="str">
        <f t="shared" si="179"/>
        <v>Costo eficiente: se está gastando menos de lo presupuestado</v>
      </c>
      <c r="AC561" s="84">
        <f t="shared" si="172"/>
        <v>0</v>
      </c>
      <c r="AD561" s="84" t="str">
        <f t="shared" si="180"/>
        <v>Sin Línea Base</v>
      </c>
      <c r="AE561" s="85">
        <f t="shared" si="173"/>
        <v>0</v>
      </c>
      <c r="AF561" s="85">
        <f t="shared" si="174"/>
        <v>-93771886</v>
      </c>
      <c r="AG561" s="40" t="str">
        <f>VLOOKUP(Indicador!E561,Diccionario!C$1:AC$150,27,0)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1" s="40">
        <v>1</v>
      </c>
      <c r="AI561" s="40">
        <v>1</v>
      </c>
    </row>
    <row r="562" spans="1:35" ht="18.75" customHeight="1">
      <c r="A562" s="73">
        <v>2026</v>
      </c>
      <c r="B562" s="112" t="s">
        <v>28</v>
      </c>
      <c r="C562" s="36" t="s">
        <v>401</v>
      </c>
      <c r="D562" s="37">
        <v>45768.647169212963</v>
      </c>
      <c r="E562" s="36" t="s">
        <v>104</v>
      </c>
      <c r="F562" s="36" t="s">
        <v>149</v>
      </c>
      <c r="G562" s="36" t="s">
        <v>402</v>
      </c>
      <c r="H562" s="36" t="s">
        <v>403</v>
      </c>
      <c r="I562" s="36" t="s">
        <v>152</v>
      </c>
      <c r="J562" s="36" t="s">
        <v>404</v>
      </c>
      <c r="K562" s="36" t="s">
        <v>154</v>
      </c>
      <c r="L562" s="74">
        <f>VLOOKUP(E562,Diccionario!C$2:AC$150,22,0)</f>
        <v>93771886</v>
      </c>
      <c r="M562" s="75">
        <f>VLOOKUP(E562,Diccionario!C$2:AC$150,24,0)</f>
        <v>45931</v>
      </c>
      <c r="N562" s="76">
        <f>VLOOKUP(E562,Diccionario!C$2:AC$150,25,0)</f>
        <v>47756</v>
      </c>
      <c r="O562" s="77">
        <f>VLOOKUP(E562,Diccionario!C$2:AC$150,26,0)</f>
        <v>59.97</v>
      </c>
      <c r="P562" s="77">
        <f t="shared" si="176"/>
        <v>-47.97</v>
      </c>
      <c r="Q562" s="78">
        <v>12</v>
      </c>
      <c r="R562" s="36">
        <v>56</v>
      </c>
      <c r="S562" s="100">
        <v>0.999</v>
      </c>
      <c r="T562" s="86"/>
      <c r="U562" s="82"/>
      <c r="V562" s="82"/>
      <c r="W562" s="82">
        <f t="shared" si="170"/>
        <v>0</v>
      </c>
      <c r="X562" s="82">
        <f t="shared" si="177"/>
        <v>93678114.113999993</v>
      </c>
      <c r="Y562" s="82">
        <f t="shared" si="171"/>
        <v>0</v>
      </c>
      <c r="Z562" s="82">
        <f t="shared" si="178"/>
        <v>-93678114.113999993</v>
      </c>
      <c r="AA562" s="83" t="str">
        <f t="shared" si="175"/>
        <v>No se realizó gasto en este corte</v>
      </c>
      <c r="AB562" s="84" t="str">
        <f t="shared" si="179"/>
        <v>Costo eficiente: se está gastando menos de lo presupuestado</v>
      </c>
      <c r="AC562" s="84">
        <f t="shared" si="172"/>
        <v>0</v>
      </c>
      <c r="AD562" s="84" t="str">
        <f t="shared" si="180"/>
        <v>Sin Línea Base</v>
      </c>
      <c r="AE562" s="85">
        <f t="shared" si="173"/>
        <v>0</v>
      </c>
      <c r="AF562" s="85">
        <f t="shared" si="174"/>
        <v>-93771886</v>
      </c>
      <c r="AG562" s="40" t="str">
        <f>VLOOKUP(Indicador!E562,Diccionario!C$1:AC$150,27,0)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2" s="40">
        <v>1</v>
      </c>
      <c r="AI562" s="40">
        <v>1</v>
      </c>
    </row>
    <row r="563" spans="1:35" ht="18.75" customHeight="1">
      <c r="A563" s="73">
        <v>2026</v>
      </c>
      <c r="B563" s="112" t="s">
        <v>30</v>
      </c>
      <c r="C563" s="36" t="s">
        <v>401</v>
      </c>
      <c r="D563" s="37">
        <v>45768.647169212963</v>
      </c>
      <c r="E563" s="36" t="s">
        <v>104</v>
      </c>
      <c r="F563" s="36" t="s">
        <v>149</v>
      </c>
      <c r="G563" s="36" t="s">
        <v>402</v>
      </c>
      <c r="H563" s="36" t="s">
        <v>403</v>
      </c>
      <c r="I563" s="36" t="s">
        <v>152</v>
      </c>
      <c r="J563" s="36" t="s">
        <v>404</v>
      </c>
      <c r="K563" s="36" t="s">
        <v>154</v>
      </c>
      <c r="L563" s="74">
        <f>VLOOKUP(E563,Diccionario!C$2:AC$150,22,0)</f>
        <v>93771886</v>
      </c>
      <c r="M563" s="75">
        <f>VLOOKUP(E563,Diccionario!C$2:AC$150,24,0)</f>
        <v>45931</v>
      </c>
      <c r="N563" s="76">
        <f>VLOOKUP(E563,Diccionario!C$2:AC$150,25,0)</f>
        <v>47756</v>
      </c>
      <c r="O563" s="77">
        <f>VLOOKUP(E563,Diccionario!C$2:AC$150,26,0)</f>
        <v>59.97</v>
      </c>
      <c r="P563" s="77">
        <f t="shared" si="176"/>
        <v>-46.97</v>
      </c>
      <c r="Q563" s="78">
        <v>13</v>
      </c>
      <c r="R563" s="36">
        <v>56</v>
      </c>
      <c r="S563" s="100">
        <v>0.999</v>
      </c>
      <c r="T563" s="86"/>
      <c r="U563" s="82"/>
      <c r="V563" s="82"/>
      <c r="W563" s="82">
        <f t="shared" si="170"/>
        <v>0</v>
      </c>
      <c r="X563" s="82">
        <f t="shared" si="177"/>
        <v>93678114.113999993</v>
      </c>
      <c r="Y563" s="82">
        <f t="shared" si="171"/>
        <v>0</v>
      </c>
      <c r="Z563" s="82">
        <f t="shared" si="178"/>
        <v>-93678114.113999993</v>
      </c>
      <c r="AA563" s="83" t="str">
        <f t="shared" si="175"/>
        <v>No se realizó gasto en este corte</v>
      </c>
      <c r="AB563" s="84" t="str">
        <f t="shared" si="179"/>
        <v>Costo eficiente: se está gastando menos de lo presupuestado</v>
      </c>
      <c r="AC563" s="84">
        <f t="shared" si="172"/>
        <v>0</v>
      </c>
      <c r="AD563" s="84" t="str">
        <f t="shared" si="180"/>
        <v>Sin Línea Base</v>
      </c>
      <c r="AE563" s="85">
        <f t="shared" si="173"/>
        <v>0</v>
      </c>
      <c r="AF563" s="85">
        <f t="shared" si="174"/>
        <v>-93771886</v>
      </c>
      <c r="AG563" s="40" t="str">
        <f>VLOOKUP(Indicador!E563,Diccionario!C$1:AC$150,27,0)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3" s="40">
        <v>1</v>
      </c>
      <c r="AI563" s="40">
        <v>1</v>
      </c>
    </row>
    <row r="564" spans="1:35" ht="18.75" customHeight="1">
      <c r="A564" s="73">
        <v>2026</v>
      </c>
      <c r="B564" s="112" t="s">
        <v>31</v>
      </c>
      <c r="C564" s="36" t="s">
        <v>401</v>
      </c>
      <c r="D564" s="37">
        <v>45768.647169212963</v>
      </c>
      <c r="E564" s="36" t="s">
        <v>104</v>
      </c>
      <c r="F564" s="36" t="s">
        <v>149</v>
      </c>
      <c r="G564" s="36" t="s">
        <v>402</v>
      </c>
      <c r="H564" s="36" t="s">
        <v>403</v>
      </c>
      <c r="I564" s="36" t="s">
        <v>152</v>
      </c>
      <c r="J564" s="36" t="s">
        <v>404</v>
      </c>
      <c r="K564" s="36" t="s">
        <v>154</v>
      </c>
      <c r="L564" s="74">
        <f>VLOOKUP(E564,Diccionario!C$2:AC$150,22,0)</f>
        <v>93771886</v>
      </c>
      <c r="M564" s="75">
        <f>VLOOKUP(E564,Diccionario!C$2:AC$150,24,0)</f>
        <v>45931</v>
      </c>
      <c r="N564" s="76">
        <f>VLOOKUP(E564,Diccionario!C$2:AC$150,25,0)</f>
        <v>47756</v>
      </c>
      <c r="O564" s="77">
        <f>VLOOKUP(E564,Diccionario!C$2:AC$150,26,0)</f>
        <v>59.97</v>
      </c>
      <c r="P564" s="77">
        <f t="shared" si="176"/>
        <v>-45.97</v>
      </c>
      <c r="Q564" s="78">
        <v>14</v>
      </c>
      <c r="R564" s="36">
        <v>56</v>
      </c>
      <c r="S564" s="100">
        <v>0.999</v>
      </c>
      <c r="T564" s="86"/>
      <c r="U564" s="82"/>
      <c r="V564" s="82"/>
      <c r="W564" s="82">
        <f t="shared" si="170"/>
        <v>0</v>
      </c>
      <c r="X564" s="82">
        <f t="shared" si="177"/>
        <v>93678114.113999993</v>
      </c>
      <c r="Y564" s="82">
        <f t="shared" si="171"/>
        <v>0</v>
      </c>
      <c r="Z564" s="82">
        <f t="shared" si="178"/>
        <v>-93678114.113999993</v>
      </c>
      <c r="AA564" s="83" t="str">
        <f t="shared" si="175"/>
        <v>No se realizó gasto en este corte</v>
      </c>
      <c r="AB564" s="84" t="str">
        <f t="shared" si="179"/>
        <v>Costo eficiente: se está gastando menos de lo presupuestado</v>
      </c>
      <c r="AC564" s="84">
        <f t="shared" si="172"/>
        <v>0</v>
      </c>
      <c r="AD564" s="84" t="str">
        <f t="shared" si="180"/>
        <v>Sin Línea Base</v>
      </c>
      <c r="AE564" s="85">
        <f t="shared" si="173"/>
        <v>0</v>
      </c>
      <c r="AF564" s="85">
        <f t="shared" si="174"/>
        <v>-93771886</v>
      </c>
      <c r="AG564" s="40" t="str">
        <f>VLOOKUP(Indicador!E564,Diccionario!C$1:AC$150,27,0)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4" s="40">
        <v>1</v>
      </c>
      <c r="AI564" s="40">
        <v>1</v>
      </c>
    </row>
    <row r="565" spans="1:35" ht="18.75" customHeight="1">
      <c r="A565" s="73">
        <v>2026</v>
      </c>
      <c r="B565" s="112" t="s">
        <v>32</v>
      </c>
      <c r="C565" s="36" t="s">
        <v>401</v>
      </c>
      <c r="D565" s="37">
        <v>45768.647169212963</v>
      </c>
      <c r="E565" s="36" t="s">
        <v>104</v>
      </c>
      <c r="F565" s="36" t="s">
        <v>149</v>
      </c>
      <c r="G565" s="36" t="s">
        <v>402</v>
      </c>
      <c r="H565" s="36" t="s">
        <v>403</v>
      </c>
      <c r="I565" s="36" t="s">
        <v>152</v>
      </c>
      <c r="J565" s="36" t="s">
        <v>404</v>
      </c>
      <c r="K565" s="36" t="s">
        <v>154</v>
      </c>
      <c r="L565" s="74">
        <f>VLOOKUP(E565,Diccionario!C$2:AC$150,22,0)</f>
        <v>93771886</v>
      </c>
      <c r="M565" s="75">
        <f>VLOOKUP(E565,Diccionario!C$2:AC$150,24,0)</f>
        <v>45931</v>
      </c>
      <c r="N565" s="76">
        <f>VLOOKUP(E565,Diccionario!C$2:AC$150,25,0)</f>
        <v>47756</v>
      </c>
      <c r="O565" s="77">
        <f>VLOOKUP(E565,Diccionario!C$2:AC$150,26,0)</f>
        <v>59.97</v>
      </c>
      <c r="P565" s="77">
        <f t="shared" si="176"/>
        <v>-44.97</v>
      </c>
      <c r="Q565" s="78">
        <v>15</v>
      </c>
      <c r="R565" s="36">
        <v>56</v>
      </c>
      <c r="S565" s="100">
        <v>0.999</v>
      </c>
      <c r="T565" s="86"/>
      <c r="U565" s="82"/>
      <c r="V565" s="82"/>
      <c r="W565" s="82">
        <f t="shared" si="170"/>
        <v>0</v>
      </c>
      <c r="X565" s="82">
        <f t="shared" si="177"/>
        <v>93678114.113999993</v>
      </c>
      <c r="Y565" s="82">
        <f t="shared" si="171"/>
        <v>0</v>
      </c>
      <c r="Z565" s="82">
        <f t="shared" si="178"/>
        <v>-93678114.113999993</v>
      </c>
      <c r="AA565" s="83" t="str">
        <f t="shared" si="175"/>
        <v>No se realizó gasto en este corte</v>
      </c>
      <c r="AB565" s="84" t="str">
        <f t="shared" si="179"/>
        <v>Costo eficiente: se está gastando menos de lo presupuestado</v>
      </c>
      <c r="AC565" s="84">
        <f t="shared" si="172"/>
        <v>0</v>
      </c>
      <c r="AD565" s="84" t="str">
        <f t="shared" si="180"/>
        <v>Sin Línea Base</v>
      </c>
      <c r="AE565" s="85">
        <f t="shared" si="173"/>
        <v>0</v>
      </c>
      <c r="AF565" s="85">
        <f t="shared" si="174"/>
        <v>-93771886</v>
      </c>
      <c r="AG565" s="40" t="str">
        <f>VLOOKUP(Indicador!E565,Diccionario!C$1:AC$150,27,0)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5" s="40">
        <v>1</v>
      </c>
      <c r="AI565" s="40">
        <v>1</v>
      </c>
    </row>
    <row r="566" spans="1:35" ht="18.75" customHeight="1">
      <c r="A566" s="73">
        <v>2027</v>
      </c>
      <c r="B566" s="112" t="s">
        <v>14</v>
      </c>
      <c r="C566" s="36" t="s">
        <v>401</v>
      </c>
      <c r="D566" s="37">
        <v>45768.647169212963</v>
      </c>
      <c r="E566" s="36" t="s">
        <v>104</v>
      </c>
      <c r="F566" s="36" t="s">
        <v>149</v>
      </c>
      <c r="G566" s="36" t="s">
        <v>402</v>
      </c>
      <c r="H566" s="36" t="s">
        <v>403</v>
      </c>
      <c r="I566" s="36" t="s">
        <v>152</v>
      </c>
      <c r="J566" s="36" t="s">
        <v>404</v>
      </c>
      <c r="K566" s="36" t="s">
        <v>154</v>
      </c>
      <c r="L566" s="74">
        <f>VLOOKUP(E566,Diccionario!C$2:AC$150,22,0)</f>
        <v>93771886</v>
      </c>
      <c r="M566" s="75">
        <f>VLOOKUP(E566,Diccionario!C$2:AC$150,24,0)</f>
        <v>45931</v>
      </c>
      <c r="N566" s="76">
        <f>VLOOKUP(E566,Diccionario!C$2:AC$150,25,0)</f>
        <v>47756</v>
      </c>
      <c r="O566" s="77">
        <f>VLOOKUP(E566,Diccionario!C$2:AC$150,26,0)</f>
        <v>59.97</v>
      </c>
      <c r="P566" s="77">
        <f t="shared" si="176"/>
        <v>-43.97</v>
      </c>
      <c r="Q566" s="78">
        <v>16</v>
      </c>
      <c r="R566" s="36">
        <v>56</v>
      </c>
      <c r="S566" s="100">
        <v>0.999</v>
      </c>
      <c r="T566" s="86"/>
      <c r="U566" s="82"/>
      <c r="V566" s="82"/>
      <c r="W566" s="82">
        <f t="shared" si="170"/>
        <v>0</v>
      </c>
      <c r="X566" s="82">
        <f t="shared" si="177"/>
        <v>93678114.113999993</v>
      </c>
      <c r="Y566" s="82">
        <f t="shared" si="171"/>
        <v>0</v>
      </c>
      <c r="Z566" s="82">
        <f t="shared" si="178"/>
        <v>-93678114.113999993</v>
      </c>
      <c r="AA566" s="83" t="str">
        <f t="shared" si="175"/>
        <v>No se realizó gasto en este corte</v>
      </c>
      <c r="AB566" s="84" t="str">
        <f t="shared" si="179"/>
        <v>Costo eficiente: se está gastando menos de lo presupuestado</v>
      </c>
      <c r="AC566" s="84">
        <f t="shared" si="172"/>
        <v>0</v>
      </c>
      <c r="AD566" s="84" t="str">
        <f t="shared" si="180"/>
        <v>Sin Línea Base</v>
      </c>
      <c r="AE566" s="85">
        <f t="shared" si="173"/>
        <v>0</v>
      </c>
      <c r="AF566" s="85">
        <f t="shared" si="174"/>
        <v>-93771886</v>
      </c>
      <c r="AG566" s="40" t="str">
        <f>VLOOKUP(Indicador!E566,Diccionario!C$1:AC$150,27,0)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6" s="40">
        <v>1</v>
      </c>
      <c r="AI566" s="40">
        <v>1</v>
      </c>
    </row>
    <row r="567" spans="1:35" ht="18.75" customHeight="1">
      <c r="A567" s="73">
        <v>2027</v>
      </c>
      <c r="B567" s="112" t="s">
        <v>22</v>
      </c>
      <c r="C567" s="36" t="s">
        <v>401</v>
      </c>
      <c r="D567" s="37">
        <v>45768.647169212963</v>
      </c>
      <c r="E567" s="36" t="s">
        <v>104</v>
      </c>
      <c r="F567" s="36" t="s">
        <v>149</v>
      </c>
      <c r="G567" s="36" t="s">
        <v>402</v>
      </c>
      <c r="H567" s="36" t="s">
        <v>403</v>
      </c>
      <c r="I567" s="36" t="s">
        <v>152</v>
      </c>
      <c r="J567" s="36" t="s">
        <v>404</v>
      </c>
      <c r="K567" s="36" t="s">
        <v>154</v>
      </c>
      <c r="L567" s="74">
        <f>VLOOKUP(E567,Diccionario!C$2:AC$150,22,0)</f>
        <v>93771886</v>
      </c>
      <c r="M567" s="75">
        <f>VLOOKUP(E567,Diccionario!C$2:AC$150,24,0)</f>
        <v>45931</v>
      </c>
      <c r="N567" s="76">
        <f>VLOOKUP(E567,Diccionario!C$2:AC$150,25,0)</f>
        <v>47756</v>
      </c>
      <c r="O567" s="77">
        <f>VLOOKUP(E567,Diccionario!C$2:AC$150,26,0)</f>
        <v>59.97</v>
      </c>
      <c r="P567" s="77">
        <f t="shared" si="176"/>
        <v>-42.97</v>
      </c>
      <c r="Q567" s="78">
        <v>17</v>
      </c>
      <c r="R567" s="36">
        <v>56</v>
      </c>
      <c r="S567" s="100">
        <v>0.999</v>
      </c>
      <c r="T567" s="86"/>
      <c r="U567" s="82"/>
      <c r="V567" s="82"/>
      <c r="W567" s="82">
        <f t="shared" si="170"/>
        <v>0</v>
      </c>
      <c r="X567" s="82">
        <f t="shared" si="177"/>
        <v>93678114.113999993</v>
      </c>
      <c r="Y567" s="82">
        <f t="shared" si="171"/>
        <v>0</v>
      </c>
      <c r="Z567" s="82">
        <f t="shared" si="178"/>
        <v>-93678114.113999993</v>
      </c>
      <c r="AA567" s="83" t="str">
        <f t="shared" si="175"/>
        <v>No se realizó gasto en este corte</v>
      </c>
      <c r="AB567" s="84" t="str">
        <f t="shared" si="179"/>
        <v>Costo eficiente: se está gastando menos de lo presupuestado</v>
      </c>
      <c r="AC567" s="84">
        <f t="shared" si="172"/>
        <v>0</v>
      </c>
      <c r="AD567" s="84" t="str">
        <f t="shared" si="180"/>
        <v>Sin Línea Base</v>
      </c>
      <c r="AE567" s="85">
        <f t="shared" si="173"/>
        <v>0</v>
      </c>
      <c r="AF567" s="85">
        <f t="shared" si="174"/>
        <v>-93771886</v>
      </c>
      <c r="AG567" s="40" t="str">
        <f>VLOOKUP(Indicador!E567,Diccionario!C$1:AC$150,27,0)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7" s="40">
        <v>1</v>
      </c>
      <c r="AI567" s="40">
        <v>1</v>
      </c>
    </row>
    <row r="568" spans="1:35" ht="18.75" customHeight="1">
      <c r="A568" s="73">
        <v>2027</v>
      </c>
      <c r="B568" s="112" t="s">
        <v>24</v>
      </c>
      <c r="C568" s="36" t="s">
        <v>401</v>
      </c>
      <c r="D568" s="37">
        <v>45768.647169212963</v>
      </c>
      <c r="E568" s="36" t="s">
        <v>104</v>
      </c>
      <c r="F568" s="36" t="s">
        <v>149</v>
      </c>
      <c r="G568" s="36" t="s">
        <v>402</v>
      </c>
      <c r="H568" s="36" t="s">
        <v>403</v>
      </c>
      <c r="I568" s="36" t="s">
        <v>152</v>
      </c>
      <c r="J568" s="36" t="s">
        <v>404</v>
      </c>
      <c r="K568" s="36" t="s">
        <v>154</v>
      </c>
      <c r="L568" s="74">
        <f>VLOOKUP(E568,Diccionario!C$2:AC$150,22,0)</f>
        <v>93771886</v>
      </c>
      <c r="M568" s="75">
        <f>VLOOKUP(E568,Diccionario!C$2:AC$150,24,0)</f>
        <v>45931</v>
      </c>
      <c r="N568" s="76">
        <f>VLOOKUP(E568,Diccionario!C$2:AC$150,25,0)</f>
        <v>47756</v>
      </c>
      <c r="O568" s="77">
        <f>VLOOKUP(E568,Diccionario!C$2:AC$150,26,0)</f>
        <v>59.97</v>
      </c>
      <c r="P568" s="77">
        <f t="shared" si="176"/>
        <v>-41.97</v>
      </c>
      <c r="Q568" s="78">
        <v>18</v>
      </c>
      <c r="R568" s="36">
        <v>56</v>
      </c>
      <c r="S568" s="100">
        <v>0.999</v>
      </c>
      <c r="T568" s="86"/>
      <c r="U568" s="82"/>
      <c r="V568" s="82"/>
      <c r="W568" s="82">
        <f t="shared" si="170"/>
        <v>0</v>
      </c>
      <c r="X568" s="82">
        <f t="shared" si="177"/>
        <v>93678114.113999993</v>
      </c>
      <c r="Y568" s="82">
        <f t="shared" si="171"/>
        <v>0</v>
      </c>
      <c r="Z568" s="82">
        <f t="shared" si="178"/>
        <v>-93678114.113999993</v>
      </c>
      <c r="AA568" s="83" t="str">
        <f t="shared" si="175"/>
        <v>No se realizó gasto en este corte</v>
      </c>
      <c r="AB568" s="84" t="str">
        <f t="shared" si="179"/>
        <v>Costo eficiente: se está gastando menos de lo presupuestado</v>
      </c>
      <c r="AC568" s="84">
        <f t="shared" si="172"/>
        <v>0</v>
      </c>
      <c r="AD568" s="84" t="str">
        <f t="shared" si="180"/>
        <v>Sin Línea Base</v>
      </c>
      <c r="AE568" s="85">
        <f t="shared" si="173"/>
        <v>0</v>
      </c>
      <c r="AF568" s="85">
        <f t="shared" si="174"/>
        <v>-93771886</v>
      </c>
      <c r="AG568" s="40" t="str">
        <f>VLOOKUP(Indicador!E568,Diccionario!C$1:AC$150,27,0)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8" s="40">
        <v>1</v>
      </c>
      <c r="AI568" s="40">
        <v>1</v>
      </c>
    </row>
    <row r="569" spans="1:35" ht="18.75" customHeight="1">
      <c r="A569" s="73">
        <v>2027</v>
      </c>
      <c r="B569" s="112" t="s">
        <v>27</v>
      </c>
      <c r="C569" s="36" t="s">
        <v>401</v>
      </c>
      <c r="D569" s="37">
        <v>45768.647169212963</v>
      </c>
      <c r="E569" s="36" t="s">
        <v>104</v>
      </c>
      <c r="F569" s="36" t="s">
        <v>149</v>
      </c>
      <c r="G569" s="36" t="s">
        <v>402</v>
      </c>
      <c r="H569" s="36" t="s">
        <v>403</v>
      </c>
      <c r="I569" s="36" t="s">
        <v>152</v>
      </c>
      <c r="J569" s="36" t="s">
        <v>404</v>
      </c>
      <c r="K569" s="36" t="s">
        <v>154</v>
      </c>
      <c r="L569" s="74">
        <f>VLOOKUP(E569,Diccionario!C$2:AC$150,22,0)</f>
        <v>93771886</v>
      </c>
      <c r="M569" s="75">
        <f>VLOOKUP(E569,Diccionario!C$2:AC$150,24,0)</f>
        <v>45931</v>
      </c>
      <c r="N569" s="76">
        <f>VLOOKUP(E569,Diccionario!C$2:AC$150,25,0)</f>
        <v>47756</v>
      </c>
      <c r="O569" s="77">
        <f>VLOOKUP(E569,Diccionario!C$2:AC$150,26,0)</f>
        <v>59.97</v>
      </c>
      <c r="P569" s="77">
        <f t="shared" si="176"/>
        <v>-40.97</v>
      </c>
      <c r="Q569" s="78">
        <v>19</v>
      </c>
      <c r="R569" s="36">
        <v>56</v>
      </c>
      <c r="S569" s="100">
        <v>0.999</v>
      </c>
      <c r="T569" s="86"/>
      <c r="U569" s="82"/>
      <c r="V569" s="82"/>
      <c r="W569" s="82">
        <f t="shared" si="170"/>
        <v>0</v>
      </c>
      <c r="X569" s="82">
        <f t="shared" si="177"/>
        <v>93678114.113999993</v>
      </c>
      <c r="Y569" s="82">
        <f t="shared" si="171"/>
        <v>0</v>
      </c>
      <c r="Z569" s="82">
        <f t="shared" si="178"/>
        <v>-93678114.113999993</v>
      </c>
      <c r="AA569" s="83" t="str">
        <f t="shared" si="175"/>
        <v>No se realizó gasto en este corte</v>
      </c>
      <c r="AB569" s="84" t="str">
        <f t="shared" si="179"/>
        <v>Costo eficiente: se está gastando menos de lo presupuestado</v>
      </c>
      <c r="AC569" s="84">
        <f t="shared" si="172"/>
        <v>0</v>
      </c>
      <c r="AD569" s="84" t="str">
        <f t="shared" si="180"/>
        <v>Sin Línea Base</v>
      </c>
      <c r="AE569" s="85">
        <f t="shared" si="173"/>
        <v>0</v>
      </c>
      <c r="AF569" s="85">
        <f t="shared" si="174"/>
        <v>-93771886</v>
      </c>
      <c r="AG569" s="40" t="str">
        <f>VLOOKUP(Indicador!E569,Diccionario!C$1:AC$150,27,0)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69" s="40">
        <v>1</v>
      </c>
      <c r="AI569" s="40">
        <v>1</v>
      </c>
    </row>
    <row r="570" spans="1:35" ht="18.75" customHeight="1">
      <c r="A570" s="73">
        <v>2027</v>
      </c>
      <c r="B570" s="112" t="s">
        <v>13</v>
      </c>
      <c r="C570" s="36" t="s">
        <v>401</v>
      </c>
      <c r="D570" s="37">
        <v>45768.647169212963</v>
      </c>
      <c r="E570" s="36" t="s">
        <v>104</v>
      </c>
      <c r="F570" s="36" t="s">
        <v>149</v>
      </c>
      <c r="G570" s="36" t="s">
        <v>402</v>
      </c>
      <c r="H570" s="36" t="s">
        <v>403</v>
      </c>
      <c r="I570" s="36" t="s">
        <v>152</v>
      </c>
      <c r="J570" s="36" t="s">
        <v>404</v>
      </c>
      <c r="K570" s="36" t="s">
        <v>154</v>
      </c>
      <c r="L570" s="74">
        <f>VLOOKUP(E570,Diccionario!C$2:AC$150,22,0)</f>
        <v>93771886</v>
      </c>
      <c r="M570" s="75">
        <f>VLOOKUP(E570,Diccionario!C$2:AC$150,24,0)</f>
        <v>45931</v>
      </c>
      <c r="N570" s="76">
        <f>VLOOKUP(E570,Diccionario!C$2:AC$150,25,0)</f>
        <v>47756</v>
      </c>
      <c r="O570" s="77">
        <f>VLOOKUP(E570,Diccionario!C$2:AC$150,26,0)</f>
        <v>59.97</v>
      </c>
      <c r="P570" s="77">
        <f t="shared" si="176"/>
        <v>-39.97</v>
      </c>
      <c r="Q570" s="78">
        <v>20</v>
      </c>
      <c r="R570" s="36">
        <v>56</v>
      </c>
      <c r="S570" s="100">
        <v>0.999</v>
      </c>
      <c r="T570" s="86"/>
      <c r="U570" s="82"/>
      <c r="V570" s="82"/>
      <c r="W570" s="82">
        <f t="shared" si="170"/>
        <v>0</v>
      </c>
      <c r="X570" s="82">
        <f t="shared" si="177"/>
        <v>93678114.113999993</v>
      </c>
      <c r="Y570" s="82">
        <f t="shared" si="171"/>
        <v>0</v>
      </c>
      <c r="Z570" s="82">
        <f t="shared" si="178"/>
        <v>-93678114.113999993</v>
      </c>
      <c r="AA570" s="83" t="str">
        <f t="shared" si="175"/>
        <v>No se realizó gasto en este corte</v>
      </c>
      <c r="AB570" s="84" t="str">
        <f t="shared" si="179"/>
        <v>Costo eficiente: se está gastando menos de lo presupuestado</v>
      </c>
      <c r="AC570" s="84">
        <f t="shared" si="172"/>
        <v>0</v>
      </c>
      <c r="AD570" s="84" t="str">
        <f t="shared" si="180"/>
        <v>Sin Línea Base</v>
      </c>
      <c r="AE570" s="85">
        <f t="shared" si="173"/>
        <v>0</v>
      </c>
      <c r="AF570" s="85">
        <f t="shared" si="174"/>
        <v>-93771886</v>
      </c>
      <c r="AG570" s="40" t="str">
        <f>VLOOKUP(Indicador!E570,Diccionario!C$1:AC$150,27,0)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0" s="40">
        <v>1</v>
      </c>
      <c r="AI570" s="40">
        <v>1</v>
      </c>
    </row>
    <row r="571" spans="1:35" ht="18.75" customHeight="1">
      <c r="A571" s="73">
        <v>2027</v>
      </c>
      <c r="B571" s="112" t="s">
        <v>21</v>
      </c>
      <c r="C571" s="36" t="s">
        <v>401</v>
      </c>
      <c r="D571" s="37">
        <v>45768.647169212963</v>
      </c>
      <c r="E571" s="36" t="s">
        <v>104</v>
      </c>
      <c r="F571" s="36" t="s">
        <v>149</v>
      </c>
      <c r="G571" s="36" t="s">
        <v>402</v>
      </c>
      <c r="H571" s="36" t="s">
        <v>403</v>
      </c>
      <c r="I571" s="36" t="s">
        <v>152</v>
      </c>
      <c r="J571" s="36" t="s">
        <v>404</v>
      </c>
      <c r="K571" s="36" t="s">
        <v>154</v>
      </c>
      <c r="L571" s="74">
        <f>VLOOKUP(E571,Diccionario!C$2:AC$150,22,0)</f>
        <v>93771886</v>
      </c>
      <c r="M571" s="75">
        <f>VLOOKUP(E571,Diccionario!C$2:AC$150,24,0)</f>
        <v>45931</v>
      </c>
      <c r="N571" s="76">
        <f>VLOOKUP(E571,Diccionario!C$2:AC$150,25,0)</f>
        <v>47756</v>
      </c>
      <c r="O571" s="77">
        <f>VLOOKUP(E571,Diccionario!C$2:AC$150,26,0)</f>
        <v>59.97</v>
      </c>
      <c r="P571" s="77">
        <f t="shared" si="176"/>
        <v>-38.97</v>
      </c>
      <c r="Q571" s="78">
        <v>21</v>
      </c>
      <c r="R571" s="36">
        <v>56</v>
      </c>
      <c r="S571" s="100">
        <v>0.999</v>
      </c>
      <c r="T571" s="86"/>
      <c r="U571" s="82"/>
      <c r="V571" s="82"/>
      <c r="W571" s="82">
        <f t="shared" si="170"/>
        <v>0</v>
      </c>
      <c r="X571" s="82">
        <f t="shared" si="177"/>
        <v>93678114.113999993</v>
      </c>
      <c r="Y571" s="82">
        <f t="shared" si="171"/>
        <v>0</v>
      </c>
      <c r="Z571" s="82">
        <f t="shared" si="178"/>
        <v>-93678114.113999993</v>
      </c>
      <c r="AA571" s="83" t="str">
        <f t="shared" si="175"/>
        <v>No se realizó gasto en este corte</v>
      </c>
      <c r="AB571" s="84" t="str">
        <f t="shared" si="179"/>
        <v>Costo eficiente: se está gastando menos de lo presupuestado</v>
      </c>
      <c r="AC571" s="84">
        <f t="shared" si="172"/>
        <v>0</v>
      </c>
      <c r="AD571" s="84" t="str">
        <f t="shared" si="180"/>
        <v>Sin Línea Base</v>
      </c>
      <c r="AE571" s="85">
        <f t="shared" si="173"/>
        <v>0</v>
      </c>
      <c r="AF571" s="85">
        <f t="shared" si="174"/>
        <v>-93771886</v>
      </c>
      <c r="AG571" s="40" t="str">
        <f>VLOOKUP(Indicador!E571,Diccionario!C$1:AC$150,27,0)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1" s="40">
        <v>1</v>
      </c>
      <c r="AI571" s="40">
        <v>1</v>
      </c>
    </row>
    <row r="572" spans="1:35" ht="18.75" customHeight="1">
      <c r="A572" s="73">
        <v>2027</v>
      </c>
      <c r="B572" s="112" t="s">
        <v>23</v>
      </c>
      <c r="C572" s="36" t="s">
        <v>401</v>
      </c>
      <c r="D572" s="37">
        <v>45768.647169212963</v>
      </c>
      <c r="E572" s="36" t="s">
        <v>104</v>
      </c>
      <c r="F572" s="36" t="s">
        <v>149</v>
      </c>
      <c r="G572" s="36" t="s">
        <v>402</v>
      </c>
      <c r="H572" s="36" t="s">
        <v>403</v>
      </c>
      <c r="I572" s="36" t="s">
        <v>152</v>
      </c>
      <c r="J572" s="36" t="s">
        <v>404</v>
      </c>
      <c r="K572" s="36" t="s">
        <v>154</v>
      </c>
      <c r="L572" s="74">
        <f>VLOOKUP(E572,Diccionario!C$2:AC$150,22,0)</f>
        <v>93771886</v>
      </c>
      <c r="M572" s="75">
        <f>VLOOKUP(E572,Diccionario!C$2:AC$150,24,0)</f>
        <v>45931</v>
      </c>
      <c r="N572" s="76">
        <f>VLOOKUP(E572,Diccionario!C$2:AC$150,25,0)</f>
        <v>47756</v>
      </c>
      <c r="O572" s="77">
        <f>VLOOKUP(E572,Diccionario!C$2:AC$150,26,0)</f>
        <v>59.97</v>
      </c>
      <c r="P572" s="77">
        <f t="shared" si="176"/>
        <v>-37.97</v>
      </c>
      <c r="Q572" s="78">
        <v>22</v>
      </c>
      <c r="R572" s="36">
        <v>56</v>
      </c>
      <c r="S572" s="100">
        <v>0.999</v>
      </c>
      <c r="T572" s="86"/>
      <c r="U572" s="82"/>
      <c r="V572" s="82"/>
      <c r="W572" s="82">
        <f t="shared" si="170"/>
        <v>0</v>
      </c>
      <c r="X572" s="82">
        <f t="shared" si="177"/>
        <v>93678114.113999993</v>
      </c>
      <c r="Y572" s="82">
        <f t="shared" si="171"/>
        <v>0</v>
      </c>
      <c r="Z572" s="82">
        <f t="shared" si="178"/>
        <v>-93678114.113999993</v>
      </c>
      <c r="AA572" s="83" t="str">
        <f t="shared" si="175"/>
        <v>No se realizó gasto en este corte</v>
      </c>
      <c r="AB572" s="84" t="str">
        <f t="shared" si="179"/>
        <v>Costo eficiente: se está gastando menos de lo presupuestado</v>
      </c>
      <c r="AC572" s="84">
        <f t="shared" si="172"/>
        <v>0</v>
      </c>
      <c r="AD572" s="84" t="str">
        <f t="shared" si="180"/>
        <v>Sin Línea Base</v>
      </c>
      <c r="AE572" s="85">
        <f t="shared" si="173"/>
        <v>0</v>
      </c>
      <c r="AF572" s="85">
        <f t="shared" si="174"/>
        <v>-93771886</v>
      </c>
      <c r="AG572" s="40" t="str">
        <f>VLOOKUP(Indicador!E572,Diccionario!C$1:AC$150,27,0)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2" s="40">
        <v>1</v>
      </c>
      <c r="AI572" s="40">
        <v>1</v>
      </c>
    </row>
    <row r="573" spans="1:35" ht="18.75" customHeight="1">
      <c r="A573" s="73">
        <v>2027</v>
      </c>
      <c r="B573" s="112" t="s">
        <v>26</v>
      </c>
      <c r="C573" s="36" t="s">
        <v>401</v>
      </c>
      <c r="D573" s="37">
        <v>45768.647169212963</v>
      </c>
      <c r="E573" s="36" t="s">
        <v>104</v>
      </c>
      <c r="F573" s="36" t="s">
        <v>149</v>
      </c>
      <c r="G573" s="36" t="s">
        <v>402</v>
      </c>
      <c r="H573" s="36" t="s">
        <v>403</v>
      </c>
      <c r="I573" s="36" t="s">
        <v>152</v>
      </c>
      <c r="J573" s="36" t="s">
        <v>404</v>
      </c>
      <c r="K573" s="36" t="s">
        <v>154</v>
      </c>
      <c r="L573" s="74">
        <f>VLOOKUP(E573,Diccionario!C$2:AC$150,22,0)</f>
        <v>93771886</v>
      </c>
      <c r="M573" s="75">
        <f>VLOOKUP(E573,Diccionario!C$2:AC$150,24,0)</f>
        <v>45931</v>
      </c>
      <c r="N573" s="76">
        <f>VLOOKUP(E573,Diccionario!C$2:AC$150,25,0)</f>
        <v>47756</v>
      </c>
      <c r="O573" s="77">
        <f>VLOOKUP(E573,Diccionario!C$2:AC$150,26,0)</f>
        <v>59.97</v>
      </c>
      <c r="P573" s="77">
        <f t="shared" si="176"/>
        <v>-36.97</v>
      </c>
      <c r="Q573" s="78">
        <v>23</v>
      </c>
      <c r="R573" s="36">
        <v>56</v>
      </c>
      <c r="S573" s="100">
        <v>0.999</v>
      </c>
      <c r="T573" s="86"/>
      <c r="U573" s="82"/>
      <c r="V573" s="82"/>
      <c r="W573" s="82">
        <f t="shared" si="170"/>
        <v>0</v>
      </c>
      <c r="X573" s="82">
        <f t="shared" si="177"/>
        <v>93678114.113999993</v>
      </c>
      <c r="Y573" s="82">
        <f t="shared" si="171"/>
        <v>0</v>
      </c>
      <c r="Z573" s="82">
        <f t="shared" si="178"/>
        <v>-93678114.113999993</v>
      </c>
      <c r="AA573" s="83" t="str">
        <f t="shared" si="175"/>
        <v>No se realizó gasto en este corte</v>
      </c>
      <c r="AB573" s="84" t="str">
        <f t="shared" si="179"/>
        <v>Costo eficiente: se está gastando menos de lo presupuestado</v>
      </c>
      <c r="AC573" s="84">
        <f t="shared" si="172"/>
        <v>0</v>
      </c>
      <c r="AD573" s="84" t="str">
        <f t="shared" si="180"/>
        <v>Sin Línea Base</v>
      </c>
      <c r="AE573" s="85">
        <f t="shared" si="173"/>
        <v>0</v>
      </c>
      <c r="AF573" s="85">
        <f t="shared" si="174"/>
        <v>-93771886</v>
      </c>
      <c r="AG573" s="40" t="str">
        <f>VLOOKUP(Indicador!E573,Diccionario!C$1:AC$150,27,0)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3" s="40">
        <v>1</v>
      </c>
      <c r="AI573" s="40">
        <v>1</v>
      </c>
    </row>
    <row r="574" spans="1:35" ht="18.75" customHeight="1">
      <c r="A574" s="73">
        <v>2027</v>
      </c>
      <c r="B574" s="112" t="s">
        <v>28</v>
      </c>
      <c r="C574" s="36" t="s">
        <v>401</v>
      </c>
      <c r="D574" s="37">
        <v>45768.647169212963</v>
      </c>
      <c r="E574" s="36" t="s">
        <v>104</v>
      </c>
      <c r="F574" s="36" t="s">
        <v>149</v>
      </c>
      <c r="G574" s="36" t="s">
        <v>402</v>
      </c>
      <c r="H574" s="36" t="s">
        <v>403</v>
      </c>
      <c r="I574" s="36" t="s">
        <v>152</v>
      </c>
      <c r="J574" s="36" t="s">
        <v>404</v>
      </c>
      <c r="K574" s="36" t="s">
        <v>154</v>
      </c>
      <c r="L574" s="74">
        <f>VLOOKUP(E574,Diccionario!C$2:AC$150,22,0)</f>
        <v>93771886</v>
      </c>
      <c r="M574" s="75">
        <f>VLOOKUP(E574,Diccionario!C$2:AC$150,24,0)</f>
        <v>45931</v>
      </c>
      <c r="N574" s="76">
        <f>VLOOKUP(E574,Diccionario!C$2:AC$150,25,0)</f>
        <v>47756</v>
      </c>
      <c r="O574" s="77">
        <f>VLOOKUP(E574,Diccionario!C$2:AC$150,26,0)</f>
        <v>59.97</v>
      </c>
      <c r="P574" s="77">
        <f t="shared" si="176"/>
        <v>-35.97</v>
      </c>
      <c r="Q574" s="78">
        <v>24</v>
      </c>
      <c r="R574" s="36">
        <v>56</v>
      </c>
      <c r="S574" s="100">
        <v>0.999</v>
      </c>
      <c r="T574" s="86"/>
      <c r="U574" s="82"/>
      <c r="V574" s="82"/>
      <c r="W574" s="82">
        <f t="shared" si="170"/>
        <v>0</v>
      </c>
      <c r="X574" s="82">
        <f t="shared" si="177"/>
        <v>93678114.113999993</v>
      </c>
      <c r="Y574" s="82">
        <f t="shared" si="171"/>
        <v>0</v>
      </c>
      <c r="Z574" s="82">
        <f t="shared" si="178"/>
        <v>-93678114.113999993</v>
      </c>
      <c r="AA574" s="83" t="str">
        <f t="shared" si="175"/>
        <v>No se realizó gasto en este corte</v>
      </c>
      <c r="AB574" s="84" t="str">
        <f t="shared" si="179"/>
        <v>Costo eficiente: se está gastando menos de lo presupuestado</v>
      </c>
      <c r="AC574" s="84">
        <f t="shared" si="172"/>
        <v>0</v>
      </c>
      <c r="AD574" s="84" t="str">
        <f t="shared" si="180"/>
        <v>Sin Línea Base</v>
      </c>
      <c r="AE574" s="85">
        <f t="shared" si="173"/>
        <v>0</v>
      </c>
      <c r="AF574" s="85">
        <f t="shared" si="174"/>
        <v>-93771886</v>
      </c>
      <c r="AG574" s="40" t="str">
        <f>VLOOKUP(Indicador!E574,Diccionario!C$1:AC$150,27,0)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4" s="40">
        <v>1</v>
      </c>
      <c r="AI574" s="40">
        <v>1</v>
      </c>
    </row>
    <row r="575" spans="1:35" ht="18.75" customHeight="1">
      <c r="A575" s="73">
        <v>2027</v>
      </c>
      <c r="B575" s="112" t="s">
        <v>30</v>
      </c>
      <c r="C575" s="36" t="s">
        <v>401</v>
      </c>
      <c r="D575" s="37">
        <v>45768.647169212963</v>
      </c>
      <c r="E575" s="36" t="s">
        <v>104</v>
      </c>
      <c r="F575" s="36" t="s">
        <v>149</v>
      </c>
      <c r="G575" s="36" t="s">
        <v>402</v>
      </c>
      <c r="H575" s="36" t="s">
        <v>403</v>
      </c>
      <c r="I575" s="36" t="s">
        <v>152</v>
      </c>
      <c r="J575" s="36" t="s">
        <v>404</v>
      </c>
      <c r="K575" s="36" t="s">
        <v>154</v>
      </c>
      <c r="L575" s="74">
        <f>VLOOKUP(E575,Diccionario!C$2:AC$150,22,0)</f>
        <v>93771886</v>
      </c>
      <c r="M575" s="75">
        <f>VLOOKUP(E575,Diccionario!C$2:AC$150,24,0)</f>
        <v>45931</v>
      </c>
      <c r="N575" s="76">
        <f>VLOOKUP(E575,Diccionario!C$2:AC$150,25,0)</f>
        <v>47756</v>
      </c>
      <c r="O575" s="77">
        <f>VLOOKUP(E575,Diccionario!C$2:AC$150,26,0)</f>
        <v>59.97</v>
      </c>
      <c r="P575" s="77">
        <f t="shared" si="176"/>
        <v>-34.97</v>
      </c>
      <c r="Q575" s="78">
        <v>25</v>
      </c>
      <c r="R575" s="36">
        <v>56</v>
      </c>
      <c r="S575" s="100">
        <v>0.999</v>
      </c>
      <c r="T575" s="86"/>
      <c r="U575" s="82"/>
      <c r="V575" s="82"/>
      <c r="W575" s="82">
        <f t="shared" si="170"/>
        <v>0</v>
      </c>
      <c r="X575" s="82">
        <f t="shared" si="177"/>
        <v>93678114.113999993</v>
      </c>
      <c r="Y575" s="82">
        <f t="shared" si="171"/>
        <v>0</v>
      </c>
      <c r="Z575" s="82">
        <f t="shared" si="178"/>
        <v>-93678114.113999993</v>
      </c>
      <c r="AA575" s="83" t="str">
        <f t="shared" si="175"/>
        <v>No se realizó gasto en este corte</v>
      </c>
      <c r="AB575" s="84" t="str">
        <f t="shared" si="179"/>
        <v>Costo eficiente: se está gastando menos de lo presupuestado</v>
      </c>
      <c r="AC575" s="84">
        <f t="shared" si="172"/>
        <v>0</v>
      </c>
      <c r="AD575" s="84" t="str">
        <f t="shared" si="180"/>
        <v>Sin Línea Base</v>
      </c>
      <c r="AE575" s="85">
        <f t="shared" si="173"/>
        <v>0</v>
      </c>
      <c r="AF575" s="85">
        <f t="shared" si="174"/>
        <v>-93771886</v>
      </c>
      <c r="AG575" s="40" t="str">
        <f>VLOOKUP(Indicador!E575,Diccionario!C$1:AC$150,27,0)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5" s="40">
        <v>1</v>
      </c>
      <c r="AI575" s="40">
        <v>1</v>
      </c>
    </row>
    <row r="576" spans="1:35" ht="18.75" customHeight="1">
      <c r="A576" s="73">
        <v>2027</v>
      </c>
      <c r="B576" s="112" t="s">
        <v>31</v>
      </c>
      <c r="C576" s="36" t="s">
        <v>401</v>
      </c>
      <c r="D576" s="37">
        <v>45768.647169212963</v>
      </c>
      <c r="E576" s="36" t="s">
        <v>104</v>
      </c>
      <c r="F576" s="36" t="s">
        <v>149</v>
      </c>
      <c r="G576" s="36" t="s">
        <v>402</v>
      </c>
      <c r="H576" s="36" t="s">
        <v>403</v>
      </c>
      <c r="I576" s="36" t="s">
        <v>152</v>
      </c>
      <c r="J576" s="36" t="s">
        <v>404</v>
      </c>
      <c r="K576" s="36" t="s">
        <v>154</v>
      </c>
      <c r="L576" s="74">
        <f>VLOOKUP(E576,Diccionario!C$2:AC$150,22,0)</f>
        <v>93771886</v>
      </c>
      <c r="M576" s="75">
        <f>VLOOKUP(E576,Diccionario!C$2:AC$150,24,0)</f>
        <v>45931</v>
      </c>
      <c r="N576" s="76">
        <f>VLOOKUP(E576,Diccionario!C$2:AC$150,25,0)</f>
        <v>47756</v>
      </c>
      <c r="O576" s="77">
        <f>VLOOKUP(E576,Diccionario!C$2:AC$150,26,0)</f>
        <v>59.97</v>
      </c>
      <c r="P576" s="77">
        <f t="shared" si="176"/>
        <v>-33.97</v>
      </c>
      <c r="Q576" s="78">
        <v>26</v>
      </c>
      <c r="R576" s="36">
        <v>56</v>
      </c>
      <c r="S576" s="100">
        <v>0.999</v>
      </c>
      <c r="T576" s="86"/>
      <c r="U576" s="82"/>
      <c r="V576" s="82"/>
      <c r="W576" s="82">
        <f t="shared" si="170"/>
        <v>0</v>
      </c>
      <c r="X576" s="82">
        <f t="shared" si="177"/>
        <v>93678114.113999993</v>
      </c>
      <c r="Y576" s="82">
        <f t="shared" si="171"/>
        <v>0</v>
      </c>
      <c r="Z576" s="82">
        <f t="shared" si="178"/>
        <v>-93678114.113999993</v>
      </c>
      <c r="AA576" s="83" t="str">
        <f t="shared" si="175"/>
        <v>No se realizó gasto en este corte</v>
      </c>
      <c r="AB576" s="84" t="str">
        <f t="shared" si="179"/>
        <v>Costo eficiente: se está gastando menos de lo presupuestado</v>
      </c>
      <c r="AC576" s="84">
        <f t="shared" si="172"/>
        <v>0</v>
      </c>
      <c r="AD576" s="84" t="str">
        <f t="shared" si="180"/>
        <v>Sin Línea Base</v>
      </c>
      <c r="AE576" s="85">
        <f t="shared" si="173"/>
        <v>0</v>
      </c>
      <c r="AF576" s="85">
        <f t="shared" si="174"/>
        <v>-93771886</v>
      </c>
      <c r="AG576" s="40" t="str">
        <f>VLOOKUP(Indicador!E576,Diccionario!C$1:AC$150,27,0)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6" s="40">
        <v>1</v>
      </c>
      <c r="AI576" s="40">
        <v>1</v>
      </c>
    </row>
    <row r="577" spans="1:35" ht="18.75" customHeight="1">
      <c r="A577" s="73">
        <v>2027</v>
      </c>
      <c r="B577" s="112" t="s">
        <v>32</v>
      </c>
      <c r="C577" s="36" t="s">
        <v>401</v>
      </c>
      <c r="D577" s="37">
        <v>45768.647169212963</v>
      </c>
      <c r="E577" s="36" t="s">
        <v>104</v>
      </c>
      <c r="F577" s="36" t="s">
        <v>149</v>
      </c>
      <c r="G577" s="36" t="s">
        <v>402</v>
      </c>
      <c r="H577" s="36" t="s">
        <v>403</v>
      </c>
      <c r="I577" s="36" t="s">
        <v>152</v>
      </c>
      <c r="J577" s="36" t="s">
        <v>404</v>
      </c>
      <c r="K577" s="36" t="s">
        <v>154</v>
      </c>
      <c r="L577" s="74">
        <f>VLOOKUP(E577,Diccionario!C$2:AC$150,22,0)</f>
        <v>93771886</v>
      </c>
      <c r="M577" s="75">
        <f>VLOOKUP(E577,Diccionario!C$2:AC$150,24,0)</f>
        <v>45931</v>
      </c>
      <c r="N577" s="76">
        <f>VLOOKUP(E577,Diccionario!C$2:AC$150,25,0)</f>
        <v>47756</v>
      </c>
      <c r="O577" s="77">
        <f>VLOOKUP(E577,Diccionario!C$2:AC$150,26,0)</f>
        <v>59.97</v>
      </c>
      <c r="P577" s="77">
        <f t="shared" si="176"/>
        <v>-32.97</v>
      </c>
      <c r="Q577" s="78">
        <v>27</v>
      </c>
      <c r="R577" s="36">
        <v>56</v>
      </c>
      <c r="S577" s="100">
        <v>0.999</v>
      </c>
      <c r="T577" s="86"/>
      <c r="U577" s="82"/>
      <c r="V577" s="82"/>
      <c r="W577" s="82">
        <f t="shared" si="170"/>
        <v>0</v>
      </c>
      <c r="X577" s="82">
        <f t="shared" si="177"/>
        <v>93678114.113999993</v>
      </c>
      <c r="Y577" s="82">
        <f t="shared" si="171"/>
        <v>0</v>
      </c>
      <c r="Z577" s="82">
        <f t="shared" si="178"/>
        <v>-93678114.113999993</v>
      </c>
      <c r="AA577" s="83" t="str">
        <f t="shared" si="175"/>
        <v>No se realizó gasto en este corte</v>
      </c>
      <c r="AB577" s="84" t="str">
        <f t="shared" si="179"/>
        <v>Costo eficiente: se está gastando menos de lo presupuestado</v>
      </c>
      <c r="AC577" s="84">
        <f t="shared" si="172"/>
        <v>0</v>
      </c>
      <c r="AD577" s="84" t="str">
        <f t="shared" si="180"/>
        <v>Sin Línea Base</v>
      </c>
      <c r="AE577" s="85">
        <f t="shared" si="173"/>
        <v>0</v>
      </c>
      <c r="AF577" s="85">
        <f t="shared" si="174"/>
        <v>-93771886</v>
      </c>
      <c r="AG577" s="40" t="str">
        <f>VLOOKUP(Indicador!E577,Diccionario!C$1:AC$150,27,0)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7" s="40">
        <v>1</v>
      </c>
      <c r="AI577" s="40">
        <v>1</v>
      </c>
    </row>
    <row r="578" spans="1:35" ht="18.75" customHeight="1">
      <c r="A578" s="73">
        <v>2028</v>
      </c>
      <c r="B578" s="112" t="s">
        <v>14</v>
      </c>
      <c r="C578" s="36" t="s">
        <v>401</v>
      </c>
      <c r="D578" s="37">
        <v>45768.647169212963</v>
      </c>
      <c r="E578" s="36" t="s">
        <v>104</v>
      </c>
      <c r="F578" s="36" t="s">
        <v>149</v>
      </c>
      <c r="G578" s="36" t="s">
        <v>402</v>
      </c>
      <c r="H578" s="36" t="s">
        <v>403</v>
      </c>
      <c r="I578" s="36" t="s">
        <v>152</v>
      </c>
      <c r="J578" s="36" t="s">
        <v>404</v>
      </c>
      <c r="K578" s="36" t="s">
        <v>154</v>
      </c>
      <c r="L578" s="74">
        <f>VLOOKUP(E578,Diccionario!C$2:AC$150,22,0)</f>
        <v>93771886</v>
      </c>
      <c r="M578" s="75">
        <f>VLOOKUP(E578,Diccionario!C$2:AC$150,24,0)</f>
        <v>45931</v>
      </c>
      <c r="N578" s="76">
        <f>VLOOKUP(E578,Diccionario!C$2:AC$150,25,0)</f>
        <v>47756</v>
      </c>
      <c r="O578" s="77">
        <f>VLOOKUP(E578,Diccionario!C$2:AC$150,26,0)</f>
        <v>59.97</v>
      </c>
      <c r="P578" s="77">
        <f t="shared" si="176"/>
        <v>-31.97</v>
      </c>
      <c r="Q578" s="78">
        <v>28</v>
      </c>
      <c r="R578" s="36">
        <v>56</v>
      </c>
      <c r="S578" s="100">
        <v>0.999</v>
      </c>
      <c r="T578" s="86"/>
      <c r="U578" s="82"/>
      <c r="V578" s="82"/>
      <c r="W578" s="82">
        <f t="shared" ref="W578:W641" si="181">IFERROR(T578*L578,0)</f>
        <v>0</v>
      </c>
      <c r="X578" s="82">
        <f t="shared" si="177"/>
        <v>93678114.113999993</v>
      </c>
      <c r="Y578" s="82">
        <f t="shared" ref="Y578:Y641" si="182">IFERROR(W578-U578,0)</f>
        <v>0</v>
      </c>
      <c r="Z578" s="82">
        <f t="shared" si="178"/>
        <v>-93678114.113999993</v>
      </c>
      <c r="AA578" s="83" t="str">
        <f t="shared" si="175"/>
        <v>No se realizó gasto en este corte</v>
      </c>
      <c r="AB578" s="84" t="str">
        <f t="shared" si="179"/>
        <v>Costo eficiente: se está gastando menos de lo presupuestado</v>
      </c>
      <c r="AC578" s="84">
        <f t="shared" ref="AC578:AC641" si="183">IFERROR(W578/X578,0)</f>
        <v>0</v>
      </c>
      <c r="AD578" s="84" t="str">
        <f t="shared" si="180"/>
        <v>Sin Línea Base</v>
      </c>
      <c r="AE578" s="85">
        <f t="shared" ref="AE578:AE641" si="184">IFERROR(L578/AA578,0)</f>
        <v>0</v>
      </c>
      <c r="AF578" s="85">
        <f t="shared" ref="AF578:AF641" si="185">IFERROR(AE578-L578,0)</f>
        <v>-93771886</v>
      </c>
      <c r="AG578" s="40" t="str">
        <f>VLOOKUP(Indicador!E578,Diccionario!C$1:AC$150,27,0)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8" s="40">
        <v>1</v>
      </c>
      <c r="AI578" s="40">
        <v>1</v>
      </c>
    </row>
    <row r="579" spans="1:35" ht="18.75" customHeight="1">
      <c r="A579" s="73">
        <v>2028</v>
      </c>
      <c r="B579" s="112" t="s">
        <v>22</v>
      </c>
      <c r="C579" s="36" t="s">
        <v>401</v>
      </c>
      <c r="D579" s="37">
        <v>45768.647169212963</v>
      </c>
      <c r="E579" s="36" t="s">
        <v>104</v>
      </c>
      <c r="F579" s="36" t="s">
        <v>149</v>
      </c>
      <c r="G579" s="36" t="s">
        <v>402</v>
      </c>
      <c r="H579" s="36" t="s">
        <v>403</v>
      </c>
      <c r="I579" s="36" t="s">
        <v>152</v>
      </c>
      <c r="J579" s="36" t="s">
        <v>404</v>
      </c>
      <c r="K579" s="36" t="s">
        <v>154</v>
      </c>
      <c r="L579" s="74">
        <f>VLOOKUP(E579,Diccionario!C$2:AC$150,22,0)</f>
        <v>93771886</v>
      </c>
      <c r="M579" s="75">
        <f>VLOOKUP(E579,Diccionario!C$2:AC$150,24,0)</f>
        <v>45931</v>
      </c>
      <c r="N579" s="76">
        <f>VLOOKUP(E579,Diccionario!C$2:AC$150,25,0)</f>
        <v>47756</v>
      </c>
      <c r="O579" s="77">
        <f>VLOOKUP(E579,Diccionario!C$2:AC$150,26,0)</f>
        <v>59.97</v>
      </c>
      <c r="P579" s="77">
        <f t="shared" si="176"/>
        <v>-30.97</v>
      </c>
      <c r="Q579" s="78">
        <v>29</v>
      </c>
      <c r="R579" s="36">
        <v>56</v>
      </c>
      <c r="S579" s="100">
        <v>0.999</v>
      </c>
      <c r="T579" s="86"/>
      <c r="U579" s="82"/>
      <c r="V579" s="82"/>
      <c r="W579" s="82">
        <f t="shared" si="181"/>
        <v>0</v>
      </c>
      <c r="X579" s="82">
        <f t="shared" si="177"/>
        <v>93678114.113999993</v>
      </c>
      <c r="Y579" s="82">
        <f t="shared" si="182"/>
        <v>0</v>
      </c>
      <c r="Z579" s="82">
        <f t="shared" si="178"/>
        <v>-93678114.113999993</v>
      </c>
      <c r="AA579" s="83" t="str">
        <f t="shared" si="175"/>
        <v>No se realizó gasto en este corte</v>
      </c>
      <c r="AB579" s="84" t="str">
        <f t="shared" si="179"/>
        <v>Costo eficiente: se está gastando menos de lo presupuestado</v>
      </c>
      <c r="AC579" s="84">
        <f t="shared" si="183"/>
        <v>0</v>
      </c>
      <c r="AD579" s="84" t="str">
        <f t="shared" si="180"/>
        <v>Sin Línea Base</v>
      </c>
      <c r="AE579" s="85">
        <f t="shared" si="184"/>
        <v>0</v>
      </c>
      <c r="AF579" s="85">
        <f t="shared" si="185"/>
        <v>-93771886</v>
      </c>
      <c r="AG579" s="40" t="str">
        <f>VLOOKUP(Indicador!E579,Diccionario!C$1:AC$150,27,0)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79" s="40">
        <v>1</v>
      </c>
      <c r="AI579" s="40">
        <v>1</v>
      </c>
    </row>
    <row r="580" spans="1:35" ht="18.75" customHeight="1">
      <c r="A580" s="73">
        <v>2028</v>
      </c>
      <c r="B580" s="112" t="s">
        <v>24</v>
      </c>
      <c r="C580" s="36" t="s">
        <v>401</v>
      </c>
      <c r="D580" s="37">
        <v>45768.647169212963</v>
      </c>
      <c r="E580" s="36" t="s">
        <v>104</v>
      </c>
      <c r="F580" s="36" t="s">
        <v>149</v>
      </c>
      <c r="G580" s="36" t="s">
        <v>402</v>
      </c>
      <c r="H580" s="36" t="s">
        <v>403</v>
      </c>
      <c r="I580" s="36" t="s">
        <v>152</v>
      </c>
      <c r="J580" s="36" t="s">
        <v>404</v>
      </c>
      <c r="K580" s="36" t="s">
        <v>154</v>
      </c>
      <c r="L580" s="74">
        <f>VLOOKUP(E580,Diccionario!C$2:AC$150,22,0)</f>
        <v>93771886</v>
      </c>
      <c r="M580" s="75">
        <f>VLOOKUP(E580,Diccionario!C$2:AC$150,24,0)</f>
        <v>45931</v>
      </c>
      <c r="N580" s="76">
        <f>VLOOKUP(E580,Diccionario!C$2:AC$150,25,0)</f>
        <v>47756</v>
      </c>
      <c r="O580" s="77">
        <f>VLOOKUP(E580,Diccionario!C$2:AC$150,26,0)</f>
        <v>59.97</v>
      </c>
      <c r="P580" s="77">
        <f t="shared" si="176"/>
        <v>-29.97</v>
      </c>
      <c r="Q580" s="78">
        <v>30</v>
      </c>
      <c r="R580" s="36">
        <v>56</v>
      </c>
      <c r="S580" s="100">
        <v>0.999</v>
      </c>
      <c r="T580" s="86"/>
      <c r="U580" s="82"/>
      <c r="V580" s="82"/>
      <c r="W580" s="82">
        <f t="shared" si="181"/>
        <v>0</v>
      </c>
      <c r="X580" s="82">
        <f t="shared" si="177"/>
        <v>93678114.113999993</v>
      </c>
      <c r="Y580" s="82">
        <f t="shared" si="182"/>
        <v>0</v>
      </c>
      <c r="Z580" s="82">
        <f t="shared" si="178"/>
        <v>-93678114.113999993</v>
      </c>
      <c r="AA580" s="83" t="str">
        <f t="shared" si="175"/>
        <v>No se realizó gasto en este corte</v>
      </c>
      <c r="AB580" s="84" t="str">
        <f t="shared" si="179"/>
        <v>Costo eficiente: se está gastando menos de lo presupuestado</v>
      </c>
      <c r="AC580" s="84">
        <f t="shared" si="183"/>
        <v>0</v>
      </c>
      <c r="AD580" s="84" t="str">
        <f t="shared" si="180"/>
        <v>Sin Línea Base</v>
      </c>
      <c r="AE580" s="85">
        <f t="shared" si="184"/>
        <v>0</v>
      </c>
      <c r="AF580" s="85">
        <f t="shared" si="185"/>
        <v>-93771886</v>
      </c>
      <c r="AG580" s="40" t="str">
        <f>VLOOKUP(Indicador!E580,Diccionario!C$1:AC$150,27,0)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0" s="40">
        <v>1</v>
      </c>
      <c r="AI580" s="40">
        <v>1</v>
      </c>
    </row>
    <row r="581" spans="1:35" ht="18.75" customHeight="1">
      <c r="A581" s="73">
        <v>2028</v>
      </c>
      <c r="B581" s="112" t="s">
        <v>27</v>
      </c>
      <c r="C581" s="36" t="s">
        <v>401</v>
      </c>
      <c r="D581" s="37">
        <v>45768.647169212963</v>
      </c>
      <c r="E581" s="36" t="s">
        <v>104</v>
      </c>
      <c r="F581" s="36" t="s">
        <v>149</v>
      </c>
      <c r="G581" s="36" t="s">
        <v>402</v>
      </c>
      <c r="H581" s="36" t="s">
        <v>403</v>
      </c>
      <c r="I581" s="36" t="s">
        <v>152</v>
      </c>
      <c r="J581" s="36" t="s">
        <v>404</v>
      </c>
      <c r="K581" s="36" t="s">
        <v>154</v>
      </c>
      <c r="L581" s="74">
        <f>VLOOKUP(E581,Diccionario!C$2:AC$150,22,0)</f>
        <v>93771886</v>
      </c>
      <c r="M581" s="75">
        <f>VLOOKUP(E581,Diccionario!C$2:AC$150,24,0)</f>
        <v>45931</v>
      </c>
      <c r="N581" s="76">
        <f>VLOOKUP(E581,Diccionario!C$2:AC$150,25,0)</f>
        <v>47756</v>
      </c>
      <c r="O581" s="77">
        <f>VLOOKUP(E581,Diccionario!C$2:AC$150,26,0)</f>
        <v>59.97</v>
      </c>
      <c r="P581" s="77">
        <f t="shared" si="176"/>
        <v>-28.97</v>
      </c>
      <c r="Q581" s="78">
        <v>31</v>
      </c>
      <c r="R581" s="36">
        <v>56</v>
      </c>
      <c r="S581" s="100">
        <v>0.999</v>
      </c>
      <c r="T581" s="86"/>
      <c r="U581" s="82"/>
      <c r="V581" s="82"/>
      <c r="W581" s="82">
        <f t="shared" si="181"/>
        <v>0</v>
      </c>
      <c r="X581" s="82">
        <f t="shared" si="177"/>
        <v>93678114.113999993</v>
      </c>
      <c r="Y581" s="82">
        <f t="shared" si="182"/>
        <v>0</v>
      </c>
      <c r="Z581" s="82">
        <f t="shared" si="178"/>
        <v>-93678114.113999993</v>
      </c>
      <c r="AA581" s="83" t="str">
        <f t="shared" si="175"/>
        <v>No se realizó gasto en este corte</v>
      </c>
      <c r="AB581" s="84" t="str">
        <f t="shared" si="179"/>
        <v>Costo eficiente: se está gastando menos de lo presupuestado</v>
      </c>
      <c r="AC581" s="84">
        <f t="shared" si="183"/>
        <v>0</v>
      </c>
      <c r="AD581" s="84" t="str">
        <f t="shared" si="180"/>
        <v>Sin Línea Base</v>
      </c>
      <c r="AE581" s="85">
        <f t="shared" si="184"/>
        <v>0</v>
      </c>
      <c r="AF581" s="85">
        <f t="shared" si="185"/>
        <v>-93771886</v>
      </c>
      <c r="AG581" s="40" t="str">
        <f>VLOOKUP(Indicador!E581,Diccionario!C$1:AC$150,27,0)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1" s="40">
        <v>1</v>
      </c>
      <c r="AI581" s="40">
        <v>1</v>
      </c>
    </row>
    <row r="582" spans="1:35" ht="18.75" customHeight="1">
      <c r="A582" s="73">
        <v>2028</v>
      </c>
      <c r="B582" s="112" t="s">
        <v>13</v>
      </c>
      <c r="C582" s="36" t="s">
        <v>401</v>
      </c>
      <c r="D582" s="37">
        <v>45768.647169212963</v>
      </c>
      <c r="E582" s="36" t="s">
        <v>104</v>
      </c>
      <c r="F582" s="36" t="s">
        <v>149</v>
      </c>
      <c r="G582" s="36" t="s">
        <v>402</v>
      </c>
      <c r="H582" s="36" t="s">
        <v>403</v>
      </c>
      <c r="I582" s="36" t="s">
        <v>152</v>
      </c>
      <c r="J582" s="36" t="s">
        <v>404</v>
      </c>
      <c r="K582" s="36" t="s">
        <v>154</v>
      </c>
      <c r="L582" s="74">
        <f>VLOOKUP(E582,Diccionario!C$2:AC$150,22,0)</f>
        <v>93771886</v>
      </c>
      <c r="M582" s="75">
        <f>VLOOKUP(E582,Diccionario!C$2:AC$150,24,0)</f>
        <v>45931</v>
      </c>
      <c r="N582" s="76">
        <f>VLOOKUP(E582,Diccionario!C$2:AC$150,25,0)</f>
        <v>47756</v>
      </c>
      <c r="O582" s="77">
        <f>VLOOKUP(E582,Diccionario!C$2:AC$150,26,0)</f>
        <v>59.97</v>
      </c>
      <c r="P582" s="77">
        <f t="shared" si="176"/>
        <v>-27.97</v>
      </c>
      <c r="Q582" s="78">
        <v>32</v>
      </c>
      <c r="R582" s="36">
        <v>56</v>
      </c>
      <c r="S582" s="100">
        <v>0.999</v>
      </c>
      <c r="T582" s="86"/>
      <c r="U582" s="82"/>
      <c r="V582" s="82"/>
      <c r="W582" s="82">
        <f t="shared" si="181"/>
        <v>0</v>
      </c>
      <c r="X582" s="82">
        <f t="shared" si="177"/>
        <v>93678114.113999993</v>
      </c>
      <c r="Y582" s="82">
        <f t="shared" si="182"/>
        <v>0</v>
      </c>
      <c r="Z582" s="82">
        <f t="shared" si="178"/>
        <v>-93678114.113999993</v>
      </c>
      <c r="AA582" s="83" t="str">
        <f t="shared" si="175"/>
        <v>No se realizó gasto en este corte</v>
      </c>
      <c r="AB582" s="84" t="str">
        <f t="shared" si="179"/>
        <v>Costo eficiente: se está gastando menos de lo presupuestado</v>
      </c>
      <c r="AC582" s="84">
        <f t="shared" si="183"/>
        <v>0</v>
      </c>
      <c r="AD582" s="84" t="str">
        <f t="shared" si="180"/>
        <v>Sin Línea Base</v>
      </c>
      <c r="AE582" s="85">
        <f t="shared" si="184"/>
        <v>0</v>
      </c>
      <c r="AF582" s="85">
        <f t="shared" si="185"/>
        <v>-93771886</v>
      </c>
      <c r="AG582" s="40" t="str">
        <f>VLOOKUP(Indicador!E582,Diccionario!C$1:AC$150,27,0)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2" s="40">
        <v>1</v>
      </c>
      <c r="AI582" s="40">
        <v>1</v>
      </c>
    </row>
    <row r="583" spans="1:35" ht="18.75" customHeight="1">
      <c r="A583" s="73">
        <v>2028</v>
      </c>
      <c r="B583" s="112" t="s">
        <v>21</v>
      </c>
      <c r="C583" s="36" t="s">
        <v>401</v>
      </c>
      <c r="D583" s="37">
        <v>45768.647169212963</v>
      </c>
      <c r="E583" s="36" t="s">
        <v>104</v>
      </c>
      <c r="F583" s="36" t="s">
        <v>149</v>
      </c>
      <c r="G583" s="36" t="s">
        <v>402</v>
      </c>
      <c r="H583" s="36" t="s">
        <v>403</v>
      </c>
      <c r="I583" s="36" t="s">
        <v>152</v>
      </c>
      <c r="J583" s="36" t="s">
        <v>404</v>
      </c>
      <c r="K583" s="36" t="s">
        <v>154</v>
      </c>
      <c r="L583" s="74">
        <f>VLOOKUP(E583,Diccionario!C$2:AC$150,22,0)</f>
        <v>93771886</v>
      </c>
      <c r="M583" s="75">
        <f>VLOOKUP(E583,Diccionario!C$2:AC$150,24,0)</f>
        <v>45931</v>
      </c>
      <c r="N583" s="76">
        <f>VLOOKUP(E583,Diccionario!C$2:AC$150,25,0)</f>
        <v>47756</v>
      </c>
      <c r="O583" s="77">
        <f>VLOOKUP(E583,Diccionario!C$2:AC$150,26,0)</f>
        <v>59.97</v>
      </c>
      <c r="P583" s="77">
        <f t="shared" si="176"/>
        <v>-26.97</v>
      </c>
      <c r="Q583" s="78">
        <v>33</v>
      </c>
      <c r="R583" s="36">
        <v>56</v>
      </c>
      <c r="S583" s="100">
        <v>0.999</v>
      </c>
      <c r="T583" s="86"/>
      <c r="U583" s="82"/>
      <c r="V583" s="82"/>
      <c r="W583" s="82">
        <f t="shared" si="181"/>
        <v>0</v>
      </c>
      <c r="X583" s="82">
        <f t="shared" si="177"/>
        <v>93678114.113999993</v>
      </c>
      <c r="Y583" s="82">
        <f t="shared" si="182"/>
        <v>0</v>
      </c>
      <c r="Z583" s="82">
        <f t="shared" si="178"/>
        <v>-93678114.113999993</v>
      </c>
      <c r="AA583" s="83" t="str">
        <f t="shared" si="175"/>
        <v>No se realizó gasto en este corte</v>
      </c>
      <c r="AB583" s="84" t="str">
        <f t="shared" si="179"/>
        <v>Costo eficiente: se está gastando menos de lo presupuestado</v>
      </c>
      <c r="AC583" s="84">
        <f t="shared" si="183"/>
        <v>0</v>
      </c>
      <c r="AD583" s="84" t="str">
        <f t="shared" si="180"/>
        <v>Sin Línea Base</v>
      </c>
      <c r="AE583" s="85">
        <f t="shared" si="184"/>
        <v>0</v>
      </c>
      <c r="AF583" s="85">
        <f t="shared" si="185"/>
        <v>-93771886</v>
      </c>
      <c r="AG583" s="40" t="str">
        <f>VLOOKUP(Indicador!E583,Diccionario!C$1:AC$150,27,0)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3" s="40">
        <v>1</v>
      </c>
      <c r="AI583" s="40">
        <v>1</v>
      </c>
    </row>
    <row r="584" spans="1:35" ht="18.75" customHeight="1">
      <c r="A584" s="73">
        <v>2028</v>
      </c>
      <c r="B584" s="112" t="s">
        <v>23</v>
      </c>
      <c r="C584" s="36" t="s">
        <v>401</v>
      </c>
      <c r="D584" s="37">
        <v>45768.647169212963</v>
      </c>
      <c r="E584" s="36" t="s">
        <v>104</v>
      </c>
      <c r="F584" s="36" t="s">
        <v>149</v>
      </c>
      <c r="G584" s="36" t="s">
        <v>402</v>
      </c>
      <c r="H584" s="36" t="s">
        <v>403</v>
      </c>
      <c r="I584" s="36" t="s">
        <v>152</v>
      </c>
      <c r="J584" s="36" t="s">
        <v>404</v>
      </c>
      <c r="K584" s="36" t="s">
        <v>154</v>
      </c>
      <c r="L584" s="74">
        <f>VLOOKUP(E584,Diccionario!C$2:AC$150,22,0)</f>
        <v>93771886</v>
      </c>
      <c r="M584" s="75">
        <f>VLOOKUP(E584,Diccionario!C$2:AC$150,24,0)</f>
        <v>45931</v>
      </c>
      <c r="N584" s="76">
        <f>VLOOKUP(E584,Diccionario!C$2:AC$150,25,0)</f>
        <v>47756</v>
      </c>
      <c r="O584" s="77">
        <f>VLOOKUP(E584,Diccionario!C$2:AC$150,26,0)</f>
        <v>59.97</v>
      </c>
      <c r="P584" s="77">
        <f t="shared" si="176"/>
        <v>-25.97</v>
      </c>
      <c r="Q584" s="78">
        <v>34</v>
      </c>
      <c r="R584" s="36">
        <v>56</v>
      </c>
      <c r="S584" s="100">
        <v>0.999</v>
      </c>
      <c r="T584" s="86"/>
      <c r="U584" s="82"/>
      <c r="V584" s="82"/>
      <c r="W584" s="82">
        <f t="shared" si="181"/>
        <v>0</v>
      </c>
      <c r="X584" s="82">
        <f t="shared" si="177"/>
        <v>93678114.113999993</v>
      </c>
      <c r="Y584" s="82">
        <f t="shared" si="182"/>
        <v>0</v>
      </c>
      <c r="Z584" s="82">
        <f t="shared" si="178"/>
        <v>-93678114.113999993</v>
      </c>
      <c r="AA584" s="83" t="str">
        <f t="shared" si="175"/>
        <v>No se realizó gasto en este corte</v>
      </c>
      <c r="AB584" s="84" t="str">
        <f t="shared" si="179"/>
        <v>Costo eficiente: se está gastando menos de lo presupuestado</v>
      </c>
      <c r="AC584" s="84">
        <f t="shared" si="183"/>
        <v>0</v>
      </c>
      <c r="AD584" s="84" t="str">
        <f t="shared" si="180"/>
        <v>Sin Línea Base</v>
      </c>
      <c r="AE584" s="85">
        <f t="shared" si="184"/>
        <v>0</v>
      </c>
      <c r="AF584" s="85">
        <f t="shared" si="185"/>
        <v>-93771886</v>
      </c>
      <c r="AG584" s="40" t="str">
        <f>VLOOKUP(Indicador!E584,Diccionario!C$1:AC$150,27,0)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4" s="40">
        <v>1</v>
      </c>
      <c r="AI584" s="40">
        <v>1</v>
      </c>
    </row>
    <row r="585" spans="1:35" ht="18.75" customHeight="1">
      <c r="A585" s="73">
        <v>2028</v>
      </c>
      <c r="B585" s="112" t="s">
        <v>26</v>
      </c>
      <c r="C585" s="36" t="s">
        <v>401</v>
      </c>
      <c r="D585" s="37">
        <v>45768.647169212963</v>
      </c>
      <c r="E585" s="36" t="s">
        <v>104</v>
      </c>
      <c r="F585" s="36" t="s">
        <v>149</v>
      </c>
      <c r="G585" s="36" t="s">
        <v>402</v>
      </c>
      <c r="H585" s="36" t="s">
        <v>403</v>
      </c>
      <c r="I585" s="36" t="s">
        <v>152</v>
      </c>
      <c r="J585" s="36" t="s">
        <v>404</v>
      </c>
      <c r="K585" s="36" t="s">
        <v>154</v>
      </c>
      <c r="L585" s="74">
        <f>VLOOKUP(E585,Diccionario!C$2:AC$150,22,0)</f>
        <v>93771886</v>
      </c>
      <c r="M585" s="75">
        <f>VLOOKUP(E585,Diccionario!C$2:AC$150,24,0)</f>
        <v>45931</v>
      </c>
      <c r="N585" s="76">
        <f>VLOOKUP(E585,Diccionario!C$2:AC$150,25,0)</f>
        <v>47756</v>
      </c>
      <c r="O585" s="77">
        <f>VLOOKUP(E585,Diccionario!C$2:AC$150,26,0)</f>
        <v>59.97</v>
      </c>
      <c r="P585" s="77">
        <f t="shared" si="176"/>
        <v>-24.97</v>
      </c>
      <c r="Q585" s="78">
        <v>35</v>
      </c>
      <c r="R585" s="36">
        <v>56</v>
      </c>
      <c r="S585" s="100">
        <v>0.999</v>
      </c>
      <c r="T585" s="86"/>
      <c r="U585" s="82"/>
      <c r="V585" s="82"/>
      <c r="W585" s="82">
        <f t="shared" si="181"/>
        <v>0</v>
      </c>
      <c r="X585" s="82">
        <f t="shared" si="177"/>
        <v>93678114.113999993</v>
      </c>
      <c r="Y585" s="82">
        <f t="shared" si="182"/>
        <v>0</v>
      </c>
      <c r="Z585" s="82">
        <f t="shared" si="178"/>
        <v>-93678114.113999993</v>
      </c>
      <c r="AA585" s="83" t="str">
        <f t="shared" si="175"/>
        <v>No se realizó gasto en este corte</v>
      </c>
      <c r="AB585" s="84" t="str">
        <f t="shared" si="179"/>
        <v>Costo eficiente: se está gastando menos de lo presupuestado</v>
      </c>
      <c r="AC585" s="84">
        <f t="shared" si="183"/>
        <v>0</v>
      </c>
      <c r="AD585" s="84" t="str">
        <f t="shared" si="180"/>
        <v>Sin Línea Base</v>
      </c>
      <c r="AE585" s="85">
        <f t="shared" si="184"/>
        <v>0</v>
      </c>
      <c r="AF585" s="85">
        <f t="shared" si="185"/>
        <v>-93771886</v>
      </c>
      <c r="AG585" s="40" t="str">
        <f>VLOOKUP(Indicador!E585,Diccionario!C$1:AC$150,27,0)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5" s="40">
        <v>1</v>
      </c>
      <c r="AI585" s="40">
        <v>1</v>
      </c>
    </row>
    <row r="586" spans="1:35" ht="18.75" customHeight="1">
      <c r="A586" s="73">
        <v>2028</v>
      </c>
      <c r="B586" s="112" t="s">
        <v>28</v>
      </c>
      <c r="C586" s="36" t="s">
        <v>401</v>
      </c>
      <c r="D586" s="37">
        <v>45768.647169212963</v>
      </c>
      <c r="E586" s="36" t="s">
        <v>104</v>
      </c>
      <c r="F586" s="36" t="s">
        <v>149</v>
      </c>
      <c r="G586" s="36" t="s">
        <v>402</v>
      </c>
      <c r="H586" s="36" t="s">
        <v>403</v>
      </c>
      <c r="I586" s="36" t="s">
        <v>152</v>
      </c>
      <c r="J586" s="36" t="s">
        <v>404</v>
      </c>
      <c r="K586" s="36" t="s">
        <v>154</v>
      </c>
      <c r="L586" s="74">
        <f>VLOOKUP(E586,Diccionario!C$2:AC$150,22,0)</f>
        <v>93771886</v>
      </c>
      <c r="M586" s="75">
        <f>VLOOKUP(E586,Diccionario!C$2:AC$150,24,0)</f>
        <v>45931</v>
      </c>
      <c r="N586" s="76">
        <f>VLOOKUP(E586,Diccionario!C$2:AC$150,25,0)</f>
        <v>47756</v>
      </c>
      <c r="O586" s="77">
        <f>VLOOKUP(E586,Diccionario!C$2:AC$150,26,0)</f>
        <v>59.97</v>
      </c>
      <c r="P586" s="77">
        <f t="shared" si="176"/>
        <v>-23.97</v>
      </c>
      <c r="Q586" s="78">
        <v>36</v>
      </c>
      <c r="R586" s="36">
        <v>56</v>
      </c>
      <c r="S586" s="100">
        <v>0.999</v>
      </c>
      <c r="T586" s="86"/>
      <c r="U586" s="82"/>
      <c r="V586" s="82"/>
      <c r="W586" s="82">
        <f t="shared" si="181"/>
        <v>0</v>
      </c>
      <c r="X586" s="82">
        <f t="shared" si="177"/>
        <v>93678114.113999993</v>
      </c>
      <c r="Y586" s="82">
        <f t="shared" si="182"/>
        <v>0</v>
      </c>
      <c r="Z586" s="82">
        <f t="shared" si="178"/>
        <v>-93678114.113999993</v>
      </c>
      <c r="AA586" s="83" t="str">
        <f t="shared" si="175"/>
        <v>No se realizó gasto en este corte</v>
      </c>
      <c r="AB586" s="84" t="str">
        <f t="shared" si="179"/>
        <v>Costo eficiente: se está gastando menos de lo presupuestado</v>
      </c>
      <c r="AC586" s="84">
        <f t="shared" si="183"/>
        <v>0</v>
      </c>
      <c r="AD586" s="84" t="str">
        <f t="shared" si="180"/>
        <v>Sin Línea Base</v>
      </c>
      <c r="AE586" s="85">
        <f t="shared" si="184"/>
        <v>0</v>
      </c>
      <c r="AF586" s="85">
        <f t="shared" si="185"/>
        <v>-93771886</v>
      </c>
      <c r="AG586" s="40" t="str">
        <f>VLOOKUP(Indicador!E586,Diccionario!C$1:AC$150,27,0)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6" s="40">
        <v>1</v>
      </c>
      <c r="AI586" s="40">
        <v>1</v>
      </c>
    </row>
    <row r="587" spans="1:35" ht="18.75" customHeight="1">
      <c r="A587" s="73">
        <v>2028</v>
      </c>
      <c r="B587" s="112" t="s">
        <v>30</v>
      </c>
      <c r="C587" s="36" t="s">
        <v>401</v>
      </c>
      <c r="D587" s="37">
        <v>45768.647169212963</v>
      </c>
      <c r="E587" s="36" t="s">
        <v>104</v>
      </c>
      <c r="F587" s="36" t="s">
        <v>149</v>
      </c>
      <c r="G587" s="36" t="s">
        <v>402</v>
      </c>
      <c r="H587" s="36" t="s">
        <v>403</v>
      </c>
      <c r="I587" s="36" t="s">
        <v>152</v>
      </c>
      <c r="J587" s="36" t="s">
        <v>404</v>
      </c>
      <c r="K587" s="36" t="s">
        <v>154</v>
      </c>
      <c r="L587" s="74">
        <f>VLOOKUP(E587,Diccionario!C$2:AC$150,22,0)</f>
        <v>93771886</v>
      </c>
      <c r="M587" s="75">
        <f>VLOOKUP(E587,Diccionario!C$2:AC$150,24,0)</f>
        <v>45931</v>
      </c>
      <c r="N587" s="76">
        <f>VLOOKUP(E587,Diccionario!C$2:AC$150,25,0)</f>
        <v>47756</v>
      </c>
      <c r="O587" s="77">
        <f>VLOOKUP(E587,Diccionario!C$2:AC$150,26,0)</f>
        <v>59.97</v>
      </c>
      <c r="P587" s="77">
        <f t="shared" si="176"/>
        <v>-22.97</v>
      </c>
      <c r="Q587" s="78">
        <v>37</v>
      </c>
      <c r="R587" s="36">
        <v>56</v>
      </c>
      <c r="S587" s="100">
        <v>0.999</v>
      </c>
      <c r="T587" s="86"/>
      <c r="U587" s="82"/>
      <c r="V587" s="82"/>
      <c r="W587" s="82">
        <f t="shared" si="181"/>
        <v>0</v>
      </c>
      <c r="X587" s="82">
        <f t="shared" si="177"/>
        <v>93678114.113999993</v>
      </c>
      <c r="Y587" s="82">
        <f t="shared" si="182"/>
        <v>0</v>
      </c>
      <c r="Z587" s="82">
        <f t="shared" si="178"/>
        <v>-93678114.113999993</v>
      </c>
      <c r="AA587" s="83" t="str">
        <f t="shared" si="175"/>
        <v>No se realizó gasto en este corte</v>
      </c>
      <c r="AB587" s="84" t="str">
        <f t="shared" si="179"/>
        <v>Costo eficiente: se está gastando menos de lo presupuestado</v>
      </c>
      <c r="AC587" s="84">
        <f t="shared" si="183"/>
        <v>0</v>
      </c>
      <c r="AD587" s="84" t="str">
        <f t="shared" si="180"/>
        <v>Sin Línea Base</v>
      </c>
      <c r="AE587" s="85">
        <f t="shared" si="184"/>
        <v>0</v>
      </c>
      <c r="AF587" s="85">
        <f t="shared" si="185"/>
        <v>-93771886</v>
      </c>
      <c r="AG587" s="40" t="str">
        <f>VLOOKUP(Indicador!E587,Diccionario!C$1:AC$150,27,0)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7" s="40">
        <v>1</v>
      </c>
      <c r="AI587" s="40">
        <v>1</v>
      </c>
    </row>
    <row r="588" spans="1:35" ht="18.75" customHeight="1">
      <c r="A588" s="73">
        <v>2028</v>
      </c>
      <c r="B588" s="112" t="s">
        <v>31</v>
      </c>
      <c r="C588" s="36" t="s">
        <v>401</v>
      </c>
      <c r="D588" s="37">
        <v>45768.647169212963</v>
      </c>
      <c r="E588" s="36" t="s">
        <v>104</v>
      </c>
      <c r="F588" s="36" t="s">
        <v>149</v>
      </c>
      <c r="G588" s="36" t="s">
        <v>402</v>
      </c>
      <c r="H588" s="36" t="s">
        <v>403</v>
      </c>
      <c r="I588" s="36" t="s">
        <v>152</v>
      </c>
      <c r="J588" s="36" t="s">
        <v>404</v>
      </c>
      <c r="K588" s="36" t="s">
        <v>154</v>
      </c>
      <c r="L588" s="74">
        <f>VLOOKUP(E588,Diccionario!C$2:AC$150,22,0)</f>
        <v>93771886</v>
      </c>
      <c r="M588" s="75">
        <f>VLOOKUP(E588,Diccionario!C$2:AC$150,24,0)</f>
        <v>45931</v>
      </c>
      <c r="N588" s="76">
        <f>VLOOKUP(E588,Diccionario!C$2:AC$150,25,0)</f>
        <v>47756</v>
      </c>
      <c r="O588" s="77">
        <f>VLOOKUP(E588,Diccionario!C$2:AC$150,26,0)</f>
        <v>59.97</v>
      </c>
      <c r="P588" s="77">
        <f t="shared" si="176"/>
        <v>-21.97</v>
      </c>
      <c r="Q588" s="78">
        <v>38</v>
      </c>
      <c r="R588" s="36">
        <v>56</v>
      </c>
      <c r="S588" s="100">
        <v>0.999</v>
      </c>
      <c r="T588" s="86"/>
      <c r="U588" s="82"/>
      <c r="V588" s="82"/>
      <c r="W588" s="82">
        <f t="shared" si="181"/>
        <v>0</v>
      </c>
      <c r="X588" s="82">
        <f t="shared" si="177"/>
        <v>93678114.113999993</v>
      </c>
      <c r="Y588" s="82">
        <f t="shared" si="182"/>
        <v>0</v>
      </c>
      <c r="Z588" s="82">
        <f t="shared" si="178"/>
        <v>-93678114.113999993</v>
      </c>
      <c r="AA588" s="83" t="str">
        <f t="shared" ref="AA588:AA661" si="186">IFERROR(W588/U588,"No se realizó gasto en este corte")</f>
        <v>No se realizó gasto en este corte</v>
      </c>
      <c r="AB588" s="84" t="str">
        <f t="shared" si="179"/>
        <v>Costo eficiente: se está gastando menos de lo presupuestado</v>
      </c>
      <c r="AC588" s="84">
        <f t="shared" si="183"/>
        <v>0</v>
      </c>
      <c r="AD588" s="84" t="str">
        <f t="shared" si="180"/>
        <v>Sin Línea Base</v>
      </c>
      <c r="AE588" s="85">
        <f t="shared" si="184"/>
        <v>0</v>
      </c>
      <c r="AF588" s="85">
        <f t="shared" si="185"/>
        <v>-93771886</v>
      </c>
      <c r="AG588" s="40" t="str">
        <f>VLOOKUP(Indicador!E588,Diccionario!C$1:AC$150,27,0)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8" s="40">
        <v>1</v>
      </c>
      <c r="AI588" s="40">
        <v>1</v>
      </c>
    </row>
    <row r="589" spans="1:35" ht="18.75" customHeight="1">
      <c r="A589" s="73">
        <v>2028</v>
      </c>
      <c r="B589" s="112" t="s">
        <v>32</v>
      </c>
      <c r="C589" s="36" t="s">
        <v>401</v>
      </c>
      <c r="D589" s="37">
        <v>45768.647169212963</v>
      </c>
      <c r="E589" s="36" t="s">
        <v>104</v>
      </c>
      <c r="F589" s="36" t="s">
        <v>149</v>
      </c>
      <c r="G589" s="36" t="s">
        <v>402</v>
      </c>
      <c r="H589" s="36" t="s">
        <v>403</v>
      </c>
      <c r="I589" s="36" t="s">
        <v>152</v>
      </c>
      <c r="J589" s="36" t="s">
        <v>404</v>
      </c>
      <c r="K589" s="36" t="s">
        <v>154</v>
      </c>
      <c r="L589" s="74">
        <f>VLOOKUP(E589,Diccionario!C$2:AC$150,22,0)</f>
        <v>93771886</v>
      </c>
      <c r="M589" s="75">
        <f>VLOOKUP(E589,Diccionario!C$2:AC$150,24,0)</f>
        <v>45931</v>
      </c>
      <c r="N589" s="76">
        <f>VLOOKUP(E589,Diccionario!C$2:AC$150,25,0)</f>
        <v>47756</v>
      </c>
      <c r="O589" s="77">
        <f>VLOOKUP(E589,Diccionario!C$2:AC$150,26,0)</f>
        <v>59.97</v>
      </c>
      <c r="P589" s="77">
        <f t="shared" si="176"/>
        <v>-20.97</v>
      </c>
      <c r="Q589" s="78">
        <v>39</v>
      </c>
      <c r="R589" s="36">
        <v>56</v>
      </c>
      <c r="S589" s="100">
        <v>0.999</v>
      </c>
      <c r="T589" s="86"/>
      <c r="U589" s="82"/>
      <c r="V589" s="82"/>
      <c r="W589" s="82">
        <f t="shared" si="181"/>
        <v>0</v>
      </c>
      <c r="X589" s="82">
        <f t="shared" si="177"/>
        <v>93678114.113999993</v>
      </c>
      <c r="Y589" s="82">
        <f t="shared" si="182"/>
        <v>0</v>
      </c>
      <c r="Z589" s="82">
        <f t="shared" si="178"/>
        <v>-93678114.113999993</v>
      </c>
      <c r="AA589" s="83" t="str">
        <f t="shared" si="186"/>
        <v>No se realizó gasto en este corte</v>
      </c>
      <c r="AB589" s="84" t="str">
        <f t="shared" si="179"/>
        <v>Costo eficiente: se está gastando menos de lo presupuestado</v>
      </c>
      <c r="AC589" s="84">
        <f t="shared" si="183"/>
        <v>0</v>
      </c>
      <c r="AD589" s="84" t="str">
        <f t="shared" si="180"/>
        <v>Sin Línea Base</v>
      </c>
      <c r="AE589" s="85">
        <f t="shared" si="184"/>
        <v>0</v>
      </c>
      <c r="AF589" s="85">
        <f t="shared" si="185"/>
        <v>-93771886</v>
      </c>
      <c r="AG589" s="40" t="str">
        <f>VLOOKUP(Indicador!E589,Diccionario!C$1:AC$150,27,0)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89" s="40">
        <v>1</v>
      </c>
      <c r="AI589" s="40">
        <v>1</v>
      </c>
    </row>
    <row r="590" spans="1:35" ht="18.75" customHeight="1">
      <c r="A590" s="73">
        <v>2029</v>
      </c>
      <c r="B590" s="112" t="s">
        <v>14</v>
      </c>
      <c r="C590" s="36" t="s">
        <v>401</v>
      </c>
      <c r="D590" s="37">
        <v>45768.647169212963</v>
      </c>
      <c r="E590" s="36" t="s">
        <v>104</v>
      </c>
      <c r="F590" s="36" t="s">
        <v>149</v>
      </c>
      <c r="G590" s="36" t="s">
        <v>402</v>
      </c>
      <c r="H590" s="36" t="s">
        <v>403</v>
      </c>
      <c r="I590" s="36" t="s">
        <v>152</v>
      </c>
      <c r="J590" s="36" t="s">
        <v>404</v>
      </c>
      <c r="K590" s="36" t="s">
        <v>154</v>
      </c>
      <c r="L590" s="74">
        <f>VLOOKUP(E590,Diccionario!C$2:AC$150,22,0)</f>
        <v>93771886</v>
      </c>
      <c r="M590" s="75">
        <f>VLOOKUP(E590,Diccionario!C$2:AC$150,24,0)</f>
        <v>45931</v>
      </c>
      <c r="N590" s="76">
        <f>VLOOKUP(E590,Diccionario!C$2:AC$150,25,0)</f>
        <v>47756</v>
      </c>
      <c r="O590" s="77">
        <f>VLOOKUP(E590,Diccionario!C$2:AC$150,26,0)</f>
        <v>59.97</v>
      </c>
      <c r="P590" s="77">
        <f t="shared" si="176"/>
        <v>-19.97</v>
      </c>
      <c r="Q590" s="78">
        <v>40</v>
      </c>
      <c r="R590" s="36">
        <v>56</v>
      </c>
      <c r="S590" s="100">
        <v>0.999</v>
      </c>
      <c r="T590" s="86"/>
      <c r="U590" s="82"/>
      <c r="V590" s="82"/>
      <c r="W590" s="82">
        <f t="shared" si="181"/>
        <v>0</v>
      </c>
      <c r="X590" s="82">
        <f t="shared" si="177"/>
        <v>93678114.113999993</v>
      </c>
      <c r="Y590" s="82">
        <f t="shared" si="182"/>
        <v>0</v>
      </c>
      <c r="Z590" s="82">
        <f t="shared" si="178"/>
        <v>-93678114.113999993</v>
      </c>
      <c r="AA590" s="83" t="str">
        <f t="shared" si="186"/>
        <v>No se realizó gasto en este corte</v>
      </c>
      <c r="AB590" s="84" t="str">
        <f t="shared" si="179"/>
        <v>Costo eficiente: se está gastando menos de lo presupuestado</v>
      </c>
      <c r="AC590" s="84">
        <f t="shared" si="183"/>
        <v>0</v>
      </c>
      <c r="AD590" s="84" t="str">
        <f t="shared" si="180"/>
        <v>Sin Línea Base</v>
      </c>
      <c r="AE590" s="85">
        <f t="shared" si="184"/>
        <v>0</v>
      </c>
      <c r="AF590" s="85">
        <f t="shared" si="185"/>
        <v>-93771886</v>
      </c>
      <c r="AG590" s="40" t="str">
        <f>VLOOKUP(Indicador!E590,Diccionario!C$1:AC$150,27,0)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0" s="40">
        <v>1</v>
      </c>
      <c r="AI590" s="40">
        <v>1</v>
      </c>
    </row>
    <row r="591" spans="1:35" ht="18.75" customHeight="1">
      <c r="A591" s="73">
        <v>2029</v>
      </c>
      <c r="B591" s="112" t="s">
        <v>22</v>
      </c>
      <c r="C591" s="36" t="s">
        <v>401</v>
      </c>
      <c r="D591" s="37">
        <v>45768.647169212963</v>
      </c>
      <c r="E591" s="36" t="s">
        <v>104</v>
      </c>
      <c r="F591" s="36" t="s">
        <v>149</v>
      </c>
      <c r="G591" s="36" t="s">
        <v>402</v>
      </c>
      <c r="H591" s="36" t="s">
        <v>403</v>
      </c>
      <c r="I591" s="36" t="s">
        <v>152</v>
      </c>
      <c r="J591" s="36" t="s">
        <v>404</v>
      </c>
      <c r="K591" s="36" t="s">
        <v>154</v>
      </c>
      <c r="L591" s="74">
        <f>VLOOKUP(E591,Diccionario!C$2:AC$150,22,0)</f>
        <v>93771886</v>
      </c>
      <c r="M591" s="75">
        <f>VLOOKUP(E591,Diccionario!C$2:AC$150,24,0)</f>
        <v>45931</v>
      </c>
      <c r="N591" s="76">
        <f>VLOOKUP(E591,Diccionario!C$2:AC$150,25,0)</f>
        <v>47756</v>
      </c>
      <c r="O591" s="77">
        <f>VLOOKUP(E591,Diccionario!C$2:AC$150,26,0)</f>
        <v>59.97</v>
      </c>
      <c r="P591" s="77">
        <f t="shared" si="176"/>
        <v>-18.97</v>
      </c>
      <c r="Q591" s="78">
        <v>41</v>
      </c>
      <c r="R591" s="36">
        <v>56</v>
      </c>
      <c r="S591" s="100">
        <v>0.999</v>
      </c>
      <c r="T591" s="86"/>
      <c r="U591" s="82"/>
      <c r="V591" s="82"/>
      <c r="W591" s="82">
        <f t="shared" si="181"/>
        <v>0</v>
      </c>
      <c r="X591" s="82">
        <f t="shared" si="177"/>
        <v>93678114.113999993</v>
      </c>
      <c r="Y591" s="82">
        <f t="shared" si="182"/>
        <v>0</v>
      </c>
      <c r="Z591" s="82">
        <f t="shared" si="178"/>
        <v>-93678114.113999993</v>
      </c>
      <c r="AA591" s="83" t="str">
        <f t="shared" si="186"/>
        <v>No se realizó gasto en este corte</v>
      </c>
      <c r="AB591" s="84" t="str">
        <f t="shared" si="179"/>
        <v>Costo eficiente: se está gastando menos de lo presupuestado</v>
      </c>
      <c r="AC591" s="84">
        <f t="shared" si="183"/>
        <v>0</v>
      </c>
      <c r="AD591" s="84" t="str">
        <f t="shared" si="180"/>
        <v>Sin Línea Base</v>
      </c>
      <c r="AE591" s="85">
        <f t="shared" si="184"/>
        <v>0</v>
      </c>
      <c r="AF591" s="85">
        <f t="shared" si="185"/>
        <v>-93771886</v>
      </c>
      <c r="AG591" s="40" t="str">
        <f>VLOOKUP(Indicador!E591,Diccionario!C$1:AC$150,27,0)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1" s="40">
        <v>1</v>
      </c>
      <c r="AI591" s="40">
        <v>1</v>
      </c>
    </row>
    <row r="592" spans="1:35" ht="18.75" customHeight="1">
      <c r="A592" s="73">
        <v>2029</v>
      </c>
      <c r="B592" s="112" t="s">
        <v>24</v>
      </c>
      <c r="C592" s="36" t="s">
        <v>401</v>
      </c>
      <c r="D592" s="37">
        <v>45768.647169212963</v>
      </c>
      <c r="E592" s="36" t="s">
        <v>104</v>
      </c>
      <c r="F592" s="36" t="s">
        <v>149</v>
      </c>
      <c r="G592" s="36" t="s">
        <v>402</v>
      </c>
      <c r="H592" s="36" t="s">
        <v>403</v>
      </c>
      <c r="I592" s="36" t="s">
        <v>152</v>
      </c>
      <c r="J592" s="36" t="s">
        <v>404</v>
      </c>
      <c r="K592" s="36" t="s">
        <v>154</v>
      </c>
      <c r="L592" s="74">
        <f>VLOOKUP(E592,Diccionario!C$2:AC$150,22,0)</f>
        <v>93771886</v>
      </c>
      <c r="M592" s="75">
        <f>VLOOKUP(E592,Diccionario!C$2:AC$150,24,0)</f>
        <v>45931</v>
      </c>
      <c r="N592" s="76">
        <f>VLOOKUP(E592,Diccionario!C$2:AC$150,25,0)</f>
        <v>47756</v>
      </c>
      <c r="O592" s="77">
        <f>VLOOKUP(E592,Diccionario!C$2:AC$150,26,0)</f>
        <v>59.97</v>
      </c>
      <c r="P592" s="77">
        <f t="shared" si="176"/>
        <v>-17.97</v>
      </c>
      <c r="Q592" s="78">
        <v>42</v>
      </c>
      <c r="R592" s="36">
        <v>56</v>
      </c>
      <c r="S592" s="100">
        <v>0.999</v>
      </c>
      <c r="T592" s="86"/>
      <c r="U592" s="82"/>
      <c r="V592" s="82"/>
      <c r="W592" s="82">
        <f t="shared" si="181"/>
        <v>0</v>
      </c>
      <c r="X592" s="82">
        <f t="shared" si="177"/>
        <v>93678114.113999993</v>
      </c>
      <c r="Y592" s="82">
        <f t="shared" si="182"/>
        <v>0</v>
      </c>
      <c r="Z592" s="82">
        <f t="shared" si="178"/>
        <v>-93678114.113999993</v>
      </c>
      <c r="AA592" s="83" t="str">
        <f t="shared" si="186"/>
        <v>No se realizó gasto en este corte</v>
      </c>
      <c r="AB592" s="84" t="str">
        <f t="shared" si="179"/>
        <v>Costo eficiente: se está gastando menos de lo presupuestado</v>
      </c>
      <c r="AC592" s="84">
        <f t="shared" si="183"/>
        <v>0</v>
      </c>
      <c r="AD592" s="84" t="str">
        <f t="shared" si="180"/>
        <v>Sin Línea Base</v>
      </c>
      <c r="AE592" s="85">
        <f t="shared" si="184"/>
        <v>0</v>
      </c>
      <c r="AF592" s="85">
        <f t="shared" si="185"/>
        <v>-93771886</v>
      </c>
      <c r="AG592" s="40" t="str">
        <f>VLOOKUP(Indicador!E592,Diccionario!C$1:AC$150,27,0)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2" s="40">
        <v>1</v>
      </c>
      <c r="AI592" s="40">
        <v>1</v>
      </c>
    </row>
    <row r="593" spans="1:35" ht="18.75" customHeight="1">
      <c r="A593" s="73">
        <v>2029</v>
      </c>
      <c r="B593" s="112" t="s">
        <v>27</v>
      </c>
      <c r="C593" s="36" t="s">
        <v>401</v>
      </c>
      <c r="D593" s="37">
        <v>45768.647169212963</v>
      </c>
      <c r="E593" s="36" t="s">
        <v>104</v>
      </c>
      <c r="F593" s="36" t="s">
        <v>149</v>
      </c>
      <c r="G593" s="36" t="s">
        <v>402</v>
      </c>
      <c r="H593" s="36" t="s">
        <v>403</v>
      </c>
      <c r="I593" s="36" t="s">
        <v>152</v>
      </c>
      <c r="J593" s="36" t="s">
        <v>404</v>
      </c>
      <c r="K593" s="36" t="s">
        <v>154</v>
      </c>
      <c r="L593" s="74">
        <f>VLOOKUP(E593,Diccionario!C$2:AC$150,22,0)</f>
        <v>93771886</v>
      </c>
      <c r="M593" s="75">
        <f>VLOOKUP(E593,Diccionario!C$2:AC$150,24,0)</f>
        <v>45931</v>
      </c>
      <c r="N593" s="76">
        <f>VLOOKUP(E593,Diccionario!C$2:AC$150,25,0)</f>
        <v>47756</v>
      </c>
      <c r="O593" s="77">
        <f>VLOOKUP(E593,Diccionario!C$2:AC$150,26,0)</f>
        <v>59.97</v>
      </c>
      <c r="P593" s="77">
        <f t="shared" si="176"/>
        <v>-16.97</v>
      </c>
      <c r="Q593" s="78">
        <v>43</v>
      </c>
      <c r="R593" s="36">
        <v>56</v>
      </c>
      <c r="S593" s="100">
        <v>0.999</v>
      </c>
      <c r="T593" s="86"/>
      <c r="U593" s="82"/>
      <c r="V593" s="82"/>
      <c r="W593" s="82">
        <f t="shared" si="181"/>
        <v>0</v>
      </c>
      <c r="X593" s="82">
        <f t="shared" si="177"/>
        <v>93678114.113999993</v>
      </c>
      <c r="Y593" s="82">
        <f t="shared" si="182"/>
        <v>0</v>
      </c>
      <c r="Z593" s="82">
        <f t="shared" si="178"/>
        <v>-93678114.113999993</v>
      </c>
      <c r="AA593" s="83" t="str">
        <f t="shared" si="186"/>
        <v>No se realizó gasto en este corte</v>
      </c>
      <c r="AB593" s="84" t="str">
        <f t="shared" si="179"/>
        <v>Costo eficiente: se está gastando menos de lo presupuestado</v>
      </c>
      <c r="AC593" s="84">
        <f t="shared" si="183"/>
        <v>0</v>
      </c>
      <c r="AD593" s="84" t="str">
        <f t="shared" si="180"/>
        <v>Sin Línea Base</v>
      </c>
      <c r="AE593" s="85">
        <f t="shared" si="184"/>
        <v>0</v>
      </c>
      <c r="AF593" s="85">
        <f t="shared" si="185"/>
        <v>-93771886</v>
      </c>
      <c r="AG593" s="40" t="str">
        <f>VLOOKUP(Indicador!E593,Diccionario!C$1:AC$150,27,0)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3" s="40">
        <v>1</v>
      </c>
      <c r="AI593" s="40">
        <v>1</v>
      </c>
    </row>
    <row r="594" spans="1:35" ht="18.75" customHeight="1">
      <c r="A594" s="73">
        <v>2029</v>
      </c>
      <c r="B594" s="112" t="s">
        <v>13</v>
      </c>
      <c r="C594" s="36" t="s">
        <v>401</v>
      </c>
      <c r="D594" s="37">
        <v>45768.647169212963</v>
      </c>
      <c r="E594" s="36" t="s">
        <v>104</v>
      </c>
      <c r="F594" s="36" t="s">
        <v>149</v>
      </c>
      <c r="G594" s="36" t="s">
        <v>402</v>
      </c>
      <c r="H594" s="36" t="s">
        <v>403</v>
      </c>
      <c r="I594" s="36" t="s">
        <v>152</v>
      </c>
      <c r="J594" s="36" t="s">
        <v>404</v>
      </c>
      <c r="K594" s="36" t="s">
        <v>154</v>
      </c>
      <c r="L594" s="74">
        <f>VLOOKUP(E594,Diccionario!C$2:AC$150,22,0)</f>
        <v>93771886</v>
      </c>
      <c r="M594" s="75">
        <f>VLOOKUP(E594,Diccionario!C$2:AC$150,24,0)</f>
        <v>45931</v>
      </c>
      <c r="N594" s="76">
        <f>VLOOKUP(E594,Diccionario!C$2:AC$150,25,0)</f>
        <v>47756</v>
      </c>
      <c r="O594" s="77">
        <f>VLOOKUP(E594,Diccionario!C$2:AC$150,26,0)</f>
        <v>59.97</v>
      </c>
      <c r="P594" s="77">
        <f t="shared" si="176"/>
        <v>-15.969999999999999</v>
      </c>
      <c r="Q594" s="78">
        <v>44</v>
      </c>
      <c r="R594" s="36">
        <v>56</v>
      </c>
      <c r="S594" s="100">
        <v>0.999</v>
      </c>
      <c r="T594" s="86"/>
      <c r="U594" s="82"/>
      <c r="V594" s="82"/>
      <c r="W594" s="82">
        <f t="shared" si="181"/>
        <v>0</v>
      </c>
      <c r="X594" s="82">
        <f t="shared" si="177"/>
        <v>93678114.113999993</v>
      </c>
      <c r="Y594" s="82">
        <f t="shared" si="182"/>
        <v>0</v>
      </c>
      <c r="Z594" s="82">
        <f t="shared" si="178"/>
        <v>-93678114.113999993</v>
      </c>
      <c r="AA594" s="83" t="str">
        <f t="shared" si="186"/>
        <v>No se realizó gasto en este corte</v>
      </c>
      <c r="AB594" s="84" t="str">
        <f t="shared" si="179"/>
        <v>Costo eficiente: se está gastando menos de lo presupuestado</v>
      </c>
      <c r="AC594" s="84">
        <f t="shared" si="183"/>
        <v>0</v>
      </c>
      <c r="AD594" s="84" t="str">
        <f t="shared" si="180"/>
        <v>Sin Línea Base</v>
      </c>
      <c r="AE594" s="85">
        <f t="shared" si="184"/>
        <v>0</v>
      </c>
      <c r="AF594" s="85">
        <f t="shared" si="185"/>
        <v>-93771886</v>
      </c>
      <c r="AG594" s="40" t="str">
        <f>VLOOKUP(Indicador!E594,Diccionario!C$1:AC$150,27,0)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4" s="40">
        <v>1</v>
      </c>
      <c r="AI594" s="40">
        <v>1</v>
      </c>
    </row>
    <row r="595" spans="1:35" ht="18.75" customHeight="1">
      <c r="A595" s="73">
        <v>2029</v>
      </c>
      <c r="B595" s="112" t="s">
        <v>21</v>
      </c>
      <c r="C595" s="36" t="s">
        <v>401</v>
      </c>
      <c r="D595" s="37">
        <v>45768.647169212963</v>
      </c>
      <c r="E595" s="36" t="s">
        <v>104</v>
      </c>
      <c r="F595" s="36" t="s">
        <v>149</v>
      </c>
      <c r="G595" s="36" t="s">
        <v>402</v>
      </c>
      <c r="H595" s="36" t="s">
        <v>403</v>
      </c>
      <c r="I595" s="36" t="s">
        <v>152</v>
      </c>
      <c r="J595" s="36" t="s">
        <v>404</v>
      </c>
      <c r="K595" s="36" t="s">
        <v>154</v>
      </c>
      <c r="L595" s="74">
        <f>VLOOKUP(E595,Diccionario!C$2:AC$150,22,0)</f>
        <v>93771886</v>
      </c>
      <c r="M595" s="75">
        <f>VLOOKUP(E595,Diccionario!C$2:AC$150,24,0)</f>
        <v>45931</v>
      </c>
      <c r="N595" s="76">
        <f>VLOOKUP(E595,Diccionario!C$2:AC$150,25,0)</f>
        <v>47756</v>
      </c>
      <c r="O595" s="77">
        <f>VLOOKUP(E595,Diccionario!C$2:AC$150,26,0)</f>
        <v>59.97</v>
      </c>
      <c r="P595" s="77">
        <f t="shared" si="176"/>
        <v>-14.969999999999999</v>
      </c>
      <c r="Q595" s="78">
        <v>45</v>
      </c>
      <c r="R595" s="36">
        <v>56</v>
      </c>
      <c r="S595" s="100">
        <v>0.999</v>
      </c>
      <c r="T595" s="86"/>
      <c r="U595" s="82"/>
      <c r="V595" s="82"/>
      <c r="W595" s="82">
        <f t="shared" si="181"/>
        <v>0</v>
      </c>
      <c r="X595" s="82">
        <f t="shared" si="177"/>
        <v>93678114.113999993</v>
      </c>
      <c r="Y595" s="82">
        <f t="shared" si="182"/>
        <v>0</v>
      </c>
      <c r="Z595" s="82">
        <f t="shared" si="178"/>
        <v>-93678114.113999993</v>
      </c>
      <c r="AA595" s="83" t="str">
        <f t="shared" si="186"/>
        <v>No se realizó gasto en este corte</v>
      </c>
      <c r="AB595" s="84" t="str">
        <f t="shared" si="179"/>
        <v>Costo eficiente: se está gastando menos de lo presupuestado</v>
      </c>
      <c r="AC595" s="84">
        <f t="shared" si="183"/>
        <v>0</v>
      </c>
      <c r="AD595" s="84" t="str">
        <f t="shared" si="180"/>
        <v>Sin Línea Base</v>
      </c>
      <c r="AE595" s="85">
        <f t="shared" si="184"/>
        <v>0</v>
      </c>
      <c r="AF595" s="85">
        <f t="shared" si="185"/>
        <v>-93771886</v>
      </c>
      <c r="AG595" s="40" t="str">
        <f>VLOOKUP(Indicador!E595,Diccionario!C$1:AC$150,27,0)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5" s="40">
        <v>1</v>
      </c>
      <c r="AI595" s="40">
        <v>1</v>
      </c>
    </row>
    <row r="596" spans="1:35" ht="18.75" customHeight="1">
      <c r="A596" s="73">
        <v>2029</v>
      </c>
      <c r="B596" s="112" t="s">
        <v>23</v>
      </c>
      <c r="C596" s="36" t="s">
        <v>401</v>
      </c>
      <c r="D596" s="37">
        <v>45768.647169212963</v>
      </c>
      <c r="E596" s="36" t="s">
        <v>104</v>
      </c>
      <c r="F596" s="36" t="s">
        <v>149</v>
      </c>
      <c r="G596" s="36" t="s">
        <v>402</v>
      </c>
      <c r="H596" s="36" t="s">
        <v>403</v>
      </c>
      <c r="I596" s="36" t="s">
        <v>152</v>
      </c>
      <c r="J596" s="36" t="s">
        <v>404</v>
      </c>
      <c r="K596" s="36" t="s">
        <v>154</v>
      </c>
      <c r="L596" s="74">
        <f>VLOOKUP(E596,Diccionario!C$2:AC$150,22,0)</f>
        <v>93771886</v>
      </c>
      <c r="M596" s="75">
        <f>VLOOKUP(E596,Diccionario!C$2:AC$150,24,0)</f>
        <v>45931</v>
      </c>
      <c r="N596" s="76">
        <f>VLOOKUP(E596,Diccionario!C$2:AC$150,25,0)</f>
        <v>47756</v>
      </c>
      <c r="O596" s="77">
        <f>VLOOKUP(E596,Diccionario!C$2:AC$150,26,0)</f>
        <v>59.97</v>
      </c>
      <c r="P596" s="77">
        <f t="shared" si="176"/>
        <v>-13.969999999999999</v>
      </c>
      <c r="Q596" s="78">
        <v>46</v>
      </c>
      <c r="R596" s="36">
        <v>56</v>
      </c>
      <c r="S596" s="100">
        <v>0.999</v>
      </c>
      <c r="T596" s="86"/>
      <c r="U596" s="82"/>
      <c r="V596" s="82"/>
      <c r="W596" s="82">
        <f t="shared" si="181"/>
        <v>0</v>
      </c>
      <c r="X596" s="82">
        <f t="shared" si="177"/>
        <v>93678114.113999993</v>
      </c>
      <c r="Y596" s="82">
        <f t="shared" si="182"/>
        <v>0</v>
      </c>
      <c r="Z596" s="82">
        <f t="shared" si="178"/>
        <v>-93678114.113999993</v>
      </c>
      <c r="AA596" s="83" t="str">
        <f t="shared" si="186"/>
        <v>No se realizó gasto en este corte</v>
      </c>
      <c r="AB596" s="84" t="str">
        <f t="shared" si="179"/>
        <v>Costo eficiente: se está gastando menos de lo presupuestado</v>
      </c>
      <c r="AC596" s="84">
        <f t="shared" si="183"/>
        <v>0</v>
      </c>
      <c r="AD596" s="84" t="str">
        <f t="shared" si="180"/>
        <v>Sin Línea Base</v>
      </c>
      <c r="AE596" s="85">
        <f t="shared" si="184"/>
        <v>0</v>
      </c>
      <c r="AF596" s="85">
        <f t="shared" si="185"/>
        <v>-93771886</v>
      </c>
      <c r="AG596" s="40" t="str">
        <f>VLOOKUP(Indicador!E596,Diccionario!C$1:AC$150,27,0)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6" s="40">
        <v>1</v>
      </c>
      <c r="AI596" s="40">
        <v>1</v>
      </c>
    </row>
    <row r="597" spans="1:35" ht="18.75" customHeight="1">
      <c r="A597" s="73">
        <v>2029</v>
      </c>
      <c r="B597" s="112" t="s">
        <v>26</v>
      </c>
      <c r="C597" s="36" t="s">
        <v>401</v>
      </c>
      <c r="D597" s="37">
        <v>45768.647169212963</v>
      </c>
      <c r="E597" s="36" t="s">
        <v>104</v>
      </c>
      <c r="F597" s="36" t="s">
        <v>149</v>
      </c>
      <c r="G597" s="36" t="s">
        <v>402</v>
      </c>
      <c r="H597" s="36" t="s">
        <v>403</v>
      </c>
      <c r="I597" s="36" t="s">
        <v>152</v>
      </c>
      <c r="J597" s="36" t="s">
        <v>404</v>
      </c>
      <c r="K597" s="36" t="s">
        <v>154</v>
      </c>
      <c r="L597" s="74">
        <f>VLOOKUP(E597,Diccionario!C$2:AC$150,22,0)</f>
        <v>93771886</v>
      </c>
      <c r="M597" s="75">
        <f>VLOOKUP(E597,Diccionario!C$2:AC$150,24,0)</f>
        <v>45931</v>
      </c>
      <c r="N597" s="76">
        <f>VLOOKUP(E597,Diccionario!C$2:AC$150,25,0)</f>
        <v>47756</v>
      </c>
      <c r="O597" s="77">
        <f>VLOOKUP(E597,Diccionario!C$2:AC$150,26,0)</f>
        <v>59.97</v>
      </c>
      <c r="P597" s="77">
        <f t="shared" si="176"/>
        <v>-12.969999999999999</v>
      </c>
      <c r="Q597" s="78">
        <v>47</v>
      </c>
      <c r="R597" s="36">
        <v>56</v>
      </c>
      <c r="S597" s="100">
        <v>0.999</v>
      </c>
      <c r="T597" s="86"/>
      <c r="U597" s="82"/>
      <c r="V597" s="82"/>
      <c r="W597" s="82">
        <f t="shared" si="181"/>
        <v>0</v>
      </c>
      <c r="X597" s="82">
        <f t="shared" si="177"/>
        <v>93678114.113999993</v>
      </c>
      <c r="Y597" s="82">
        <f t="shared" si="182"/>
        <v>0</v>
      </c>
      <c r="Z597" s="82">
        <f t="shared" si="178"/>
        <v>-93678114.113999993</v>
      </c>
      <c r="AA597" s="83" t="str">
        <f t="shared" si="186"/>
        <v>No se realizó gasto en este corte</v>
      </c>
      <c r="AB597" s="84" t="str">
        <f t="shared" si="179"/>
        <v>Costo eficiente: se está gastando menos de lo presupuestado</v>
      </c>
      <c r="AC597" s="84">
        <f t="shared" si="183"/>
        <v>0</v>
      </c>
      <c r="AD597" s="84" t="str">
        <f t="shared" si="180"/>
        <v>Sin Línea Base</v>
      </c>
      <c r="AE597" s="85">
        <f t="shared" si="184"/>
        <v>0</v>
      </c>
      <c r="AF597" s="85">
        <f t="shared" si="185"/>
        <v>-93771886</v>
      </c>
      <c r="AG597" s="40" t="str">
        <f>VLOOKUP(Indicador!E597,Diccionario!C$1:AC$150,27,0)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7" s="40">
        <v>1</v>
      </c>
      <c r="AI597" s="40">
        <v>1</v>
      </c>
    </row>
    <row r="598" spans="1:35" ht="18.75" customHeight="1">
      <c r="A598" s="73">
        <v>2029</v>
      </c>
      <c r="B598" s="112" t="s">
        <v>28</v>
      </c>
      <c r="C598" s="36" t="s">
        <v>401</v>
      </c>
      <c r="D598" s="37">
        <v>45768.647169212963</v>
      </c>
      <c r="E598" s="36" t="s">
        <v>104</v>
      </c>
      <c r="F598" s="36" t="s">
        <v>149</v>
      </c>
      <c r="G598" s="36" t="s">
        <v>402</v>
      </c>
      <c r="H598" s="36" t="s">
        <v>403</v>
      </c>
      <c r="I598" s="36" t="s">
        <v>152</v>
      </c>
      <c r="J598" s="36" t="s">
        <v>404</v>
      </c>
      <c r="K598" s="36" t="s">
        <v>154</v>
      </c>
      <c r="L598" s="74">
        <f>VLOOKUP(E598,Diccionario!C$2:AC$150,22,0)</f>
        <v>93771886</v>
      </c>
      <c r="M598" s="75">
        <f>VLOOKUP(E598,Diccionario!C$2:AC$150,24,0)</f>
        <v>45931</v>
      </c>
      <c r="N598" s="76">
        <f>VLOOKUP(E598,Diccionario!C$2:AC$150,25,0)</f>
        <v>47756</v>
      </c>
      <c r="O598" s="77">
        <f>VLOOKUP(E598,Diccionario!C$2:AC$150,26,0)</f>
        <v>59.97</v>
      </c>
      <c r="P598" s="77">
        <f t="shared" si="176"/>
        <v>-11.969999999999999</v>
      </c>
      <c r="Q598" s="78">
        <v>48</v>
      </c>
      <c r="R598" s="36">
        <v>56</v>
      </c>
      <c r="S598" s="100">
        <v>0.999</v>
      </c>
      <c r="T598" s="86"/>
      <c r="U598" s="82"/>
      <c r="V598" s="82"/>
      <c r="W598" s="82">
        <f t="shared" si="181"/>
        <v>0</v>
      </c>
      <c r="X598" s="82">
        <f t="shared" si="177"/>
        <v>93678114.113999993</v>
      </c>
      <c r="Y598" s="82">
        <f t="shared" si="182"/>
        <v>0</v>
      </c>
      <c r="Z598" s="82">
        <f t="shared" si="178"/>
        <v>-93678114.113999993</v>
      </c>
      <c r="AA598" s="83" t="str">
        <f t="shared" si="186"/>
        <v>No se realizó gasto en este corte</v>
      </c>
      <c r="AB598" s="84" t="str">
        <f t="shared" si="179"/>
        <v>Costo eficiente: se está gastando menos de lo presupuestado</v>
      </c>
      <c r="AC598" s="84">
        <f t="shared" si="183"/>
        <v>0</v>
      </c>
      <c r="AD598" s="84" t="str">
        <f t="shared" si="180"/>
        <v>Sin Línea Base</v>
      </c>
      <c r="AE598" s="85">
        <f t="shared" si="184"/>
        <v>0</v>
      </c>
      <c r="AF598" s="85">
        <f t="shared" si="185"/>
        <v>-93771886</v>
      </c>
      <c r="AG598" s="40" t="str">
        <f>VLOOKUP(Indicador!E598,Diccionario!C$1:AC$150,27,0)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8" s="40">
        <v>1</v>
      </c>
      <c r="AI598" s="40">
        <v>1</v>
      </c>
    </row>
    <row r="599" spans="1:35" ht="18.75" customHeight="1">
      <c r="A599" s="73">
        <v>2029</v>
      </c>
      <c r="B599" s="112" t="s">
        <v>30</v>
      </c>
      <c r="C599" s="36" t="s">
        <v>401</v>
      </c>
      <c r="D599" s="37">
        <v>45768.647169212963</v>
      </c>
      <c r="E599" s="36" t="s">
        <v>104</v>
      </c>
      <c r="F599" s="36" t="s">
        <v>149</v>
      </c>
      <c r="G599" s="36" t="s">
        <v>402</v>
      </c>
      <c r="H599" s="36" t="s">
        <v>403</v>
      </c>
      <c r="I599" s="36" t="s">
        <v>152</v>
      </c>
      <c r="J599" s="36" t="s">
        <v>404</v>
      </c>
      <c r="K599" s="36" t="s">
        <v>154</v>
      </c>
      <c r="L599" s="74">
        <f>VLOOKUP(E599,Diccionario!C$2:AC$150,22,0)</f>
        <v>93771886</v>
      </c>
      <c r="M599" s="75">
        <f>VLOOKUP(E599,Diccionario!C$2:AC$150,24,0)</f>
        <v>45931</v>
      </c>
      <c r="N599" s="76">
        <f>VLOOKUP(E599,Diccionario!C$2:AC$150,25,0)</f>
        <v>47756</v>
      </c>
      <c r="O599" s="77">
        <f>VLOOKUP(E599,Diccionario!C$2:AC$150,26,0)</f>
        <v>59.97</v>
      </c>
      <c r="P599" s="77">
        <f t="shared" si="176"/>
        <v>-10.969999999999999</v>
      </c>
      <c r="Q599" s="78">
        <v>49</v>
      </c>
      <c r="R599" s="36">
        <v>56</v>
      </c>
      <c r="S599" s="100">
        <v>0.999</v>
      </c>
      <c r="T599" s="86"/>
      <c r="U599" s="82"/>
      <c r="V599" s="82"/>
      <c r="W599" s="82">
        <f t="shared" si="181"/>
        <v>0</v>
      </c>
      <c r="X599" s="82">
        <f t="shared" si="177"/>
        <v>93678114.113999993</v>
      </c>
      <c r="Y599" s="82">
        <f t="shared" si="182"/>
        <v>0</v>
      </c>
      <c r="Z599" s="82">
        <f t="shared" si="178"/>
        <v>-93678114.113999993</v>
      </c>
      <c r="AA599" s="83" t="str">
        <f t="shared" si="186"/>
        <v>No se realizó gasto en este corte</v>
      </c>
      <c r="AB599" s="84" t="str">
        <f t="shared" si="179"/>
        <v>Costo eficiente: se está gastando menos de lo presupuestado</v>
      </c>
      <c r="AC599" s="84">
        <f t="shared" si="183"/>
        <v>0</v>
      </c>
      <c r="AD599" s="84" t="str">
        <f t="shared" si="180"/>
        <v>Sin Línea Base</v>
      </c>
      <c r="AE599" s="85">
        <f t="shared" si="184"/>
        <v>0</v>
      </c>
      <c r="AF599" s="85">
        <f t="shared" si="185"/>
        <v>-93771886</v>
      </c>
      <c r="AG599" s="40" t="str">
        <f>VLOOKUP(Indicador!E599,Diccionario!C$1:AC$150,27,0)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599" s="40">
        <v>1</v>
      </c>
      <c r="AI599" s="40">
        <v>1</v>
      </c>
    </row>
    <row r="600" spans="1:35" ht="18.75" customHeight="1">
      <c r="A600" s="73">
        <v>2029</v>
      </c>
      <c r="B600" s="112" t="s">
        <v>31</v>
      </c>
      <c r="C600" s="36" t="s">
        <v>401</v>
      </c>
      <c r="D600" s="37">
        <v>45768.647169212963</v>
      </c>
      <c r="E600" s="36" t="s">
        <v>104</v>
      </c>
      <c r="F600" s="36" t="s">
        <v>149</v>
      </c>
      <c r="G600" s="36" t="s">
        <v>402</v>
      </c>
      <c r="H600" s="36" t="s">
        <v>403</v>
      </c>
      <c r="I600" s="36" t="s">
        <v>152</v>
      </c>
      <c r="J600" s="36" t="s">
        <v>404</v>
      </c>
      <c r="K600" s="36" t="s">
        <v>154</v>
      </c>
      <c r="L600" s="74">
        <f>VLOOKUP(E600,Diccionario!C$2:AC$150,22,0)</f>
        <v>93771886</v>
      </c>
      <c r="M600" s="75">
        <f>VLOOKUP(E600,Diccionario!C$2:AC$150,24,0)</f>
        <v>45931</v>
      </c>
      <c r="N600" s="76">
        <f>VLOOKUP(E600,Diccionario!C$2:AC$150,25,0)</f>
        <v>47756</v>
      </c>
      <c r="O600" s="77">
        <f>VLOOKUP(E600,Diccionario!C$2:AC$150,26,0)</f>
        <v>59.97</v>
      </c>
      <c r="P600" s="77">
        <f t="shared" si="176"/>
        <v>-9.9699999999999989</v>
      </c>
      <c r="Q600" s="78">
        <v>50</v>
      </c>
      <c r="R600" s="36">
        <v>56</v>
      </c>
      <c r="S600" s="100">
        <v>0.999</v>
      </c>
      <c r="T600" s="86"/>
      <c r="U600" s="82"/>
      <c r="V600" s="82"/>
      <c r="W600" s="82">
        <f t="shared" si="181"/>
        <v>0</v>
      </c>
      <c r="X600" s="82">
        <f t="shared" si="177"/>
        <v>93678114.113999993</v>
      </c>
      <c r="Y600" s="82">
        <f t="shared" si="182"/>
        <v>0</v>
      </c>
      <c r="Z600" s="82">
        <f t="shared" si="178"/>
        <v>-93678114.113999993</v>
      </c>
      <c r="AA600" s="83" t="str">
        <f t="shared" si="186"/>
        <v>No se realizó gasto en este corte</v>
      </c>
      <c r="AB600" s="84" t="str">
        <f t="shared" si="179"/>
        <v>Costo eficiente: se está gastando menos de lo presupuestado</v>
      </c>
      <c r="AC600" s="84">
        <f t="shared" si="183"/>
        <v>0</v>
      </c>
      <c r="AD600" s="84" t="str">
        <f t="shared" si="180"/>
        <v>Sin Línea Base</v>
      </c>
      <c r="AE600" s="85">
        <f t="shared" si="184"/>
        <v>0</v>
      </c>
      <c r="AF600" s="85">
        <f t="shared" si="185"/>
        <v>-93771886</v>
      </c>
      <c r="AG600" s="40" t="str">
        <f>VLOOKUP(Indicador!E600,Diccionario!C$1:AC$150,27,0)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0" s="40">
        <v>1</v>
      </c>
      <c r="AI600" s="40">
        <v>1</v>
      </c>
    </row>
    <row r="601" spans="1:35" ht="18.75" customHeight="1">
      <c r="A601" s="73">
        <v>2029</v>
      </c>
      <c r="B601" s="112" t="s">
        <v>32</v>
      </c>
      <c r="C601" s="36" t="s">
        <v>401</v>
      </c>
      <c r="D601" s="37">
        <v>45768.647169212963</v>
      </c>
      <c r="E601" s="36" t="s">
        <v>104</v>
      </c>
      <c r="F601" s="36" t="s">
        <v>149</v>
      </c>
      <c r="G601" s="36" t="s">
        <v>402</v>
      </c>
      <c r="H601" s="36" t="s">
        <v>403</v>
      </c>
      <c r="I601" s="36" t="s">
        <v>152</v>
      </c>
      <c r="J601" s="36" t="s">
        <v>404</v>
      </c>
      <c r="K601" s="36" t="s">
        <v>154</v>
      </c>
      <c r="L601" s="74">
        <f>VLOOKUP(E601,Diccionario!C$2:AC$150,22,0)</f>
        <v>93771886</v>
      </c>
      <c r="M601" s="75">
        <f>VLOOKUP(E601,Diccionario!C$2:AC$150,24,0)</f>
        <v>45931</v>
      </c>
      <c r="N601" s="76">
        <f>VLOOKUP(E601,Diccionario!C$2:AC$150,25,0)</f>
        <v>47756</v>
      </c>
      <c r="O601" s="77">
        <f>VLOOKUP(E601,Diccionario!C$2:AC$150,26,0)</f>
        <v>59.97</v>
      </c>
      <c r="P601" s="77">
        <f t="shared" si="176"/>
        <v>-8.9699999999999989</v>
      </c>
      <c r="Q601" s="78">
        <v>51</v>
      </c>
      <c r="R601" s="36">
        <v>56</v>
      </c>
      <c r="S601" s="100">
        <v>0.999</v>
      </c>
      <c r="T601" s="86"/>
      <c r="U601" s="82"/>
      <c r="V601" s="82"/>
      <c r="W601" s="82">
        <f t="shared" si="181"/>
        <v>0</v>
      </c>
      <c r="X601" s="82">
        <f t="shared" si="177"/>
        <v>93678114.113999993</v>
      </c>
      <c r="Y601" s="82">
        <f t="shared" si="182"/>
        <v>0</v>
      </c>
      <c r="Z601" s="82">
        <f t="shared" si="178"/>
        <v>-93678114.113999993</v>
      </c>
      <c r="AA601" s="83" t="str">
        <f t="shared" si="186"/>
        <v>No se realizó gasto en este corte</v>
      </c>
      <c r="AB601" s="84" t="str">
        <f t="shared" si="179"/>
        <v>Costo eficiente: se está gastando menos de lo presupuestado</v>
      </c>
      <c r="AC601" s="84">
        <f t="shared" si="183"/>
        <v>0</v>
      </c>
      <c r="AD601" s="84" t="str">
        <f t="shared" si="180"/>
        <v>Sin Línea Base</v>
      </c>
      <c r="AE601" s="85">
        <f t="shared" si="184"/>
        <v>0</v>
      </c>
      <c r="AF601" s="85">
        <f t="shared" si="185"/>
        <v>-93771886</v>
      </c>
      <c r="AG601" s="40" t="str">
        <f>VLOOKUP(Indicador!E601,Diccionario!C$1:AC$150,27,0)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1" s="40">
        <v>1</v>
      </c>
      <c r="AI601" s="40">
        <v>1</v>
      </c>
    </row>
    <row r="602" spans="1:35" ht="18.75" customHeight="1">
      <c r="A602" s="73">
        <v>2030</v>
      </c>
      <c r="B602" s="112" t="s">
        <v>14</v>
      </c>
      <c r="C602" s="36" t="s">
        <v>401</v>
      </c>
      <c r="D602" s="37">
        <v>45768.647169212963</v>
      </c>
      <c r="E602" s="36" t="s">
        <v>104</v>
      </c>
      <c r="F602" s="36" t="s">
        <v>149</v>
      </c>
      <c r="G602" s="36" t="s">
        <v>402</v>
      </c>
      <c r="H602" s="36" t="s">
        <v>403</v>
      </c>
      <c r="I602" s="36" t="s">
        <v>152</v>
      </c>
      <c r="J602" s="36" t="s">
        <v>404</v>
      </c>
      <c r="K602" s="36" t="s">
        <v>154</v>
      </c>
      <c r="L602" s="74">
        <f>VLOOKUP(E602,Diccionario!C$2:AC$150,22,0)</f>
        <v>93771886</v>
      </c>
      <c r="M602" s="75">
        <f>VLOOKUP(E602,Diccionario!C$2:AC$150,24,0)</f>
        <v>45931</v>
      </c>
      <c r="N602" s="76">
        <f>VLOOKUP(E602,Diccionario!C$2:AC$150,25,0)</f>
        <v>47756</v>
      </c>
      <c r="O602" s="77">
        <f>VLOOKUP(E602,Diccionario!C$2:AC$150,26,0)</f>
        <v>59.97</v>
      </c>
      <c r="P602" s="77">
        <f t="shared" si="176"/>
        <v>-7.9699999999999989</v>
      </c>
      <c r="Q602" s="78">
        <v>52</v>
      </c>
      <c r="R602" s="36">
        <v>56</v>
      </c>
      <c r="S602" s="100">
        <v>0.999</v>
      </c>
      <c r="T602" s="86"/>
      <c r="U602" s="82"/>
      <c r="V602" s="82"/>
      <c r="W602" s="82">
        <f t="shared" si="181"/>
        <v>0</v>
      </c>
      <c r="X602" s="82">
        <f t="shared" si="177"/>
        <v>93678114.113999993</v>
      </c>
      <c r="Y602" s="82">
        <f t="shared" si="182"/>
        <v>0</v>
      </c>
      <c r="Z602" s="82">
        <f t="shared" si="178"/>
        <v>-93678114.113999993</v>
      </c>
      <c r="AA602" s="83" t="str">
        <f t="shared" si="186"/>
        <v>No se realizó gasto en este corte</v>
      </c>
      <c r="AB602" s="84" t="str">
        <f t="shared" si="179"/>
        <v>Costo eficiente: se está gastando menos de lo presupuestado</v>
      </c>
      <c r="AC602" s="84">
        <f t="shared" si="183"/>
        <v>0</v>
      </c>
      <c r="AD602" s="84" t="str">
        <f t="shared" si="180"/>
        <v>Sin Línea Base</v>
      </c>
      <c r="AE602" s="85">
        <f t="shared" si="184"/>
        <v>0</v>
      </c>
      <c r="AF602" s="85">
        <f t="shared" si="185"/>
        <v>-93771886</v>
      </c>
      <c r="AG602" s="40" t="str">
        <f>VLOOKUP(Indicador!E602,Diccionario!C$1:AC$150,27,0)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2" s="40">
        <v>1</v>
      </c>
      <c r="AI602" s="40">
        <v>1</v>
      </c>
    </row>
    <row r="603" spans="1:35" ht="18.75" customHeight="1">
      <c r="A603" s="73">
        <v>2030</v>
      </c>
      <c r="B603" s="112" t="s">
        <v>22</v>
      </c>
      <c r="C603" s="36" t="s">
        <v>401</v>
      </c>
      <c r="D603" s="37">
        <v>45768.647169212963</v>
      </c>
      <c r="E603" s="36" t="s">
        <v>104</v>
      </c>
      <c r="F603" s="36" t="s">
        <v>149</v>
      </c>
      <c r="G603" s="36" t="s">
        <v>402</v>
      </c>
      <c r="H603" s="36" t="s">
        <v>403</v>
      </c>
      <c r="I603" s="36" t="s">
        <v>152</v>
      </c>
      <c r="J603" s="36" t="s">
        <v>404</v>
      </c>
      <c r="K603" s="36" t="s">
        <v>154</v>
      </c>
      <c r="L603" s="74">
        <f>VLOOKUP(E603,Diccionario!C$2:AC$150,22,0)</f>
        <v>93771886</v>
      </c>
      <c r="M603" s="75">
        <f>VLOOKUP(E603,Diccionario!C$2:AC$150,24,0)</f>
        <v>45931</v>
      </c>
      <c r="N603" s="76">
        <f>VLOOKUP(E603,Diccionario!C$2:AC$150,25,0)</f>
        <v>47756</v>
      </c>
      <c r="O603" s="77">
        <f>VLOOKUP(E603,Diccionario!C$2:AC$150,26,0)</f>
        <v>59.97</v>
      </c>
      <c r="P603" s="77">
        <f t="shared" si="176"/>
        <v>-6.9699999999999989</v>
      </c>
      <c r="Q603" s="78">
        <v>53</v>
      </c>
      <c r="R603" s="36">
        <v>56</v>
      </c>
      <c r="S603" s="100">
        <v>0.999</v>
      </c>
      <c r="T603" s="86"/>
      <c r="U603" s="82"/>
      <c r="V603" s="82"/>
      <c r="W603" s="82">
        <f t="shared" si="181"/>
        <v>0</v>
      </c>
      <c r="X603" s="82">
        <f t="shared" si="177"/>
        <v>93678114.113999993</v>
      </c>
      <c r="Y603" s="82">
        <f t="shared" si="182"/>
        <v>0</v>
      </c>
      <c r="Z603" s="82">
        <f t="shared" si="178"/>
        <v>-93678114.113999993</v>
      </c>
      <c r="AA603" s="83" t="str">
        <f t="shared" si="186"/>
        <v>No se realizó gasto en este corte</v>
      </c>
      <c r="AB603" s="84" t="str">
        <f t="shared" si="179"/>
        <v>Costo eficiente: se está gastando menos de lo presupuestado</v>
      </c>
      <c r="AC603" s="84">
        <f t="shared" si="183"/>
        <v>0</v>
      </c>
      <c r="AD603" s="84" t="str">
        <f t="shared" si="180"/>
        <v>Sin Línea Base</v>
      </c>
      <c r="AE603" s="85">
        <f t="shared" si="184"/>
        <v>0</v>
      </c>
      <c r="AF603" s="85">
        <f t="shared" si="185"/>
        <v>-93771886</v>
      </c>
      <c r="AG603" s="40" t="str">
        <f>VLOOKUP(Indicador!E603,Diccionario!C$1:AC$150,27,0)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3" s="40">
        <v>1</v>
      </c>
      <c r="AI603" s="40">
        <v>1</v>
      </c>
    </row>
    <row r="604" spans="1:35" ht="18.75" customHeight="1">
      <c r="A604" s="73">
        <v>2030</v>
      </c>
      <c r="B604" s="112" t="s">
        <v>24</v>
      </c>
      <c r="C604" s="36" t="s">
        <v>401</v>
      </c>
      <c r="D604" s="37">
        <v>45768.647169212963</v>
      </c>
      <c r="E604" s="36" t="s">
        <v>104</v>
      </c>
      <c r="F604" s="36" t="s">
        <v>149</v>
      </c>
      <c r="G604" s="36" t="s">
        <v>402</v>
      </c>
      <c r="H604" s="36" t="s">
        <v>403</v>
      </c>
      <c r="I604" s="36" t="s">
        <v>152</v>
      </c>
      <c r="J604" s="36" t="s">
        <v>404</v>
      </c>
      <c r="K604" s="36" t="s">
        <v>154</v>
      </c>
      <c r="L604" s="74">
        <f>VLOOKUP(E604,Diccionario!C$2:AC$150,22,0)</f>
        <v>93771886</v>
      </c>
      <c r="M604" s="75">
        <f>VLOOKUP(E604,Diccionario!C$2:AC$150,24,0)</f>
        <v>45931</v>
      </c>
      <c r="N604" s="76">
        <f>VLOOKUP(E604,Diccionario!C$2:AC$150,25,0)</f>
        <v>47756</v>
      </c>
      <c r="O604" s="77">
        <f>VLOOKUP(E604,Diccionario!C$2:AC$150,26,0)</f>
        <v>59.97</v>
      </c>
      <c r="P604" s="77">
        <f t="shared" si="176"/>
        <v>-5.9699999999999989</v>
      </c>
      <c r="Q604" s="78">
        <v>54</v>
      </c>
      <c r="R604" s="36">
        <v>56</v>
      </c>
      <c r="S604" s="100">
        <v>0.999</v>
      </c>
      <c r="T604" s="86"/>
      <c r="U604" s="82"/>
      <c r="V604" s="82"/>
      <c r="W604" s="82">
        <f t="shared" si="181"/>
        <v>0</v>
      </c>
      <c r="X604" s="82">
        <f t="shared" si="177"/>
        <v>93678114.113999993</v>
      </c>
      <c r="Y604" s="82">
        <f t="shared" si="182"/>
        <v>0</v>
      </c>
      <c r="Z604" s="82">
        <f t="shared" si="178"/>
        <v>-93678114.113999993</v>
      </c>
      <c r="AA604" s="83" t="str">
        <f t="shared" si="186"/>
        <v>No se realizó gasto en este corte</v>
      </c>
      <c r="AB604" s="84" t="str">
        <f t="shared" si="179"/>
        <v>Costo eficiente: se está gastando menos de lo presupuestado</v>
      </c>
      <c r="AC604" s="84">
        <f t="shared" si="183"/>
        <v>0</v>
      </c>
      <c r="AD604" s="84" t="str">
        <f t="shared" si="180"/>
        <v>Sin Línea Base</v>
      </c>
      <c r="AE604" s="85">
        <f t="shared" si="184"/>
        <v>0</v>
      </c>
      <c r="AF604" s="85">
        <f t="shared" si="185"/>
        <v>-93771886</v>
      </c>
      <c r="AG604" s="40" t="str">
        <f>VLOOKUP(Indicador!E604,Diccionario!C$1:AC$150,27,0)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4" s="40">
        <v>1</v>
      </c>
      <c r="AI604" s="40">
        <v>1</v>
      </c>
    </row>
    <row r="605" spans="1:35" ht="18.75" customHeight="1">
      <c r="A605" s="73">
        <v>2030</v>
      </c>
      <c r="B605" s="112" t="s">
        <v>27</v>
      </c>
      <c r="C605" s="36" t="s">
        <v>401</v>
      </c>
      <c r="D605" s="37">
        <v>45768.647169212963</v>
      </c>
      <c r="E605" s="36" t="s">
        <v>104</v>
      </c>
      <c r="F605" s="36" t="s">
        <v>149</v>
      </c>
      <c r="G605" s="36" t="s">
        <v>402</v>
      </c>
      <c r="H605" s="36" t="s">
        <v>403</v>
      </c>
      <c r="I605" s="36" t="s">
        <v>152</v>
      </c>
      <c r="J605" s="36" t="s">
        <v>404</v>
      </c>
      <c r="K605" s="36" t="s">
        <v>154</v>
      </c>
      <c r="L605" s="74">
        <f>VLOOKUP(E605,Diccionario!C$2:AC$150,22,0)</f>
        <v>93771886</v>
      </c>
      <c r="M605" s="75">
        <f>VLOOKUP(E605,Diccionario!C$2:AC$150,24,0)</f>
        <v>45931</v>
      </c>
      <c r="N605" s="76">
        <f>VLOOKUP(E605,Diccionario!C$2:AC$150,25,0)</f>
        <v>47756</v>
      </c>
      <c r="O605" s="77">
        <f>VLOOKUP(E605,Diccionario!C$2:AC$150,26,0)</f>
        <v>59.97</v>
      </c>
      <c r="P605" s="77">
        <f t="shared" ref="P605:P678" si="187">Q605-O605</f>
        <v>-4.9699999999999989</v>
      </c>
      <c r="Q605" s="78">
        <v>55</v>
      </c>
      <c r="R605" s="36">
        <v>56</v>
      </c>
      <c r="S605" s="100">
        <v>0.999</v>
      </c>
      <c r="T605" s="86"/>
      <c r="U605" s="82"/>
      <c r="V605" s="82"/>
      <c r="W605" s="82">
        <f t="shared" si="181"/>
        <v>0</v>
      </c>
      <c r="X605" s="82">
        <f t="shared" si="177"/>
        <v>93678114.113999993</v>
      </c>
      <c r="Y605" s="82">
        <f t="shared" si="182"/>
        <v>0</v>
      </c>
      <c r="Z605" s="82">
        <f t="shared" si="178"/>
        <v>-93678114.113999993</v>
      </c>
      <c r="AA605" s="83" t="str">
        <f t="shared" si="186"/>
        <v>No se realizó gasto en este corte</v>
      </c>
      <c r="AB605" s="84" t="str">
        <f t="shared" si="179"/>
        <v>Costo eficiente: se está gastando menos de lo presupuestado</v>
      </c>
      <c r="AC605" s="84">
        <f t="shared" si="183"/>
        <v>0</v>
      </c>
      <c r="AD605" s="84" t="str">
        <f t="shared" si="180"/>
        <v>Sin Línea Base</v>
      </c>
      <c r="AE605" s="85">
        <f t="shared" si="184"/>
        <v>0</v>
      </c>
      <c r="AF605" s="85">
        <f t="shared" si="185"/>
        <v>-93771886</v>
      </c>
      <c r="AG605" s="40" t="str">
        <f>VLOOKUP(Indicador!E605,Diccionario!C$1:AC$150,27,0)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5" s="40">
        <v>1</v>
      </c>
      <c r="AI605" s="40">
        <v>1</v>
      </c>
    </row>
    <row r="606" spans="1:35" ht="18.75" customHeight="1">
      <c r="A606" s="73">
        <v>2030</v>
      </c>
      <c r="B606" s="112" t="s">
        <v>13</v>
      </c>
      <c r="C606" s="36" t="s">
        <v>401</v>
      </c>
      <c r="D606" s="37">
        <v>45768.647169212963</v>
      </c>
      <c r="E606" s="36" t="s">
        <v>104</v>
      </c>
      <c r="F606" s="36" t="s">
        <v>149</v>
      </c>
      <c r="G606" s="36" t="s">
        <v>402</v>
      </c>
      <c r="H606" s="36" t="s">
        <v>403</v>
      </c>
      <c r="I606" s="36" t="s">
        <v>152</v>
      </c>
      <c r="J606" s="36" t="s">
        <v>404</v>
      </c>
      <c r="K606" s="36" t="s">
        <v>154</v>
      </c>
      <c r="L606" s="74">
        <f>VLOOKUP(E606,Diccionario!C$2:AC$150,22,0)</f>
        <v>93771886</v>
      </c>
      <c r="M606" s="75">
        <f>VLOOKUP(E606,Diccionario!C$2:AC$150,24,0)</f>
        <v>45931</v>
      </c>
      <c r="N606" s="76">
        <f>VLOOKUP(E606,Diccionario!C$2:AC$150,25,0)</f>
        <v>47756</v>
      </c>
      <c r="O606" s="77">
        <f>VLOOKUP(E606,Diccionario!C$2:AC$150,26,0)</f>
        <v>59.97</v>
      </c>
      <c r="P606" s="77">
        <f t="shared" si="187"/>
        <v>-3.9699999999999989</v>
      </c>
      <c r="Q606" s="78">
        <v>56</v>
      </c>
      <c r="R606" s="36">
        <v>56</v>
      </c>
      <c r="S606" s="100">
        <v>0.999</v>
      </c>
      <c r="T606" s="86"/>
      <c r="U606" s="82"/>
      <c r="V606" s="82"/>
      <c r="W606" s="82">
        <f t="shared" si="181"/>
        <v>0</v>
      </c>
      <c r="X606" s="82">
        <f t="shared" si="177"/>
        <v>93678114.113999993</v>
      </c>
      <c r="Y606" s="82">
        <f t="shared" si="182"/>
        <v>0</v>
      </c>
      <c r="Z606" s="82">
        <f t="shared" si="178"/>
        <v>-93678114.113999993</v>
      </c>
      <c r="AA606" s="83" t="str">
        <f t="shared" si="186"/>
        <v>No se realizó gasto en este corte</v>
      </c>
      <c r="AB606" s="84" t="str">
        <f t="shared" si="179"/>
        <v>Costo eficiente: se está gastando menos de lo presupuestado</v>
      </c>
      <c r="AC606" s="84">
        <f t="shared" si="183"/>
        <v>0</v>
      </c>
      <c r="AD606" s="84" t="str">
        <f t="shared" si="180"/>
        <v>Sin Línea Base</v>
      </c>
      <c r="AE606" s="85">
        <f t="shared" si="184"/>
        <v>0</v>
      </c>
      <c r="AF606" s="85">
        <f t="shared" si="185"/>
        <v>-93771886</v>
      </c>
      <c r="AG606" s="40" t="str">
        <f>VLOOKUP(Indicador!E606,Diccionario!C$1:AC$150,27,0)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6" s="40">
        <v>1</v>
      </c>
      <c r="AI606" s="40">
        <v>1</v>
      </c>
    </row>
    <row r="607" spans="1:35" ht="18.75" customHeight="1">
      <c r="A607" s="73">
        <v>2030</v>
      </c>
      <c r="B607" s="112" t="s">
        <v>21</v>
      </c>
      <c r="C607" s="36" t="s">
        <v>401</v>
      </c>
      <c r="D607" s="37">
        <v>45768.647169212963</v>
      </c>
      <c r="E607" s="36" t="s">
        <v>104</v>
      </c>
      <c r="F607" s="36" t="s">
        <v>149</v>
      </c>
      <c r="G607" s="36" t="s">
        <v>402</v>
      </c>
      <c r="H607" s="36" t="s">
        <v>403</v>
      </c>
      <c r="I607" s="36" t="s">
        <v>152</v>
      </c>
      <c r="J607" s="36" t="s">
        <v>404</v>
      </c>
      <c r="K607" s="36" t="s">
        <v>154</v>
      </c>
      <c r="L607" s="74">
        <f>VLOOKUP(E607,Diccionario!C$2:AC$150,22,0)</f>
        <v>93771886</v>
      </c>
      <c r="M607" s="75">
        <f>VLOOKUP(E607,Diccionario!C$2:AC$150,24,0)</f>
        <v>45931</v>
      </c>
      <c r="N607" s="76">
        <f>VLOOKUP(E607,Diccionario!C$2:AC$150,25,0)</f>
        <v>47756</v>
      </c>
      <c r="O607" s="77">
        <f>VLOOKUP(E607,Diccionario!C$2:AC$150,26,0)</f>
        <v>59.97</v>
      </c>
      <c r="P607" s="77">
        <f t="shared" si="187"/>
        <v>-2.9699999999999989</v>
      </c>
      <c r="Q607" s="78">
        <v>57</v>
      </c>
      <c r="R607" s="36">
        <v>56</v>
      </c>
      <c r="S607" s="100">
        <v>0.999</v>
      </c>
      <c r="T607" s="86"/>
      <c r="U607" s="82"/>
      <c r="V607" s="82"/>
      <c r="W607" s="82">
        <f t="shared" si="181"/>
        <v>0</v>
      </c>
      <c r="X607" s="82">
        <f t="shared" si="177"/>
        <v>93678114.113999993</v>
      </c>
      <c r="Y607" s="82">
        <f t="shared" si="182"/>
        <v>0</v>
      </c>
      <c r="Z607" s="82">
        <f t="shared" si="178"/>
        <v>-93678114.113999993</v>
      </c>
      <c r="AA607" s="83" t="str">
        <f t="shared" si="186"/>
        <v>No se realizó gasto en este corte</v>
      </c>
      <c r="AB607" s="84" t="str">
        <f t="shared" si="179"/>
        <v>Costo eficiente: se está gastando menos de lo presupuestado</v>
      </c>
      <c r="AC607" s="84">
        <f t="shared" si="183"/>
        <v>0</v>
      </c>
      <c r="AD607" s="84" t="str">
        <f t="shared" si="180"/>
        <v>Sin Línea Base</v>
      </c>
      <c r="AE607" s="85">
        <f t="shared" si="184"/>
        <v>0</v>
      </c>
      <c r="AF607" s="85">
        <f t="shared" si="185"/>
        <v>-93771886</v>
      </c>
      <c r="AG607" s="40" t="str">
        <f>VLOOKUP(Indicador!E607,Diccionario!C$1:AC$150,27,0)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7" s="40">
        <v>1</v>
      </c>
      <c r="AI607" s="40">
        <v>1</v>
      </c>
    </row>
    <row r="608" spans="1:35" ht="18.75" customHeight="1">
      <c r="A608" s="73">
        <v>2030</v>
      </c>
      <c r="B608" s="112" t="s">
        <v>23</v>
      </c>
      <c r="C608" s="36" t="s">
        <v>401</v>
      </c>
      <c r="D608" s="37">
        <v>45768.647169212963</v>
      </c>
      <c r="E608" s="36" t="s">
        <v>104</v>
      </c>
      <c r="F608" s="36" t="s">
        <v>149</v>
      </c>
      <c r="G608" s="36" t="s">
        <v>402</v>
      </c>
      <c r="H608" s="36" t="s">
        <v>403</v>
      </c>
      <c r="I608" s="36" t="s">
        <v>152</v>
      </c>
      <c r="J608" s="36" t="s">
        <v>404</v>
      </c>
      <c r="K608" s="36" t="s">
        <v>154</v>
      </c>
      <c r="L608" s="74">
        <f>VLOOKUP(E608,Diccionario!C$2:AC$150,22,0)</f>
        <v>93771886</v>
      </c>
      <c r="M608" s="75">
        <f>VLOOKUP(E608,Diccionario!C$2:AC$150,24,0)</f>
        <v>45931</v>
      </c>
      <c r="N608" s="76">
        <f>VLOOKUP(E608,Diccionario!C$2:AC$150,25,0)</f>
        <v>47756</v>
      </c>
      <c r="O608" s="77">
        <f>VLOOKUP(E608,Diccionario!C$2:AC$150,26,0)</f>
        <v>59.97</v>
      </c>
      <c r="P608" s="77">
        <f t="shared" si="187"/>
        <v>-1.9699999999999989</v>
      </c>
      <c r="Q608" s="78">
        <v>58</v>
      </c>
      <c r="R608" s="36">
        <v>56</v>
      </c>
      <c r="S608" s="100">
        <v>0.999</v>
      </c>
      <c r="T608" s="86"/>
      <c r="U608" s="82"/>
      <c r="V608" s="82"/>
      <c r="W608" s="82">
        <f t="shared" si="181"/>
        <v>0</v>
      </c>
      <c r="X608" s="82">
        <f t="shared" si="177"/>
        <v>93678114.113999993</v>
      </c>
      <c r="Y608" s="82">
        <f t="shared" si="182"/>
        <v>0</v>
      </c>
      <c r="Z608" s="82">
        <f t="shared" si="178"/>
        <v>-93678114.113999993</v>
      </c>
      <c r="AA608" s="83" t="str">
        <f t="shared" si="186"/>
        <v>No se realizó gasto en este corte</v>
      </c>
      <c r="AB608" s="84" t="str">
        <f t="shared" si="179"/>
        <v>Costo eficiente: se está gastando menos de lo presupuestado</v>
      </c>
      <c r="AC608" s="84">
        <f t="shared" si="183"/>
        <v>0</v>
      </c>
      <c r="AD608" s="84" t="str">
        <f t="shared" si="180"/>
        <v>Sin Línea Base</v>
      </c>
      <c r="AE608" s="85">
        <f t="shared" si="184"/>
        <v>0</v>
      </c>
      <c r="AF608" s="85">
        <f t="shared" si="185"/>
        <v>-93771886</v>
      </c>
      <c r="AG608" s="40" t="str">
        <f>VLOOKUP(Indicador!E608,Diccionario!C$1:AC$150,27,0)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8" s="40">
        <v>1</v>
      </c>
      <c r="AI608" s="40">
        <v>1</v>
      </c>
    </row>
    <row r="609" spans="1:35" ht="18.75" customHeight="1">
      <c r="A609" s="73">
        <v>2030</v>
      </c>
      <c r="B609" s="112" t="s">
        <v>26</v>
      </c>
      <c r="C609" s="36" t="s">
        <v>401</v>
      </c>
      <c r="D609" s="37">
        <v>45768.647169212963</v>
      </c>
      <c r="E609" s="36" t="s">
        <v>104</v>
      </c>
      <c r="F609" s="36" t="s">
        <v>149</v>
      </c>
      <c r="G609" s="36" t="s">
        <v>402</v>
      </c>
      <c r="H609" s="36" t="s">
        <v>403</v>
      </c>
      <c r="I609" s="36" t="s">
        <v>152</v>
      </c>
      <c r="J609" s="36" t="s">
        <v>404</v>
      </c>
      <c r="K609" s="36" t="s">
        <v>154</v>
      </c>
      <c r="L609" s="74">
        <f>VLOOKUP(E609,Diccionario!C$2:AC$150,22,0)</f>
        <v>93771886</v>
      </c>
      <c r="M609" s="75">
        <f>VLOOKUP(E609,Diccionario!C$2:AC$150,24,0)</f>
        <v>45931</v>
      </c>
      <c r="N609" s="76">
        <f>VLOOKUP(E609,Diccionario!C$2:AC$150,25,0)</f>
        <v>47756</v>
      </c>
      <c r="O609" s="77">
        <f>VLOOKUP(E609,Diccionario!C$2:AC$150,26,0)</f>
        <v>59.97</v>
      </c>
      <c r="P609" s="77">
        <f t="shared" si="187"/>
        <v>-0.96999999999999886</v>
      </c>
      <c r="Q609" s="78">
        <v>59</v>
      </c>
      <c r="R609" s="36">
        <v>56</v>
      </c>
      <c r="S609" s="100">
        <v>0.999</v>
      </c>
      <c r="T609" s="86"/>
      <c r="U609" s="82"/>
      <c r="V609" s="82"/>
      <c r="W609" s="82">
        <f t="shared" si="181"/>
        <v>0</v>
      </c>
      <c r="X609" s="82">
        <f t="shared" si="177"/>
        <v>93678114.113999993</v>
      </c>
      <c r="Y609" s="82">
        <f t="shared" si="182"/>
        <v>0</v>
      </c>
      <c r="Z609" s="82">
        <f t="shared" si="178"/>
        <v>-93678114.113999993</v>
      </c>
      <c r="AA609" s="83" t="str">
        <f t="shared" si="186"/>
        <v>No se realizó gasto en este corte</v>
      </c>
      <c r="AB609" s="84" t="str">
        <f t="shared" si="179"/>
        <v>Costo eficiente: se está gastando menos de lo presupuestado</v>
      </c>
      <c r="AC609" s="84">
        <f t="shared" si="183"/>
        <v>0</v>
      </c>
      <c r="AD609" s="84" t="str">
        <f t="shared" si="180"/>
        <v>Sin Línea Base</v>
      </c>
      <c r="AE609" s="85">
        <f t="shared" si="184"/>
        <v>0</v>
      </c>
      <c r="AF609" s="85">
        <f t="shared" si="185"/>
        <v>-93771886</v>
      </c>
      <c r="AG609" s="40" t="str">
        <f>VLOOKUP(Indicador!E609,Diccionario!C$1:AC$150,27,0)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09" s="40">
        <v>1</v>
      </c>
      <c r="AI609" s="40">
        <v>1</v>
      </c>
    </row>
    <row r="610" spans="1:35" ht="18.75" customHeight="1">
      <c r="A610" s="73">
        <v>2030</v>
      </c>
      <c r="B610" s="112" t="s">
        <v>28</v>
      </c>
      <c r="C610" s="36" t="s">
        <v>401</v>
      </c>
      <c r="D610" s="37">
        <v>45768.647169212963</v>
      </c>
      <c r="E610" s="36" t="s">
        <v>104</v>
      </c>
      <c r="F610" s="36" t="s">
        <v>149</v>
      </c>
      <c r="G610" s="36" t="s">
        <v>402</v>
      </c>
      <c r="H610" s="36" t="s">
        <v>403</v>
      </c>
      <c r="I610" s="36" t="s">
        <v>152</v>
      </c>
      <c r="J610" s="36" t="s">
        <v>404</v>
      </c>
      <c r="K610" s="36" t="s">
        <v>154</v>
      </c>
      <c r="L610" s="74">
        <f>VLOOKUP(E610,Diccionario!C$2:AC$150,22,0)</f>
        <v>93771886</v>
      </c>
      <c r="M610" s="75">
        <f>VLOOKUP(E610,Diccionario!C$2:AC$150,24,0)</f>
        <v>45931</v>
      </c>
      <c r="N610" s="76">
        <f>VLOOKUP(E610,Diccionario!C$2:AC$150,25,0)</f>
        <v>47756</v>
      </c>
      <c r="O610" s="77">
        <f>VLOOKUP(E610,Diccionario!C$2:AC$150,26,0)</f>
        <v>59.97</v>
      </c>
      <c r="P610" s="77">
        <f t="shared" si="187"/>
        <v>3.0000000000001137E-2</v>
      </c>
      <c r="Q610" s="78">
        <v>60</v>
      </c>
      <c r="R610" s="36">
        <v>56</v>
      </c>
      <c r="S610" s="86">
        <v>1</v>
      </c>
      <c r="T610" s="86"/>
      <c r="U610" s="82"/>
      <c r="V610" s="82"/>
      <c r="W610" s="82">
        <f t="shared" si="181"/>
        <v>0</v>
      </c>
      <c r="X610" s="82">
        <f t="shared" ref="X610:X683" si="188">S610*L610</f>
        <v>93771886</v>
      </c>
      <c r="Y610" s="82">
        <f t="shared" si="182"/>
        <v>0</v>
      </c>
      <c r="Z610" s="82">
        <f t="shared" ref="Z610:Z683" si="189">W610-X610</f>
        <v>-93771886</v>
      </c>
      <c r="AA610" s="83" t="str">
        <f t="shared" si="186"/>
        <v>No se realizó gasto en este corte</v>
      </c>
      <c r="AB610" s="84" t="str">
        <f t="shared" ref="AB610:AB683" si="190">IFERROR(
  IF(OR(AA610="",AA610=0),
    "No calculado",
    IF(AA610&gt;1,"Costo eficiente: se está gastando menos de lo presupuestado",
      IF(AA610=1,"Costo según lo presupuestado",
        "Costo ineficiente: se está gastando más de lo presupuestado"))),
"No calculado")</f>
        <v>Costo eficiente: se está gastando menos de lo presupuestado</v>
      </c>
      <c r="AC610" s="84">
        <f t="shared" si="183"/>
        <v>0</v>
      </c>
      <c r="AD610" s="84" t="str">
        <f t="shared" ref="AD610:AD683" si="191">IF(OR(AC610="",AC610=0),"Sin Línea Base",
IF(AC610&gt;1,"Proyecto adelantado respecto al cronograma",
IF(AC610=1,"Proyecto a tiempo según lo planificado",
IF(AC610&lt;1,"Proyecto atrasado con respecto al cronograma",
"No calculado"))))</f>
        <v>Sin Línea Base</v>
      </c>
      <c r="AE610" s="85">
        <f t="shared" si="184"/>
        <v>0</v>
      </c>
      <c r="AF610" s="85">
        <f t="shared" si="185"/>
        <v>-93771886</v>
      </c>
      <c r="AG610" s="40" t="str">
        <f>VLOOKUP(Indicador!E610,Diccionario!C$1:AC$150,27,0)</f>
        <v>https://growdatasas.sharepoint.com/:x:/r/sites/Gestiondocumental/Administrativa/GD/Financiera/_layouts/15/Doc.aspx?sourcedoc=%7B68938D93-F552-460C-83CE-BF34E8A8C037%7D&amp;file=20250407%20MODELO%20FINANCIERO%20REFERENCIA%20V7.4%2060%20Meses%20-%20Opcion%202.xlsm&amp;action=default&amp;mobileredirect=true</v>
      </c>
      <c r="AH610" s="40">
        <v>1</v>
      </c>
      <c r="AI610" s="40">
        <v>1</v>
      </c>
    </row>
    <row r="611" spans="1:35" ht="18.75" customHeight="1">
      <c r="A611" s="73">
        <v>2025</v>
      </c>
      <c r="B611" s="112" t="s">
        <v>14</v>
      </c>
      <c r="C611" s="36" t="s">
        <v>405</v>
      </c>
      <c r="D611" s="37">
        <v>45638.807590046294</v>
      </c>
      <c r="E611" s="101" t="s">
        <v>114</v>
      </c>
      <c r="F611" s="36" t="s">
        <v>221</v>
      </c>
      <c r="G611" s="36" t="s">
        <v>406</v>
      </c>
      <c r="H611" s="36" t="s">
        <v>407</v>
      </c>
      <c r="I611" s="36" t="s">
        <v>152</v>
      </c>
      <c r="J611" s="36" t="s">
        <v>408</v>
      </c>
      <c r="K611" s="36" t="s">
        <v>177</v>
      </c>
      <c r="L611" s="74">
        <f>VLOOKUP(E611,Diccionario!C$2:AC$150,22,0)</f>
        <v>198857341</v>
      </c>
      <c r="M611" s="75">
        <f>VLOOKUP(E611,Diccionario!C$2:AC$150,24,0)</f>
        <v>45931</v>
      </c>
      <c r="N611" s="76">
        <f>VLOOKUP(E611,Diccionario!C$2:AC$150,25,0)</f>
        <v>46022</v>
      </c>
      <c r="O611" s="77">
        <f>VLOOKUP(E611,Diccionario!C$2:AC$150,26,0)</f>
        <v>3</v>
      </c>
      <c r="P611" s="77">
        <f t="shared" ref="P611:P617" ca="1" si="192">Q611-O611</f>
        <v>6</v>
      </c>
      <c r="Q611" s="78">
        <f t="shared" ref="Q611:Q617" ca="1" si="193">DATEDIF(M611,TODAY(),"m")</f>
        <v>9</v>
      </c>
      <c r="R611" s="36">
        <v>12</v>
      </c>
      <c r="S611" s="86"/>
      <c r="T611" s="86"/>
      <c r="U611" s="82"/>
      <c r="V611" s="82"/>
      <c r="W611" s="82">
        <f t="shared" si="181"/>
        <v>0</v>
      </c>
      <c r="X611" s="82">
        <f t="shared" ref="X611:X617" si="194">S611*L611</f>
        <v>0</v>
      </c>
      <c r="Y611" s="82">
        <f t="shared" si="182"/>
        <v>0</v>
      </c>
      <c r="Z611" s="82">
        <f t="shared" ref="Z611:Z617" si="195">W611-X611</f>
        <v>0</v>
      </c>
      <c r="AA611" s="83" t="str">
        <f t="shared" ref="AA611:AA617" si="196">IFERROR(W611/U611,"No se realizó gasto en este corte")</f>
        <v>No se realizó gasto en este corte</v>
      </c>
      <c r="AB611" s="84" t="str">
        <f t="shared" ref="AB611:AB617" si="197">IFERROR(
  IF(OR(AA611="",AA611=0),
    "No calculado",
    IF(AA611&gt;1,"Costo eficiente: se está gastando menos de lo presupuestado",
      IF(AA611=1,"Costo según lo presupuestado",
        "Costo ineficiente: se está gastando más de lo presupuestado"))),
"No calculado")</f>
        <v>Costo eficiente: se está gastando menos de lo presupuestado</v>
      </c>
      <c r="AC611" s="84">
        <f t="shared" si="183"/>
        <v>0</v>
      </c>
      <c r="AD611" s="84" t="str">
        <f t="shared" ref="AD611:AD617" si="198">IF(OR(AC611="",AC611=0),"Sin Línea Base",
IF(AC611&gt;1,"Proyecto adelantado respecto al cronograma",
IF(AC611=1,"Proyecto a tiempo según lo planificado",
IF(AC611&lt;1,"Proyecto atrasado con respecto al cronograma",
"No calculado"))))</f>
        <v>Sin Línea Base</v>
      </c>
      <c r="AE611" s="85">
        <f t="shared" si="184"/>
        <v>0</v>
      </c>
      <c r="AF611" s="85">
        <f t="shared" si="185"/>
        <v>-198857341</v>
      </c>
      <c r="AG611" s="40" t="str">
        <f>VLOOKUP(Indicador!E611,Diccionario!C$1:AC$150,27,0)</f>
        <v>https://growdatasas.sharepoint.com/:x:/r/sites/Gestiondocumental/Administrativa/GD/Financiera/_layouts/15/Doc.aspx?sourcedoc=%7B1DBFC819-A96C-4AF2-9C53-2D70E3ED9365%7D&amp;file=Modelo%20de%20negocio%20-%20Uniempresarial%20-%2020241127.xlsm&amp;action=default&amp;mobileredirect=true</v>
      </c>
      <c r="AH611" s="40">
        <v>1</v>
      </c>
      <c r="AI611" s="40">
        <v>1</v>
      </c>
    </row>
    <row r="612" spans="1:35" ht="18.75" customHeight="1">
      <c r="A612" s="73">
        <v>2025</v>
      </c>
      <c r="B612" s="112" t="s">
        <v>22</v>
      </c>
      <c r="C612" s="36" t="s">
        <v>405</v>
      </c>
      <c r="D612" s="37">
        <v>45638.807590046294</v>
      </c>
      <c r="E612" s="101" t="s">
        <v>114</v>
      </c>
      <c r="F612" s="36" t="s">
        <v>221</v>
      </c>
      <c r="G612" s="36" t="s">
        <v>406</v>
      </c>
      <c r="H612" s="36" t="s">
        <v>407</v>
      </c>
      <c r="I612" s="36" t="s">
        <v>152</v>
      </c>
      <c r="J612" s="36" t="s">
        <v>408</v>
      </c>
      <c r="K612" s="36" t="s">
        <v>177</v>
      </c>
      <c r="L612" s="74">
        <f>VLOOKUP(E612,Diccionario!C$2:AC$150,22,0)</f>
        <v>198857341</v>
      </c>
      <c r="M612" s="75">
        <f>VLOOKUP(E612,Diccionario!C$2:AC$150,24,0)</f>
        <v>45931</v>
      </c>
      <c r="N612" s="76">
        <f>VLOOKUP(E612,Diccionario!C$2:AC$150,25,0)</f>
        <v>46022</v>
      </c>
      <c r="O612" s="77">
        <f>VLOOKUP(E612,Diccionario!C$2:AC$150,26,0)</f>
        <v>3</v>
      </c>
      <c r="P612" s="77">
        <f t="shared" ca="1" si="192"/>
        <v>6</v>
      </c>
      <c r="Q612" s="78">
        <f t="shared" ca="1" si="193"/>
        <v>9</v>
      </c>
      <c r="R612" s="36">
        <v>12</v>
      </c>
      <c r="S612" s="86"/>
      <c r="T612" s="86"/>
      <c r="U612" s="82"/>
      <c r="V612" s="82"/>
      <c r="W612" s="82">
        <f t="shared" si="181"/>
        <v>0</v>
      </c>
      <c r="X612" s="82">
        <f t="shared" si="194"/>
        <v>0</v>
      </c>
      <c r="Y612" s="82">
        <f t="shared" si="182"/>
        <v>0</v>
      </c>
      <c r="Z612" s="82">
        <f t="shared" si="195"/>
        <v>0</v>
      </c>
      <c r="AA612" s="83" t="str">
        <f t="shared" si="196"/>
        <v>No se realizó gasto en este corte</v>
      </c>
      <c r="AB612" s="84" t="str">
        <f t="shared" si="197"/>
        <v>Costo eficiente: se está gastando menos de lo presupuestado</v>
      </c>
      <c r="AC612" s="84">
        <f t="shared" si="183"/>
        <v>0</v>
      </c>
      <c r="AD612" s="84" t="str">
        <f t="shared" si="198"/>
        <v>Sin Línea Base</v>
      </c>
      <c r="AE612" s="85">
        <f t="shared" si="184"/>
        <v>0</v>
      </c>
      <c r="AF612" s="85">
        <f t="shared" si="185"/>
        <v>-198857341</v>
      </c>
      <c r="AG612" s="40" t="str">
        <f>VLOOKUP(Indicador!E612,Diccionario!C$1:AC$150,27,0)</f>
        <v>https://growdatasas.sharepoint.com/:x:/r/sites/Gestiondocumental/Administrativa/GD/Financiera/_layouts/15/Doc.aspx?sourcedoc=%7B1DBFC819-A96C-4AF2-9C53-2D70E3ED9365%7D&amp;file=Modelo%20de%20negocio%20-%20Uniempresarial%20-%2020241127.xlsm&amp;action=default&amp;mobileredirect=true</v>
      </c>
      <c r="AH612" s="40">
        <v>1</v>
      </c>
      <c r="AI612" s="40">
        <v>1</v>
      </c>
    </row>
    <row r="613" spans="1:35" ht="18.75" customHeight="1">
      <c r="A613" s="73">
        <v>2025</v>
      </c>
      <c r="B613" s="112" t="s">
        <v>24</v>
      </c>
      <c r="C613" s="36" t="s">
        <v>405</v>
      </c>
      <c r="D613" s="37">
        <v>45638.807590046294</v>
      </c>
      <c r="E613" s="101" t="s">
        <v>114</v>
      </c>
      <c r="F613" s="36" t="s">
        <v>221</v>
      </c>
      <c r="G613" s="36" t="s">
        <v>406</v>
      </c>
      <c r="H613" s="36" t="s">
        <v>407</v>
      </c>
      <c r="I613" s="36" t="s">
        <v>152</v>
      </c>
      <c r="J613" s="36" t="s">
        <v>408</v>
      </c>
      <c r="K613" s="36" t="s">
        <v>177</v>
      </c>
      <c r="L613" s="74">
        <f>VLOOKUP(E613,Diccionario!C$2:AC$150,22,0)</f>
        <v>198857341</v>
      </c>
      <c r="M613" s="75">
        <f>VLOOKUP(E613,Diccionario!C$2:AC$150,24,0)</f>
        <v>45931</v>
      </c>
      <c r="N613" s="76">
        <f>VLOOKUP(E613,Diccionario!C$2:AC$150,25,0)</f>
        <v>46022</v>
      </c>
      <c r="O613" s="77">
        <f>VLOOKUP(E613,Diccionario!C$2:AC$150,26,0)</f>
        <v>3</v>
      </c>
      <c r="P613" s="77">
        <f t="shared" ca="1" si="192"/>
        <v>6</v>
      </c>
      <c r="Q613" s="78">
        <f t="shared" ca="1" si="193"/>
        <v>9</v>
      </c>
      <c r="R613" s="36">
        <v>12</v>
      </c>
      <c r="S613" s="86"/>
      <c r="T613" s="86"/>
      <c r="U613" s="82"/>
      <c r="V613" s="82"/>
      <c r="W613" s="82">
        <f t="shared" si="181"/>
        <v>0</v>
      </c>
      <c r="X613" s="82">
        <f t="shared" si="194"/>
        <v>0</v>
      </c>
      <c r="Y613" s="82">
        <f t="shared" si="182"/>
        <v>0</v>
      </c>
      <c r="Z613" s="82">
        <f t="shared" si="195"/>
        <v>0</v>
      </c>
      <c r="AA613" s="83" t="str">
        <f t="shared" si="196"/>
        <v>No se realizó gasto en este corte</v>
      </c>
      <c r="AB613" s="84" t="str">
        <f t="shared" si="197"/>
        <v>Costo eficiente: se está gastando menos de lo presupuestado</v>
      </c>
      <c r="AC613" s="84">
        <f t="shared" si="183"/>
        <v>0</v>
      </c>
      <c r="AD613" s="84" t="str">
        <f t="shared" si="198"/>
        <v>Sin Línea Base</v>
      </c>
      <c r="AE613" s="85">
        <f t="shared" si="184"/>
        <v>0</v>
      </c>
      <c r="AF613" s="85">
        <f t="shared" si="185"/>
        <v>-198857341</v>
      </c>
      <c r="AG613" s="40" t="str">
        <f>VLOOKUP(Indicador!E613,Diccionario!C$1:AC$150,27,0)</f>
        <v>https://growdatasas.sharepoint.com/:x:/r/sites/Gestiondocumental/Administrativa/GD/Financiera/_layouts/15/Doc.aspx?sourcedoc=%7B1DBFC819-A96C-4AF2-9C53-2D70E3ED9365%7D&amp;file=Modelo%20de%20negocio%20-%20Uniempresarial%20-%2020241127.xlsm&amp;action=default&amp;mobileredirect=true</v>
      </c>
      <c r="AH613" s="40">
        <v>1</v>
      </c>
      <c r="AI613" s="40">
        <v>1</v>
      </c>
    </row>
    <row r="614" spans="1:35" ht="18.75" customHeight="1">
      <c r="A614" s="73">
        <v>2025</v>
      </c>
      <c r="B614" s="112" t="s">
        <v>27</v>
      </c>
      <c r="C614" s="36" t="s">
        <v>405</v>
      </c>
      <c r="D614" s="37">
        <v>45638.807590046294</v>
      </c>
      <c r="E614" s="101" t="s">
        <v>114</v>
      </c>
      <c r="F614" s="36" t="s">
        <v>221</v>
      </c>
      <c r="G614" s="36" t="s">
        <v>406</v>
      </c>
      <c r="H614" s="36" t="s">
        <v>407</v>
      </c>
      <c r="I614" s="36" t="s">
        <v>152</v>
      </c>
      <c r="J614" s="36" t="s">
        <v>408</v>
      </c>
      <c r="K614" s="36" t="s">
        <v>177</v>
      </c>
      <c r="L614" s="74">
        <f>VLOOKUP(E614,Diccionario!C$2:AC$150,22,0)</f>
        <v>198857341</v>
      </c>
      <c r="M614" s="75">
        <f>VLOOKUP(E614,Diccionario!C$2:AC$150,24,0)</f>
        <v>45931</v>
      </c>
      <c r="N614" s="76">
        <f>VLOOKUP(E614,Diccionario!C$2:AC$150,25,0)</f>
        <v>46022</v>
      </c>
      <c r="O614" s="77">
        <f>VLOOKUP(E614,Diccionario!C$2:AC$150,26,0)</f>
        <v>3</v>
      </c>
      <c r="P614" s="77">
        <f t="shared" ca="1" si="192"/>
        <v>6</v>
      </c>
      <c r="Q614" s="78">
        <f t="shared" ca="1" si="193"/>
        <v>9</v>
      </c>
      <c r="R614" s="36">
        <v>12</v>
      </c>
      <c r="S614" s="86"/>
      <c r="T614" s="86"/>
      <c r="U614" s="82"/>
      <c r="V614" s="82"/>
      <c r="W614" s="82">
        <f t="shared" si="181"/>
        <v>0</v>
      </c>
      <c r="X614" s="82">
        <f t="shared" si="194"/>
        <v>0</v>
      </c>
      <c r="Y614" s="82">
        <f t="shared" si="182"/>
        <v>0</v>
      </c>
      <c r="Z614" s="82">
        <f t="shared" si="195"/>
        <v>0</v>
      </c>
      <c r="AA614" s="83" t="str">
        <f t="shared" si="196"/>
        <v>No se realizó gasto en este corte</v>
      </c>
      <c r="AB614" s="84" t="str">
        <f t="shared" si="197"/>
        <v>Costo eficiente: se está gastando menos de lo presupuestado</v>
      </c>
      <c r="AC614" s="84">
        <f t="shared" si="183"/>
        <v>0</v>
      </c>
      <c r="AD614" s="84" t="str">
        <f t="shared" si="198"/>
        <v>Sin Línea Base</v>
      </c>
      <c r="AE614" s="85">
        <f t="shared" si="184"/>
        <v>0</v>
      </c>
      <c r="AF614" s="85">
        <f t="shared" si="185"/>
        <v>-198857341</v>
      </c>
      <c r="AG614" s="40" t="str">
        <f>VLOOKUP(Indicador!E614,Diccionario!C$1:AC$150,27,0)</f>
        <v>https://growdatasas.sharepoint.com/:x:/r/sites/Gestiondocumental/Administrativa/GD/Financiera/_layouts/15/Doc.aspx?sourcedoc=%7B1DBFC819-A96C-4AF2-9C53-2D70E3ED9365%7D&amp;file=Modelo%20de%20negocio%20-%20Uniempresarial%20-%2020241127.xlsm&amp;action=default&amp;mobileredirect=true</v>
      </c>
      <c r="AH614" s="40">
        <v>1</v>
      </c>
      <c r="AI614" s="40">
        <v>1</v>
      </c>
    </row>
    <row r="615" spans="1:35" ht="18.75" customHeight="1">
      <c r="A615" s="73">
        <v>2025</v>
      </c>
      <c r="B615" s="112" t="s">
        <v>13</v>
      </c>
      <c r="C615" s="36" t="s">
        <v>405</v>
      </c>
      <c r="D615" s="37">
        <v>45638.807590046294</v>
      </c>
      <c r="E615" s="101" t="s">
        <v>114</v>
      </c>
      <c r="F615" s="36" t="s">
        <v>221</v>
      </c>
      <c r="G615" s="36" t="s">
        <v>406</v>
      </c>
      <c r="H615" s="36" t="s">
        <v>407</v>
      </c>
      <c r="I615" s="36" t="s">
        <v>152</v>
      </c>
      <c r="J615" s="36" t="s">
        <v>408</v>
      </c>
      <c r="K615" s="36" t="s">
        <v>177</v>
      </c>
      <c r="L615" s="74">
        <f>VLOOKUP(E615,Diccionario!C$2:AC$150,22,0)</f>
        <v>198857341</v>
      </c>
      <c r="M615" s="75">
        <f>VLOOKUP(E615,Diccionario!C$2:AC$150,24,0)</f>
        <v>45931</v>
      </c>
      <c r="N615" s="76">
        <f>VLOOKUP(E615,Diccionario!C$2:AC$150,25,0)</f>
        <v>46022</v>
      </c>
      <c r="O615" s="77">
        <f>VLOOKUP(E615,Diccionario!C$2:AC$150,26,0)</f>
        <v>3</v>
      </c>
      <c r="P615" s="77">
        <f t="shared" ca="1" si="192"/>
        <v>6</v>
      </c>
      <c r="Q615" s="78">
        <f t="shared" ca="1" si="193"/>
        <v>9</v>
      </c>
      <c r="R615" s="36">
        <v>12</v>
      </c>
      <c r="S615" s="86"/>
      <c r="T615" s="86"/>
      <c r="U615" s="82"/>
      <c r="V615" s="82"/>
      <c r="W615" s="82">
        <f t="shared" si="181"/>
        <v>0</v>
      </c>
      <c r="X615" s="82">
        <f t="shared" si="194"/>
        <v>0</v>
      </c>
      <c r="Y615" s="82">
        <f t="shared" si="182"/>
        <v>0</v>
      </c>
      <c r="Z615" s="82">
        <f t="shared" si="195"/>
        <v>0</v>
      </c>
      <c r="AA615" s="83" t="str">
        <f t="shared" si="196"/>
        <v>No se realizó gasto en este corte</v>
      </c>
      <c r="AB615" s="84" t="str">
        <f t="shared" si="197"/>
        <v>Costo eficiente: se está gastando menos de lo presupuestado</v>
      </c>
      <c r="AC615" s="84">
        <f t="shared" si="183"/>
        <v>0</v>
      </c>
      <c r="AD615" s="84" t="str">
        <f t="shared" si="198"/>
        <v>Sin Línea Base</v>
      </c>
      <c r="AE615" s="85">
        <f t="shared" si="184"/>
        <v>0</v>
      </c>
      <c r="AF615" s="85">
        <f t="shared" si="185"/>
        <v>-198857341</v>
      </c>
      <c r="AG615" s="40" t="str">
        <f>VLOOKUP(Indicador!E615,Diccionario!C$1:AC$150,27,0)</f>
        <v>https://growdatasas.sharepoint.com/:x:/r/sites/Gestiondocumental/Administrativa/GD/Financiera/_layouts/15/Doc.aspx?sourcedoc=%7B1DBFC819-A96C-4AF2-9C53-2D70E3ED9365%7D&amp;file=Modelo%20de%20negocio%20-%20Uniempresarial%20-%2020241127.xlsm&amp;action=default&amp;mobileredirect=true</v>
      </c>
      <c r="AH615" s="40">
        <v>1</v>
      </c>
      <c r="AI615" s="40">
        <v>1</v>
      </c>
    </row>
    <row r="616" spans="1:35" ht="18.75" customHeight="1">
      <c r="A616" s="73">
        <v>2025</v>
      </c>
      <c r="B616" s="112" t="s">
        <v>21</v>
      </c>
      <c r="C616" s="36" t="s">
        <v>405</v>
      </c>
      <c r="D616" s="37">
        <v>45638.807590046294</v>
      </c>
      <c r="E616" s="101" t="s">
        <v>114</v>
      </c>
      <c r="F616" s="36" t="s">
        <v>221</v>
      </c>
      <c r="G616" s="36" t="s">
        <v>406</v>
      </c>
      <c r="H616" s="36" t="s">
        <v>407</v>
      </c>
      <c r="I616" s="36" t="s">
        <v>152</v>
      </c>
      <c r="J616" s="36" t="s">
        <v>408</v>
      </c>
      <c r="K616" s="36" t="s">
        <v>177</v>
      </c>
      <c r="L616" s="74">
        <f>VLOOKUP(E616,Diccionario!C$2:AC$150,22,0)</f>
        <v>198857341</v>
      </c>
      <c r="M616" s="75">
        <f>VLOOKUP(E616,Diccionario!C$2:AC$150,24,0)</f>
        <v>45931</v>
      </c>
      <c r="N616" s="76">
        <f>VLOOKUP(E616,Diccionario!C$2:AC$150,25,0)</f>
        <v>46022</v>
      </c>
      <c r="O616" s="77">
        <f>VLOOKUP(E616,Diccionario!C$2:AC$150,26,0)</f>
        <v>3</v>
      </c>
      <c r="P616" s="77">
        <f t="shared" ca="1" si="192"/>
        <v>6</v>
      </c>
      <c r="Q616" s="78">
        <f t="shared" ca="1" si="193"/>
        <v>9</v>
      </c>
      <c r="R616" s="36">
        <v>12</v>
      </c>
      <c r="S616" s="86"/>
      <c r="T616" s="86"/>
      <c r="U616" s="82"/>
      <c r="V616" s="82"/>
      <c r="W616" s="82">
        <f t="shared" si="181"/>
        <v>0</v>
      </c>
      <c r="X616" s="82">
        <f t="shared" si="194"/>
        <v>0</v>
      </c>
      <c r="Y616" s="82">
        <f t="shared" si="182"/>
        <v>0</v>
      </c>
      <c r="Z616" s="82">
        <f t="shared" si="195"/>
        <v>0</v>
      </c>
      <c r="AA616" s="83" t="str">
        <f t="shared" si="196"/>
        <v>No se realizó gasto en este corte</v>
      </c>
      <c r="AB616" s="84" t="str">
        <f t="shared" si="197"/>
        <v>Costo eficiente: se está gastando menos de lo presupuestado</v>
      </c>
      <c r="AC616" s="84">
        <f t="shared" si="183"/>
        <v>0</v>
      </c>
      <c r="AD616" s="84" t="str">
        <f t="shared" si="198"/>
        <v>Sin Línea Base</v>
      </c>
      <c r="AE616" s="85">
        <f t="shared" si="184"/>
        <v>0</v>
      </c>
      <c r="AF616" s="85">
        <f t="shared" si="185"/>
        <v>-198857341</v>
      </c>
      <c r="AG616" s="40" t="str">
        <f>VLOOKUP(Indicador!E616,Diccionario!C$1:AC$150,27,0)</f>
        <v>https://growdatasas.sharepoint.com/:x:/r/sites/Gestiondocumental/Administrativa/GD/Financiera/_layouts/15/Doc.aspx?sourcedoc=%7B1DBFC819-A96C-4AF2-9C53-2D70E3ED9365%7D&amp;file=Modelo%20de%20negocio%20-%20Uniempresarial%20-%2020241127.xlsm&amp;action=default&amp;mobileredirect=true</v>
      </c>
      <c r="AH616" s="40">
        <v>1</v>
      </c>
      <c r="AI616" s="40">
        <v>1</v>
      </c>
    </row>
    <row r="617" spans="1:35" ht="18.75" customHeight="1">
      <c r="A617" s="73">
        <v>2025</v>
      </c>
      <c r="B617" s="112" t="s">
        <v>23</v>
      </c>
      <c r="C617" s="36" t="s">
        <v>405</v>
      </c>
      <c r="D617" s="37">
        <v>45638.807590046294</v>
      </c>
      <c r="E617" s="101" t="s">
        <v>114</v>
      </c>
      <c r="F617" s="36" t="s">
        <v>221</v>
      </c>
      <c r="G617" s="36" t="s">
        <v>406</v>
      </c>
      <c r="H617" s="36" t="s">
        <v>407</v>
      </c>
      <c r="I617" s="36" t="s">
        <v>152</v>
      </c>
      <c r="J617" s="36" t="s">
        <v>408</v>
      </c>
      <c r="K617" s="36" t="s">
        <v>177</v>
      </c>
      <c r="L617" s="74">
        <f>VLOOKUP(E617,Diccionario!C$2:AC$150,22,0)</f>
        <v>198857341</v>
      </c>
      <c r="M617" s="75">
        <f>VLOOKUP(E617,Diccionario!C$2:AC$150,24,0)</f>
        <v>45931</v>
      </c>
      <c r="N617" s="76">
        <f>VLOOKUP(E617,Diccionario!C$2:AC$150,25,0)</f>
        <v>46022</v>
      </c>
      <c r="O617" s="77">
        <f>VLOOKUP(E617,Diccionario!C$2:AC$150,26,0)</f>
        <v>3</v>
      </c>
      <c r="P617" s="77">
        <f t="shared" ca="1" si="192"/>
        <v>6</v>
      </c>
      <c r="Q617" s="78">
        <f t="shared" ca="1" si="193"/>
        <v>9</v>
      </c>
      <c r="R617" s="36">
        <v>12</v>
      </c>
      <c r="S617" s="86"/>
      <c r="T617" s="86"/>
      <c r="U617" s="82"/>
      <c r="V617" s="82"/>
      <c r="W617" s="82">
        <f t="shared" si="181"/>
        <v>0</v>
      </c>
      <c r="X617" s="82">
        <f t="shared" si="194"/>
        <v>0</v>
      </c>
      <c r="Y617" s="82">
        <f t="shared" si="182"/>
        <v>0</v>
      </c>
      <c r="Z617" s="82">
        <f t="shared" si="195"/>
        <v>0</v>
      </c>
      <c r="AA617" s="83" t="str">
        <f t="shared" si="196"/>
        <v>No se realizó gasto en este corte</v>
      </c>
      <c r="AB617" s="84" t="str">
        <f t="shared" si="197"/>
        <v>Costo eficiente: se está gastando menos de lo presupuestado</v>
      </c>
      <c r="AC617" s="84">
        <f t="shared" si="183"/>
        <v>0</v>
      </c>
      <c r="AD617" s="84" t="str">
        <f t="shared" si="198"/>
        <v>Sin Línea Base</v>
      </c>
      <c r="AE617" s="85">
        <f t="shared" si="184"/>
        <v>0</v>
      </c>
      <c r="AF617" s="85">
        <f t="shared" si="185"/>
        <v>-198857341</v>
      </c>
      <c r="AG617" s="40" t="str">
        <f>VLOOKUP(Indicador!E617,Diccionario!C$1:AC$150,27,0)</f>
        <v>https://growdatasas.sharepoint.com/:x:/r/sites/Gestiondocumental/Administrativa/GD/Financiera/_layouts/15/Doc.aspx?sourcedoc=%7B1DBFC819-A96C-4AF2-9C53-2D70E3ED9365%7D&amp;file=Modelo%20de%20negocio%20-%20Uniempresarial%20-%2020241127.xlsm&amp;action=default&amp;mobileredirect=true</v>
      </c>
      <c r="AH617" s="40">
        <v>1</v>
      </c>
      <c r="AI617" s="40">
        <v>1</v>
      </c>
    </row>
    <row r="618" spans="1:35" ht="18.75" customHeight="1">
      <c r="A618" s="73">
        <v>2025</v>
      </c>
      <c r="B618" s="112" t="s">
        <v>26</v>
      </c>
      <c r="C618" s="36" t="s">
        <v>405</v>
      </c>
      <c r="D618" s="37">
        <v>45638.807590046294</v>
      </c>
      <c r="E618" s="101" t="s">
        <v>114</v>
      </c>
      <c r="F618" s="36" t="s">
        <v>221</v>
      </c>
      <c r="G618" s="36" t="s">
        <v>406</v>
      </c>
      <c r="H618" s="36" t="s">
        <v>407</v>
      </c>
      <c r="I618" s="36" t="s">
        <v>152</v>
      </c>
      <c r="J618" s="36" t="s">
        <v>408</v>
      </c>
      <c r="K618" s="36" t="s">
        <v>177</v>
      </c>
      <c r="L618" s="74">
        <f>VLOOKUP(E618,Diccionario!C$2:AC$150,22,0)</f>
        <v>198857341</v>
      </c>
      <c r="M618" s="75">
        <f>VLOOKUP(E618,Diccionario!C$2:AC$150,24,0)</f>
        <v>45931</v>
      </c>
      <c r="N618" s="76">
        <f>VLOOKUP(E618,Diccionario!C$2:AC$150,25,0)</f>
        <v>46022</v>
      </c>
      <c r="O618" s="77">
        <f>VLOOKUP(E618,Diccionario!C$2:AC$150,26,0)</f>
        <v>3</v>
      </c>
      <c r="P618" s="77">
        <f t="shared" ca="1" si="187"/>
        <v>6</v>
      </c>
      <c r="Q618" s="78">
        <f t="shared" ref="Q618:Q678" ca="1" si="199">DATEDIF(M618,TODAY(),"m")</f>
        <v>9</v>
      </c>
      <c r="R618" s="36">
        <v>12</v>
      </c>
      <c r="S618" s="86"/>
      <c r="T618" s="86"/>
      <c r="U618" s="82"/>
      <c r="V618" s="82"/>
      <c r="W618" s="82">
        <f t="shared" si="181"/>
        <v>0</v>
      </c>
      <c r="X618" s="82">
        <f t="shared" si="188"/>
        <v>0</v>
      </c>
      <c r="Y618" s="82">
        <f t="shared" si="182"/>
        <v>0</v>
      </c>
      <c r="Z618" s="82">
        <f t="shared" si="189"/>
        <v>0</v>
      </c>
      <c r="AA618" s="83" t="str">
        <f t="shared" si="186"/>
        <v>No se realizó gasto en este corte</v>
      </c>
      <c r="AB618" s="84" t="str">
        <f t="shared" si="190"/>
        <v>Costo eficiente: se está gastando menos de lo presupuestado</v>
      </c>
      <c r="AC618" s="84">
        <f t="shared" si="183"/>
        <v>0</v>
      </c>
      <c r="AD618" s="84" t="str">
        <f t="shared" si="191"/>
        <v>Sin Línea Base</v>
      </c>
      <c r="AE618" s="85">
        <f t="shared" si="184"/>
        <v>0</v>
      </c>
      <c r="AF618" s="85">
        <f t="shared" si="185"/>
        <v>-198857341</v>
      </c>
      <c r="AG618" s="40" t="str">
        <f>VLOOKUP(Indicador!E618,Diccionario!C$1:AC$150,27,0)</f>
        <v>https://growdatasas.sharepoint.com/:x:/r/sites/Gestiondocumental/Administrativa/GD/Financiera/_layouts/15/Doc.aspx?sourcedoc=%7B1DBFC819-A96C-4AF2-9C53-2D70E3ED9365%7D&amp;file=Modelo%20de%20negocio%20-%20Uniempresarial%20-%2020241127.xlsm&amp;action=default&amp;mobileredirect=true</v>
      </c>
      <c r="AH618" s="40">
        <v>1</v>
      </c>
      <c r="AI618" s="40">
        <v>1</v>
      </c>
    </row>
    <row r="619" spans="1:35" ht="18.75" customHeight="1">
      <c r="A619" s="73">
        <v>2025</v>
      </c>
      <c r="B619" s="112" t="s">
        <v>28</v>
      </c>
      <c r="C619" s="36" t="s">
        <v>405</v>
      </c>
      <c r="D619" s="37">
        <v>45638.807590046294</v>
      </c>
      <c r="E619" s="101" t="s">
        <v>114</v>
      </c>
      <c r="F619" s="36" t="s">
        <v>221</v>
      </c>
      <c r="G619" s="36" t="s">
        <v>406</v>
      </c>
      <c r="H619" s="36" t="s">
        <v>407</v>
      </c>
      <c r="I619" s="36" t="s">
        <v>152</v>
      </c>
      <c r="J619" s="36" t="s">
        <v>408</v>
      </c>
      <c r="K619" s="36" t="s">
        <v>177</v>
      </c>
      <c r="L619" s="74">
        <f>VLOOKUP(E619,Diccionario!C$2:AC$150,22,0)</f>
        <v>198857341</v>
      </c>
      <c r="M619" s="75">
        <f>VLOOKUP(E619,Diccionario!C$2:AC$150,24,0)</f>
        <v>45931</v>
      </c>
      <c r="N619" s="76">
        <f>VLOOKUP(E619,Diccionario!C$2:AC$150,25,0)</f>
        <v>46022</v>
      </c>
      <c r="O619" s="77">
        <f>VLOOKUP(E619,Diccionario!C$2:AC$150,26,0)</f>
        <v>3</v>
      </c>
      <c r="P619" s="77">
        <f t="shared" ref="P619:P620" ca="1" si="200">Q619-O619</f>
        <v>6</v>
      </c>
      <c r="Q619" s="78">
        <f t="shared" ref="Q619:Q620" ca="1" si="201">DATEDIF(M619,TODAY(),"m")</f>
        <v>9</v>
      </c>
      <c r="R619" s="36">
        <v>12</v>
      </c>
      <c r="S619" s="86"/>
      <c r="T619" s="86"/>
      <c r="U619" s="82"/>
      <c r="V619" s="82"/>
      <c r="W619" s="82">
        <f t="shared" si="181"/>
        <v>0</v>
      </c>
      <c r="X619" s="82">
        <f t="shared" ref="X619:X620" si="202">S619*L619</f>
        <v>0</v>
      </c>
      <c r="Y619" s="82">
        <f t="shared" si="182"/>
        <v>0</v>
      </c>
      <c r="Z619" s="82">
        <f t="shared" ref="Z619:Z620" si="203">W619-X619</f>
        <v>0</v>
      </c>
      <c r="AA619" s="83" t="str">
        <f t="shared" ref="AA619:AA620" si="204">IFERROR(W619/U619,"No se realizó gasto en este corte")</f>
        <v>No se realizó gasto en este corte</v>
      </c>
      <c r="AB619" s="84" t="str">
        <f t="shared" ref="AB619:AB620" si="205">IFERROR(
  IF(OR(AA619="",AA619=0),
    "No calculado",
    IF(AA619&gt;1,"Costo eficiente: se está gastando menos de lo presupuestado",
      IF(AA619=1,"Costo según lo presupuestado",
        "Costo ineficiente: se está gastando más de lo presupuestado"))),
"No calculado")</f>
        <v>Costo eficiente: se está gastando menos de lo presupuestado</v>
      </c>
      <c r="AC619" s="84">
        <f t="shared" si="183"/>
        <v>0</v>
      </c>
      <c r="AD619" s="84" t="str">
        <f t="shared" ref="AD619:AD620" si="206">IF(OR(AC619="",AC619=0),"Sin Línea Base",
IF(AC619&gt;1,"Proyecto adelantado respecto al cronograma",
IF(AC619=1,"Proyecto a tiempo según lo planificado",
IF(AC619&lt;1,"Proyecto atrasado con respecto al cronograma",
"No calculado"))))</f>
        <v>Sin Línea Base</v>
      </c>
      <c r="AE619" s="85">
        <f t="shared" si="184"/>
        <v>0</v>
      </c>
      <c r="AF619" s="85">
        <f t="shared" si="185"/>
        <v>-198857341</v>
      </c>
      <c r="AG619" s="40" t="str">
        <f>VLOOKUP(Indicador!E619,Diccionario!C$1:AC$150,27,0)</f>
        <v>https://growdatasas.sharepoint.com/:x:/r/sites/Gestiondocumental/Administrativa/GD/Financiera/_layouts/15/Doc.aspx?sourcedoc=%7B1DBFC819-A96C-4AF2-9C53-2D70E3ED9365%7D&amp;file=Modelo%20de%20negocio%20-%20Uniempresarial%20-%2020241127.xlsm&amp;action=default&amp;mobileredirect=true</v>
      </c>
      <c r="AH619" s="40">
        <v>1</v>
      </c>
      <c r="AI619" s="40">
        <v>1</v>
      </c>
    </row>
    <row r="620" spans="1:35" ht="18.75" customHeight="1">
      <c r="A620" s="73">
        <v>2025</v>
      </c>
      <c r="B620" s="112" t="s">
        <v>30</v>
      </c>
      <c r="C620" s="36" t="s">
        <v>405</v>
      </c>
      <c r="D620" s="37">
        <v>45638.807590046294</v>
      </c>
      <c r="E620" s="101" t="s">
        <v>114</v>
      </c>
      <c r="F620" s="36" t="s">
        <v>221</v>
      </c>
      <c r="G620" s="36" t="s">
        <v>406</v>
      </c>
      <c r="H620" s="36" t="s">
        <v>407</v>
      </c>
      <c r="I620" s="36" t="s">
        <v>152</v>
      </c>
      <c r="J620" s="36" t="s">
        <v>408</v>
      </c>
      <c r="K620" s="36" t="s">
        <v>177</v>
      </c>
      <c r="L620" s="74">
        <f>VLOOKUP(E620,Diccionario!C$2:AC$150,22,0)</f>
        <v>198857341</v>
      </c>
      <c r="M620" s="75">
        <f>VLOOKUP(E620,Diccionario!C$2:AC$150,24,0)</f>
        <v>45931</v>
      </c>
      <c r="N620" s="76">
        <f>VLOOKUP(E620,Diccionario!C$2:AC$150,25,0)</f>
        <v>46022</v>
      </c>
      <c r="O620" s="77">
        <f>VLOOKUP(E620,Diccionario!C$2:AC$150,26,0)</f>
        <v>3</v>
      </c>
      <c r="P620" s="77">
        <f t="shared" ca="1" si="200"/>
        <v>6</v>
      </c>
      <c r="Q620" s="78">
        <f t="shared" ca="1" si="201"/>
        <v>9</v>
      </c>
      <c r="R620" s="36">
        <v>12</v>
      </c>
      <c r="S620" s="86"/>
      <c r="T620" s="86"/>
      <c r="U620" s="82"/>
      <c r="V620" s="82"/>
      <c r="W620" s="82">
        <f t="shared" si="181"/>
        <v>0</v>
      </c>
      <c r="X620" s="82">
        <f t="shared" si="202"/>
        <v>0</v>
      </c>
      <c r="Y620" s="82">
        <f t="shared" si="182"/>
        <v>0</v>
      </c>
      <c r="Z620" s="82">
        <f t="shared" si="203"/>
        <v>0</v>
      </c>
      <c r="AA620" s="83" t="str">
        <f t="shared" si="204"/>
        <v>No se realizó gasto en este corte</v>
      </c>
      <c r="AB620" s="84" t="str">
        <f t="shared" si="205"/>
        <v>Costo eficiente: se está gastando menos de lo presupuestado</v>
      </c>
      <c r="AC620" s="84">
        <f t="shared" si="183"/>
        <v>0</v>
      </c>
      <c r="AD620" s="84" t="str">
        <f t="shared" si="206"/>
        <v>Sin Línea Base</v>
      </c>
      <c r="AE620" s="85">
        <f t="shared" si="184"/>
        <v>0</v>
      </c>
      <c r="AF620" s="85">
        <f t="shared" si="185"/>
        <v>-198857341</v>
      </c>
      <c r="AG620" s="40" t="str">
        <f>VLOOKUP(Indicador!E620,Diccionario!C$1:AC$150,27,0)</f>
        <v>https://growdatasas.sharepoint.com/:x:/r/sites/Gestiondocumental/Administrativa/GD/Financiera/_layouts/15/Doc.aspx?sourcedoc=%7B1DBFC819-A96C-4AF2-9C53-2D70E3ED9365%7D&amp;file=Modelo%20de%20negocio%20-%20Uniempresarial%20-%2020241127.xlsm&amp;action=default&amp;mobileredirect=true</v>
      </c>
      <c r="AH620" s="40">
        <v>1</v>
      </c>
      <c r="AI620" s="40">
        <v>1</v>
      </c>
    </row>
    <row r="621" spans="1:35" ht="18.75" customHeight="1">
      <c r="A621" s="73">
        <v>2025</v>
      </c>
      <c r="B621" s="112" t="s">
        <v>31</v>
      </c>
      <c r="C621" s="36" t="s">
        <v>405</v>
      </c>
      <c r="D621" s="37">
        <v>45638.807590046294</v>
      </c>
      <c r="E621" s="101" t="s">
        <v>114</v>
      </c>
      <c r="F621" s="36" t="s">
        <v>221</v>
      </c>
      <c r="G621" s="36" t="s">
        <v>406</v>
      </c>
      <c r="H621" s="36" t="s">
        <v>407</v>
      </c>
      <c r="I621" s="36" t="s">
        <v>152</v>
      </c>
      <c r="J621" s="36" t="s">
        <v>408</v>
      </c>
      <c r="K621" s="36" t="s">
        <v>177</v>
      </c>
      <c r="L621" s="74">
        <f>VLOOKUP(E621,Diccionario!C$2:AC$150,22,0)</f>
        <v>198857341</v>
      </c>
      <c r="M621" s="75">
        <f>VLOOKUP(E621,Diccionario!C$2:AC$150,24,0)</f>
        <v>45931</v>
      </c>
      <c r="N621" s="76">
        <f>VLOOKUP(E621,Diccionario!C$2:AC$150,25,0)</f>
        <v>46022</v>
      </c>
      <c r="O621" s="77">
        <f>VLOOKUP(E621,Diccionario!C$2:AC$150,26,0)</f>
        <v>3</v>
      </c>
      <c r="P621" s="77">
        <f t="shared" ca="1" si="187"/>
        <v>6</v>
      </c>
      <c r="Q621" s="78">
        <f t="shared" ca="1" si="199"/>
        <v>9</v>
      </c>
      <c r="R621" s="36">
        <v>12</v>
      </c>
      <c r="S621" s="86"/>
      <c r="T621" s="86"/>
      <c r="U621" s="82"/>
      <c r="V621" s="82"/>
      <c r="W621" s="82">
        <f t="shared" si="181"/>
        <v>0</v>
      </c>
      <c r="X621" s="82">
        <f t="shared" si="188"/>
        <v>0</v>
      </c>
      <c r="Y621" s="82">
        <f t="shared" si="182"/>
        <v>0</v>
      </c>
      <c r="Z621" s="82">
        <f t="shared" si="189"/>
        <v>0</v>
      </c>
      <c r="AA621" s="83" t="str">
        <f t="shared" si="186"/>
        <v>No se realizó gasto en este corte</v>
      </c>
      <c r="AB621" s="84" t="str">
        <f t="shared" si="190"/>
        <v>Costo eficiente: se está gastando menos de lo presupuestado</v>
      </c>
      <c r="AC621" s="84">
        <f t="shared" si="183"/>
        <v>0</v>
      </c>
      <c r="AD621" s="84" t="str">
        <f t="shared" si="191"/>
        <v>Sin Línea Base</v>
      </c>
      <c r="AE621" s="85">
        <f t="shared" si="184"/>
        <v>0</v>
      </c>
      <c r="AF621" s="85">
        <f t="shared" si="185"/>
        <v>-198857341</v>
      </c>
      <c r="AG621" s="40" t="str">
        <f>VLOOKUP(Indicador!E621,Diccionario!C$1:AC$150,27,0)</f>
        <v>https://growdatasas.sharepoint.com/:x:/r/sites/Gestiondocumental/Administrativa/GD/Financiera/_layouts/15/Doc.aspx?sourcedoc=%7B1DBFC819-A96C-4AF2-9C53-2D70E3ED9365%7D&amp;file=Modelo%20de%20negocio%20-%20Uniempresarial%20-%2020241127.xlsm&amp;action=default&amp;mobileredirect=true</v>
      </c>
      <c r="AH621" s="40">
        <v>1</v>
      </c>
      <c r="AI621" s="40">
        <v>1</v>
      </c>
    </row>
    <row r="622" spans="1:35" ht="18.75" customHeight="1">
      <c r="A622" s="73">
        <v>2025</v>
      </c>
      <c r="B622" s="112" t="s">
        <v>32</v>
      </c>
      <c r="C622" s="36" t="s">
        <v>405</v>
      </c>
      <c r="D622" s="37">
        <v>45638.807590046294</v>
      </c>
      <c r="E622" s="101" t="s">
        <v>114</v>
      </c>
      <c r="F622" s="36" t="s">
        <v>221</v>
      </c>
      <c r="G622" s="36" t="s">
        <v>406</v>
      </c>
      <c r="H622" s="36" t="s">
        <v>407</v>
      </c>
      <c r="I622" s="36" t="s">
        <v>152</v>
      </c>
      <c r="J622" s="36" t="s">
        <v>408</v>
      </c>
      <c r="K622" s="36" t="s">
        <v>177</v>
      </c>
      <c r="L622" s="74">
        <f>VLOOKUP(E622,Diccionario!C$2:AC$150,22,0)</f>
        <v>198857341</v>
      </c>
      <c r="M622" s="75">
        <f>VLOOKUP(E622,Diccionario!C$2:AC$150,24,0)</f>
        <v>45931</v>
      </c>
      <c r="N622" s="76">
        <f>VLOOKUP(E622,Diccionario!C$2:AC$150,25,0)</f>
        <v>46022</v>
      </c>
      <c r="O622" s="77">
        <f>VLOOKUP(E622,Diccionario!C$2:AC$150,26,0)</f>
        <v>3</v>
      </c>
      <c r="P622" s="77">
        <f t="shared" ca="1" si="187"/>
        <v>6</v>
      </c>
      <c r="Q622" s="78">
        <f t="shared" ca="1" si="199"/>
        <v>9</v>
      </c>
      <c r="R622" s="36">
        <v>12</v>
      </c>
      <c r="S622" s="86"/>
      <c r="T622" s="86"/>
      <c r="U622" s="82"/>
      <c r="V622" s="82"/>
      <c r="W622" s="82">
        <f t="shared" si="181"/>
        <v>0</v>
      </c>
      <c r="X622" s="82">
        <f t="shared" si="188"/>
        <v>0</v>
      </c>
      <c r="Y622" s="82">
        <f t="shared" si="182"/>
        <v>0</v>
      </c>
      <c r="Z622" s="82">
        <f t="shared" si="189"/>
        <v>0</v>
      </c>
      <c r="AA622" s="83" t="str">
        <f t="shared" si="186"/>
        <v>No se realizó gasto en este corte</v>
      </c>
      <c r="AB622" s="84" t="str">
        <f t="shared" si="190"/>
        <v>Costo eficiente: se está gastando menos de lo presupuestado</v>
      </c>
      <c r="AC622" s="84">
        <f t="shared" si="183"/>
        <v>0</v>
      </c>
      <c r="AD622" s="84" t="str">
        <f t="shared" si="191"/>
        <v>Sin Línea Base</v>
      </c>
      <c r="AE622" s="85">
        <f t="shared" si="184"/>
        <v>0</v>
      </c>
      <c r="AF622" s="85">
        <f t="shared" si="185"/>
        <v>-198857341</v>
      </c>
      <c r="AG622" s="40" t="str">
        <f>VLOOKUP(Indicador!E622,Diccionario!C$1:AC$150,27,0)</f>
        <v>https://growdatasas.sharepoint.com/:x:/r/sites/Gestiondocumental/Administrativa/GD/Financiera/_layouts/15/Doc.aspx?sourcedoc=%7B1DBFC819-A96C-4AF2-9C53-2D70E3ED9365%7D&amp;file=Modelo%20de%20negocio%20-%20Uniempresarial%20-%2020241127.xlsm&amp;action=default&amp;mobileredirect=true</v>
      </c>
      <c r="AH622" s="40">
        <v>1</v>
      </c>
      <c r="AI622" s="40">
        <v>1</v>
      </c>
    </row>
    <row r="623" spans="1:35" ht="18.75" customHeight="1">
      <c r="A623" s="73">
        <v>2025</v>
      </c>
      <c r="B623" s="112" t="s">
        <v>30</v>
      </c>
      <c r="C623" s="36" t="s">
        <v>409</v>
      </c>
      <c r="D623" s="37">
        <v>45987.540494826389</v>
      </c>
      <c r="E623" s="36" t="s">
        <v>115</v>
      </c>
      <c r="F623" s="36" t="s">
        <v>410</v>
      </c>
      <c r="G623" s="36" t="s">
        <v>411</v>
      </c>
      <c r="H623" s="36" t="s">
        <v>412</v>
      </c>
      <c r="I623" s="36" t="s">
        <v>175</v>
      </c>
      <c r="J623" s="36" t="s">
        <v>413</v>
      </c>
      <c r="K623" s="36" t="s">
        <v>177</v>
      </c>
      <c r="L623" s="74">
        <f>VLOOKUP(E623,Diccionario!C$2:AC$150,22,0)</f>
        <v>2207086979</v>
      </c>
      <c r="M623" s="75">
        <f>VLOOKUP(E623,Diccionario!C$2:AC$150,24,0)</f>
        <v>45940</v>
      </c>
      <c r="N623" s="76">
        <f>VLOOKUP(E623,Diccionario!C$2:AC$150,25,0)</f>
        <v>46387</v>
      </c>
      <c r="O623" s="77">
        <f>VLOOKUP(E623,Diccionario!C$2:AC$150,26,0)</f>
        <v>14.7</v>
      </c>
      <c r="P623" s="77">
        <f t="shared" ca="1" si="187"/>
        <v>-5.6999999999999993</v>
      </c>
      <c r="Q623" s="78">
        <f t="shared" ca="1" si="199"/>
        <v>9</v>
      </c>
      <c r="R623" s="36"/>
      <c r="S623" s="86"/>
      <c r="T623" s="86"/>
      <c r="U623" s="82"/>
      <c r="V623" s="82"/>
      <c r="W623" s="82">
        <f t="shared" si="181"/>
        <v>0</v>
      </c>
      <c r="X623" s="82">
        <f t="shared" si="188"/>
        <v>0</v>
      </c>
      <c r="Y623" s="82">
        <f t="shared" si="182"/>
        <v>0</v>
      </c>
      <c r="Z623" s="82">
        <f t="shared" si="189"/>
        <v>0</v>
      </c>
      <c r="AA623" s="83" t="str">
        <f t="shared" si="186"/>
        <v>No se realizó gasto en este corte</v>
      </c>
      <c r="AB623" s="84" t="str">
        <f t="shared" si="190"/>
        <v>Costo eficiente: se está gastando menos de lo presupuestado</v>
      </c>
      <c r="AC623" s="84">
        <f t="shared" si="183"/>
        <v>0</v>
      </c>
      <c r="AD623" s="84" t="str">
        <f t="shared" si="191"/>
        <v>Sin Línea Base</v>
      </c>
      <c r="AE623" s="85">
        <f t="shared" si="184"/>
        <v>0</v>
      </c>
      <c r="AF623" s="85">
        <f t="shared" si="185"/>
        <v>-2207086979</v>
      </c>
      <c r="AG623" s="40">
        <f>VLOOKUP(Indicador!E623,Diccionario!C$1:AC$150,27,0)</f>
        <v>0</v>
      </c>
      <c r="AH623" s="40">
        <v>1</v>
      </c>
      <c r="AI623" s="40">
        <v>1</v>
      </c>
    </row>
    <row r="624" spans="1:35" ht="18.75" customHeight="1">
      <c r="A624" s="73">
        <v>2025</v>
      </c>
      <c r="B624" s="112" t="s">
        <v>31</v>
      </c>
      <c r="C624" s="36" t="s">
        <v>409</v>
      </c>
      <c r="D624" s="37">
        <v>45987.540494826389</v>
      </c>
      <c r="E624" s="36" t="s">
        <v>115</v>
      </c>
      <c r="F624" s="36" t="s">
        <v>410</v>
      </c>
      <c r="G624" s="36" t="s">
        <v>411</v>
      </c>
      <c r="H624" s="36" t="s">
        <v>412</v>
      </c>
      <c r="I624" s="36" t="s">
        <v>175</v>
      </c>
      <c r="J624" s="36" t="s">
        <v>413</v>
      </c>
      <c r="K624" s="36" t="s">
        <v>177</v>
      </c>
      <c r="L624" s="74">
        <f>VLOOKUP(E624,Diccionario!C$2:AC$150,22,0)</f>
        <v>2207086979</v>
      </c>
      <c r="M624" s="75">
        <f>VLOOKUP(E624,Diccionario!C$2:AC$150,24,0)</f>
        <v>45940</v>
      </c>
      <c r="N624" s="76">
        <f>VLOOKUP(E624,Diccionario!C$2:AC$150,25,0)</f>
        <v>46387</v>
      </c>
      <c r="O624" s="77">
        <f>VLOOKUP(E624,Diccionario!C$2:AC$150,26,0)</f>
        <v>14.7</v>
      </c>
      <c r="P624" s="77">
        <f t="shared" ca="1" si="187"/>
        <v>-5.6999999999999993</v>
      </c>
      <c r="Q624" s="78">
        <f t="shared" ca="1" si="199"/>
        <v>9</v>
      </c>
      <c r="R624" s="36"/>
      <c r="S624" s="86"/>
      <c r="T624" s="86"/>
      <c r="U624" s="82"/>
      <c r="V624" s="82"/>
      <c r="W624" s="82">
        <f t="shared" si="181"/>
        <v>0</v>
      </c>
      <c r="X624" s="82">
        <f t="shared" si="188"/>
        <v>0</v>
      </c>
      <c r="Y624" s="82">
        <f t="shared" si="182"/>
        <v>0</v>
      </c>
      <c r="Z624" s="82">
        <f t="shared" si="189"/>
        <v>0</v>
      </c>
      <c r="AA624" s="83" t="str">
        <f t="shared" si="186"/>
        <v>No se realizó gasto en este corte</v>
      </c>
      <c r="AB624" s="84" t="str">
        <f t="shared" si="190"/>
        <v>Costo eficiente: se está gastando menos de lo presupuestado</v>
      </c>
      <c r="AC624" s="84">
        <f t="shared" si="183"/>
        <v>0</v>
      </c>
      <c r="AD624" s="84" t="str">
        <f t="shared" si="191"/>
        <v>Sin Línea Base</v>
      </c>
      <c r="AE624" s="85">
        <f t="shared" si="184"/>
        <v>0</v>
      </c>
      <c r="AF624" s="85">
        <f t="shared" si="185"/>
        <v>-2207086979</v>
      </c>
      <c r="AG624" s="40">
        <f>VLOOKUP(Indicador!E624,Diccionario!C$1:AC$150,27,0)</f>
        <v>0</v>
      </c>
      <c r="AH624" s="40">
        <v>1</v>
      </c>
      <c r="AI624" s="40">
        <v>1</v>
      </c>
    </row>
    <row r="625" spans="1:35" ht="18.75" customHeight="1">
      <c r="A625" s="73">
        <v>2025</v>
      </c>
      <c r="B625" s="112" t="s">
        <v>32</v>
      </c>
      <c r="C625" s="36" t="s">
        <v>409</v>
      </c>
      <c r="D625" s="37">
        <v>45987.540494826389</v>
      </c>
      <c r="E625" s="36" t="s">
        <v>115</v>
      </c>
      <c r="F625" s="36" t="s">
        <v>410</v>
      </c>
      <c r="G625" s="36" t="s">
        <v>411</v>
      </c>
      <c r="H625" s="36" t="s">
        <v>412</v>
      </c>
      <c r="I625" s="36" t="s">
        <v>175</v>
      </c>
      <c r="J625" s="36" t="s">
        <v>413</v>
      </c>
      <c r="K625" s="36" t="s">
        <v>177</v>
      </c>
      <c r="L625" s="74">
        <f>VLOOKUP(E625,Diccionario!C$2:AC$150,22,0)</f>
        <v>2207086979</v>
      </c>
      <c r="M625" s="75">
        <f>VLOOKUP(E625,Diccionario!C$2:AC$150,24,0)</f>
        <v>45940</v>
      </c>
      <c r="N625" s="76">
        <f>VLOOKUP(E625,Diccionario!C$2:AC$150,25,0)</f>
        <v>46387</v>
      </c>
      <c r="O625" s="77">
        <f>VLOOKUP(E625,Diccionario!C$2:AC$150,26,0)</f>
        <v>14.7</v>
      </c>
      <c r="P625" s="77">
        <f t="shared" ca="1" si="187"/>
        <v>-5.6999999999999993</v>
      </c>
      <c r="Q625" s="78">
        <f t="shared" ca="1" si="199"/>
        <v>9</v>
      </c>
      <c r="R625" s="36"/>
      <c r="S625" s="86"/>
      <c r="T625" s="86"/>
      <c r="U625" s="82"/>
      <c r="V625" s="82"/>
      <c r="W625" s="82">
        <f t="shared" si="181"/>
        <v>0</v>
      </c>
      <c r="X625" s="82">
        <f t="shared" si="188"/>
        <v>0</v>
      </c>
      <c r="Y625" s="82">
        <f t="shared" si="182"/>
        <v>0</v>
      </c>
      <c r="Z625" s="82">
        <f t="shared" si="189"/>
        <v>0</v>
      </c>
      <c r="AA625" s="83" t="str">
        <f t="shared" si="186"/>
        <v>No se realizó gasto en este corte</v>
      </c>
      <c r="AB625" s="84" t="str">
        <f t="shared" si="190"/>
        <v>Costo eficiente: se está gastando menos de lo presupuestado</v>
      </c>
      <c r="AC625" s="84">
        <f t="shared" si="183"/>
        <v>0</v>
      </c>
      <c r="AD625" s="84" t="str">
        <f t="shared" si="191"/>
        <v>Sin Línea Base</v>
      </c>
      <c r="AE625" s="85">
        <f t="shared" si="184"/>
        <v>0</v>
      </c>
      <c r="AF625" s="85">
        <f t="shared" si="185"/>
        <v>-2207086979</v>
      </c>
      <c r="AG625" s="40">
        <f>VLOOKUP(Indicador!E625,Diccionario!C$1:AC$150,27,0)</f>
        <v>0</v>
      </c>
      <c r="AH625" s="40">
        <v>1</v>
      </c>
      <c r="AI625" s="40">
        <v>1</v>
      </c>
    </row>
    <row r="626" spans="1:35" ht="18.75" customHeight="1">
      <c r="A626" s="73">
        <v>2026</v>
      </c>
      <c r="B626" s="112" t="s">
        <v>14</v>
      </c>
      <c r="C626" s="36" t="s">
        <v>409</v>
      </c>
      <c r="D626" s="37">
        <v>45987.540494826389</v>
      </c>
      <c r="E626" s="36" t="s">
        <v>115</v>
      </c>
      <c r="F626" s="36" t="s">
        <v>410</v>
      </c>
      <c r="G626" s="36" t="s">
        <v>411</v>
      </c>
      <c r="H626" s="36" t="s">
        <v>412</v>
      </c>
      <c r="I626" s="36" t="s">
        <v>175</v>
      </c>
      <c r="J626" s="36" t="s">
        <v>413</v>
      </c>
      <c r="K626" s="36" t="s">
        <v>177</v>
      </c>
      <c r="L626" s="74">
        <f>VLOOKUP(E626,Diccionario!C$2:AC$150,22,0)</f>
        <v>2207086979</v>
      </c>
      <c r="M626" s="75">
        <f>VLOOKUP(E626,Diccionario!C$2:AC$150,24,0)</f>
        <v>45940</v>
      </c>
      <c r="N626" s="76">
        <f>VLOOKUP(E626,Diccionario!C$2:AC$150,25,0)</f>
        <v>46387</v>
      </c>
      <c r="O626" s="77">
        <f>VLOOKUP(E626,Diccionario!C$2:AC$150,26,0)</f>
        <v>14.7</v>
      </c>
      <c r="P626" s="77">
        <f t="shared" ca="1" si="187"/>
        <v>-5.6999999999999993</v>
      </c>
      <c r="Q626" s="78">
        <f t="shared" ca="1" si="199"/>
        <v>9</v>
      </c>
      <c r="R626" s="36"/>
      <c r="S626" s="86"/>
      <c r="T626" s="86"/>
      <c r="U626" s="82"/>
      <c r="V626" s="82"/>
      <c r="W626" s="82">
        <f t="shared" si="181"/>
        <v>0</v>
      </c>
      <c r="X626" s="82">
        <f t="shared" si="188"/>
        <v>0</v>
      </c>
      <c r="Y626" s="82">
        <f t="shared" si="182"/>
        <v>0</v>
      </c>
      <c r="Z626" s="82">
        <f t="shared" si="189"/>
        <v>0</v>
      </c>
      <c r="AA626" s="83" t="str">
        <f t="shared" si="186"/>
        <v>No se realizó gasto en este corte</v>
      </c>
      <c r="AB626" s="84" t="str">
        <f t="shared" si="190"/>
        <v>Costo eficiente: se está gastando menos de lo presupuestado</v>
      </c>
      <c r="AC626" s="84">
        <f t="shared" si="183"/>
        <v>0</v>
      </c>
      <c r="AD626" s="84" t="str">
        <f t="shared" si="191"/>
        <v>Sin Línea Base</v>
      </c>
      <c r="AE626" s="85">
        <f t="shared" si="184"/>
        <v>0</v>
      </c>
      <c r="AF626" s="85">
        <f t="shared" si="185"/>
        <v>-2207086979</v>
      </c>
      <c r="AG626" s="40">
        <f>VLOOKUP(Indicador!E626,Diccionario!C$1:AC$150,27,0)</f>
        <v>0</v>
      </c>
      <c r="AH626" s="40">
        <v>1</v>
      </c>
      <c r="AI626" s="40">
        <v>1</v>
      </c>
    </row>
    <row r="627" spans="1:35" ht="18.75" customHeight="1">
      <c r="A627" s="73">
        <v>2026</v>
      </c>
      <c r="B627" s="112" t="s">
        <v>22</v>
      </c>
      <c r="C627" s="36" t="s">
        <v>409</v>
      </c>
      <c r="D627" s="37">
        <v>45987.540494826389</v>
      </c>
      <c r="E627" s="36" t="s">
        <v>115</v>
      </c>
      <c r="F627" s="36" t="s">
        <v>410</v>
      </c>
      <c r="G627" s="36" t="s">
        <v>411</v>
      </c>
      <c r="H627" s="36" t="s">
        <v>412</v>
      </c>
      <c r="I627" s="36" t="s">
        <v>175</v>
      </c>
      <c r="J627" s="36" t="s">
        <v>413</v>
      </c>
      <c r="K627" s="36" t="s">
        <v>177</v>
      </c>
      <c r="L627" s="74">
        <f>VLOOKUP(E627,Diccionario!C$2:AC$150,22,0)</f>
        <v>2207086979</v>
      </c>
      <c r="M627" s="75">
        <f>VLOOKUP(E627,Diccionario!C$2:AC$150,24,0)</f>
        <v>45940</v>
      </c>
      <c r="N627" s="76">
        <f>VLOOKUP(E627,Diccionario!C$2:AC$150,25,0)</f>
        <v>46387</v>
      </c>
      <c r="O627" s="77">
        <f>VLOOKUP(E627,Diccionario!C$2:AC$150,26,0)</f>
        <v>14.7</v>
      </c>
      <c r="P627" s="77">
        <f t="shared" ca="1" si="187"/>
        <v>-5.6999999999999993</v>
      </c>
      <c r="Q627" s="78">
        <f t="shared" ca="1" si="199"/>
        <v>9</v>
      </c>
      <c r="R627" s="36"/>
      <c r="S627" s="86"/>
      <c r="T627" s="86"/>
      <c r="U627" s="82"/>
      <c r="V627" s="82"/>
      <c r="W627" s="82">
        <f t="shared" si="181"/>
        <v>0</v>
      </c>
      <c r="X627" s="82">
        <f t="shared" si="188"/>
        <v>0</v>
      </c>
      <c r="Y627" s="82">
        <f t="shared" si="182"/>
        <v>0</v>
      </c>
      <c r="Z627" s="82">
        <f t="shared" si="189"/>
        <v>0</v>
      </c>
      <c r="AA627" s="83" t="str">
        <f t="shared" si="186"/>
        <v>No se realizó gasto en este corte</v>
      </c>
      <c r="AB627" s="84" t="str">
        <f t="shared" si="190"/>
        <v>Costo eficiente: se está gastando menos de lo presupuestado</v>
      </c>
      <c r="AC627" s="84">
        <f t="shared" si="183"/>
        <v>0</v>
      </c>
      <c r="AD627" s="84" t="str">
        <f t="shared" si="191"/>
        <v>Sin Línea Base</v>
      </c>
      <c r="AE627" s="85">
        <f t="shared" si="184"/>
        <v>0</v>
      </c>
      <c r="AF627" s="85">
        <f t="shared" si="185"/>
        <v>-2207086979</v>
      </c>
      <c r="AG627" s="40">
        <f>VLOOKUP(Indicador!E627,Diccionario!C$1:AC$150,27,0)</f>
        <v>0</v>
      </c>
      <c r="AH627" s="40">
        <v>1</v>
      </c>
      <c r="AI627" s="40">
        <v>1</v>
      </c>
    </row>
    <row r="628" spans="1:35" ht="18.75" customHeight="1">
      <c r="A628" s="73">
        <v>2026</v>
      </c>
      <c r="B628" s="112" t="s">
        <v>24</v>
      </c>
      <c r="C628" s="36" t="s">
        <v>409</v>
      </c>
      <c r="D628" s="37">
        <v>45987.540494826389</v>
      </c>
      <c r="E628" s="36" t="s">
        <v>115</v>
      </c>
      <c r="F628" s="36" t="s">
        <v>410</v>
      </c>
      <c r="G628" s="36" t="s">
        <v>411</v>
      </c>
      <c r="H628" s="36" t="s">
        <v>412</v>
      </c>
      <c r="I628" s="36" t="s">
        <v>175</v>
      </c>
      <c r="J628" s="36" t="s">
        <v>413</v>
      </c>
      <c r="K628" s="36" t="s">
        <v>177</v>
      </c>
      <c r="L628" s="74">
        <f>VLOOKUP(E628,Diccionario!C$2:AC$150,22,0)</f>
        <v>2207086979</v>
      </c>
      <c r="M628" s="75">
        <f>VLOOKUP(E628,Diccionario!C$2:AC$150,24,0)</f>
        <v>45940</v>
      </c>
      <c r="N628" s="76">
        <f>VLOOKUP(E628,Diccionario!C$2:AC$150,25,0)</f>
        <v>46387</v>
      </c>
      <c r="O628" s="77">
        <f>VLOOKUP(E628,Diccionario!C$2:AC$150,26,0)</f>
        <v>14.7</v>
      </c>
      <c r="P628" s="77">
        <f t="shared" ca="1" si="187"/>
        <v>-5.6999999999999993</v>
      </c>
      <c r="Q628" s="78">
        <f t="shared" ca="1" si="199"/>
        <v>9</v>
      </c>
      <c r="R628" s="36"/>
      <c r="S628" s="86"/>
      <c r="T628" s="86"/>
      <c r="U628" s="82"/>
      <c r="V628" s="82"/>
      <c r="W628" s="82">
        <f t="shared" si="181"/>
        <v>0</v>
      </c>
      <c r="X628" s="82">
        <f t="shared" si="188"/>
        <v>0</v>
      </c>
      <c r="Y628" s="82">
        <f t="shared" si="182"/>
        <v>0</v>
      </c>
      <c r="Z628" s="82">
        <f t="shared" si="189"/>
        <v>0</v>
      </c>
      <c r="AA628" s="83" t="str">
        <f t="shared" si="186"/>
        <v>No se realizó gasto en este corte</v>
      </c>
      <c r="AB628" s="84" t="str">
        <f t="shared" si="190"/>
        <v>Costo eficiente: se está gastando menos de lo presupuestado</v>
      </c>
      <c r="AC628" s="84">
        <f t="shared" si="183"/>
        <v>0</v>
      </c>
      <c r="AD628" s="84" t="str">
        <f t="shared" si="191"/>
        <v>Sin Línea Base</v>
      </c>
      <c r="AE628" s="85">
        <f t="shared" si="184"/>
        <v>0</v>
      </c>
      <c r="AF628" s="85">
        <f t="shared" si="185"/>
        <v>-2207086979</v>
      </c>
      <c r="AG628" s="40">
        <f>VLOOKUP(Indicador!E628,Diccionario!C$1:AC$150,27,0)</f>
        <v>0</v>
      </c>
      <c r="AH628" s="40">
        <v>1</v>
      </c>
      <c r="AI628" s="40">
        <v>1</v>
      </c>
    </row>
    <row r="629" spans="1:35" ht="18.75" customHeight="1">
      <c r="A629" s="73">
        <v>2026</v>
      </c>
      <c r="B629" s="112" t="s">
        <v>27</v>
      </c>
      <c r="C629" s="36" t="s">
        <v>409</v>
      </c>
      <c r="D629" s="37">
        <v>45987.540494826389</v>
      </c>
      <c r="E629" s="36" t="s">
        <v>115</v>
      </c>
      <c r="F629" s="36" t="s">
        <v>410</v>
      </c>
      <c r="G629" s="36" t="s">
        <v>411</v>
      </c>
      <c r="H629" s="36" t="s">
        <v>412</v>
      </c>
      <c r="I629" s="36" t="s">
        <v>175</v>
      </c>
      <c r="J629" s="36" t="s">
        <v>413</v>
      </c>
      <c r="K629" s="36" t="s">
        <v>177</v>
      </c>
      <c r="L629" s="74">
        <f>VLOOKUP(E629,Diccionario!C$2:AC$150,22,0)</f>
        <v>2207086979</v>
      </c>
      <c r="M629" s="75">
        <f>VLOOKUP(E629,Diccionario!C$2:AC$150,24,0)</f>
        <v>45940</v>
      </c>
      <c r="N629" s="76">
        <f>VLOOKUP(E629,Diccionario!C$2:AC$150,25,0)</f>
        <v>46387</v>
      </c>
      <c r="O629" s="77">
        <f>VLOOKUP(E629,Diccionario!C$2:AC$150,26,0)</f>
        <v>14.7</v>
      </c>
      <c r="P629" s="77">
        <f t="shared" ca="1" si="187"/>
        <v>-5.6999999999999993</v>
      </c>
      <c r="Q629" s="78">
        <f t="shared" ca="1" si="199"/>
        <v>9</v>
      </c>
      <c r="R629" s="36"/>
      <c r="S629" s="86"/>
      <c r="T629" s="86"/>
      <c r="U629" s="82"/>
      <c r="V629" s="82"/>
      <c r="W629" s="82">
        <f t="shared" si="181"/>
        <v>0</v>
      </c>
      <c r="X629" s="82">
        <f t="shared" si="188"/>
        <v>0</v>
      </c>
      <c r="Y629" s="82">
        <f t="shared" si="182"/>
        <v>0</v>
      </c>
      <c r="Z629" s="82">
        <f t="shared" si="189"/>
        <v>0</v>
      </c>
      <c r="AA629" s="83" t="str">
        <f t="shared" si="186"/>
        <v>No se realizó gasto en este corte</v>
      </c>
      <c r="AB629" s="84" t="str">
        <f t="shared" si="190"/>
        <v>Costo eficiente: se está gastando menos de lo presupuestado</v>
      </c>
      <c r="AC629" s="84">
        <f t="shared" si="183"/>
        <v>0</v>
      </c>
      <c r="AD629" s="84" t="str">
        <f t="shared" si="191"/>
        <v>Sin Línea Base</v>
      </c>
      <c r="AE629" s="85">
        <f t="shared" si="184"/>
        <v>0</v>
      </c>
      <c r="AF629" s="85">
        <f t="shared" si="185"/>
        <v>-2207086979</v>
      </c>
      <c r="AG629" s="40">
        <f>VLOOKUP(Indicador!E629,Diccionario!C$1:AC$150,27,0)</f>
        <v>0</v>
      </c>
      <c r="AH629" s="40">
        <v>1</v>
      </c>
      <c r="AI629" s="40">
        <v>1</v>
      </c>
    </row>
    <row r="630" spans="1:35" ht="18.75" customHeight="1">
      <c r="A630" s="73">
        <v>2026</v>
      </c>
      <c r="B630" s="112" t="s">
        <v>13</v>
      </c>
      <c r="C630" s="36" t="s">
        <v>409</v>
      </c>
      <c r="D630" s="37">
        <v>45987.540494826389</v>
      </c>
      <c r="E630" s="36" t="s">
        <v>115</v>
      </c>
      <c r="F630" s="36" t="s">
        <v>410</v>
      </c>
      <c r="G630" s="36" t="s">
        <v>411</v>
      </c>
      <c r="H630" s="36" t="s">
        <v>412</v>
      </c>
      <c r="I630" s="36" t="s">
        <v>175</v>
      </c>
      <c r="J630" s="36" t="s">
        <v>413</v>
      </c>
      <c r="K630" s="36" t="s">
        <v>177</v>
      </c>
      <c r="L630" s="74">
        <f>VLOOKUP(E630,Diccionario!C$2:AC$150,22,0)</f>
        <v>2207086979</v>
      </c>
      <c r="M630" s="75">
        <f>VLOOKUP(E630,Diccionario!C$2:AC$150,24,0)</f>
        <v>45940</v>
      </c>
      <c r="N630" s="76">
        <f>VLOOKUP(E630,Diccionario!C$2:AC$150,25,0)</f>
        <v>46387</v>
      </c>
      <c r="O630" s="77">
        <f>VLOOKUP(E630,Diccionario!C$2:AC$150,26,0)</f>
        <v>14.7</v>
      </c>
      <c r="P630" s="77">
        <f t="shared" ca="1" si="187"/>
        <v>-5.6999999999999993</v>
      </c>
      <c r="Q630" s="78">
        <f t="shared" ca="1" si="199"/>
        <v>9</v>
      </c>
      <c r="R630" s="36"/>
      <c r="S630" s="86"/>
      <c r="T630" s="86"/>
      <c r="U630" s="82"/>
      <c r="V630" s="82"/>
      <c r="W630" s="82">
        <f t="shared" si="181"/>
        <v>0</v>
      </c>
      <c r="X630" s="82">
        <f t="shared" si="188"/>
        <v>0</v>
      </c>
      <c r="Y630" s="82">
        <f t="shared" si="182"/>
        <v>0</v>
      </c>
      <c r="Z630" s="82">
        <f t="shared" si="189"/>
        <v>0</v>
      </c>
      <c r="AA630" s="83" t="str">
        <f t="shared" si="186"/>
        <v>No se realizó gasto en este corte</v>
      </c>
      <c r="AB630" s="84" t="str">
        <f t="shared" si="190"/>
        <v>Costo eficiente: se está gastando menos de lo presupuestado</v>
      </c>
      <c r="AC630" s="84">
        <f t="shared" si="183"/>
        <v>0</v>
      </c>
      <c r="AD630" s="84" t="str">
        <f t="shared" si="191"/>
        <v>Sin Línea Base</v>
      </c>
      <c r="AE630" s="85">
        <f t="shared" si="184"/>
        <v>0</v>
      </c>
      <c r="AF630" s="85">
        <f t="shared" si="185"/>
        <v>-2207086979</v>
      </c>
      <c r="AG630" s="40">
        <f>VLOOKUP(Indicador!E630,Diccionario!C$1:AC$150,27,0)</f>
        <v>0</v>
      </c>
      <c r="AH630" s="40">
        <v>1</v>
      </c>
      <c r="AI630" s="40">
        <v>1</v>
      </c>
    </row>
    <row r="631" spans="1:35" ht="18.75" customHeight="1">
      <c r="A631" s="73">
        <v>2026</v>
      </c>
      <c r="B631" s="112" t="s">
        <v>21</v>
      </c>
      <c r="C631" s="36" t="s">
        <v>409</v>
      </c>
      <c r="D631" s="37">
        <v>45987.540494826389</v>
      </c>
      <c r="E631" s="36" t="s">
        <v>115</v>
      </c>
      <c r="F631" s="36" t="s">
        <v>410</v>
      </c>
      <c r="G631" s="36" t="s">
        <v>411</v>
      </c>
      <c r="H631" s="36" t="s">
        <v>412</v>
      </c>
      <c r="I631" s="36" t="s">
        <v>175</v>
      </c>
      <c r="J631" s="36" t="s">
        <v>413</v>
      </c>
      <c r="K631" s="36" t="s">
        <v>177</v>
      </c>
      <c r="L631" s="74">
        <f>VLOOKUP(E631,Diccionario!C$2:AC$150,22,0)</f>
        <v>2207086979</v>
      </c>
      <c r="M631" s="75">
        <f>VLOOKUP(E631,Diccionario!C$2:AC$150,24,0)</f>
        <v>45940</v>
      </c>
      <c r="N631" s="76">
        <f>VLOOKUP(E631,Diccionario!C$2:AC$150,25,0)</f>
        <v>46387</v>
      </c>
      <c r="O631" s="77">
        <f>VLOOKUP(E631,Diccionario!C$2:AC$150,26,0)</f>
        <v>14.7</v>
      </c>
      <c r="P631" s="77">
        <f t="shared" ca="1" si="187"/>
        <v>-5.6999999999999993</v>
      </c>
      <c r="Q631" s="78">
        <f t="shared" ca="1" si="199"/>
        <v>9</v>
      </c>
      <c r="R631" s="36"/>
      <c r="S631" s="86"/>
      <c r="T631" s="86"/>
      <c r="U631" s="82"/>
      <c r="V631" s="82"/>
      <c r="W631" s="82">
        <f t="shared" si="181"/>
        <v>0</v>
      </c>
      <c r="X631" s="82">
        <f t="shared" si="188"/>
        <v>0</v>
      </c>
      <c r="Y631" s="82">
        <f t="shared" si="182"/>
        <v>0</v>
      </c>
      <c r="Z631" s="82">
        <f t="shared" si="189"/>
        <v>0</v>
      </c>
      <c r="AA631" s="83" t="str">
        <f t="shared" si="186"/>
        <v>No se realizó gasto en este corte</v>
      </c>
      <c r="AB631" s="84" t="str">
        <f t="shared" si="190"/>
        <v>Costo eficiente: se está gastando menos de lo presupuestado</v>
      </c>
      <c r="AC631" s="84">
        <f t="shared" si="183"/>
        <v>0</v>
      </c>
      <c r="AD631" s="84" t="str">
        <f t="shared" si="191"/>
        <v>Sin Línea Base</v>
      </c>
      <c r="AE631" s="85">
        <f t="shared" si="184"/>
        <v>0</v>
      </c>
      <c r="AF631" s="85">
        <f t="shared" si="185"/>
        <v>-2207086979</v>
      </c>
      <c r="AG631" s="40">
        <f>VLOOKUP(Indicador!E631,Diccionario!C$1:AC$150,27,0)</f>
        <v>0</v>
      </c>
      <c r="AH631" s="40">
        <v>1</v>
      </c>
      <c r="AI631" s="40">
        <v>1</v>
      </c>
    </row>
    <row r="632" spans="1:35" ht="18.75" customHeight="1">
      <c r="A632" s="73">
        <v>2026</v>
      </c>
      <c r="B632" s="112" t="s">
        <v>23</v>
      </c>
      <c r="C632" s="36" t="s">
        <v>409</v>
      </c>
      <c r="D632" s="37">
        <v>45987.540494826389</v>
      </c>
      <c r="E632" s="36" t="s">
        <v>115</v>
      </c>
      <c r="F632" s="36" t="s">
        <v>410</v>
      </c>
      <c r="G632" s="36" t="s">
        <v>411</v>
      </c>
      <c r="H632" s="36" t="s">
        <v>412</v>
      </c>
      <c r="I632" s="36" t="s">
        <v>175</v>
      </c>
      <c r="J632" s="36" t="s">
        <v>413</v>
      </c>
      <c r="K632" s="36" t="s">
        <v>177</v>
      </c>
      <c r="L632" s="74">
        <f>VLOOKUP(E632,Diccionario!C$2:AC$150,22,0)</f>
        <v>2207086979</v>
      </c>
      <c r="M632" s="75">
        <f>VLOOKUP(E632,Diccionario!C$2:AC$150,24,0)</f>
        <v>45940</v>
      </c>
      <c r="N632" s="76">
        <f>VLOOKUP(E632,Diccionario!C$2:AC$150,25,0)</f>
        <v>46387</v>
      </c>
      <c r="O632" s="77">
        <f>VLOOKUP(E632,Diccionario!C$2:AC$150,26,0)</f>
        <v>14.7</v>
      </c>
      <c r="P632" s="77">
        <f t="shared" ca="1" si="187"/>
        <v>-5.6999999999999993</v>
      </c>
      <c r="Q632" s="78">
        <f t="shared" ca="1" si="199"/>
        <v>9</v>
      </c>
      <c r="R632" s="36"/>
      <c r="S632" s="86"/>
      <c r="T632" s="86"/>
      <c r="U632" s="82"/>
      <c r="V632" s="82"/>
      <c r="W632" s="82">
        <f t="shared" si="181"/>
        <v>0</v>
      </c>
      <c r="X632" s="82">
        <f t="shared" si="188"/>
        <v>0</v>
      </c>
      <c r="Y632" s="82">
        <f t="shared" si="182"/>
        <v>0</v>
      </c>
      <c r="Z632" s="82">
        <f t="shared" si="189"/>
        <v>0</v>
      </c>
      <c r="AA632" s="83" t="str">
        <f t="shared" si="186"/>
        <v>No se realizó gasto en este corte</v>
      </c>
      <c r="AB632" s="84" t="str">
        <f t="shared" si="190"/>
        <v>Costo eficiente: se está gastando menos de lo presupuestado</v>
      </c>
      <c r="AC632" s="84">
        <f t="shared" si="183"/>
        <v>0</v>
      </c>
      <c r="AD632" s="84" t="str">
        <f t="shared" si="191"/>
        <v>Sin Línea Base</v>
      </c>
      <c r="AE632" s="85">
        <f t="shared" si="184"/>
        <v>0</v>
      </c>
      <c r="AF632" s="85">
        <f t="shared" si="185"/>
        <v>-2207086979</v>
      </c>
      <c r="AG632" s="40">
        <f>VLOOKUP(Indicador!E632,Diccionario!C$1:AC$150,27,0)</f>
        <v>0</v>
      </c>
      <c r="AH632" s="40">
        <v>1</v>
      </c>
      <c r="AI632" s="40">
        <v>1</v>
      </c>
    </row>
    <row r="633" spans="1:35" ht="18.75" customHeight="1">
      <c r="A633" s="73">
        <v>2026</v>
      </c>
      <c r="B633" s="112" t="s">
        <v>26</v>
      </c>
      <c r="C633" s="36" t="s">
        <v>409</v>
      </c>
      <c r="D633" s="37">
        <v>45987.540494826389</v>
      </c>
      <c r="E633" s="36" t="s">
        <v>115</v>
      </c>
      <c r="F633" s="36" t="s">
        <v>410</v>
      </c>
      <c r="G633" s="36" t="s">
        <v>411</v>
      </c>
      <c r="H633" s="36" t="s">
        <v>412</v>
      </c>
      <c r="I633" s="36" t="s">
        <v>175</v>
      </c>
      <c r="J633" s="36" t="s">
        <v>413</v>
      </c>
      <c r="K633" s="36" t="s">
        <v>177</v>
      </c>
      <c r="L633" s="74">
        <f>VLOOKUP(E633,Diccionario!C$2:AC$150,22,0)</f>
        <v>2207086979</v>
      </c>
      <c r="M633" s="75">
        <f>VLOOKUP(E633,Diccionario!C$2:AC$150,24,0)</f>
        <v>45940</v>
      </c>
      <c r="N633" s="76">
        <f>VLOOKUP(E633,Diccionario!C$2:AC$150,25,0)</f>
        <v>46387</v>
      </c>
      <c r="O633" s="77">
        <f>VLOOKUP(E633,Diccionario!C$2:AC$150,26,0)</f>
        <v>14.7</v>
      </c>
      <c r="P633" s="77">
        <f t="shared" ca="1" si="187"/>
        <v>-5.6999999999999993</v>
      </c>
      <c r="Q633" s="78">
        <f t="shared" ca="1" si="199"/>
        <v>9</v>
      </c>
      <c r="R633" s="36"/>
      <c r="S633" s="86"/>
      <c r="T633" s="86"/>
      <c r="U633" s="82"/>
      <c r="V633" s="82"/>
      <c r="W633" s="82">
        <f t="shared" si="181"/>
        <v>0</v>
      </c>
      <c r="X633" s="82">
        <f t="shared" si="188"/>
        <v>0</v>
      </c>
      <c r="Y633" s="82">
        <f t="shared" si="182"/>
        <v>0</v>
      </c>
      <c r="Z633" s="82">
        <f t="shared" si="189"/>
        <v>0</v>
      </c>
      <c r="AA633" s="83" t="str">
        <f t="shared" si="186"/>
        <v>No se realizó gasto en este corte</v>
      </c>
      <c r="AB633" s="84" t="str">
        <f t="shared" si="190"/>
        <v>Costo eficiente: se está gastando menos de lo presupuestado</v>
      </c>
      <c r="AC633" s="84">
        <f t="shared" si="183"/>
        <v>0</v>
      </c>
      <c r="AD633" s="84" t="str">
        <f t="shared" si="191"/>
        <v>Sin Línea Base</v>
      </c>
      <c r="AE633" s="85">
        <f t="shared" si="184"/>
        <v>0</v>
      </c>
      <c r="AF633" s="85">
        <f t="shared" si="185"/>
        <v>-2207086979</v>
      </c>
      <c r="AG633" s="40">
        <f>VLOOKUP(Indicador!E633,Diccionario!C$1:AC$150,27,0)</f>
        <v>0</v>
      </c>
      <c r="AH633" s="40">
        <v>1</v>
      </c>
      <c r="AI633" s="40">
        <v>1</v>
      </c>
    </row>
    <row r="634" spans="1:35" ht="18.75" customHeight="1">
      <c r="A634" s="73">
        <v>2026</v>
      </c>
      <c r="B634" s="112" t="s">
        <v>28</v>
      </c>
      <c r="C634" s="36" t="s">
        <v>409</v>
      </c>
      <c r="D634" s="37">
        <v>45987.540494826389</v>
      </c>
      <c r="E634" s="36" t="s">
        <v>115</v>
      </c>
      <c r="F634" s="36" t="s">
        <v>410</v>
      </c>
      <c r="G634" s="36" t="s">
        <v>411</v>
      </c>
      <c r="H634" s="36" t="s">
        <v>412</v>
      </c>
      <c r="I634" s="36" t="s">
        <v>175</v>
      </c>
      <c r="J634" s="36" t="s">
        <v>413</v>
      </c>
      <c r="K634" s="36" t="s">
        <v>177</v>
      </c>
      <c r="L634" s="74">
        <f>VLOOKUP(E634,Diccionario!C$2:AC$150,22,0)</f>
        <v>2207086979</v>
      </c>
      <c r="M634" s="75">
        <f>VLOOKUP(E634,Diccionario!C$2:AC$150,24,0)</f>
        <v>45940</v>
      </c>
      <c r="N634" s="76">
        <f>VLOOKUP(E634,Diccionario!C$2:AC$150,25,0)</f>
        <v>46387</v>
      </c>
      <c r="O634" s="77">
        <f>VLOOKUP(E634,Diccionario!C$2:AC$150,26,0)</f>
        <v>14.7</v>
      </c>
      <c r="P634" s="77">
        <f t="shared" ca="1" si="187"/>
        <v>-5.6999999999999993</v>
      </c>
      <c r="Q634" s="78">
        <f t="shared" ca="1" si="199"/>
        <v>9</v>
      </c>
      <c r="R634" s="36"/>
      <c r="S634" s="86"/>
      <c r="T634" s="86"/>
      <c r="U634" s="82"/>
      <c r="V634" s="82"/>
      <c r="W634" s="82">
        <f t="shared" si="181"/>
        <v>0</v>
      </c>
      <c r="X634" s="82">
        <f t="shared" si="188"/>
        <v>0</v>
      </c>
      <c r="Y634" s="82">
        <f t="shared" si="182"/>
        <v>0</v>
      </c>
      <c r="Z634" s="82">
        <f t="shared" si="189"/>
        <v>0</v>
      </c>
      <c r="AA634" s="83" t="str">
        <f t="shared" si="186"/>
        <v>No se realizó gasto en este corte</v>
      </c>
      <c r="AB634" s="84" t="str">
        <f t="shared" si="190"/>
        <v>Costo eficiente: se está gastando menos de lo presupuestado</v>
      </c>
      <c r="AC634" s="84">
        <f t="shared" si="183"/>
        <v>0</v>
      </c>
      <c r="AD634" s="84" t="str">
        <f t="shared" si="191"/>
        <v>Sin Línea Base</v>
      </c>
      <c r="AE634" s="85">
        <f t="shared" si="184"/>
        <v>0</v>
      </c>
      <c r="AF634" s="85">
        <f t="shared" si="185"/>
        <v>-2207086979</v>
      </c>
      <c r="AG634" s="40">
        <f>VLOOKUP(Indicador!E634,Diccionario!C$1:AC$150,27,0)</f>
        <v>0</v>
      </c>
      <c r="AH634" s="40">
        <v>1</v>
      </c>
      <c r="AI634" s="40">
        <v>1</v>
      </c>
    </row>
    <row r="635" spans="1:35" ht="18.75" customHeight="1">
      <c r="A635" s="73">
        <v>2026</v>
      </c>
      <c r="B635" s="112" t="s">
        <v>30</v>
      </c>
      <c r="C635" s="36" t="s">
        <v>409</v>
      </c>
      <c r="D635" s="37">
        <v>45987.540494826389</v>
      </c>
      <c r="E635" s="36" t="s">
        <v>115</v>
      </c>
      <c r="F635" s="36" t="s">
        <v>410</v>
      </c>
      <c r="G635" s="36" t="s">
        <v>411</v>
      </c>
      <c r="H635" s="36" t="s">
        <v>412</v>
      </c>
      <c r="I635" s="36" t="s">
        <v>175</v>
      </c>
      <c r="J635" s="36" t="s">
        <v>413</v>
      </c>
      <c r="K635" s="36" t="s">
        <v>177</v>
      </c>
      <c r="L635" s="74">
        <f>VLOOKUP(E635,Diccionario!C$2:AC$150,22,0)</f>
        <v>2207086979</v>
      </c>
      <c r="M635" s="75">
        <f>VLOOKUP(E635,Diccionario!C$2:AC$150,24,0)</f>
        <v>45940</v>
      </c>
      <c r="N635" s="76">
        <f>VLOOKUP(E635,Diccionario!C$2:AC$150,25,0)</f>
        <v>46387</v>
      </c>
      <c r="O635" s="77">
        <f>VLOOKUP(E635,Diccionario!C$2:AC$150,26,0)</f>
        <v>14.7</v>
      </c>
      <c r="P635" s="77">
        <f t="shared" ca="1" si="187"/>
        <v>-5.6999999999999993</v>
      </c>
      <c r="Q635" s="78">
        <f t="shared" ca="1" si="199"/>
        <v>9</v>
      </c>
      <c r="R635" s="36"/>
      <c r="S635" s="86"/>
      <c r="T635" s="86"/>
      <c r="U635" s="82"/>
      <c r="V635" s="82"/>
      <c r="W635" s="82">
        <f t="shared" si="181"/>
        <v>0</v>
      </c>
      <c r="X635" s="82">
        <f t="shared" si="188"/>
        <v>0</v>
      </c>
      <c r="Y635" s="82">
        <f t="shared" si="182"/>
        <v>0</v>
      </c>
      <c r="Z635" s="82">
        <f t="shared" si="189"/>
        <v>0</v>
      </c>
      <c r="AA635" s="83" t="str">
        <f t="shared" si="186"/>
        <v>No se realizó gasto en este corte</v>
      </c>
      <c r="AB635" s="84" t="str">
        <f t="shared" si="190"/>
        <v>Costo eficiente: se está gastando menos de lo presupuestado</v>
      </c>
      <c r="AC635" s="84">
        <f t="shared" si="183"/>
        <v>0</v>
      </c>
      <c r="AD635" s="84" t="str">
        <f t="shared" si="191"/>
        <v>Sin Línea Base</v>
      </c>
      <c r="AE635" s="85">
        <f t="shared" si="184"/>
        <v>0</v>
      </c>
      <c r="AF635" s="85">
        <f t="shared" si="185"/>
        <v>-2207086979</v>
      </c>
      <c r="AG635" s="40">
        <f>VLOOKUP(Indicador!E635,Diccionario!C$1:AC$150,27,0)</f>
        <v>0</v>
      </c>
      <c r="AH635" s="40">
        <v>1</v>
      </c>
      <c r="AI635" s="40">
        <v>1</v>
      </c>
    </row>
    <row r="636" spans="1:35" ht="18.75" customHeight="1">
      <c r="A636" s="73">
        <v>2026</v>
      </c>
      <c r="B636" s="112" t="s">
        <v>31</v>
      </c>
      <c r="C636" s="36" t="s">
        <v>409</v>
      </c>
      <c r="D636" s="37">
        <v>45987.540494826389</v>
      </c>
      <c r="E636" s="36" t="s">
        <v>115</v>
      </c>
      <c r="F636" s="36" t="s">
        <v>410</v>
      </c>
      <c r="G636" s="36" t="s">
        <v>411</v>
      </c>
      <c r="H636" s="36" t="s">
        <v>412</v>
      </c>
      <c r="I636" s="36" t="s">
        <v>175</v>
      </c>
      <c r="J636" s="36" t="s">
        <v>413</v>
      </c>
      <c r="K636" s="36" t="s">
        <v>177</v>
      </c>
      <c r="L636" s="74">
        <f>VLOOKUP(E636,Diccionario!C$2:AC$150,22,0)</f>
        <v>2207086979</v>
      </c>
      <c r="M636" s="75">
        <f>VLOOKUP(E636,Diccionario!C$2:AC$150,24,0)</f>
        <v>45940</v>
      </c>
      <c r="N636" s="76">
        <f>VLOOKUP(E636,Diccionario!C$2:AC$150,25,0)</f>
        <v>46387</v>
      </c>
      <c r="O636" s="77">
        <f>VLOOKUP(E636,Diccionario!C$2:AC$150,26,0)</f>
        <v>14.7</v>
      </c>
      <c r="P636" s="77">
        <f t="shared" ca="1" si="187"/>
        <v>-5.6999999999999993</v>
      </c>
      <c r="Q636" s="78">
        <f t="shared" ca="1" si="199"/>
        <v>9</v>
      </c>
      <c r="R636" s="36"/>
      <c r="S636" s="86"/>
      <c r="T636" s="86"/>
      <c r="U636" s="82"/>
      <c r="V636" s="82"/>
      <c r="W636" s="82">
        <f t="shared" si="181"/>
        <v>0</v>
      </c>
      <c r="X636" s="82">
        <f t="shared" si="188"/>
        <v>0</v>
      </c>
      <c r="Y636" s="82">
        <f t="shared" si="182"/>
        <v>0</v>
      </c>
      <c r="Z636" s="82">
        <f t="shared" si="189"/>
        <v>0</v>
      </c>
      <c r="AA636" s="83" t="str">
        <f t="shared" si="186"/>
        <v>No se realizó gasto en este corte</v>
      </c>
      <c r="AB636" s="84" t="str">
        <f t="shared" si="190"/>
        <v>Costo eficiente: se está gastando menos de lo presupuestado</v>
      </c>
      <c r="AC636" s="84">
        <f t="shared" si="183"/>
        <v>0</v>
      </c>
      <c r="AD636" s="84" t="str">
        <f t="shared" si="191"/>
        <v>Sin Línea Base</v>
      </c>
      <c r="AE636" s="85">
        <f t="shared" si="184"/>
        <v>0</v>
      </c>
      <c r="AF636" s="85">
        <f t="shared" si="185"/>
        <v>-2207086979</v>
      </c>
      <c r="AG636" s="40">
        <f>VLOOKUP(Indicador!E636,Diccionario!C$1:AC$150,27,0)</f>
        <v>0</v>
      </c>
      <c r="AH636" s="40">
        <v>1</v>
      </c>
      <c r="AI636" s="40">
        <v>1</v>
      </c>
    </row>
    <row r="637" spans="1:35" ht="18.75" customHeight="1">
      <c r="A637" s="73">
        <v>2026</v>
      </c>
      <c r="B637" s="112" t="s">
        <v>32</v>
      </c>
      <c r="C637" s="36" t="s">
        <v>409</v>
      </c>
      <c r="D637" s="37">
        <v>45987.540494826389</v>
      </c>
      <c r="E637" s="36" t="s">
        <v>115</v>
      </c>
      <c r="F637" s="36" t="s">
        <v>410</v>
      </c>
      <c r="G637" s="36" t="s">
        <v>411</v>
      </c>
      <c r="H637" s="36" t="s">
        <v>412</v>
      </c>
      <c r="I637" s="36" t="s">
        <v>175</v>
      </c>
      <c r="J637" s="36" t="s">
        <v>413</v>
      </c>
      <c r="K637" s="36" t="s">
        <v>177</v>
      </c>
      <c r="L637" s="74">
        <f>VLOOKUP(E637,Diccionario!C$2:AC$150,22,0)</f>
        <v>2207086979</v>
      </c>
      <c r="M637" s="75">
        <f>VLOOKUP(E637,Diccionario!C$2:AC$150,24,0)</f>
        <v>45940</v>
      </c>
      <c r="N637" s="76">
        <f>VLOOKUP(E637,Diccionario!C$2:AC$150,25,0)</f>
        <v>46387</v>
      </c>
      <c r="O637" s="77">
        <f>VLOOKUP(E637,Diccionario!C$2:AC$150,26,0)</f>
        <v>14.7</v>
      </c>
      <c r="P637" s="77">
        <f t="shared" ca="1" si="187"/>
        <v>-5.6999999999999993</v>
      </c>
      <c r="Q637" s="78">
        <f t="shared" ca="1" si="199"/>
        <v>9</v>
      </c>
      <c r="R637" s="36"/>
      <c r="S637" s="86"/>
      <c r="T637" s="86"/>
      <c r="U637" s="82"/>
      <c r="V637" s="82"/>
      <c r="W637" s="82">
        <f t="shared" si="181"/>
        <v>0</v>
      </c>
      <c r="X637" s="82">
        <f t="shared" si="188"/>
        <v>0</v>
      </c>
      <c r="Y637" s="82">
        <f t="shared" si="182"/>
        <v>0</v>
      </c>
      <c r="Z637" s="82">
        <f t="shared" si="189"/>
        <v>0</v>
      </c>
      <c r="AA637" s="83" t="str">
        <f t="shared" si="186"/>
        <v>No se realizó gasto en este corte</v>
      </c>
      <c r="AB637" s="84" t="str">
        <f t="shared" si="190"/>
        <v>Costo eficiente: se está gastando menos de lo presupuestado</v>
      </c>
      <c r="AC637" s="84">
        <f t="shared" si="183"/>
        <v>0</v>
      </c>
      <c r="AD637" s="84" t="str">
        <f t="shared" si="191"/>
        <v>Sin Línea Base</v>
      </c>
      <c r="AE637" s="85">
        <f t="shared" si="184"/>
        <v>0</v>
      </c>
      <c r="AF637" s="85">
        <f t="shared" si="185"/>
        <v>-2207086979</v>
      </c>
      <c r="AG637" s="40">
        <f>VLOOKUP(Indicador!E637,Diccionario!C$1:AC$150,27,0)</f>
        <v>0</v>
      </c>
      <c r="AH637" s="40">
        <v>1</v>
      </c>
      <c r="AI637" s="40">
        <v>1</v>
      </c>
    </row>
    <row r="638" spans="1:35" ht="18.75" customHeight="1">
      <c r="A638" s="73">
        <v>2025</v>
      </c>
      <c r="B638" s="112" t="s">
        <v>30</v>
      </c>
      <c r="C638" s="36" t="s">
        <v>414</v>
      </c>
      <c r="D638" s="37">
        <v>45986.738573726849</v>
      </c>
      <c r="E638" s="36" t="s">
        <v>74</v>
      </c>
      <c r="F638" s="36" t="s">
        <v>162</v>
      </c>
      <c r="G638" s="36" t="s">
        <v>415</v>
      </c>
      <c r="H638" s="36" t="s">
        <v>416</v>
      </c>
      <c r="I638" s="36" t="s">
        <v>165</v>
      </c>
      <c r="J638" s="36" t="s">
        <v>417</v>
      </c>
      <c r="K638" s="36" t="s">
        <v>177</v>
      </c>
      <c r="L638" s="74">
        <f>VLOOKUP(E638,Diccionario!C$2:AC$150,22,0)</f>
        <v>772840336</v>
      </c>
      <c r="M638" s="75">
        <f>VLOOKUP(E638,Diccionario!C$2:AC$150,24,0)</f>
        <v>45945</v>
      </c>
      <c r="N638" s="76">
        <f>VLOOKUP(E638,Diccionario!C$2:AC$150,25,0)</f>
        <v>46022</v>
      </c>
      <c r="O638" s="77">
        <f>VLOOKUP(E638,Diccionario!C$2:AC$150,26,0)</f>
        <v>2.5299999999999998</v>
      </c>
      <c r="P638" s="77">
        <f t="shared" si="187"/>
        <v>-1.5299999999999998</v>
      </c>
      <c r="Q638" s="78">
        <v>1</v>
      </c>
      <c r="R638" s="36">
        <v>3</v>
      </c>
      <c r="S638" s="86">
        <v>0.35</v>
      </c>
      <c r="T638" s="86">
        <v>0.3</v>
      </c>
      <c r="U638" s="82"/>
      <c r="V638" s="82"/>
      <c r="W638" s="82">
        <f t="shared" si="181"/>
        <v>231852100.79999998</v>
      </c>
      <c r="X638" s="82">
        <f t="shared" si="188"/>
        <v>270494117.59999996</v>
      </c>
      <c r="Y638" s="82">
        <f t="shared" si="182"/>
        <v>231852100.79999998</v>
      </c>
      <c r="Z638" s="82">
        <f t="shared" si="189"/>
        <v>-38642016.799999982</v>
      </c>
      <c r="AA638" s="83" t="str">
        <f t="shared" si="186"/>
        <v>No se realizó gasto en este corte</v>
      </c>
      <c r="AB638" s="84" t="str">
        <f t="shared" si="190"/>
        <v>Costo eficiente: se está gastando menos de lo presupuestado</v>
      </c>
      <c r="AC638" s="84">
        <f t="shared" si="183"/>
        <v>0.85714285714285721</v>
      </c>
      <c r="AD638" s="84" t="str">
        <f t="shared" si="191"/>
        <v>Proyecto atrasado con respecto al cronograma</v>
      </c>
      <c r="AE638" s="85">
        <f t="shared" si="184"/>
        <v>0</v>
      </c>
      <c r="AF638" s="85">
        <f t="shared" si="185"/>
        <v>-772840336</v>
      </c>
      <c r="AG638" s="40" t="str">
        <f>VLOOKUP(Indicador!E638,Diccionario!C$1:AC$150,27,0)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38" s="40">
        <v>1</v>
      </c>
      <c r="AI638" s="40">
        <v>1</v>
      </c>
    </row>
    <row r="639" spans="1:35" ht="18.75" customHeight="1">
      <c r="A639" s="73">
        <v>2025</v>
      </c>
      <c r="B639" s="112" t="s">
        <v>31</v>
      </c>
      <c r="C639" s="36" t="s">
        <v>414</v>
      </c>
      <c r="D639" s="37">
        <v>45986.738573726849</v>
      </c>
      <c r="E639" s="36" t="s">
        <v>74</v>
      </c>
      <c r="F639" s="36" t="s">
        <v>162</v>
      </c>
      <c r="G639" s="36" t="s">
        <v>415</v>
      </c>
      <c r="H639" s="36" t="s">
        <v>416</v>
      </c>
      <c r="I639" s="36" t="s">
        <v>165</v>
      </c>
      <c r="J639" s="36" t="s">
        <v>417</v>
      </c>
      <c r="K639" s="36" t="s">
        <v>177</v>
      </c>
      <c r="L639" s="74">
        <f>VLOOKUP(E639,Diccionario!C$2:AC$150,22,0)</f>
        <v>772840336</v>
      </c>
      <c r="M639" s="75">
        <f>VLOOKUP(E639,Diccionario!C$2:AC$150,24,0)</f>
        <v>45945</v>
      </c>
      <c r="N639" s="76">
        <f>VLOOKUP(E639,Diccionario!C$2:AC$150,25,0)</f>
        <v>46022</v>
      </c>
      <c r="O639" s="77">
        <f>VLOOKUP(E639,Diccionario!C$2:AC$150,26,0)</f>
        <v>2.5299999999999998</v>
      </c>
      <c r="P639" s="77">
        <f t="shared" si="187"/>
        <v>-0.5299999999999998</v>
      </c>
      <c r="Q639" s="78">
        <v>2</v>
      </c>
      <c r="R639" s="36">
        <v>3</v>
      </c>
      <c r="S639" s="86">
        <v>0.65</v>
      </c>
      <c r="T639" s="86">
        <v>0.57999999999999996</v>
      </c>
      <c r="U639" s="82"/>
      <c r="V639" s="82"/>
      <c r="W639" s="82">
        <f t="shared" si="181"/>
        <v>448247394.88</v>
      </c>
      <c r="X639" s="82">
        <f t="shared" si="188"/>
        <v>502346218.40000004</v>
      </c>
      <c r="Y639" s="82">
        <f t="shared" si="182"/>
        <v>448247394.88</v>
      </c>
      <c r="Z639" s="82">
        <f t="shared" si="189"/>
        <v>-54098823.520000041</v>
      </c>
      <c r="AA639" s="83" t="str">
        <f t="shared" si="186"/>
        <v>No se realizó gasto en este corte</v>
      </c>
      <c r="AB639" s="84" t="str">
        <f t="shared" si="190"/>
        <v>Costo eficiente: se está gastando menos de lo presupuestado</v>
      </c>
      <c r="AC639" s="84">
        <f t="shared" si="183"/>
        <v>0.89230769230769225</v>
      </c>
      <c r="AD639" s="84" t="str">
        <f t="shared" si="191"/>
        <v>Proyecto atrasado con respecto al cronograma</v>
      </c>
      <c r="AE639" s="85">
        <f t="shared" si="184"/>
        <v>0</v>
      </c>
      <c r="AF639" s="85">
        <f t="shared" si="185"/>
        <v>-772840336</v>
      </c>
      <c r="AG639" s="40" t="str">
        <f>VLOOKUP(Indicador!E639,Diccionario!C$1:AC$150,27,0)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39" s="40">
        <v>1</v>
      </c>
      <c r="AI639" s="40">
        <v>1</v>
      </c>
    </row>
    <row r="640" spans="1:35" ht="18.75" customHeight="1">
      <c r="A640" s="73">
        <v>2025</v>
      </c>
      <c r="B640" s="112" t="s">
        <v>32</v>
      </c>
      <c r="C640" s="36" t="s">
        <v>414</v>
      </c>
      <c r="D640" s="37">
        <v>45986.738573726849</v>
      </c>
      <c r="E640" s="36" t="s">
        <v>74</v>
      </c>
      <c r="F640" s="36" t="s">
        <v>162</v>
      </c>
      <c r="G640" s="36" t="s">
        <v>415</v>
      </c>
      <c r="H640" s="36" t="s">
        <v>416</v>
      </c>
      <c r="I640" s="36" t="s">
        <v>165</v>
      </c>
      <c r="J640" s="36" t="s">
        <v>417</v>
      </c>
      <c r="K640" s="36" t="s">
        <v>177</v>
      </c>
      <c r="L640" s="74">
        <f>VLOOKUP(E640,Diccionario!C$2:AC$150,22,0)</f>
        <v>772840336</v>
      </c>
      <c r="M640" s="75">
        <f>VLOOKUP(E640,Diccionario!C$2:AC$150,24,0)</f>
        <v>45945</v>
      </c>
      <c r="N640" s="76">
        <f>VLOOKUP(E640,Diccionario!C$2:AC$150,25,0)</f>
        <v>46022</v>
      </c>
      <c r="O640" s="77">
        <f>VLOOKUP(E640,Diccionario!C$2:AC$150,26,0)</f>
        <v>2.5299999999999998</v>
      </c>
      <c r="P640" s="77">
        <f t="shared" ca="1" si="187"/>
        <v>6.4700000000000006</v>
      </c>
      <c r="Q640" s="78">
        <f t="shared" ca="1" si="199"/>
        <v>9</v>
      </c>
      <c r="R640" s="36">
        <v>3</v>
      </c>
      <c r="S640" s="86">
        <v>1</v>
      </c>
      <c r="T640" s="86">
        <v>0.7</v>
      </c>
      <c r="U640" s="82"/>
      <c r="V640" s="82"/>
      <c r="W640" s="82">
        <f t="shared" si="181"/>
        <v>540988235.19999993</v>
      </c>
      <c r="X640" s="82">
        <f t="shared" si="188"/>
        <v>772840336</v>
      </c>
      <c r="Y640" s="82">
        <f t="shared" si="182"/>
        <v>540988235.19999993</v>
      </c>
      <c r="Z640" s="82">
        <f t="shared" si="189"/>
        <v>-231852100.80000007</v>
      </c>
      <c r="AA640" s="83" t="str">
        <f t="shared" si="186"/>
        <v>No se realizó gasto en este corte</v>
      </c>
      <c r="AB640" s="84" t="str">
        <f t="shared" si="190"/>
        <v>Costo eficiente: se está gastando menos de lo presupuestado</v>
      </c>
      <c r="AC640" s="84">
        <f t="shared" si="183"/>
        <v>0.7</v>
      </c>
      <c r="AD640" s="84" t="str">
        <f t="shared" si="191"/>
        <v>Proyecto atrasado con respecto al cronograma</v>
      </c>
      <c r="AE640" s="85">
        <f t="shared" si="184"/>
        <v>0</v>
      </c>
      <c r="AF640" s="85">
        <f t="shared" si="185"/>
        <v>-772840336</v>
      </c>
      <c r="AG640" s="40" t="str">
        <f>VLOOKUP(Indicador!E640,Diccionario!C$1:AC$150,27,0)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40" s="40">
        <v>1</v>
      </c>
      <c r="AI640" s="40">
        <v>1</v>
      </c>
    </row>
    <row r="641" spans="1:35" s="40" customFormat="1" ht="18.75" customHeight="1">
      <c r="A641" s="73">
        <v>2026</v>
      </c>
      <c r="B641" s="112" t="s">
        <v>14</v>
      </c>
      <c r="C641" s="36" t="s">
        <v>414</v>
      </c>
      <c r="D641" s="37">
        <v>45986.738573726849</v>
      </c>
      <c r="E641" s="36" t="s">
        <v>74</v>
      </c>
      <c r="F641" s="36" t="s">
        <v>162</v>
      </c>
      <c r="G641" s="36" t="s">
        <v>415</v>
      </c>
      <c r="H641" s="36" t="s">
        <v>416</v>
      </c>
      <c r="I641" s="36" t="s">
        <v>165</v>
      </c>
      <c r="J641" s="36" t="s">
        <v>417</v>
      </c>
      <c r="K641" s="36" t="s">
        <v>177</v>
      </c>
      <c r="L641" s="74">
        <f>VLOOKUP(E641,Diccionario!C$2:AC$150,22,0)</f>
        <v>772840336</v>
      </c>
      <c r="M641" s="75">
        <f>VLOOKUP(E641,Diccionario!C$2:AC$150,24,0)</f>
        <v>45945</v>
      </c>
      <c r="N641" s="76">
        <f>VLOOKUP(E641,Diccionario!C$2:AC$150,25,0)</f>
        <v>46022</v>
      </c>
      <c r="O641" s="77">
        <f>VLOOKUP(E641,Diccionario!C$2:AC$150,26,0)</f>
        <v>2.5299999999999998</v>
      </c>
      <c r="P641" s="77">
        <f t="shared" ref="P641" si="207">Q641-O641</f>
        <v>1.4700000000000002</v>
      </c>
      <c r="Q641" s="78">
        <v>4</v>
      </c>
      <c r="R641" s="36">
        <v>3</v>
      </c>
      <c r="S641" s="86">
        <v>1</v>
      </c>
      <c r="T641" s="86">
        <v>1</v>
      </c>
      <c r="U641" s="82"/>
      <c r="V641" s="82"/>
      <c r="W641" s="82">
        <f t="shared" si="181"/>
        <v>772840336</v>
      </c>
      <c r="X641" s="82">
        <f t="shared" ref="X641" si="208">S641*L641</f>
        <v>772840336</v>
      </c>
      <c r="Y641" s="82">
        <f t="shared" si="182"/>
        <v>772840336</v>
      </c>
      <c r="Z641" s="82">
        <f t="shared" ref="Z641" si="209">W641-X641</f>
        <v>0</v>
      </c>
      <c r="AA641" s="83" t="str">
        <f t="shared" ref="AA641" si="210">IFERROR(W641/U641,"No se realizó gasto en este corte")</f>
        <v>No se realizó gasto en este corte</v>
      </c>
      <c r="AB641" s="84" t="str">
        <f t="shared" ref="AB641" si="211">IFERROR(
  IF(OR(AA641="",AA641=0),
    "No calculado",
    IF(AA641&gt;1,"Costo eficiente: se está gastando menos de lo presupuestado",
      IF(AA641=1,"Costo según lo presupuestado",
        "Costo ineficiente: se está gastando más de lo presupuestado"))),
"No calculado")</f>
        <v>Costo eficiente: se está gastando menos de lo presupuestado</v>
      </c>
      <c r="AC641" s="84">
        <f t="shared" si="183"/>
        <v>1</v>
      </c>
      <c r="AD641" s="84" t="str">
        <f>IF(OR(AC641="",AC641=0),"Sin Línea Base",
IF(AC641&gt;1,"Proyecto adelantado respecto al cronograma",
IF(AC641=1,"Proyecto a tiempo según lo planificado",
IF(AC641&lt;1,"Proyecto atrasado con respecto al cronograma",
"No calculado"))))</f>
        <v>Proyecto a tiempo según lo planificado</v>
      </c>
      <c r="AE641" s="85">
        <f t="shared" si="184"/>
        <v>0</v>
      </c>
      <c r="AF641" s="85">
        <f t="shared" si="185"/>
        <v>-772840336</v>
      </c>
      <c r="AG641" s="40" t="str">
        <f>VLOOKUP(Indicador!E641,Diccionario!C$1:AC$150,27,0)</f>
        <v>https://growdatasas.sharepoint.com/:x:/r/sites/Gestiondocumental/Administrativa/GD/Financiera/_layouts/15/Doc.aspx?sourcedoc=%7B0CDB7FA7-62D8-4102-9A59-9817018FB4BB%7D&amp;file=05112025%20MODELO%20FINANCIERO%20REFERENCIA_AEROCIVIL%20V7.4%20ajustada230.xlsm&amp;action=default&amp;mobileredirect=true</v>
      </c>
      <c r="AH641" s="40">
        <v>1</v>
      </c>
      <c r="AI641" s="40">
        <v>1</v>
      </c>
    </row>
    <row r="642" spans="1:35" ht="18.75" customHeight="1">
      <c r="A642" s="73">
        <v>2025</v>
      </c>
      <c r="B642" s="112" t="s">
        <v>30</v>
      </c>
      <c r="C642" s="36" t="s">
        <v>418</v>
      </c>
      <c r="D642" s="37">
        <v>45979.862053703706</v>
      </c>
      <c r="E642" s="36" t="s">
        <v>94</v>
      </c>
      <c r="F642" s="36" t="s">
        <v>419</v>
      </c>
      <c r="G642" s="36" t="s">
        <v>420</v>
      </c>
      <c r="H642" s="36" t="s">
        <v>421</v>
      </c>
      <c r="I642" s="36" t="s">
        <v>175</v>
      </c>
      <c r="J642" s="36" t="s">
        <v>422</v>
      </c>
      <c r="K642" s="36" t="s">
        <v>339</v>
      </c>
      <c r="L642" s="74">
        <f>VLOOKUP(E642,Diccionario!C$2:AC$150,22,0)</f>
        <v>7123723941</v>
      </c>
      <c r="M642" s="75">
        <f>VLOOKUP(E642,Diccionario!C$2:AC$150,24,0)</f>
        <v>45950</v>
      </c>
      <c r="N642" s="76">
        <f>VLOOKUP(E642,Diccionario!C$2:AC$150,25,0)</f>
        <v>46387</v>
      </c>
      <c r="O642" s="77">
        <f>VLOOKUP(E642,Diccionario!C$2:AC$150,26,0)</f>
        <v>14.37</v>
      </c>
      <c r="P642" s="77">
        <f t="shared" si="187"/>
        <v>-13.37</v>
      </c>
      <c r="Q642" s="78">
        <v>1</v>
      </c>
      <c r="R642" s="36">
        <v>15</v>
      </c>
      <c r="S642" s="86">
        <v>0.1</v>
      </c>
      <c r="T642" s="86">
        <v>0.1</v>
      </c>
      <c r="U642" s="82">
        <v>155224195</v>
      </c>
      <c r="V642" s="82">
        <v>155224195</v>
      </c>
      <c r="W642" s="82">
        <f t="shared" ref="W642:W705" si="212">IFERROR(T642*L642,0)</f>
        <v>712372394.10000002</v>
      </c>
      <c r="X642" s="82">
        <f t="shared" si="188"/>
        <v>712372394.10000002</v>
      </c>
      <c r="Y642" s="82">
        <f t="shared" ref="Y642:Y705" si="213">IFERROR(W642-U642,0)</f>
        <v>557148199.10000002</v>
      </c>
      <c r="Z642" s="82">
        <f t="shared" si="189"/>
        <v>0</v>
      </c>
      <c r="AA642" s="83">
        <f t="shared" si="186"/>
        <v>4.5893128587331375</v>
      </c>
      <c r="AB642" s="84" t="str">
        <f t="shared" si="190"/>
        <v>Costo eficiente: se está gastando menos de lo presupuestado</v>
      </c>
      <c r="AC642" s="84">
        <f t="shared" ref="AC642:AC705" si="214">IFERROR(W642/X642,0)</f>
        <v>1</v>
      </c>
      <c r="AD642" s="84" t="str">
        <f t="shared" si="191"/>
        <v>Proyecto a tiempo según lo planificado</v>
      </c>
      <c r="AE642" s="85">
        <f t="shared" ref="AE642:AE705" si="215">IFERROR(L642/AA642,0)</f>
        <v>1552241950</v>
      </c>
      <c r="AF642" s="85">
        <f t="shared" ref="AF642:AF705" si="216">IFERROR(AE642-L642,0)</f>
        <v>-5571481991</v>
      </c>
      <c r="AG642" s="40" t="str">
        <f>VLOOKUP(Indicador!E642,Diccionario!C$1:AC$150,27,0)</f>
        <v>https://growdatasas.sharepoint.com/:x:/r/sites/Gestiondocumental/Administrativa/GD/Financiera/_layouts/15/Doc.aspx?sourcedoc=%7B65B8247F-DA01-4A6A-8421-57629CEF7367%7D&amp;file=MODELO%20FINANCIERO%20ANH%20FISCALIZACION%2023.09.25%20V1.xlsm&amp;action=default&amp;mobileredirect=true</v>
      </c>
      <c r="AH642" s="40">
        <v>1</v>
      </c>
      <c r="AI642" s="40">
        <v>1</v>
      </c>
    </row>
    <row r="643" spans="1:35" ht="18.75" customHeight="1">
      <c r="A643" s="73">
        <v>2025</v>
      </c>
      <c r="B643" s="112" t="s">
        <v>31</v>
      </c>
      <c r="C643" s="36" t="s">
        <v>418</v>
      </c>
      <c r="D643" s="37">
        <v>45979.862053703706</v>
      </c>
      <c r="E643" s="36" t="s">
        <v>94</v>
      </c>
      <c r="F643" s="36" t="s">
        <v>419</v>
      </c>
      <c r="G643" s="36" t="s">
        <v>420</v>
      </c>
      <c r="H643" s="36" t="s">
        <v>421</v>
      </c>
      <c r="I643" s="36" t="s">
        <v>175</v>
      </c>
      <c r="J643" s="36" t="s">
        <v>422</v>
      </c>
      <c r="K643" s="36" t="s">
        <v>339</v>
      </c>
      <c r="L643" s="74">
        <f>VLOOKUP(E643,Diccionario!C$2:AC$150,22,0)</f>
        <v>7123723941</v>
      </c>
      <c r="M643" s="75">
        <f>VLOOKUP(E643,Diccionario!C$2:AC$150,24,0)</f>
        <v>45950</v>
      </c>
      <c r="N643" s="76">
        <f>VLOOKUP(E643,Diccionario!C$2:AC$150,25,0)</f>
        <v>46387</v>
      </c>
      <c r="O643" s="77">
        <f>VLOOKUP(E643,Diccionario!C$2:AC$150,26,0)</f>
        <v>14.37</v>
      </c>
      <c r="P643" s="77">
        <f t="shared" si="187"/>
        <v>-12.37</v>
      </c>
      <c r="Q643" s="78">
        <v>2</v>
      </c>
      <c r="R643" s="36">
        <v>15</v>
      </c>
      <c r="S643" s="86">
        <v>0.12</v>
      </c>
      <c r="T643" s="86">
        <v>0.12</v>
      </c>
      <c r="U643" s="82">
        <v>466512474</v>
      </c>
      <c r="V643" s="82">
        <v>466512474</v>
      </c>
      <c r="W643" s="82">
        <f t="shared" si="212"/>
        <v>854846872.91999996</v>
      </c>
      <c r="X643" s="82">
        <f t="shared" si="188"/>
        <v>854846872.91999996</v>
      </c>
      <c r="Y643" s="82">
        <f t="shared" si="213"/>
        <v>388334398.91999996</v>
      </c>
      <c r="Z643" s="82">
        <f t="shared" si="189"/>
        <v>0</v>
      </c>
      <c r="AA643" s="83">
        <f t="shared" si="186"/>
        <v>1.8324201828738238</v>
      </c>
      <c r="AB643" s="84" t="str">
        <f t="shared" si="190"/>
        <v>Costo eficiente: se está gastando menos de lo presupuestado</v>
      </c>
      <c r="AC643" s="84">
        <f t="shared" si="214"/>
        <v>1</v>
      </c>
      <c r="AD643" s="84" t="str">
        <f t="shared" si="191"/>
        <v>Proyecto a tiempo según lo planificado</v>
      </c>
      <c r="AE643" s="85">
        <f t="shared" si="215"/>
        <v>3887603950</v>
      </c>
      <c r="AF643" s="85">
        <f t="shared" si="216"/>
        <v>-3236119991</v>
      </c>
      <c r="AG643" s="40" t="str">
        <f>VLOOKUP(Indicador!E643,Diccionario!C$1:AC$150,27,0)</f>
        <v>https://growdatasas.sharepoint.com/:x:/r/sites/Gestiondocumental/Administrativa/GD/Financiera/_layouts/15/Doc.aspx?sourcedoc=%7B65B8247F-DA01-4A6A-8421-57629CEF7367%7D&amp;file=MODELO%20FINANCIERO%20ANH%20FISCALIZACION%2023.09.25%20V1.xlsm&amp;action=default&amp;mobileredirect=true</v>
      </c>
      <c r="AH643" s="40">
        <v>1</v>
      </c>
      <c r="AI643" s="40">
        <v>1</v>
      </c>
    </row>
    <row r="644" spans="1:35" ht="18.75" customHeight="1">
      <c r="A644" s="73">
        <v>2025</v>
      </c>
      <c r="B644" s="112" t="s">
        <v>32</v>
      </c>
      <c r="C644" s="36" t="s">
        <v>418</v>
      </c>
      <c r="D644" s="37">
        <v>45979.862053703706</v>
      </c>
      <c r="E644" s="36" t="s">
        <v>94</v>
      </c>
      <c r="F644" s="36" t="s">
        <v>419</v>
      </c>
      <c r="G644" s="36" t="s">
        <v>420</v>
      </c>
      <c r="H644" s="36" t="s">
        <v>421</v>
      </c>
      <c r="I644" s="36" t="s">
        <v>175</v>
      </c>
      <c r="J644" s="36" t="s">
        <v>422</v>
      </c>
      <c r="K644" s="36" t="s">
        <v>339</v>
      </c>
      <c r="L644" s="74">
        <f>VLOOKUP(E644,Diccionario!C$2:AC$150,22,0)</f>
        <v>7123723941</v>
      </c>
      <c r="M644" s="75">
        <f>VLOOKUP(E644,Diccionario!C$2:AC$150,24,0)</f>
        <v>45950</v>
      </c>
      <c r="N644" s="76">
        <f>VLOOKUP(E644,Diccionario!C$2:AC$150,25,0)</f>
        <v>46387</v>
      </c>
      <c r="O644" s="77">
        <f>VLOOKUP(E644,Diccionario!C$2:AC$150,26,0)</f>
        <v>14.37</v>
      </c>
      <c r="P644" s="77">
        <f t="shared" si="187"/>
        <v>-11.37</v>
      </c>
      <c r="Q644" s="78">
        <v>3</v>
      </c>
      <c r="R644" s="36">
        <v>15</v>
      </c>
      <c r="S644" s="86">
        <v>0.18</v>
      </c>
      <c r="T644" s="86">
        <v>0.18</v>
      </c>
      <c r="U644" s="82">
        <v>466512474</v>
      </c>
      <c r="V644" s="82">
        <v>466512474</v>
      </c>
      <c r="W644" s="82">
        <f t="shared" si="212"/>
        <v>1282270309.3799999</v>
      </c>
      <c r="X644" s="82">
        <f t="shared" si="188"/>
        <v>1282270309.3799999</v>
      </c>
      <c r="Y644" s="82">
        <f t="shared" si="213"/>
        <v>815757835.37999988</v>
      </c>
      <c r="Z644" s="82">
        <f t="shared" si="189"/>
        <v>0</v>
      </c>
      <c r="AA644" s="83">
        <f t="shared" si="186"/>
        <v>2.7486302743107354</v>
      </c>
      <c r="AB644" s="84" t="str">
        <f t="shared" si="190"/>
        <v>Costo eficiente: se está gastando menos de lo presupuestado</v>
      </c>
      <c r="AC644" s="84">
        <f t="shared" si="214"/>
        <v>1</v>
      </c>
      <c r="AD644" s="84" t="str">
        <f t="shared" si="191"/>
        <v>Proyecto a tiempo según lo planificado</v>
      </c>
      <c r="AE644" s="85">
        <f t="shared" si="215"/>
        <v>2591735966.666667</v>
      </c>
      <c r="AF644" s="85">
        <f t="shared" si="216"/>
        <v>-4531987974.333333</v>
      </c>
      <c r="AG644" s="40" t="str">
        <f>VLOOKUP(Indicador!E644,Diccionario!C$1:AC$150,27,0)</f>
        <v>https://growdatasas.sharepoint.com/:x:/r/sites/Gestiondocumental/Administrativa/GD/Financiera/_layouts/15/Doc.aspx?sourcedoc=%7B65B8247F-DA01-4A6A-8421-57629CEF7367%7D&amp;file=MODELO%20FINANCIERO%20ANH%20FISCALIZACION%2023.09.25%20V1.xlsm&amp;action=default&amp;mobileredirect=true</v>
      </c>
      <c r="AH644" s="40">
        <v>1</v>
      </c>
      <c r="AI644" s="40">
        <v>1</v>
      </c>
    </row>
    <row r="645" spans="1:35" ht="18.75" customHeight="1">
      <c r="A645" s="73">
        <v>2026</v>
      </c>
      <c r="B645" s="112" t="s">
        <v>14</v>
      </c>
      <c r="C645" s="36" t="s">
        <v>418</v>
      </c>
      <c r="D645" s="37">
        <v>45979.862053703706</v>
      </c>
      <c r="E645" s="36" t="s">
        <v>94</v>
      </c>
      <c r="F645" s="36" t="s">
        <v>419</v>
      </c>
      <c r="G645" s="36" t="s">
        <v>420</v>
      </c>
      <c r="H645" s="36" t="s">
        <v>421</v>
      </c>
      <c r="I645" s="36" t="s">
        <v>175</v>
      </c>
      <c r="J645" s="36" t="s">
        <v>422</v>
      </c>
      <c r="K645" s="36" t="s">
        <v>339</v>
      </c>
      <c r="L645" s="74">
        <f>VLOOKUP(E645,Diccionario!C$2:AC$150,22,0)</f>
        <v>7123723941</v>
      </c>
      <c r="M645" s="75">
        <f>VLOOKUP(E645,Diccionario!C$2:AC$150,24,0)</f>
        <v>45950</v>
      </c>
      <c r="N645" s="76">
        <f>VLOOKUP(E645,Diccionario!C$2:AC$150,25,0)</f>
        <v>46387</v>
      </c>
      <c r="O645" s="77">
        <f>VLOOKUP(E645,Diccionario!C$2:AC$150,26,0)</f>
        <v>14.37</v>
      </c>
      <c r="P645" s="77">
        <f t="shared" si="187"/>
        <v>-10.37</v>
      </c>
      <c r="Q645" s="78">
        <v>4</v>
      </c>
      <c r="R645" s="36">
        <v>15</v>
      </c>
      <c r="S645" s="86">
        <v>0.21333333333333299</v>
      </c>
      <c r="T645" s="86">
        <v>0.21333333333333299</v>
      </c>
      <c r="U645" s="82">
        <v>466512474</v>
      </c>
      <c r="V645" s="82">
        <v>466512474</v>
      </c>
      <c r="W645" s="82">
        <f t="shared" si="212"/>
        <v>1519727774.0799975</v>
      </c>
      <c r="X645" s="82">
        <f t="shared" si="188"/>
        <v>1519727774.0799975</v>
      </c>
      <c r="Y645" s="82">
        <f t="shared" si="213"/>
        <v>1053215300.0799975</v>
      </c>
      <c r="Z645" s="82">
        <f t="shared" si="189"/>
        <v>0</v>
      </c>
      <c r="AA645" s="83">
        <f t="shared" si="186"/>
        <v>3.2576358806645707</v>
      </c>
      <c r="AB645" s="84" t="str">
        <f t="shared" si="190"/>
        <v>Costo eficiente: se está gastando menos de lo presupuestado</v>
      </c>
      <c r="AC645" s="84">
        <f t="shared" si="214"/>
        <v>1</v>
      </c>
      <c r="AD645" s="84" t="str">
        <f t="shared" si="191"/>
        <v>Proyecto a tiempo según lo planificado</v>
      </c>
      <c r="AE645" s="85">
        <f t="shared" si="215"/>
        <v>2186777221.8750033</v>
      </c>
      <c r="AF645" s="85">
        <f t="shared" si="216"/>
        <v>-4936946719.1249962</v>
      </c>
      <c r="AG645" s="40" t="str">
        <f>VLOOKUP(Indicador!E645,Diccionario!C$1:AC$150,27,0)</f>
        <v>https://growdatasas.sharepoint.com/:x:/r/sites/Gestiondocumental/Administrativa/GD/Financiera/_layouts/15/Doc.aspx?sourcedoc=%7B65B8247F-DA01-4A6A-8421-57629CEF7367%7D&amp;file=MODELO%20FINANCIERO%20ANH%20FISCALIZACION%2023.09.25%20V1.xlsm&amp;action=default&amp;mobileredirect=true</v>
      </c>
      <c r="AH645" s="40">
        <v>1</v>
      </c>
      <c r="AI645" s="40">
        <v>1</v>
      </c>
    </row>
    <row r="646" spans="1:35" ht="18.75" customHeight="1">
      <c r="A646" s="73">
        <v>2026</v>
      </c>
      <c r="B646" s="112" t="s">
        <v>22</v>
      </c>
      <c r="C646" s="36" t="s">
        <v>418</v>
      </c>
      <c r="D646" s="37">
        <v>45979.862053703706</v>
      </c>
      <c r="E646" s="36" t="s">
        <v>94</v>
      </c>
      <c r="F646" s="36" t="s">
        <v>419</v>
      </c>
      <c r="G646" s="36" t="s">
        <v>420</v>
      </c>
      <c r="H646" s="36" t="s">
        <v>421</v>
      </c>
      <c r="I646" s="36" t="s">
        <v>175</v>
      </c>
      <c r="J646" s="36" t="s">
        <v>422</v>
      </c>
      <c r="K646" s="36" t="s">
        <v>339</v>
      </c>
      <c r="L646" s="74">
        <f>VLOOKUP(E646,Diccionario!C$2:AC$150,22,0)</f>
        <v>7123723941</v>
      </c>
      <c r="M646" s="75">
        <f>VLOOKUP(E646,Diccionario!C$2:AC$150,24,0)</f>
        <v>45950</v>
      </c>
      <c r="N646" s="76">
        <f>VLOOKUP(E646,Diccionario!C$2:AC$150,25,0)</f>
        <v>46387</v>
      </c>
      <c r="O646" s="77">
        <f>VLOOKUP(E646,Diccionario!C$2:AC$150,26,0)</f>
        <v>14.37</v>
      </c>
      <c r="P646" s="77">
        <f t="shared" si="187"/>
        <v>-9.3699999999999992</v>
      </c>
      <c r="Q646" s="78">
        <v>5</v>
      </c>
      <c r="R646" s="36"/>
      <c r="S646" s="86">
        <v>0.3</v>
      </c>
      <c r="T646" s="86"/>
      <c r="U646" s="82"/>
      <c r="V646" s="82"/>
      <c r="W646" s="82">
        <f t="shared" si="212"/>
        <v>0</v>
      </c>
      <c r="X646" s="82">
        <f t="shared" si="188"/>
        <v>2137117182.3</v>
      </c>
      <c r="Y646" s="82">
        <f t="shared" si="213"/>
        <v>0</v>
      </c>
      <c r="Z646" s="82">
        <f t="shared" si="189"/>
        <v>-2137117182.3</v>
      </c>
      <c r="AA646" s="83" t="str">
        <f t="shared" si="186"/>
        <v>No se realizó gasto en este corte</v>
      </c>
      <c r="AB646" s="84" t="str">
        <f t="shared" si="190"/>
        <v>Costo eficiente: se está gastando menos de lo presupuestado</v>
      </c>
      <c r="AC646" s="84">
        <f t="shared" si="214"/>
        <v>0</v>
      </c>
      <c r="AD646" s="84" t="str">
        <f t="shared" si="191"/>
        <v>Sin Línea Base</v>
      </c>
      <c r="AE646" s="85">
        <f t="shared" si="215"/>
        <v>0</v>
      </c>
      <c r="AF646" s="85">
        <f t="shared" si="216"/>
        <v>-7123723941</v>
      </c>
      <c r="AG646" s="40" t="str">
        <f>VLOOKUP(Indicador!E646,Diccionario!C$1:AC$150,27,0)</f>
        <v>https://growdatasas.sharepoint.com/:x:/r/sites/Gestiondocumental/Administrativa/GD/Financiera/_layouts/15/Doc.aspx?sourcedoc=%7B65B8247F-DA01-4A6A-8421-57629CEF7367%7D&amp;file=MODELO%20FINANCIERO%20ANH%20FISCALIZACION%2023.09.25%20V1.xlsm&amp;action=default&amp;mobileredirect=true</v>
      </c>
      <c r="AH646" s="40">
        <v>1</v>
      </c>
      <c r="AI646" s="40">
        <v>1</v>
      </c>
    </row>
    <row r="647" spans="1:35" ht="18.75" customHeight="1">
      <c r="A647" s="73">
        <v>2026</v>
      </c>
      <c r="B647" s="112" t="s">
        <v>24</v>
      </c>
      <c r="C647" s="36" t="s">
        <v>418</v>
      </c>
      <c r="D647" s="37">
        <v>45979.862053703706</v>
      </c>
      <c r="E647" s="36" t="s">
        <v>94</v>
      </c>
      <c r="F647" s="36" t="s">
        <v>419</v>
      </c>
      <c r="G647" s="36" t="s">
        <v>420</v>
      </c>
      <c r="H647" s="36" t="s">
        <v>421</v>
      </c>
      <c r="I647" s="36" t="s">
        <v>175</v>
      </c>
      <c r="J647" s="36" t="s">
        <v>422</v>
      </c>
      <c r="K647" s="36" t="s">
        <v>339</v>
      </c>
      <c r="L647" s="74">
        <f>VLOOKUP(E647,Diccionario!C$2:AC$150,22,0)</f>
        <v>7123723941</v>
      </c>
      <c r="M647" s="75">
        <f>VLOOKUP(E647,Diccionario!C$2:AC$150,24,0)</f>
        <v>45950</v>
      </c>
      <c r="N647" s="76">
        <f>VLOOKUP(E647,Diccionario!C$2:AC$150,25,0)</f>
        <v>46387</v>
      </c>
      <c r="O647" s="77">
        <f>VLOOKUP(E647,Diccionario!C$2:AC$150,26,0)</f>
        <v>14.37</v>
      </c>
      <c r="P647" s="77">
        <f t="shared" si="187"/>
        <v>-8.3699999999999992</v>
      </c>
      <c r="Q647" s="78">
        <v>6</v>
      </c>
      <c r="R647" s="36"/>
      <c r="S647" s="86">
        <v>0.35</v>
      </c>
      <c r="T647" s="86"/>
      <c r="U647" s="82"/>
      <c r="V647" s="82"/>
      <c r="W647" s="82">
        <f t="shared" si="212"/>
        <v>0</v>
      </c>
      <c r="X647" s="82">
        <f t="shared" si="188"/>
        <v>2493303379.3499999</v>
      </c>
      <c r="Y647" s="82">
        <f t="shared" si="213"/>
        <v>0</v>
      </c>
      <c r="Z647" s="82">
        <f t="shared" si="189"/>
        <v>-2493303379.3499999</v>
      </c>
      <c r="AA647" s="83" t="str">
        <f t="shared" si="186"/>
        <v>No se realizó gasto en este corte</v>
      </c>
      <c r="AB647" s="84" t="str">
        <f t="shared" si="190"/>
        <v>Costo eficiente: se está gastando menos de lo presupuestado</v>
      </c>
      <c r="AC647" s="84">
        <f t="shared" si="214"/>
        <v>0</v>
      </c>
      <c r="AD647" s="84" t="str">
        <f t="shared" si="191"/>
        <v>Sin Línea Base</v>
      </c>
      <c r="AE647" s="85">
        <f t="shared" si="215"/>
        <v>0</v>
      </c>
      <c r="AF647" s="85">
        <f t="shared" si="216"/>
        <v>-7123723941</v>
      </c>
      <c r="AG647" s="40" t="str">
        <f>VLOOKUP(Indicador!E647,Diccionario!C$1:AC$150,27,0)</f>
        <v>https://growdatasas.sharepoint.com/:x:/r/sites/Gestiondocumental/Administrativa/GD/Financiera/_layouts/15/Doc.aspx?sourcedoc=%7B65B8247F-DA01-4A6A-8421-57629CEF7367%7D&amp;file=MODELO%20FINANCIERO%20ANH%20FISCALIZACION%2023.09.25%20V1.xlsm&amp;action=default&amp;mobileredirect=true</v>
      </c>
      <c r="AH647" s="40">
        <v>1</v>
      </c>
      <c r="AI647" s="40">
        <v>1</v>
      </c>
    </row>
    <row r="648" spans="1:35" ht="18.75" customHeight="1">
      <c r="A648" s="73">
        <v>2026</v>
      </c>
      <c r="B648" s="112" t="s">
        <v>27</v>
      </c>
      <c r="C648" s="36" t="s">
        <v>418</v>
      </c>
      <c r="D648" s="37">
        <v>45979.862053703706</v>
      </c>
      <c r="E648" s="36" t="s">
        <v>94</v>
      </c>
      <c r="F648" s="36" t="s">
        <v>419</v>
      </c>
      <c r="G648" s="36" t="s">
        <v>420</v>
      </c>
      <c r="H648" s="36" t="s">
        <v>421</v>
      </c>
      <c r="I648" s="36" t="s">
        <v>175</v>
      </c>
      <c r="J648" s="36" t="s">
        <v>422</v>
      </c>
      <c r="K648" s="36" t="s">
        <v>339</v>
      </c>
      <c r="L648" s="74">
        <f>VLOOKUP(E648,Diccionario!C$2:AC$150,22,0)</f>
        <v>7123723941</v>
      </c>
      <c r="M648" s="75">
        <f>VLOOKUP(E648,Diccionario!C$2:AC$150,24,0)</f>
        <v>45950</v>
      </c>
      <c r="N648" s="76">
        <f>VLOOKUP(E648,Diccionario!C$2:AC$150,25,0)</f>
        <v>46387</v>
      </c>
      <c r="O648" s="77">
        <f>VLOOKUP(E648,Diccionario!C$2:AC$150,26,0)</f>
        <v>14.37</v>
      </c>
      <c r="P648" s="77">
        <f t="shared" si="187"/>
        <v>-7.3699999999999992</v>
      </c>
      <c r="Q648" s="78">
        <v>7</v>
      </c>
      <c r="R648" s="36"/>
      <c r="S648" s="86">
        <v>0.4</v>
      </c>
      <c r="T648" s="86"/>
      <c r="U648" s="82"/>
      <c r="V648" s="82"/>
      <c r="W648" s="82">
        <f t="shared" si="212"/>
        <v>0</v>
      </c>
      <c r="X648" s="82">
        <f t="shared" si="188"/>
        <v>2849489576.4000001</v>
      </c>
      <c r="Y648" s="82">
        <f t="shared" si="213"/>
        <v>0</v>
      </c>
      <c r="Z648" s="82">
        <f t="shared" si="189"/>
        <v>-2849489576.4000001</v>
      </c>
      <c r="AA648" s="83" t="str">
        <f t="shared" si="186"/>
        <v>No se realizó gasto en este corte</v>
      </c>
      <c r="AB648" s="84" t="str">
        <f t="shared" si="190"/>
        <v>Costo eficiente: se está gastando menos de lo presupuestado</v>
      </c>
      <c r="AC648" s="84">
        <f t="shared" si="214"/>
        <v>0</v>
      </c>
      <c r="AD648" s="84" t="str">
        <f t="shared" si="191"/>
        <v>Sin Línea Base</v>
      </c>
      <c r="AE648" s="85">
        <f t="shared" si="215"/>
        <v>0</v>
      </c>
      <c r="AF648" s="85">
        <f t="shared" si="216"/>
        <v>-7123723941</v>
      </c>
      <c r="AG648" s="40" t="str">
        <f>VLOOKUP(Indicador!E648,Diccionario!C$1:AC$150,27,0)</f>
        <v>https://growdatasas.sharepoint.com/:x:/r/sites/Gestiondocumental/Administrativa/GD/Financiera/_layouts/15/Doc.aspx?sourcedoc=%7B65B8247F-DA01-4A6A-8421-57629CEF7367%7D&amp;file=MODELO%20FINANCIERO%20ANH%20FISCALIZACION%2023.09.25%20V1.xlsm&amp;action=default&amp;mobileredirect=true</v>
      </c>
      <c r="AH648" s="40">
        <v>1</v>
      </c>
      <c r="AI648" s="40">
        <v>1</v>
      </c>
    </row>
    <row r="649" spans="1:35" ht="18.75" customHeight="1">
      <c r="A649" s="73">
        <v>2026</v>
      </c>
      <c r="B649" s="112" t="s">
        <v>13</v>
      </c>
      <c r="C649" s="36" t="s">
        <v>418</v>
      </c>
      <c r="D649" s="37">
        <v>45979.862053703706</v>
      </c>
      <c r="E649" s="36" t="s">
        <v>94</v>
      </c>
      <c r="F649" s="36" t="s">
        <v>419</v>
      </c>
      <c r="G649" s="36" t="s">
        <v>420</v>
      </c>
      <c r="H649" s="36" t="s">
        <v>421</v>
      </c>
      <c r="I649" s="36" t="s">
        <v>175</v>
      </c>
      <c r="J649" s="36" t="s">
        <v>422</v>
      </c>
      <c r="K649" s="36" t="s">
        <v>339</v>
      </c>
      <c r="L649" s="74">
        <f>VLOOKUP(E649,Diccionario!C$2:AC$150,22,0)</f>
        <v>7123723941</v>
      </c>
      <c r="M649" s="75">
        <f>VLOOKUP(E649,Diccionario!C$2:AC$150,24,0)</f>
        <v>45950</v>
      </c>
      <c r="N649" s="76">
        <f>VLOOKUP(E649,Diccionario!C$2:AC$150,25,0)</f>
        <v>46387</v>
      </c>
      <c r="O649" s="77">
        <f>VLOOKUP(E649,Diccionario!C$2:AC$150,26,0)</f>
        <v>14.37</v>
      </c>
      <c r="P649" s="77">
        <f t="shared" ca="1" si="187"/>
        <v>-6.3699999999999992</v>
      </c>
      <c r="Q649" s="78">
        <f t="shared" ca="1" si="199"/>
        <v>8</v>
      </c>
      <c r="R649" s="36"/>
      <c r="S649" s="86">
        <v>0.45</v>
      </c>
      <c r="T649" s="86"/>
      <c r="U649" s="82"/>
      <c r="V649" s="82"/>
      <c r="W649" s="82">
        <f t="shared" si="212"/>
        <v>0</v>
      </c>
      <c r="X649" s="82">
        <f t="shared" si="188"/>
        <v>3205675773.4500003</v>
      </c>
      <c r="Y649" s="82">
        <f t="shared" si="213"/>
        <v>0</v>
      </c>
      <c r="Z649" s="82">
        <f t="shared" si="189"/>
        <v>-3205675773.4500003</v>
      </c>
      <c r="AA649" s="83" t="str">
        <f t="shared" si="186"/>
        <v>No se realizó gasto en este corte</v>
      </c>
      <c r="AB649" s="84" t="str">
        <f t="shared" si="190"/>
        <v>Costo eficiente: se está gastando menos de lo presupuestado</v>
      </c>
      <c r="AC649" s="84">
        <f t="shared" si="214"/>
        <v>0</v>
      </c>
      <c r="AD649" s="84" t="str">
        <f t="shared" si="191"/>
        <v>Sin Línea Base</v>
      </c>
      <c r="AE649" s="85">
        <f t="shared" si="215"/>
        <v>0</v>
      </c>
      <c r="AF649" s="85">
        <f t="shared" si="216"/>
        <v>-7123723941</v>
      </c>
      <c r="AG649" s="40" t="str">
        <f>VLOOKUP(Indicador!E649,Diccionario!C$1:AC$150,27,0)</f>
        <v>https://growdatasas.sharepoint.com/:x:/r/sites/Gestiondocumental/Administrativa/GD/Financiera/_layouts/15/Doc.aspx?sourcedoc=%7B65B8247F-DA01-4A6A-8421-57629CEF7367%7D&amp;file=MODELO%20FINANCIERO%20ANH%20FISCALIZACION%2023.09.25%20V1.xlsm&amp;action=default&amp;mobileredirect=true</v>
      </c>
      <c r="AH649" s="40">
        <v>1</v>
      </c>
      <c r="AI649" s="40">
        <v>1</v>
      </c>
    </row>
    <row r="650" spans="1:35" ht="18.75" customHeight="1">
      <c r="A650" s="73">
        <v>2026</v>
      </c>
      <c r="B650" s="112" t="s">
        <v>21</v>
      </c>
      <c r="C650" s="36" t="s">
        <v>418</v>
      </c>
      <c r="D650" s="37">
        <v>45979.862053703706</v>
      </c>
      <c r="E650" s="36" t="s">
        <v>94</v>
      </c>
      <c r="F650" s="36" t="s">
        <v>419</v>
      </c>
      <c r="G650" s="36" t="s">
        <v>420</v>
      </c>
      <c r="H650" s="36" t="s">
        <v>421</v>
      </c>
      <c r="I650" s="36" t="s">
        <v>175</v>
      </c>
      <c r="J650" s="36" t="s">
        <v>422</v>
      </c>
      <c r="K650" s="36" t="s">
        <v>339</v>
      </c>
      <c r="L650" s="74">
        <f>VLOOKUP(E650,Diccionario!C$2:AC$150,22,0)</f>
        <v>7123723941</v>
      </c>
      <c r="M650" s="75">
        <f>VLOOKUP(E650,Diccionario!C$2:AC$150,24,0)</f>
        <v>45950</v>
      </c>
      <c r="N650" s="76">
        <f>VLOOKUP(E650,Diccionario!C$2:AC$150,25,0)</f>
        <v>46387</v>
      </c>
      <c r="O650" s="77">
        <f>VLOOKUP(E650,Diccionario!C$2:AC$150,26,0)</f>
        <v>14.37</v>
      </c>
      <c r="P650" s="77">
        <f t="shared" ca="1" si="187"/>
        <v>-6.3699999999999992</v>
      </c>
      <c r="Q650" s="78">
        <f t="shared" ca="1" si="199"/>
        <v>8</v>
      </c>
      <c r="R650" s="36"/>
      <c r="S650" s="86">
        <v>0.49</v>
      </c>
      <c r="T650" s="86"/>
      <c r="U650" s="82"/>
      <c r="V650" s="82"/>
      <c r="W650" s="82">
        <f t="shared" si="212"/>
        <v>0</v>
      </c>
      <c r="X650" s="82">
        <f t="shared" si="188"/>
        <v>3490624731.0900002</v>
      </c>
      <c r="Y650" s="82">
        <f t="shared" si="213"/>
        <v>0</v>
      </c>
      <c r="Z650" s="82">
        <f t="shared" si="189"/>
        <v>-3490624731.0900002</v>
      </c>
      <c r="AA650" s="83" t="str">
        <f t="shared" si="186"/>
        <v>No se realizó gasto en este corte</v>
      </c>
      <c r="AB650" s="84" t="str">
        <f t="shared" si="190"/>
        <v>Costo eficiente: se está gastando menos de lo presupuestado</v>
      </c>
      <c r="AC650" s="84">
        <f t="shared" si="214"/>
        <v>0</v>
      </c>
      <c r="AD650" s="84" t="str">
        <f t="shared" si="191"/>
        <v>Sin Línea Base</v>
      </c>
      <c r="AE650" s="85">
        <f t="shared" si="215"/>
        <v>0</v>
      </c>
      <c r="AF650" s="85">
        <f t="shared" si="216"/>
        <v>-7123723941</v>
      </c>
      <c r="AG650" s="40" t="str">
        <f>VLOOKUP(Indicador!E650,Diccionario!C$1:AC$150,27,0)</f>
        <v>https://growdatasas.sharepoint.com/:x:/r/sites/Gestiondocumental/Administrativa/GD/Financiera/_layouts/15/Doc.aspx?sourcedoc=%7B65B8247F-DA01-4A6A-8421-57629CEF7367%7D&amp;file=MODELO%20FINANCIERO%20ANH%20FISCALIZACION%2023.09.25%20V1.xlsm&amp;action=default&amp;mobileredirect=true</v>
      </c>
      <c r="AH650" s="40">
        <v>1</v>
      </c>
      <c r="AI650" s="40">
        <v>1</v>
      </c>
    </row>
    <row r="651" spans="1:35" ht="18.75" customHeight="1">
      <c r="A651" s="73">
        <v>2026</v>
      </c>
      <c r="B651" s="112" t="s">
        <v>23</v>
      </c>
      <c r="C651" s="36" t="s">
        <v>418</v>
      </c>
      <c r="D651" s="37">
        <v>45979.862053703706</v>
      </c>
      <c r="E651" s="36" t="s">
        <v>94</v>
      </c>
      <c r="F651" s="36" t="s">
        <v>419</v>
      </c>
      <c r="G651" s="36" t="s">
        <v>420</v>
      </c>
      <c r="H651" s="36" t="s">
        <v>421</v>
      </c>
      <c r="I651" s="36" t="s">
        <v>175</v>
      </c>
      <c r="J651" s="36" t="s">
        <v>422</v>
      </c>
      <c r="K651" s="36" t="s">
        <v>339</v>
      </c>
      <c r="L651" s="74">
        <f>VLOOKUP(E651,Diccionario!C$2:AC$150,22,0)</f>
        <v>7123723941</v>
      </c>
      <c r="M651" s="75">
        <f>VLOOKUP(E651,Diccionario!C$2:AC$150,24,0)</f>
        <v>45950</v>
      </c>
      <c r="N651" s="76">
        <f>VLOOKUP(E651,Diccionario!C$2:AC$150,25,0)</f>
        <v>46387</v>
      </c>
      <c r="O651" s="77">
        <f>VLOOKUP(E651,Diccionario!C$2:AC$150,26,0)</f>
        <v>14.37</v>
      </c>
      <c r="P651" s="77">
        <f t="shared" ca="1" si="187"/>
        <v>-6.3699999999999992</v>
      </c>
      <c r="Q651" s="78">
        <f t="shared" ca="1" si="199"/>
        <v>8</v>
      </c>
      <c r="R651" s="36"/>
      <c r="S651" s="86">
        <v>0.53</v>
      </c>
      <c r="T651" s="86"/>
      <c r="U651" s="82"/>
      <c r="V651" s="82"/>
      <c r="W651" s="82">
        <f t="shared" si="212"/>
        <v>0</v>
      </c>
      <c r="X651" s="82">
        <f t="shared" si="188"/>
        <v>3775573688.73</v>
      </c>
      <c r="Y651" s="82">
        <f t="shared" si="213"/>
        <v>0</v>
      </c>
      <c r="Z651" s="82">
        <f t="shared" si="189"/>
        <v>-3775573688.73</v>
      </c>
      <c r="AA651" s="83" t="str">
        <f t="shared" si="186"/>
        <v>No se realizó gasto en este corte</v>
      </c>
      <c r="AB651" s="84" t="str">
        <f t="shared" si="190"/>
        <v>Costo eficiente: se está gastando menos de lo presupuestado</v>
      </c>
      <c r="AC651" s="84">
        <f t="shared" si="214"/>
        <v>0</v>
      </c>
      <c r="AD651" s="84" t="str">
        <f t="shared" si="191"/>
        <v>Sin Línea Base</v>
      </c>
      <c r="AE651" s="85">
        <f t="shared" si="215"/>
        <v>0</v>
      </c>
      <c r="AF651" s="85">
        <f t="shared" si="216"/>
        <v>-7123723941</v>
      </c>
      <c r="AG651" s="40" t="str">
        <f>VLOOKUP(Indicador!E651,Diccionario!C$1:AC$150,27,0)</f>
        <v>https://growdatasas.sharepoint.com/:x:/r/sites/Gestiondocumental/Administrativa/GD/Financiera/_layouts/15/Doc.aspx?sourcedoc=%7B65B8247F-DA01-4A6A-8421-57629CEF7367%7D&amp;file=MODELO%20FINANCIERO%20ANH%20FISCALIZACION%2023.09.25%20V1.xlsm&amp;action=default&amp;mobileredirect=true</v>
      </c>
      <c r="AH651" s="40">
        <v>1</v>
      </c>
      <c r="AI651" s="40">
        <v>1</v>
      </c>
    </row>
    <row r="652" spans="1:35" ht="18.75" customHeight="1">
      <c r="A652" s="73">
        <v>2026</v>
      </c>
      <c r="B652" s="112" t="s">
        <v>26</v>
      </c>
      <c r="C652" s="36" t="s">
        <v>418</v>
      </c>
      <c r="D652" s="37">
        <v>45979.862053703706</v>
      </c>
      <c r="E652" s="36" t="s">
        <v>94</v>
      </c>
      <c r="F652" s="36" t="s">
        <v>419</v>
      </c>
      <c r="G652" s="36" t="s">
        <v>420</v>
      </c>
      <c r="H652" s="36" t="s">
        <v>421</v>
      </c>
      <c r="I652" s="36" t="s">
        <v>175</v>
      </c>
      <c r="J652" s="36" t="s">
        <v>422</v>
      </c>
      <c r="K652" s="36" t="s">
        <v>339</v>
      </c>
      <c r="L652" s="74">
        <f>VLOOKUP(E652,Diccionario!C$2:AC$150,22,0)</f>
        <v>7123723941</v>
      </c>
      <c r="M652" s="75">
        <f>VLOOKUP(E652,Diccionario!C$2:AC$150,24,0)</f>
        <v>45950</v>
      </c>
      <c r="N652" s="76">
        <f>VLOOKUP(E652,Diccionario!C$2:AC$150,25,0)</f>
        <v>46387</v>
      </c>
      <c r="O652" s="77">
        <f>VLOOKUP(E652,Diccionario!C$2:AC$150,26,0)</f>
        <v>14.37</v>
      </c>
      <c r="P652" s="77">
        <f t="shared" ca="1" si="187"/>
        <v>-6.3699999999999992</v>
      </c>
      <c r="Q652" s="78">
        <f t="shared" ca="1" si="199"/>
        <v>8</v>
      </c>
      <c r="R652" s="36"/>
      <c r="S652" s="86">
        <v>0.59</v>
      </c>
      <c r="T652" s="86"/>
      <c r="U652" s="82"/>
      <c r="V652" s="82"/>
      <c r="W652" s="82">
        <f t="shared" si="212"/>
        <v>0</v>
      </c>
      <c r="X652" s="82">
        <f t="shared" si="188"/>
        <v>4202997125.1899996</v>
      </c>
      <c r="Y652" s="82">
        <f t="shared" si="213"/>
        <v>0</v>
      </c>
      <c r="Z652" s="82">
        <f t="shared" si="189"/>
        <v>-4202997125.1899996</v>
      </c>
      <c r="AA652" s="83" t="str">
        <f t="shared" si="186"/>
        <v>No se realizó gasto en este corte</v>
      </c>
      <c r="AB652" s="84" t="str">
        <f t="shared" si="190"/>
        <v>Costo eficiente: se está gastando menos de lo presupuestado</v>
      </c>
      <c r="AC652" s="84">
        <f t="shared" si="214"/>
        <v>0</v>
      </c>
      <c r="AD652" s="84" t="str">
        <f t="shared" si="191"/>
        <v>Sin Línea Base</v>
      </c>
      <c r="AE652" s="85">
        <f t="shared" si="215"/>
        <v>0</v>
      </c>
      <c r="AF652" s="85">
        <f t="shared" si="216"/>
        <v>-7123723941</v>
      </c>
      <c r="AG652" s="40" t="str">
        <f>VLOOKUP(Indicador!E652,Diccionario!C$1:AC$150,27,0)</f>
        <v>https://growdatasas.sharepoint.com/:x:/r/sites/Gestiondocumental/Administrativa/GD/Financiera/_layouts/15/Doc.aspx?sourcedoc=%7B65B8247F-DA01-4A6A-8421-57629CEF7367%7D&amp;file=MODELO%20FINANCIERO%20ANH%20FISCALIZACION%2023.09.25%20V1.xlsm&amp;action=default&amp;mobileredirect=true</v>
      </c>
      <c r="AH652" s="40">
        <v>1</v>
      </c>
      <c r="AI652" s="40">
        <v>1</v>
      </c>
    </row>
    <row r="653" spans="1:35" ht="18.75" customHeight="1">
      <c r="A653" s="73">
        <v>2026</v>
      </c>
      <c r="B653" s="112" t="s">
        <v>28</v>
      </c>
      <c r="C653" s="36" t="s">
        <v>418</v>
      </c>
      <c r="D653" s="37">
        <v>45979.862053703706</v>
      </c>
      <c r="E653" s="36" t="s">
        <v>94</v>
      </c>
      <c r="F653" s="36" t="s">
        <v>419</v>
      </c>
      <c r="G653" s="36" t="s">
        <v>420</v>
      </c>
      <c r="H653" s="36" t="s">
        <v>421</v>
      </c>
      <c r="I653" s="36" t="s">
        <v>175</v>
      </c>
      <c r="J653" s="36" t="s">
        <v>422</v>
      </c>
      <c r="K653" s="36" t="s">
        <v>339</v>
      </c>
      <c r="L653" s="74">
        <f>VLOOKUP(E653,Diccionario!C$2:AC$150,22,0)</f>
        <v>7123723941</v>
      </c>
      <c r="M653" s="75">
        <f>VLOOKUP(E653,Diccionario!C$2:AC$150,24,0)</f>
        <v>45950</v>
      </c>
      <c r="N653" s="76">
        <f>VLOOKUP(E653,Diccionario!C$2:AC$150,25,0)</f>
        <v>46387</v>
      </c>
      <c r="O653" s="77">
        <f>VLOOKUP(E653,Diccionario!C$2:AC$150,26,0)</f>
        <v>14.37</v>
      </c>
      <c r="P653" s="77">
        <f t="shared" ca="1" si="187"/>
        <v>-6.3699999999999992</v>
      </c>
      <c r="Q653" s="78">
        <f t="shared" ca="1" si="199"/>
        <v>8</v>
      </c>
      <c r="R653" s="36"/>
      <c r="S653" s="86">
        <v>0.72</v>
      </c>
      <c r="T653" s="86"/>
      <c r="U653" s="82"/>
      <c r="V653" s="82"/>
      <c r="W653" s="82">
        <f t="shared" si="212"/>
        <v>0</v>
      </c>
      <c r="X653" s="82">
        <f t="shared" si="188"/>
        <v>5129081237.5199995</v>
      </c>
      <c r="Y653" s="82">
        <f t="shared" si="213"/>
        <v>0</v>
      </c>
      <c r="Z653" s="82">
        <f t="shared" si="189"/>
        <v>-5129081237.5199995</v>
      </c>
      <c r="AA653" s="83" t="str">
        <f t="shared" si="186"/>
        <v>No se realizó gasto en este corte</v>
      </c>
      <c r="AB653" s="84" t="str">
        <f t="shared" si="190"/>
        <v>Costo eficiente: se está gastando menos de lo presupuestado</v>
      </c>
      <c r="AC653" s="84">
        <f t="shared" si="214"/>
        <v>0</v>
      </c>
      <c r="AD653" s="84" t="str">
        <f t="shared" si="191"/>
        <v>Sin Línea Base</v>
      </c>
      <c r="AE653" s="85">
        <f t="shared" si="215"/>
        <v>0</v>
      </c>
      <c r="AF653" s="85">
        <f t="shared" si="216"/>
        <v>-7123723941</v>
      </c>
      <c r="AG653" s="40" t="str">
        <f>VLOOKUP(Indicador!E653,Diccionario!C$1:AC$150,27,0)</f>
        <v>https://growdatasas.sharepoint.com/:x:/r/sites/Gestiondocumental/Administrativa/GD/Financiera/_layouts/15/Doc.aspx?sourcedoc=%7B65B8247F-DA01-4A6A-8421-57629CEF7367%7D&amp;file=MODELO%20FINANCIERO%20ANH%20FISCALIZACION%2023.09.25%20V1.xlsm&amp;action=default&amp;mobileredirect=true</v>
      </c>
      <c r="AH653" s="40">
        <v>1</v>
      </c>
      <c r="AI653" s="40">
        <v>1</v>
      </c>
    </row>
    <row r="654" spans="1:35" ht="18.75" customHeight="1">
      <c r="A654" s="73">
        <v>2026</v>
      </c>
      <c r="B654" s="112" t="s">
        <v>30</v>
      </c>
      <c r="C654" s="36" t="s">
        <v>418</v>
      </c>
      <c r="D654" s="37">
        <v>45979.862053703706</v>
      </c>
      <c r="E654" s="36" t="s">
        <v>94</v>
      </c>
      <c r="F654" s="36" t="s">
        <v>419</v>
      </c>
      <c r="G654" s="36" t="s">
        <v>420</v>
      </c>
      <c r="H654" s="36" t="s">
        <v>421</v>
      </c>
      <c r="I654" s="36" t="s">
        <v>175</v>
      </c>
      <c r="J654" s="36" t="s">
        <v>422</v>
      </c>
      <c r="K654" s="36" t="s">
        <v>339</v>
      </c>
      <c r="L654" s="74">
        <f>VLOOKUP(E654,Diccionario!C$2:AC$150,22,0)</f>
        <v>7123723941</v>
      </c>
      <c r="M654" s="75">
        <f>VLOOKUP(E654,Diccionario!C$2:AC$150,24,0)</f>
        <v>45950</v>
      </c>
      <c r="N654" s="76">
        <f>VLOOKUP(E654,Diccionario!C$2:AC$150,25,0)</f>
        <v>46387</v>
      </c>
      <c r="O654" s="77">
        <f>VLOOKUP(E654,Diccionario!C$2:AC$150,26,0)</f>
        <v>14.37</v>
      </c>
      <c r="P654" s="77">
        <f t="shared" ca="1" si="187"/>
        <v>-6.3699999999999992</v>
      </c>
      <c r="Q654" s="78">
        <f t="shared" ca="1" si="199"/>
        <v>8</v>
      </c>
      <c r="R654" s="36"/>
      <c r="S654" s="86">
        <v>0.88</v>
      </c>
      <c r="T654" s="86"/>
      <c r="U654" s="82"/>
      <c r="V654" s="82"/>
      <c r="W654" s="82">
        <f t="shared" si="212"/>
        <v>0</v>
      </c>
      <c r="X654" s="82">
        <f t="shared" si="188"/>
        <v>6268877068.0799999</v>
      </c>
      <c r="Y654" s="82">
        <f t="shared" si="213"/>
        <v>0</v>
      </c>
      <c r="Z654" s="82">
        <f t="shared" si="189"/>
        <v>-6268877068.0799999</v>
      </c>
      <c r="AA654" s="83" t="str">
        <f t="shared" si="186"/>
        <v>No se realizó gasto en este corte</v>
      </c>
      <c r="AB654" s="84" t="str">
        <f t="shared" si="190"/>
        <v>Costo eficiente: se está gastando menos de lo presupuestado</v>
      </c>
      <c r="AC654" s="84">
        <f t="shared" si="214"/>
        <v>0</v>
      </c>
      <c r="AD654" s="84" t="str">
        <f t="shared" si="191"/>
        <v>Sin Línea Base</v>
      </c>
      <c r="AE654" s="85">
        <f t="shared" si="215"/>
        <v>0</v>
      </c>
      <c r="AF654" s="85">
        <f t="shared" si="216"/>
        <v>-7123723941</v>
      </c>
      <c r="AG654" s="40" t="str">
        <f>VLOOKUP(Indicador!E654,Diccionario!C$1:AC$150,27,0)</f>
        <v>https://growdatasas.sharepoint.com/:x:/r/sites/Gestiondocumental/Administrativa/GD/Financiera/_layouts/15/Doc.aspx?sourcedoc=%7B65B8247F-DA01-4A6A-8421-57629CEF7367%7D&amp;file=MODELO%20FINANCIERO%20ANH%20FISCALIZACION%2023.09.25%20V1.xlsm&amp;action=default&amp;mobileredirect=true</v>
      </c>
      <c r="AH654" s="40">
        <v>1</v>
      </c>
      <c r="AI654" s="40">
        <v>1</v>
      </c>
    </row>
    <row r="655" spans="1:35" ht="18.75" customHeight="1">
      <c r="A655" s="73">
        <v>2026</v>
      </c>
      <c r="B655" s="112" t="s">
        <v>31</v>
      </c>
      <c r="C655" s="36" t="s">
        <v>418</v>
      </c>
      <c r="D655" s="37">
        <v>45979.862053703706</v>
      </c>
      <c r="E655" s="36" t="s">
        <v>94</v>
      </c>
      <c r="F655" s="36" t="s">
        <v>419</v>
      </c>
      <c r="G655" s="36" t="s">
        <v>420</v>
      </c>
      <c r="H655" s="36" t="s">
        <v>421</v>
      </c>
      <c r="I655" s="36" t="s">
        <v>175</v>
      </c>
      <c r="J655" s="36" t="s">
        <v>422</v>
      </c>
      <c r="K655" s="36" t="s">
        <v>339</v>
      </c>
      <c r="L655" s="74">
        <f>VLOOKUP(E655,Diccionario!C$2:AC$150,22,0)</f>
        <v>7123723941</v>
      </c>
      <c r="M655" s="75">
        <f>VLOOKUP(E655,Diccionario!C$2:AC$150,24,0)</f>
        <v>45950</v>
      </c>
      <c r="N655" s="76">
        <f>VLOOKUP(E655,Diccionario!C$2:AC$150,25,0)</f>
        <v>46387</v>
      </c>
      <c r="O655" s="77">
        <f>VLOOKUP(E655,Diccionario!C$2:AC$150,26,0)</f>
        <v>14.37</v>
      </c>
      <c r="P655" s="77">
        <f t="shared" ca="1" si="187"/>
        <v>-6.3699999999999992</v>
      </c>
      <c r="Q655" s="78">
        <f t="shared" ca="1" si="199"/>
        <v>8</v>
      </c>
      <c r="R655" s="36"/>
      <c r="S655" s="86">
        <v>0.92</v>
      </c>
      <c r="T655" s="86"/>
      <c r="U655" s="82"/>
      <c r="V655" s="82"/>
      <c r="W655" s="82">
        <f t="shared" si="212"/>
        <v>0</v>
      </c>
      <c r="X655" s="82">
        <f t="shared" si="188"/>
        <v>6553826025.7200003</v>
      </c>
      <c r="Y655" s="82">
        <f t="shared" si="213"/>
        <v>0</v>
      </c>
      <c r="Z655" s="82">
        <f t="shared" si="189"/>
        <v>-6553826025.7200003</v>
      </c>
      <c r="AA655" s="83" t="str">
        <f t="shared" si="186"/>
        <v>No se realizó gasto en este corte</v>
      </c>
      <c r="AB655" s="84" t="str">
        <f t="shared" si="190"/>
        <v>Costo eficiente: se está gastando menos de lo presupuestado</v>
      </c>
      <c r="AC655" s="84">
        <f t="shared" si="214"/>
        <v>0</v>
      </c>
      <c r="AD655" s="84" t="str">
        <f t="shared" si="191"/>
        <v>Sin Línea Base</v>
      </c>
      <c r="AE655" s="85">
        <f t="shared" si="215"/>
        <v>0</v>
      </c>
      <c r="AF655" s="85">
        <f t="shared" si="216"/>
        <v>-7123723941</v>
      </c>
      <c r="AG655" s="40" t="str">
        <f>VLOOKUP(Indicador!E655,Diccionario!C$1:AC$150,27,0)</f>
        <v>https://growdatasas.sharepoint.com/:x:/r/sites/Gestiondocumental/Administrativa/GD/Financiera/_layouts/15/Doc.aspx?sourcedoc=%7B65B8247F-DA01-4A6A-8421-57629CEF7367%7D&amp;file=MODELO%20FINANCIERO%20ANH%20FISCALIZACION%2023.09.25%20V1.xlsm&amp;action=default&amp;mobileredirect=true</v>
      </c>
      <c r="AH655" s="40">
        <v>1</v>
      </c>
      <c r="AI655" s="40">
        <v>1</v>
      </c>
    </row>
    <row r="656" spans="1:35" ht="18.75" customHeight="1">
      <c r="A656" s="73">
        <v>2026</v>
      </c>
      <c r="B656" s="112" t="s">
        <v>32</v>
      </c>
      <c r="C656" s="36" t="s">
        <v>418</v>
      </c>
      <c r="D656" s="37">
        <v>45979.862053703706</v>
      </c>
      <c r="E656" s="36" t="s">
        <v>94</v>
      </c>
      <c r="F656" s="36" t="s">
        <v>419</v>
      </c>
      <c r="G656" s="36" t="s">
        <v>420</v>
      </c>
      <c r="H656" s="36" t="s">
        <v>421</v>
      </c>
      <c r="I656" s="36" t="s">
        <v>175</v>
      </c>
      <c r="J656" s="36" t="s">
        <v>422</v>
      </c>
      <c r="K656" s="36" t="s">
        <v>339</v>
      </c>
      <c r="L656" s="74">
        <f>VLOOKUP(E656,Diccionario!C$2:AC$150,22,0)</f>
        <v>7123723941</v>
      </c>
      <c r="M656" s="75">
        <f>VLOOKUP(E656,Diccionario!C$2:AC$150,24,0)</f>
        <v>45950</v>
      </c>
      <c r="N656" s="76">
        <f>VLOOKUP(E656,Diccionario!C$2:AC$150,25,0)</f>
        <v>46387</v>
      </c>
      <c r="O656" s="77">
        <f>VLOOKUP(E656,Diccionario!C$2:AC$150,26,0)</f>
        <v>14.37</v>
      </c>
      <c r="P656" s="77">
        <f t="shared" ca="1" si="187"/>
        <v>-6.3699999999999992</v>
      </c>
      <c r="Q656" s="78">
        <f t="shared" ca="1" si="199"/>
        <v>8</v>
      </c>
      <c r="R656" s="36"/>
      <c r="S656" s="86">
        <v>1</v>
      </c>
      <c r="T656" s="86"/>
      <c r="U656" s="82"/>
      <c r="V656" s="82"/>
      <c r="W656" s="82">
        <f t="shared" si="212"/>
        <v>0</v>
      </c>
      <c r="X656" s="82">
        <f t="shared" si="188"/>
        <v>7123723941</v>
      </c>
      <c r="Y656" s="82">
        <f t="shared" si="213"/>
        <v>0</v>
      </c>
      <c r="Z656" s="82">
        <f t="shared" si="189"/>
        <v>-7123723941</v>
      </c>
      <c r="AA656" s="83" t="str">
        <f t="shared" si="186"/>
        <v>No se realizó gasto en este corte</v>
      </c>
      <c r="AB656" s="84" t="str">
        <f t="shared" si="190"/>
        <v>Costo eficiente: se está gastando menos de lo presupuestado</v>
      </c>
      <c r="AC656" s="84">
        <f t="shared" si="214"/>
        <v>0</v>
      </c>
      <c r="AD656" s="84" t="str">
        <f t="shared" si="191"/>
        <v>Sin Línea Base</v>
      </c>
      <c r="AE656" s="85">
        <f t="shared" si="215"/>
        <v>0</v>
      </c>
      <c r="AF656" s="85">
        <f t="shared" si="216"/>
        <v>-7123723941</v>
      </c>
      <c r="AG656" s="40" t="str">
        <f>VLOOKUP(Indicador!E656,Diccionario!C$1:AC$150,27,0)</f>
        <v>https://growdatasas.sharepoint.com/:x:/r/sites/Gestiondocumental/Administrativa/GD/Financiera/_layouts/15/Doc.aspx?sourcedoc=%7B65B8247F-DA01-4A6A-8421-57629CEF7367%7D&amp;file=MODELO%20FINANCIERO%20ANH%20FISCALIZACION%2023.09.25%20V1.xlsm&amp;action=default&amp;mobileredirect=true</v>
      </c>
      <c r="AH656" s="40">
        <v>1</v>
      </c>
      <c r="AI656" s="40">
        <v>1</v>
      </c>
    </row>
    <row r="657" spans="1:35" ht="18.75" customHeight="1">
      <c r="A657" s="73">
        <v>2025</v>
      </c>
      <c r="B657" s="112" t="s">
        <v>31</v>
      </c>
      <c r="C657" s="36" t="s">
        <v>423</v>
      </c>
      <c r="D657" s="37">
        <v>45986.680452627312</v>
      </c>
      <c r="E657" s="36" t="s">
        <v>111</v>
      </c>
      <c r="F657" s="36" t="s">
        <v>331</v>
      </c>
      <c r="G657" s="36" t="s">
        <v>424</v>
      </c>
      <c r="H657" s="36" t="s">
        <v>425</v>
      </c>
      <c r="I657" s="36" t="s">
        <v>175</v>
      </c>
      <c r="J657" s="36" t="s">
        <v>426</v>
      </c>
      <c r="K657" s="36" t="s">
        <v>177</v>
      </c>
      <c r="L657" s="74">
        <f>VLOOKUP(E657,Diccionario!C$2:AC$150,22,0)</f>
        <v>1117759798</v>
      </c>
      <c r="M657" s="75">
        <f>VLOOKUP(E657,Diccionario!C$2:AC$150,24,0)</f>
        <v>45962</v>
      </c>
      <c r="N657" s="76">
        <f>VLOOKUP(E657,Diccionario!C$2:AC$150,25,0)</f>
        <v>46325</v>
      </c>
      <c r="O657" s="77">
        <f>VLOOKUP(E657,Diccionario!C$2:AC$150,26,0)</f>
        <v>11.97</v>
      </c>
      <c r="P657" s="77">
        <f t="shared" ca="1" si="187"/>
        <v>-3.9700000000000006</v>
      </c>
      <c r="Q657" s="78">
        <f t="shared" ca="1" si="199"/>
        <v>8</v>
      </c>
      <c r="R657" s="36"/>
      <c r="S657" s="86"/>
      <c r="T657" s="86"/>
      <c r="U657" s="82"/>
      <c r="V657" s="82"/>
      <c r="W657" s="82">
        <f t="shared" si="212"/>
        <v>0</v>
      </c>
      <c r="X657" s="82">
        <f t="shared" si="188"/>
        <v>0</v>
      </c>
      <c r="Y657" s="82">
        <f t="shared" si="213"/>
        <v>0</v>
      </c>
      <c r="Z657" s="82">
        <f t="shared" si="189"/>
        <v>0</v>
      </c>
      <c r="AA657" s="83" t="str">
        <f t="shared" si="186"/>
        <v>No se realizó gasto en este corte</v>
      </c>
      <c r="AB657" s="84" t="str">
        <f t="shared" si="190"/>
        <v>Costo eficiente: se está gastando menos de lo presupuestado</v>
      </c>
      <c r="AC657" s="84">
        <f t="shared" si="214"/>
        <v>0</v>
      </c>
      <c r="AD657" s="84" t="str">
        <f t="shared" si="191"/>
        <v>Sin Línea Base</v>
      </c>
      <c r="AE657" s="85">
        <f t="shared" si="215"/>
        <v>0</v>
      </c>
      <c r="AF657" s="85">
        <f t="shared" si="216"/>
        <v>-1117759798</v>
      </c>
      <c r="AG657" s="40">
        <f>VLOOKUP(Indicador!E657,Diccionario!C$1:AC$150,27,0)</f>
        <v>0</v>
      </c>
      <c r="AH657" s="40">
        <v>1</v>
      </c>
      <c r="AI657" s="40">
        <v>1</v>
      </c>
    </row>
    <row r="658" spans="1:35" ht="18.75" customHeight="1">
      <c r="A658" s="73">
        <v>2025</v>
      </c>
      <c r="B658" s="112" t="s">
        <v>32</v>
      </c>
      <c r="C658" s="36" t="s">
        <v>423</v>
      </c>
      <c r="D658" s="37">
        <v>45986.680452627312</v>
      </c>
      <c r="E658" s="36" t="s">
        <v>111</v>
      </c>
      <c r="F658" s="36" t="s">
        <v>331</v>
      </c>
      <c r="G658" s="36" t="s">
        <v>424</v>
      </c>
      <c r="H658" s="36" t="s">
        <v>425</v>
      </c>
      <c r="I658" s="36" t="s">
        <v>175</v>
      </c>
      <c r="J658" s="36" t="s">
        <v>426</v>
      </c>
      <c r="K658" s="36" t="s">
        <v>177</v>
      </c>
      <c r="L658" s="74">
        <f>VLOOKUP(E658,Diccionario!C$2:AC$150,22,0)</f>
        <v>1117759798</v>
      </c>
      <c r="M658" s="75">
        <f>VLOOKUP(E658,Diccionario!C$2:AC$150,24,0)</f>
        <v>45962</v>
      </c>
      <c r="N658" s="76">
        <f>VLOOKUP(E658,Diccionario!C$2:AC$150,25,0)</f>
        <v>46325</v>
      </c>
      <c r="O658" s="77">
        <f>VLOOKUP(E658,Diccionario!C$2:AC$150,26,0)</f>
        <v>11.97</v>
      </c>
      <c r="P658" s="77">
        <f t="shared" ca="1" si="187"/>
        <v>-3.9700000000000006</v>
      </c>
      <c r="Q658" s="78">
        <f t="shared" ca="1" si="199"/>
        <v>8</v>
      </c>
      <c r="R658" s="36"/>
      <c r="S658" s="86"/>
      <c r="T658" s="86"/>
      <c r="U658" s="82"/>
      <c r="V658" s="82"/>
      <c r="W658" s="82">
        <f t="shared" si="212"/>
        <v>0</v>
      </c>
      <c r="X658" s="82">
        <f t="shared" si="188"/>
        <v>0</v>
      </c>
      <c r="Y658" s="82">
        <f t="shared" si="213"/>
        <v>0</v>
      </c>
      <c r="Z658" s="82">
        <f t="shared" si="189"/>
        <v>0</v>
      </c>
      <c r="AA658" s="83" t="str">
        <f t="shared" si="186"/>
        <v>No se realizó gasto en este corte</v>
      </c>
      <c r="AB658" s="84" t="str">
        <f t="shared" si="190"/>
        <v>Costo eficiente: se está gastando menos de lo presupuestado</v>
      </c>
      <c r="AC658" s="84">
        <f t="shared" si="214"/>
        <v>0</v>
      </c>
      <c r="AD658" s="84" t="str">
        <f t="shared" si="191"/>
        <v>Sin Línea Base</v>
      </c>
      <c r="AE658" s="85">
        <f t="shared" si="215"/>
        <v>0</v>
      </c>
      <c r="AF658" s="85">
        <f t="shared" si="216"/>
        <v>-1117759798</v>
      </c>
      <c r="AG658" s="40">
        <f>VLOOKUP(Indicador!E658,Diccionario!C$1:AC$150,27,0)</f>
        <v>0</v>
      </c>
      <c r="AH658" s="40">
        <v>1</v>
      </c>
      <c r="AI658" s="40">
        <v>1</v>
      </c>
    </row>
    <row r="659" spans="1:35" ht="18.75" customHeight="1">
      <c r="A659" s="73">
        <v>2026</v>
      </c>
      <c r="B659" s="112" t="s">
        <v>14</v>
      </c>
      <c r="C659" s="36" t="s">
        <v>423</v>
      </c>
      <c r="D659" s="37">
        <v>45986.680452627312</v>
      </c>
      <c r="E659" s="36" t="s">
        <v>111</v>
      </c>
      <c r="F659" s="36" t="s">
        <v>331</v>
      </c>
      <c r="G659" s="36" t="s">
        <v>424</v>
      </c>
      <c r="H659" s="36" t="s">
        <v>425</v>
      </c>
      <c r="I659" s="36" t="s">
        <v>175</v>
      </c>
      <c r="J659" s="36" t="s">
        <v>426</v>
      </c>
      <c r="K659" s="36" t="s">
        <v>177</v>
      </c>
      <c r="L659" s="74">
        <f>VLOOKUP(E659,Diccionario!C$2:AC$150,22,0)</f>
        <v>1117759798</v>
      </c>
      <c r="M659" s="75">
        <f>VLOOKUP(E659,Diccionario!C$2:AC$150,24,0)</f>
        <v>45962</v>
      </c>
      <c r="N659" s="76">
        <f>VLOOKUP(E659,Diccionario!C$2:AC$150,25,0)</f>
        <v>46325</v>
      </c>
      <c r="O659" s="77">
        <f>VLOOKUP(E659,Diccionario!C$2:AC$150,26,0)</f>
        <v>11.97</v>
      </c>
      <c r="P659" s="77">
        <f t="shared" ca="1" si="187"/>
        <v>-3.9700000000000006</v>
      </c>
      <c r="Q659" s="78">
        <f t="shared" ca="1" si="199"/>
        <v>8</v>
      </c>
      <c r="R659" s="36"/>
      <c r="S659" s="86"/>
      <c r="T659" s="86"/>
      <c r="U659" s="82"/>
      <c r="V659" s="82"/>
      <c r="W659" s="82">
        <f t="shared" si="212"/>
        <v>0</v>
      </c>
      <c r="X659" s="82">
        <f t="shared" si="188"/>
        <v>0</v>
      </c>
      <c r="Y659" s="82">
        <f t="shared" si="213"/>
        <v>0</v>
      </c>
      <c r="Z659" s="82">
        <f t="shared" si="189"/>
        <v>0</v>
      </c>
      <c r="AA659" s="83" t="str">
        <f t="shared" si="186"/>
        <v>No se realizó gasto en este corte</v>
      </c>
      <c r="AB659" s="84" t="str">
        <f t="shared" si="190"/>
        <v>Costo eficiente: se está gastando menos de lo presupuestado</v>
      </c>
      <c r="AC659" s="84">
        <f t="shared" si="214"/>
        <v>0</v>
      </c>
      <c r="AD659" s="84" t="str">
        <f t="shared" si="191"/>
        <v>Sin Línea Base</v>
      </c>
      <c r="AE659" s="85">
        <f t="shared" si="215"/>
        <v>0</v>
      </c>
      <c r="AF659" s="85">
        <f t="shared" si="216"/>
        <v>-1117759798</v>
      </c>
      <c r="AG659" s="40">
        <f>VLOOKUP(Indicador!E659,Diccionario!C$1:AC$150,27,0)</f>
        <v>0</v>
      </c>
      <c r="AH659" s="40">
        <v>1</v>
      </c>
      <c r="AI659" s="40">
        <v>1</v>
      </c>
    </row>
    <row r="660" spans="1:35" ht="18.75" customHeight="1">
      <c r="A660" s="73">
        <v>2026</v>
      </c>
      <c r="B660" s="112" t="s">
        <v>22</v>
      </c>
      <c r="C660" s="36" t="s">
        <v>423</v>
      </c>
      <c r="D660" s="37">
        <v>45986.680452627312</v>
      </c>
      <c r="E660" s="36" t="s">
        <v>111</v>
      </c>
      <c r="F660" s="36" t="s">
        <v>331</v>
      </c>
      <c r="G660" s="36" t="s">
        <v>424</v>
      </c>
      <c r="H660" s="36" t="s">
        <v>425</v>
      </c>
      <c r="I660" s="36" t="s">
        <v>175</v>
      </c>
      <c r="J660" s="36" t="s">
        <v>426</v>
      </c>
      <c r="K660" s="36" t="s">
        <v>177</v>
      </c>
      <c r="L660" s="74">
        <f>VLOOKUP(E660,Diccionario!C$2:AC$150,22,0)</f>
        <v>1117759798</v>
      </c>
      <c r="M660" s="75">
        <f>VLOOKUP(E660,Diccionario!C$2:AC$150,24,0)</f>
        <v>45962</v>
      </c>
      <c r="N660" s="76">
        <f>VLOOKUP(E660,Diccionario!C$2:AC$150,25,0)</f>
        <v>46325</v>
      </c>
      <c r="O660" s="77">
        <f>VLOOKUP(E660,Diccionario!C$2:AC$150,26,0)</f>
        <v>11.97</v>
      </c>
      <c r="P660" s="77">
        <f t="shared" ca="1" si="187"/>
        <v>-3.9700000000000006</v>
      </c>
      <c r="Q660" s="78">
        <f t="shared" ca="1" si="199"/>
        <v>8</v>
      </c>
      <c r="R660" s="36"/>
      <c r="S660" s="86"/>
      <c r="T660" s="86"/>
      <c r="U660" s="82"/>
      <c r="V660" s="82"/>
      <c r="W660" s="82">
        <f t="shared" si="212"/>
        <v>0</v>
      </c>
      <c r="X660" s="82">
        <f t="shared" si="188"/>
        <v>0</v>
      </c>
      <c r="Y660" s="82">
        <f t="shared" si="213"/>
        <v>0</v>
      </c>
      <c r="Z660" s="82">
        <f t="shared" si="189"/>
        <v>0</v>
      </c>
      <c r="AA660" s="83" t="str">
        <f t="shared" si="186"/>
        <v>No se realizó gasto en este corte</v>
      </c>
      <c r="AB660" s="84" t="str">
        <f t="shared" si="190"/>
        <v>Costo eficiente: se está gastando menos de lo presupuestado</v>
      </c>
      <c r="AC660" s="84">
        <f t="shared" si="214"/>
        <v>0</v>
      </c>
      <c r="AD660" s="84" t="str">
        <f t="shared" si="191"/>
        <v>Sin Línea Base</v>
      </c>
      <c r="AE660" s="85">
        <f t="shared" si="215"/>
        <v>0</v>
      </c>
      <c r="AF660" s="85">
        <f t="shared" si="216"/>
        <v>-1117759798</v>
      </c>
      <c r="AG660" s="40">
        <f>VLOOKUP(Indicador!E660,Diccionario!C$1:AC$150,27,0)</f>
        <v>0</v>
      </c>
      <c r="AH660" s="40">
        <v>1</v>
      </c>
      <c r="AI660" s="40">
        <v>1</v>
      </c>
    </row>
    <row r="661" spans="1:35" ht="18.75" customHeight="1">
      <c r="A661" s="73">
        <v>2026</v>
      </c>
      <c r="B661" s="112" t="s">
        <v>24</v>
      </c>
      <c r="C661" s="36" t="s">
        <v>423</v>
      </c>
      <c r="D661" s="37">
        <v>45986.680452627312</v>
      </c>
      <c r="E661" s="36" t="s">
        <v>111</v>
      </c>
      <c r="F661" s="36" t="s">
        <v>331</v>
      </c>
      <c r="G661" s="36" t="s">
        <v>424</v>
      </c>
      <c r="H661" s="36" t="s">
        <v>425</v>
      </c>
      <c r="I661" s="36" t="s">
        <v>175</v>
      </c>
      <c r="J661" s="36" t="s">
        <v>426</v>
      </c>
      <c r="K661" s="36" t="s">
        <v>177</v>
      </c>
      <c r="L661" s="74">
        <f>VLOOKUP(E661,Diccionario!C$2:AC$150,22,0)</f>
        <v>1117759798</v>
      </c>
      <c r="M661" s="75">
        <f>VLOOKUP(E661,Diccionario!C$2:AC$150,24,0)</f>
        <v>45962</v>
      </c>
      <c r="N661" s="76">
        <f>VLOOKUP(E661,Diccionario!C$2:AC$150,25,0)</f>
        <v>46325</v>
      </c>
      <c r="O661" s="77">
        <f>VLOOKUP(E661,Diccionario!C$2:AC$150,26,0)</f>
        <v>11.97</v>
      </c>
      <c r="P661" s="77">
        <f t="shared" ca="1" si="187"/>
        <v>-3.9700000000000006</v>
      </c>
      <c r="Q661" s="78">
        <f t="shared" ca="1" si="199"/>
        <v>8</v>
      </c>
      <c r="R661" s="36"/>
      <c r="S661" s="86"/>
      <c r="T661" s="86"/>
      <c r="U661" s="82"/>
      <c r="V661" s="82"/>
      <c r="W661" s="82">
        <f t="shared" si="212"/>
        <v>0</v>
      </c>
      <c r="X661" s="82">
        <f t="shared" si="188"/>
        <v>0</v>
      </c>
      <c r="Y661" s="82">
        <f t="shared" si="213"/>
        <v>0</v>
      </c>
      <c r="Z661" s="82">
        <f t="shared" si="189"/>
        <v>0</v>
      </c>
      <c r="AA661" s="83" t="str">
        <f t="shared" si="186"/>
        <v>No se realizó gasto en este corte</v>
      </c>
      <c r="AB661" s="84" t="str">
        <f t="shared" si="190"/>
        <v>Costo eficiente: se está gastando menos de lo presupuestado</v>
      </c>
      <c r="AC661" s="84">
        <f t="shared" si="214"/>
        <v>0</v>
      </c>
      <c r="AD661" s="84" t="str">
        <f t="shared" si="191"/>
        <v>Sin Línea Base</v>
      </c>
      <c r="AE661" s="85">
        <f t="shared" si="215"/>
        <v>0</v>
      </c>
      <c r="AF661" s="85">
        <f t="shared" si="216"/>
        <v>-1117759798</v>
      </c>
      <c r="AG661" s="40">
        <f>VLOOKUP(Indicador!E661,Diccionario!C$1:AC$150,27,0)</f>
        <v>0</v>
      </c>
      <c r="AH661" s="40">
        <v>1</v>
      </c>
      <c r="AI661" s="40">
        <v>1</v>
      </c>
    </row>
    <row r="662" spans="1:35" ht="18.75" customHeight="1">
      <c r="A662" s="73">
        <v>2026</v>
      </c>
      <c r="B662" s="112" t="s">
        <v>27</v>
      </c>
      <c r="C662" s="36" t="s">
        <v>423</v>
      </c>
      <c r="D662" s="37">
        <v>45986.680452627312</v>
      </c>
      <c r="E662" s="36" t="s">
        <v>111</v>
      </c>
      <c r="F662" s="36" t="s">
        <v>331</v>
      </c>
      <c r="G662" s="36" t="s">
        <v>424</v>
      </c>
      <c r="H662" s="36" t="s">
        <v>425</v>
      </c>
      <c r="I662" s="36" t="s">
        <v>175</v>
      </c>
      <c r="J662" s="36" t="s">
        <v>426</v>
      </c>
      <c r="K662" s="36" t="s">
        <v>177</v>
      </c>
      <c r="L662" s="74">
        <f>VLOOKUP(E662,Diccionario!C$2:AC$150,22,0)</f>
        <v>1117759798</v>
      </c>
      <c r="M662" s="75">
        <f>VLOOKUP(E662,Diccionario!C$2:AC$150,24,0)</f>
        <v>45962</v>
      </c>
      <c r="N662" s="76">
        <f>VLOOKUP(E662,Diccionario!C$2:AC$150,25,0)</f>
        <v>46325</v>
      </c>
      <c r="O662" s="77">
        <f>VLOOKUP(E662,Diccionario!C$2:AC$150,26,0)</f>
        <v>11.97</v>
      </c>
      <c r="P662" s="77">
        <f t="shared" ca="1" si="187"/>
        <v>-3.9700000000000006</v>
      </c>
      <c r="Q662" s="78">
        <f t="shared" ca="1" si="199"/>
        <v>8</v>
      </c>
      <c r="R662" s="36"/>
      <c r="S662" s="86"/>
      <c r="T662" s="86"/>
      <c r="U662" s="82"/>
      <c r="V662" s="82"/>
      <c r="W662" s="82">
        <f t="shared" si="212"/>
        <v>0</v>
      </c>
      <c r="X662" s="82">
        <f t="shared" si="188"/>
        <v>0</v>
      </c>
      <c r="Y662" s="82">
        <f t="shared" si="213"/>
        <v>0</v>
      </c>
      <c r="Z662" s="82">
        <f t="shared" si="189"/>
        <v>0</v>
      </c>
      <c r="AA662" s="83" t="str">
        <f t="shared" ref="AA662:AA725" si="217">IFERROR(W662/U662,"No se realizó gasto en este corte")</f>
        <v>No se realizó gasto en este corte</v>
      </c>
      <c r="AB662" s="84" t="str">
        <f t="shared" si="190"/>
        <v>Costo eficiente: se está gastando menos de lo presupuestado</v>
      </c>
      <c r="AC662" s="84">
        <f t="shared" si="214"/>
        <v>0</v>
      </c>
      <c r="AD662" s="84" t="str">
        <f t="shared" si="191"/>
        <v>Sin Línea Base</v>
      </c>
      <c r="AE662" s="85">
        <f t="shared" si="215"/>
        <v>0</v>
      </c>
      <c r="AF662" s="85">
        <f t="shared" si="216"/>
        <v>-1117759798</v>
      </c>
      <c r="AG662" s="40">
        <f>VLOOKUP(Indicador!E662,Diccionario!C$1:AC$150,27,0)</f>
        <v>0</v>
      </c>
      <c r="AH662" s="40">
        <v>1</v>
      </c>
      <c r="AI662" s="40">
        <v>1</v>
      </c>
    </row>
    <row r="663" spans="1:35" ht="18.75" customHeight="1">
      <c r="A663" s="73">
        <v>2026</v>
      </c>
      <c r="B663" s="112" t="s">
        <v>13</v>
      </c>
      <c r="C663" s="36" t="s">
        <v>423</v>
      </c>
      <c r="D663" s="37">
        <v>45986.680452627312</v>
      </c>
      <c r="E663" s="36" t="s">
        <v>111</v>
      </c>
      <c r="F663" s="36" t="s">
        <v>331</v>
      </c>
      <c r="G663" s="36" t="s">
        <v>424</v>
      </c>
      <c r="H663" s="36" t="s">
        <v>425</v>
      </c>
      <c r="I663" s="36" t="s">
        <v>175</v>
      </c>
      <c r="J663" s="36" t="s">
        <v>426</v>
      </c>
      <c r="K663" s="36" t="s">
        <v>177</v>
      </c>
      <c r="L663" s="74">
        <f>VLOOKUP(E663,Diccionario!C$2:AC$150,22,0)</f>
        <v>1117759798</v>
      </c>
      <c r="M663" s="75">
        <f>VLOOKUP(E663,Diccionario!C$2:AC$150,24,0)</f>
        <v>45962</v>
      </c>
      <c r="N663" s="76">
        <f>VLOOKUP(E663,Diccionario!C$2:AC$150,25,0)</f>
        <v>46325</v>
      </c>
      <c r="O663" s="77">
        <f>VLOOKUP(E663,Diccionario!C$2:AC$150,26,0)</f>
        <v>11.97</v>
      </c>
      <c r="P663" s="77">
        <f t="shared" ca="1" si="187"/>
        <v>-3.9700000000000006</v>
      </c>
      <c r="Q663" s="78">
        <f t="shared" ca="1" si="199"/>
        <v>8</v>
      </c>
      <c r="R663" s="36"/>
      <c r="S663" s="86"/>
      <c r="T663" s="86"/>
      <c r="U663" s="82"/>
      <c r="V663" s="82"/>
      <c r="W663" s="82">
        <f t="shared" si="212"/>
        <v>0</v>
      </c>
      <c r="X663" s="82">
        <f t="shared" si="188"/>
        <v>0</v>
      </c>
      <c r="Y663" s="82">
        <f t="shared" si="213"/>
        <v>0</v>
      </c>
      <c r="Z663" s="82">
        <f t="shared" si="189"/>
        <v>0</v>
      </c>
      <c r="AA663" s="83" t="str">
        <f t="shared" si="217"/>
        <v>No se realizó gasto en este corte</v>
      </c>
      <c r="AB663" s="84" t="str">
        <f t="shared" si="190"/>
        <v>Costo eficiente: se está gastando menos de lo presupuestado</v>
      </c>
      <c r="AC663" s="84">
        <f t="shared" si="214"/>
        <v>0</v>
      </c>
      <c r="AD663" s="84" t="str">
        <f t="shared" si="191"/>
        <v>Sin Línea Base</v>
      </c>
      <c r="AE663" s="85">
        <f t="shared" si="215"/>
        <v>0</v>
      </c>
      <c r="AF663" s="85">
        <f t="shared" si="216"/>
        <v>-1117759798</v>
      </c>
      <c r="AG663" s="40">
        <f>VLOOKUP(Indicador!E663,Diccionario!C$1:AC$150,27,0)</f>
        <v>0</v>
      </c>
      <c r="AH663" s="40">
        <v>1</v>
      </c>
      <c r="AI663" s="40">
        <v>1</v>
      </c>
    </row>
    <row r="664" spans="1:35" ht="18.75" customHeight="1">
      <c r="A664" s="73">
        <v>2026</v>
      </c>
      <c r="B664" s="112" t="s">
        <v>21</v>
      </c>
      <c r="C664" s="36" t="s">
        <v>423</v>
      </c>
      <c r="D664" s="37">
        <v>45986.680452627312</v>
      </c>
      <c r="E664" s="36" t="s">
        <v>111</v>
      </c>
      <c r="F664" s="36" t="s">
        <v>331</v>
      </c>
      <c r="G664" s="36" t="s">
        <v>424</v>
      </c>
      <c r="H664" s="36" t="s">
        <v>425</v>
      </c>
      <c r="I664" s="36" t="s">
        <v>175</v>
      </c>
      <c r="J664" s="36" t="s">
        <v>426</v>
      </c>
      <c r="K664" s="36" t="s">
        <v>177</v>
      </c>
      <c r="L664" s="74">
        <f>VLOOKUP(E664,Diccionario!C$2:AC$150,22,0)</f>
        <v>1117759798</v>
      </c>
      <c r="M664" s="75">
        <f>VLOOKUP(E664,Diccionario!C$2:AC$150,24,0)</f>
        <v>45962</v>
      </c>
      <c r="N664" s="76">
        <f>VLOOKUP(E664,Diccionario!C$2:AC$150,25,0)</f>
        <v>46325</v>
      </c>
      <c r="O664" s="77">
        <f>VLOOKUP(E664,Diccionario!C$2:AC$150,26,0)</f>
        <v>11.97</v>
      </c>
      <c r="P664" s="77">
        <f t="shared" ca="1" si="187"/>
        <v>-3.9700000000000006</v>
      </c>
      <c r="Q664" s="78">
        <f t="shared" ca="1" si="199"/>
        <v>8</v>
      </c>
      <c r="R664" s="36"/>
      <c r="S664" s="86"/>
      <c r="T664" s="86"/>
      <c r="U664" s="82"/>
      <c r="V664" s="82"/>
      <c r="W664" s="82">
        <f t="shared" si="212"/>
        <v>0</v>
      </c>
      <c r="X664" s="82">
        <f t="shared" si="188"/>
        <v>0</v>
      </c>
      <c r="Y664" s="82">
        <f t="shared" si="213"/>
        <v>0</v>
      </c>
      <c r="Z664" s="82">
        <f t="shared" si="189"/>
        <v>0</v>
      </c>
      <c r="AA664" s="83" t="str">
        <f t="shared" si="217"/>
        <v>No se realizó gasto en este corte</v>
      </c>
      <c r="AB664" s="84" t="str">
        <f t="shared" si="190"/>
        <v>Costo eficiente: se está gastando menos de lo presupuestado</v>
      </c>
      <c r="AC664" s="84">
        <f t="shared" si="214"/>
        <v>0</v>
      </c>
      <c r="AD664" s="84" t="str">
        <f t="shared" si="191"/>
        <v>Sin Línea Base</v>
      </c>
      <c r="AE664" s="85">
        <f t="shared" si="215"/>
        <v>0</v>
      </c>
      <c r="AF664" s="85">
        <f t="shared" si="216"/>
        <v>-1117759798</v>
      </c>
      <c r="AG664" s="40">
        <f>VLOOKUP(Indicador!E664,Diccionario!C$1:AC$150,27,0)</f>
        <v>0</v>
      </c>
      <c r="AH664" s="40">
        <v>1</v>
      </c>
      <c r="AI664" s="40">
        <v>1</v>
      </c>
    </row>
    <row r="665" spans="1:35" ht="18.75" customHeight="1">
      <c r="A665" s="73">
        <v>2026</v>
      </c>
      <c r="B665" s="112" t="s">
        <v>23</v>
      </c>
      <c r="C665" s="36" t="s">
        <v>423</v>
      </c>
      <c r="D665" s="37">
        <v>45986.680452627312</v>
      </c>
      <c r="E665" s="36" t="s">
        <v>111</v>
      </c>
      <c r="F665" s="36" t="s">
        <v>331</v>
      </c>
      <c r="G665" s="36" t="s">
        <v>424</v>
      </c>
      <c r="H665" s="36" t="s">
        <v>425</v>
      </c>
      <c r="I665" s="36" t="s">
        <v>175</v>
      </c>
      <c r="J665" s="36" t="s">
        <v>426</v>
      </c>
      <c r="K665" s="36" t="s">
        <v>177</v>
      </c>
      <c r="L665" s="74">
        <f>VLOOKUP(E665,Diccionario!C$2:AC$150,22,0)</f>
        <v>1117759798</v>
      </c>
      <c r="M665" s="75">
        <f>VLOOKUP(E665,Diccionario!C$2:AC$150,24,0)</f>
        <v>45962</v>
      </c>
      <c r="N665" s="76">
        <f>VLOOKUP(E665,Diccionario!C$2:AC$150,25,0)</f>
        <v>46325</v>
      </c>
      <c r="O665" s="77">
        <f>VLOOKUP(E665,Diccionario!C$2:AC$150,26,0)</f>
        <v>11.97</v>
      </c>
      <c r="P665" s="77">
        <f t="shared" ca="1" si="187"/>
        <v>-3.9700000000000006</v>
      </c>
      <c r="Q665" s="78">
        <f t="shared" ca="1" si="199"/>
        <v>8</v>
      </c>
      <c r="R665" s="36"/>
      <c r="S665" s="86"/>
      <c r="T665" s="86"/>
      <c r="U665" s="82"/>
      <c r="V665" s="82"/>
      <c r="W665" s="82">
        <f t="shared" si="212"/>
        <v>0</v>
      </c>
      <c r="X665" s="82">
        <f t="shared" si="188"/>
        <v>0</v>
      </c>
      <c r="Y665" s="82">
        <f t="shared" si="213"/>
        <v>0</v>
      </c>
      <c r="Z665" s="82">
        <f t="shared" si="189"/>
        <v>0</v>
      </c>
      <c r="AA665" s="83" t="str">
        <f t="shared" si="217"/>
        <v>No se realizó gasto en este corte</v>
      </c>
      <c r="AB665" s="84" t="str">
        <f t="shared" si="190"/>
        <v>Costo eficiente: se está gastando menos de lo presupuestado</v>
      </c>
      <c r="AC665" s="84">
        <f t="shared" si="214"/>
        <v>0</v>
      </c>
      <c r="AD665" s="84" t="str">
        <f t="shared" si="191"/>
        <v>Sin Línea Base</v>
      </c>
      <c r="AE665" s="85">
        <f t="shared" si="215"/>
        <v>0</v>
      </c>
      <c r="AF665" s="85">
        <f t="shared" si="216"/>
        <v>-1117759798</v>
      </c>
      <c r="AG665" s="40">
        <f>VLOOKUP(Indicador!E665,Diccionario!C$1:AC$150,27,0)</f>
        <v>0</v>
      </c>
      <c r="AH665" s="40">
        <v>1</v>
      </c>
      <c r="AI665" s="40">
        <v>1</v>
      </c>
    </row>
    <row r="666" spans="1:35" ht="18.75" customHeight="1">
      <c r="A666" s="73">
        <v>2026</v>
      </c>
      <c r="B666" s="112" t="s">
        <v>26</v>
      </c>
      <c r="C666" s="36" t="s">
        <v>423</v>
      </c>
      <c r="D666" s="37">
        <v>45986.680452627312</v>
      </c>
      <c r="E666" s="36" t="s">
        <v>111</v>
      </c>
      <c r="F666" s="36" t="s">
        <v>331</v>
      </c>
      <c r="G666" s="36" t="s">
        <v>424</v>
      </c>
      <c r="H666" s="36" t="s">
        <v>425</v>
      </c>
      <c r="I666" s="36" t="s">
        <v>175</v>
      </c>
      <c r="J666" s="36" t="s">
        <v>426</v>
      </c>
      <c r="K666" s="36" t="s">
        <v>177</v>
      </c>
      <c r="L666" s="74">
        <f>VLOOKUP(E666,Diccionario!C$2:AC$150,22,0)</f>
        <v>1117759798</v>
      </c>
      <c r="M666" s="75">
        <f>VLOOKUP(E666,Diccionario!C$2:AC$150,24,0)</f>
        <v>45962</v>
      </c>
      <c r="N666" s="76">
        <f>VLOOKUP(E666,Diccionario!C$2:AC$150,25,0)</f>
        <v>46325</v>
      </c>
      <c r="O666" s="77">
        <f>VLOOKUP(E666,Diccionario!C$2:AC$150,26,0)</f>
        <v>11.97</v>
      </c>
      <c r="P666" s="77">
        <f t="shared" ca="1" si="187"/>
        <v>-3.9700000000000006</v>
      </c>
      <c r="Q666" s="78">
        <f t="shared" ca="1" si="199"/>
        <v>8</v>
      </c>
      <c r="R666" s="36"/>
      <c r="S666" s="86"/>
      <c r="T666" s="86"/>
      <c r="U666" s="82"/>
      <c r="V666" s="82"/>
      <c r="W666" s="82">
        <f t="shared" si="212"/>
        <v>0</v>
      </c>
      <c r="X666" s="82">
        <f t="shared" si="188"/>
        <v>0</v>
      </c>
      <c r="Y666" s="82">
        <f t="shared" si="213"/>
        <v>0</v>
      </c>
      <c r="Z666" s="82">
        <f t="shared" si="189"/>
        <v>0</v>
      </c>
      <c r="AA666" s="83" t="str">
        <f t="shared" si="217"/>
        <v>No se realizó gasto en este corte</v>
      </c>
      <c r="AB666" s="84" t="str">
        <f t="shared" si="190"/>
        <v>Costo eficiente: se está gastando menos de lo presupuestado</v>
      </c>
      <c r="AC666" s="84">
        <f t="shared" si="214"/>
        <v>0</v>
      </c>
      <c r="AD666" s="84" t="str">
        <f t="shared" si="191"/>
        <v>Sin Línea Base</v>
      </c>
      <c r="AE666" s="85">
        <f t="shared" si="215"/>
        <v>0</v>
      </c>
      <c r="AF666" s="85">
        <f t="shared" si="216"/>
        <v>-1117759798</v>
      </c>
      <c r="AG666" s="40">
        <f>VLOOKUP(Indicador!E666,Diccionario!C$1:AC$150,27,0)</f>
        <v>0</v>
      </c>
      <c r="AH666" s="40">
        <v>1</v>
      </c>
      <c r="AI666" s="40">
        <v>1</v>
      </c>
    </row>
    <row r="667" spans="1:35" ht="18.75" customHeight="1">
      <c r="A667" s="73">
        <v>2026</v>
      </c>
      <c r="B667" s="112" t="s">
        <v>28</v>
      </c>
      <c r="C667" s="36" t="s">
        <v>423</v>
      </c>
      <c r="D667" s="37">
        <v>45986.680452627312</v>
      </c>
      <c r="E667" s="36" t="s">
        <v>111</v>
      </c>
      <c r="F667" s="36" t="s">
        <v>331</v>
      </c>
      <c r="G667" s="36" t="s">
        <v>424</v>
      </c>
      <c r="H667" s="36" t="s">
        <v>425</v>
      </c>
      <c r="I667" s="36" t="s">
        <v>175</v>
      </c>
      <c r="J667" s="36" t="s">
        <v>426</v>
      </c>
      <c r="K667" s="36" t="s">
        <v>177</v>
      </c>
      <c r="L667" s="74">
        <f>VLOOKUP(E667,Diccionario!C$2:AC$150,22,0)</f>
        <v>1117759798</v>
      </c>
      <c r="M667" s="75">
        <f>VLOOKUP(E667,Diccionario!C$2:AC$150,24,0)</f>
        <v>45962</v>
      </c>
      <c r="N667" s="76">
        <f>VLOOKUP(E667,Diccionario!C$2:AC$150,25,0)</f>
        <v>46325</v>
      </c>
      <c r="O667" s="77">
        <f>VLOOKUP(E667,Diccionario!C$2:AC$150,26,0)</f>
        <v>11.97</v>
      </c>
      <c r="P667" s="77">
        <f t="shared" ca="1" si="187"/>
        <v>-3.9700000000000006</v>
      </c>
      <c r="Q667" s="78">
        <f t="shared" ca="1" si="199"/>
        <v>8</v>
      </c>
      <c r="R667" s="36"/>
      <c r="S667" s="86"/>
      <c r="T667" s="86"/>
      <c r="U667" s="82"/>
      <c r="V667" s="82"/>
      <c r="W667" s="82">
        <f t="shared" si="212"/>
        <v>0</v>
      </c>
      <c r="X667" s="82">
        <f t="shared" si="188"/>
        <v>0</v>
      </c>
      <c r="Y667" s="82">
        <f t="shared" si="213"/>
        <v>0</v>
      </c>
      <c r="Z667" s="82">
        <f t="shared" si="189"/>
        <v>0</v>
      </c>
      <c r="AA667" s="83" t="str">
        <f t="shared" si="217"/>
        <v>No se realizó gasto en este corte</v>
      </c>
      <c r="AB667" s="84" t="str">
        <f t="shared" si="190"/>
        <v>Costo eficiente: se está gastando menos de lo presupuestado</v>
      </c>
      <c r="AC667" s="84">
        <f t="shared" si="214"/>
        <v>0</v>
      </c>
      <c r="AD667" s="84" t="str">
        <f t="shared" si="191"/>
        <v>Sin Línea Base</v>
      </c>
      <c r="AE667" s="85">
        <f t="shared" si="215"/>
        <v>0</v>
      </c>
      <c r="AF667" s="85">
        <f t="shared" si="216"/>
        <v>-1117759798</v>
      </c>
      <c r="AG667" s="40">
        <f>VLOOKUP(Indicador!E667,Diccionario!C$1:AC$150,27,0)</f>
        <v>0</v>
      </c>
      <c r="AH667" s="40">
        <v>1</v>
      </c>
      <c r="AI667" s="40">
        <v>1</v>
      </c>
    </row>
    <row r="668" spans="1:35" ht="18.75" customHeight="1">
      <c r="A668" s="73">
        <v>2026</v>
      </c>
      <c r="B668" s="112" t="s">
        <v>30</v>
      </c>
      <c r="C668" s="36" t="s">
        <v>423</v>
      </c>
      <c r="D668" s="37">
        <v>45986.680452627312</v>
      </c>
      <c r="E668" s="36" t="s">
        <v>111</v>
      </c>
      <c r="F668" s="36" t="s">
        <v>331</v>
      </c>
      <c r="G668" s="36" t="s">
        <v>424</v>
      </c>
      <c r="H668" s="36" t="s">
        <v>425</v>
      </c>
      <c r="I668" s="36" t="s">
        <v>175</v>
      </c>
      <c r="J668" s="36" t="s">
        <v>426</v>
      </c>
      <c r="K668" s="36" t="s">
        <v>177</v>
      </c>
      <c r="L668" s="74">
        <f>VLOOKUP(E668,Diccionario!C$2:AC$150,22,0)</f>
        <v>1117759798</v>
      </c>
      <c r="M668" s="75">
        <f>VLOOKUP(E668,Diccionario!C$2:AC$150,24,0)</f>
        <v>45962</v>
      </c>
      <c r="N668" s="76">
        <f>VLOOKUP(E668,Diccionario!C$2:AC$150,25,0)</f>
        <v>46325</v>
      </c>
      <c r="O668" s="77">
        <f>VLOOKUP(E668,Diccionario!C$2:AC$150,26,0)</f>
        <v>11.97</v>
      </c>
      <c r="P668" s="77">
        <f t="shared" ca="1" si="187"/>
        <v>-3.9700000000000006</v>
      </c>
      <c r="Q668" s="78">
        <f t="shared" ca="1" si="199"/>
        <v>8</v>
      </c>
      <c r="R668" s="36"/>
      <c r="S668" s="86"/>
      <c r="T668" s="86"/>
      <c r="U668" s="82"/>
      <c r="V668" s="82"/>
      <c r="W668" s="82">
        <f t="shared" si="212"/>
        <v>0</v>
      </c>
      <c r="X668" s="82">
        <f t="shared" si="188"/>
        <v>0</v>
      </c>
      <c r="Y668" s="82">
        <f t="shared" si="213"/>
        <v>0</v>
      </c>
      <c r="Z668" s="82">
        <f t="shared" si="189"/>
        <v>0</v>
      </c>
      <c r="AA668" s="83" t="str">
        <f t="shared" si="217"/>
        <v>No se realizó gasto en este corte</v>
      </c>
      <c r="AB668" s="84" t="str">
        <f t="shared" si="190"/>
        <v>Costo eficiente: se está gastando menos de lo presupuestado</v>
      </c>
      <c r="AC668" s="84">
        <f t="shared" si="214"/>
        <v>0</v>
      </c>
      <c r="AD668" s="84" t="str">
        <f t="shared" si="191"/>
        <v>Sin Línea Base</v>
      </c>
      <c r="AE668" s="85">
        <f t="shared" si="215"/>
        <v>0</v>
      </c>
      <c r="AF668" s="85">
        <f t="shared" si="216"/>
        <v>-1117759798</v>
      </c>
      <c r="AG668" s="40">
        <f>VLOOKUP(Indicador!E668,Diccionario!C$1:AC$150,27,0)</f>
        <v>0</v>
      </c>
      <c r="AH668" s="40">
        <v>1</v>
      </c>
      <c r="AI668" s="40">
        <v>1</v>
      </c>
    </row>
    <row r="669" spans="1:35" ht="18.75" customHeight="1">
      <c r="A669" s="73">
        <v>2025</v>
      </c>
      <c r="B669" s="112" t="s">
        <v>31</v>
      </c>
      <c r="C669" s="36" t="s">
        <v>427</v>
      </c>
      <c r="D669" s="37">
        <v>45979.833136423615</v>
      </c>
      <c r="E669" s="36" t="s">
        <v>107</v>
      </c>
      <c r="F669" s="36" t="s">
        <v>428</v>
      </c>
      <c r="G669" s="36" t="s">
        <v>429</v>
      </c>
      <c r="H669" s="36" t="s">
        <v>430</v>
      </c>
      <c r="I669" s="36" t="s">
        <v>175</v>
      </c>
      <c r="J669" s="36" t="s">
        <v>431</v>
      </c>
      <c r="K669" s="36" t="s">
        <v>339</v>
      </c>
      <c r="L669" s="74">
        <f>VLOOKUP(E669,Diccionario!C$2:AC$150,22,0)</f>
        <v>3898829550</v>
      </c>
      <c r="M669" s="75">
        <f>VLOOKUP(E669,Diccionario!C$2:AC$150,24,0)</f>
        <v>45962</v>
      </c>
      <c r="N669" s="76">
        <f>VLOOKUP(E669,Diccionario!C$2:AC$150,25,0)</f>
        <v>46264</v>
      </c>
      <c r="O669" s="77">
        <f>VLOOKUP(E669,Diccionario!C$2:AC$150,26,0)</f>
        <v>9.9700000000000006</v>
      </c>
      <c r="P669" s="77">
        <f t="shared" ca="1" si="187"/>
        <v>-1.9700000000000006</v>
      </c>
      <c r="Q669" s="78">
        <f t="shared" ca="1" si="199"/>
        <v>8</v>
      </c>
      <c r="R669" s="36"/>
      <c r="S669" s="86">
        <v>0.1</v>
      </c>
      <c r="T669" s="86"/>
      <c r="U669" s="82">
        <v>448382955</v>
      </c>
      <c r="V669" s="82">
        <v>448382955</v>
      </c>
      <c r="W669" s="82">
        <f t="shared" si="212"/>
        <v>0</v>
      </c>
      <c r="X669" s="82">
        <f t="shared" si="188"/>
        <v>389882955</v>
      </c>
      <c r="Y669" s="82">
        <f t="shared" si="213"/>
        <v>-448382955</v>
      </c>
      <c r="Z669" s="82">
        <f t="shared" si="189"/>
        <v>-389882955</v>
      </c>
      <c r="AA669" s="83">
        <f t="shared" si="217"/>
        <v>0</v>
      </c>
      <c r="AB669" s="84" t="str">
        <f t="shared" si="190"/>
        <v>No calculado</v>
      </c>
      <c r="AC669" s="84">
        <f t="shared" si="214"/>
        <v>0</v>
      </c>
      <c r="AD669" s="84" t="str">
        <f t="shared" si="191"/>
        <v>Sin Línea Base</v>
      </c>
      <c r="AE669" s="85">
        <f t="shared" si="215"/>
        <v>0</v>
      </c>
      <c r="AF669" s="85">
        <f t="shared" si="216"/>
        <v>-3898829550</v>
      </c>
      <c r="AG669" s="40" t="str">
        <f>VLOOKUP(Indicador!E669,Diccionario!C$1:AC$150,27,0)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69" s="40">
        <v>1</v>
      </c>
      <c r="AI669" s="40">
        <v>1</v>
      </c>
    </row>
    <row r="670" spans="1:35" ht="18.75" customHeight="1">
      <c r="A670" s="73">
        <v>2025</v>
      </c>
      <c r="B670" s="112" t="s">
        <v>32</v>
      </c>
      <c r="C670" s="36" t="s">
        <v>427</v>
      </c>
      <c r="D670" s="37">
        <v>45979.833136423615</v>
      </c>
      <c r="E670" s="36" t="s">
        <v>107</v>
      </c>
      <c r="F670" s="36" t="s">
        <v>428</v>
      </c>
      <c r="G670" s="36" t="s">
        <v>429</v>
      </c>
      <c r="H670" s="36" t="s">
        <v>430</v>
      </c>
      <c r="I670" s="36" t="s">
        <v>175</v>
      </c>
      <c r="J670" s="36" t="s">
        <v>431</v>
      </c>
      <c r="K670" s="36" t="s">
        <v>339</v>
      </c>
      <c r="L670" s="74">
        <f>VLOOKUP(E670,Diccionario!C$2:AC$150,22,0)</f>
        <v>3898829550</v>
      </c>
      <c r="M670" s="75">
        <f>VLOOKUP(E670,Diccionario!C$2:AC$150,24,0)</f>
        <v>45962</v>
      </c>
      <c r="N670" s="76">
        <f>VLOOKUP(E670,Diccionario!C$2:AC$150,25,0)</f>
        <v>46264</v>
      </c>
      <c r="O670" s="77">
        <f>VLOOKUP(E670,Diccionario!C$2:AC$150,26,0)</f>
        <v>9.9700000000000006</v>
      </c>
      <c r="P670" s="77">
        <f t="shared" ca="1" si="187"/>
        <v>-1.9700000000000006</v>
      </c>
      <c r="Q670" s="78">
        <f t="shared" ca="1" si="199"/>
        <v>8</v>
      </c>
      <c r="R670" s="36"/>
      <c r="S670" s="86">
        <v>0.2</v>
      </c>
      <c r="T670" s="86"/>
      <c r="U670" s="82">
        <v>383382955</v>
      </c>
      <c r="V670" s="82">
        <v>383382955</v>
      </c>
      <c r="W670" s="82">
        <f t="shared" si="212"/>
        <v>0</v>
      </c>
      <c r="X670" s="82">
        <f t="shared" si="188"/>
        <v>779765910</v>
      </c>
      <c r="Y670" s="82">
        <f t="shared" si="213"/>
        <v>-383382955</v>
      </c>
      <c r="Z670" s="82">
        <f t="shared" si="189"/>
        <v>-779765910</v>
      </c>
      <c r="AA670" s="83">
        <f t="shared" si="217"/>
        <v>0</v>
      </c>
      <c r="AB670" s="84" t="str">
        <f t="shared" si="190"/>
        <v>No calculado</v>
      </c>
      <c r="AC670" s="84">
        <f t="shared" si="214"/>
        <v>0</v>
      </c>
      <c r="AD670" s="84" t="str">
        <f t="shared" si="191"/>
        <v>Sin Línea Base</v>
      </c>
      <c r="AE670" s="85">
        <f t="shared" si="215"/>
        <v>0</v>
      </c>
      <c r="AF670" s="85">
        <f t="shared" si="216"/>
        <v>-3898829550</v>
      </c>
      <c r="AG670" s="40" t="str">
        <f>VLOOKUP(Indicador!E670,Diccionario!C$1:AC$150,27,0)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0" s="40">
        <v>1</v>
      </c>
      <c r="AI670" s="40">
        <v>1</v>
      </c>
    </row>
    <row r="671" spans="1:35" ht="18.75" customHeight="1">
      <c r="A671" s="73">
        <v>2026</v>
      </c>
      <c r="B671" s="112" t="s">
        <v>14</v>
      </c>
      <c r="C671" s="36" t="s">
        <v>427</v>
      </c>
      <c r="D671" s="37">
        <v>45979.833136423615</v>
      </c>
      <c r="E671" s="36" t="s">
        <v>107</v>
      </c>
      <c r="F671" s="36" t="s">
        <v>428</v>
      </c>
      <c r="G671" s="36" t="s">
        <v>429</v>
      </c>
      <c r="H671" s="36" t="s">
        <v>430</v>
      </c>
      <c r="I671" s="36" t="s">
        <v>175</v>
      </c>
      <c r="J671" s="36" t="s">
        <v>431</v>
      </c>
      <c r="K671" s="36" t="s">
        <v>339</v>
      </c>
      <c r="L671" s="74">
        <f>VLOOKUP(E671,Diccionario!C$2:AC$150,22,0)</f>
        <v>3898829550</v>
      </c>
      <c r="M671" s="75">
        <f>VLOOKUP(E671,Diccionario!C$2:AC$150,24,0)</f>
        <v>45962</v>
      </c>
      <c r="N671" s="76">
        <f>VLOOKUP(E671,Diccionario!C$2:AC$150,25,0)</f>
        <v>46264</v>
      </c>
      <c r="O671" s="77">
        <f>VLOOKUP(E671,Diccionario!C$2:AC$150,26,0)</f>
        <v>9.9700000000000006</v>
      </c>
      <c r="P671" s="77">
        <f t="shared" ca="1" si="187"/>
        <v>-1.9700000000000006</v>
      </c>
      <c r="Q671" s="78">
        <f t="shared" ca="1" si="199"/>
        <v>8</v>
      </c>
      <c r="R671" s="36"/>
      <c r="S671" s="86">
        <v>0.3</v>
      </c>
      <c r="T671" s="86"/>
      <c r="U671" s="82">
        <v>383382955</v>
      </c>
      <c r="V671" s="82">
        <v>383382955</v>
      </c>
      <c r="W671" s="82">
        <f t="shared" si="212"/>
        <v>0</v>
      </c>
      <c r="X671" s="82">
        <f t="shared" si="188"/>
        <v>1169648865</v>
      </c>
      <c r="Y671" s="82">
        <f t="shared" si="213"/>
        <v>-383382955</v>
      </c>
      <c r="Z671" s="82">
        <f t="shared" si="189"/>
        <v>-1169648865</v>
      </c>
      <c r="AA671" s="83">
        <f t="shared" si="217"/>
        <v>0</v>
      </c>
      <c r="AB671" s="84" t="str">
        <f t="shared" si="190"/>
        <v>No calculado</v>
      </c>
      <c r="AC671" s="84">
        <f t="shared" si="214"/>
        <v>0</v>
      </c>
      <c r="AD671" s="84" t="str">
        <f t="shared" si="191"/>
        <v>Sin Línea Base</v>
      </c>
      <c r="AE671" s="85">
        <f t="shared" si="215"/>
        <v>0</v>
      </c>
      <c r="AF671" s="85">
        <f t="shared" si="216"/>
        <v>-3898829550</v>
      </c>
      <c r="AG671" s="40" t="str">
        <f>VLOOKUP(Indicador!E671,Diccionario!C$1:AC$150,27,0)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1" s="40">
        <v>1</v>
      </c>
      <c r="AI671" s="40">
        <v>1</v>
      </c>
    </row>
    <row r="672" spans="1:35" ht="18.75" customHeight="1">
      <c r="A672" s="73">
        <v>2026</v>
      </c>
      <c r="B672" s="112" t="s">
        <v>22</v>
      </c>
      <c r="C672" s="36" t="s">
        <v>427</v>
      </c>
      <c r="D672" s="37">
        <v>45979.833136423615</v>
      </c>
      <c r="E672" s="36" t="s">
        <v>107</v>
      </c>
      <c r="F672" s="36" t="s">
        <v>428</v>
      </c>
      <c r="G672" s="36" t="s">
        <v>429</v>
      </c>
      <c r="H672" s="36" t="s">
        <v>430</v>
      </c>
      <c r="I672" s="36" t="s">
        <v>175</v>
      </c>
      <c r="J672" s="36" t="s">
        <v>431</v>
      </c>
      <c r="K672" s="36" t="s">
        <v>339</v>
      </c>
      <c r="L672" s="74">
        <f>VLOOKUP(E672,Diccionario!C$2:AC$150,22,0)</f>
        <v>3898829550</v>
      </c>
      <c r="M672" s="75">
        <f>VLOOKUP(E672,Diccionario!C$2:AC$150,24,0)</f>
        <v>45962</v>
      </c>
      <c r="N672" s="76">
        <f>VLOOKUP(E672,Diccionario!C$2:AC$150,25,0)</f>
        <v>46264</v>
      </c>
      <c r="O672" s="77">
        <f>VLOOKUP(E672,Diccionario!C$2:AC$150,26,0)</f>
        <v>9.9700000000000006</v>
      </c>
      <c r="P672" s="77">
        <f t="shared" ca="1" si="187"/>
        <v>-1.9700000000000006</v>
      </c>
      <c r="Q672" s="78">
        <f t="shared" ca="1" si="199"/>
        <v>8</v>
      </c>
      <c r="R672" s="36"/>
      <c r="S672" s="86">
        <v>0.4</v>
      </c>
      <c r="T672" s="86"/>
      <c r="U672" s="82"/>
      <c r="V672" s="82"/>
      <c r="W672" s="82">
        <f t="shared" si="212"/>
        <v>0</v>
      </c>
      <c r="X672" s="82">
        <f t="shared" si="188"/>
        <v>1559531820</v>
      </c>
      <c r="Y672" s="82">
        <f t="shared" si="213"/>
        <v>0</v>
      </c>
      <c r="Z672" s="82">
        <f t="shared" si="189"/>
        <v>-1559531820</v>
      </c>
      <c r="AA672" s="83" t="str">
        <f t="shared" si="217"/>
        <v>No se realizó gasto en este corte</v>
      </c>
      <c r="AB672" s="84" t="str">
        <f t="shared" si="190"/>
        <v>Costo eficiente: se está gastando menos de lo presupuestado</v>
      </c>
      <c r="AC672" s="84">
        <f t="shared" si="214"/>
        <v>0</v>
      </c>
      <c r="AD672" s="84" t="str">
        <f t="shared" si="191"/>
        <v>Sin Línea Base</v>
      </c>
      <c r="AE672" s="85">
        <f t="shared" si="215"/>
        <v>0</v>
      </c>
      <c r="AF672" s="85">
        <f t="shared" si="216"/>
        <v>-3898829550</v>
      </c>
      <c r="AG672" s="40" t="str">
        <f>VLOOKUP(Indicador!E672,Diccionario!C$1:AC$150,27,0)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2" s="40">
        <v>1</v>
      </c>
      <c r="AI672" s="40">
        <v>1</v>
      </c>
    </row>
    <row r="673" spans="1:35" ht="18.75" customHeight="1">
      <c r="A673" s="73">
        <v>2026</v>
      </c>
      <c r="B673" s="112" t="s">
        <v>24</v>
      </c>
      <c r="C673" s="36" t="s">
        <v>427</v>
      </c>
      <c r="D673" s="37">
        <v>45979.833136423615</v>
      </c>
      <c r="E673" s="36" t="s">
        <v>107</v>
      </c>
      <c r="F673" s="36" t="s">
        <v>428</v>
      </c>
      <c r="G673" s="36" t="s">
        <v>429</v>
      </c>
      <c r="H673" s="36" t="s">
        <v>430</v>
      </c>
      <c r="I673" s="36" t="s">
        <v>175</v>
      </c>
      <c r="J673" s="36" t="s">
        <v>431</v>
      </c>
      <c r="K673" s="36" t="s">
        <v>339</v>
      </c>
      <c r="L673" s="74">
        <f>VLOOKUP(E673,Diccionario!C$2:AC$150,22,0)</f>
        <v>3898829550</v>
      </c>
      <c r="M673" s="75">
        <f>VLOOKUP(E673,Diccionario!C$2:AC$150,24,0)</f>
        <v>45962</v>
      </c>
      <c r="N673" s="76">
        <f>VLOOKUP(E673,Diccionario!C$2:AC$150,25,0)</f>
        <v>46264</v>
      </c>
      <c r="O673" s="77">
        <f>VLOOKUP(E673,Diccionario!C$2:AC$150,26,0)</f>
        <v>9.9700000000000006</v>
      </c>
      <c r="P673" s="77">
        <f t="shared" ca="1" si="187"/>
        <v>-1.9700000000000006</v>
      </c>
      <c r="Q673" s="78">
        <f t="shared" ca="1" si="199"/>
        <v>8</v>
      </c>
      <c r="R673" s="36"/>
      <c r="S673" s="86">
        <v>0.5</v>
      </c>
      <c r="T673" s="86"/>
      <c r="U673" s="82"/>
      <c r="V673" s="82"/>
      <c r="W673" s="82">
        <f t="shared" si="212"/>
        <v>0</v>
      </c>
      <c r="X673" s="82">
        <f t="shared" si="188"/>
        <v>1949414775</v>
      </c>
      <c r="Y673" s="82">
        <f t="shared" si="213"/>
        <v>0</v>
      </c>
      <c r="Z673" s="82">
        <f t="shared" si="189"/>
        <v>-1949414775</v>
      </c>
      <c r="AA673" s="83" t="str">
        <f t="shared" si="217"/>
        <v>No se realizó gasto en este corte</v>
      </c>
      <c r="AB673" s="84" t="str">
        <f t="shared" si="190"/>
        <v>Costo eficiente: se está gastando menos de lo presupuestado</v>
      </c>
      <c r="AC673" s="84">
        <f t="shared" si="214"/>
        <v>0</v>
      </c>
      <c r="AD673" s="84" t="str">
        <f t="shared" si="191"/>
        <v>Sin Línea Base</v>
      </c>
      <c r="AE673" s="85">
        <f t="shared" si="215"/>
        <v>0</v>
      </c>
      <c r="AF673" s="85">
        <f t="shared" si="216"/>
        <v>-3898829550</v>
      </c>
      <c r="AG673" s="40" t="str">
        <f>VLOOKUP(Indicador!E673,Diccionario!C$1:AC$150,27,0)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3" s="40">
        <v>1</v>
      </c>
      <c r="AI673" s="40">
        <v>1</v>
      </c>
    </row>
    <row r="674" spans="1:35" ht="18.75" customHeight="1">
      <c r="A674" s="73">
        <v>2026</v>
      </c>
      <c r="B674" s="112" t="s">
        <v>27</v>
      </c>
      <c r="C674" s="36" t="s">
        <v>427</v>
      </c>
      <c r="D674" s="37">
        <v>45979.833136423615</v>
      </c>
      <c r="E674" s="36" t="s">
        <v>107</v>
      </c>
      <c r="F674" s="36" t="s">
        <v>428</v>
      </c>
      <c r="G674" s="36" t="s">
        <v>429</v>
      </c>
      <c r="H674" s="36" t="s">
        <v>430</v>
      </c>
      <c r="I674" s="36" t="s">
        <v>175</v>
      </c>
      <c r="J674" s="36" t="s">
        <v>431</v>
      </c>
      <c r="K674" s="36" t="s">
        <v>339</v>
      </c>
      <c r="L674" s="74">
        <f>VLOOKUP(E674,Diccionario!C$2:AC$150,22,0)</f>
        <v>3898829550</v>
      </c>
      <c r="M674" s="75">
        <f>VLOOKUP(E674,Diccionario!C$2:AC$150,24,0)</f>
        <v>45962</v>
      </c>
      <c r="N674" s="76">
        <f>VLOOKUP(E674,Diccionario!C$2:AC$150,25,0)</f>
        <v>46264</v>
      </c>
      <c r="O674" s="77">
        <f>VLOOKUP(E674,Diccionario!C$2:AC$150,26,0)</f>
        <v>9.9700000000000006</v>
      </c>
      <c r="P674" s="77">
        <f t="shared" ca="1" si="187"/>
        <v>-1.9700000000000006</v>
      </c>
      <c r="Q674" s="78">
        <f t="shared" ca="1" si="199"/>
        <v>8</v>
      </c>
      <c r="R674" s="36"/>
      <c r="S674" s="86">
        <v>0.6</v>
      </c>
      <c r="T674" s="86"/>
      <c r="U674" s="82"/>
      <c r="V674" s="82"/>
      <c r="W674" s="82">
        <f t="shared" si="212"/>
        <v>0</v>
      </c>
      <c r="X674" s="82">
        <f t="shared" si="188"/>
        <v>2339297730</v>
      </c>
      <c r="Y674" s="82">
        <f t="shared" si="213"/>
        <v>0</v>
      </c>
      <c r="Z674" s="82">
        <f t="shared" si="189"/>
        <v>-2339297730</v>
      </c>
      <c r="AA674" s="83" t="str">
        <f t="shared" si="217"/>
        <v>No se realizó gasto en este corte</v>
      </c>
      <c r="AB674" s="84" t="str">
        <f t="shared" si="190"/>
        <v>Costo eficiente: se está gastando menos de lo presupuestado</v>
      </c>
      <c r="AC674" s="84">
        <f t="shared" si="214"/>
        <v>0</v>
      </c>
      <c r="AD674" s="84" t="str">
        <f t="shared" si="191"/>
        <v>Sin Línea Base</v>
      </c>
      <c r="AE674" s="85">
        <f t="shared" si="215"/>
        <v>0</v>
      </c>
      <c r="AF674" s="85">
        <f t="shared" si="216"/>
        <v>-3898829550</v>
      </c>
      <c r="AG674" s="40" t="str">
        <f>VLOOKUP(Indicador!E674,Diccionario!C$1:AC$150,27,0)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4" s="40">
        <v>1</v>
      </c>
      <c r="AI674" s="40">
        <v>1</v>
      </c>
    </row>
    <row r="675" spans="1:35" ht="18.75" customHeight="1">
      <c r="A675" s="73">
        <v>2026</v>
      </c>
      <c r="B675" s="112" t="s">
        <v>13</v>
      </c>
      <c r="C675" s="36" t="s">
        <v>427</v>
      </c>
      <c r="D675" s="37">
        <v>45979.833136423615</v>
      </c>
      <c r="E675" s="36" t="s">
        <v>107</v>
      </c>
      <c r="F675" s="36" t="s">
        <v>428</v>
      </c>
      <c r="G675" s="36" t="s">
        <v>429</v>
      </c>
      <c r="H675" s="36" t="s">
        <v>430</v>
      </c>
      <c r="I675" s="36" t="s">
        <v>175</v>
      </c>
      <c r="J675" s="36" t="s">
        <v>431</v>
      </c>
      <c r="K675" s="36" t="s">
        <v>339</v>
      </c>
      <c r="L675" s="74">
        <f>VLOOKUP(E675,Diccionario!C$2:AC$150,22,0)</f>
        <v>3898829550</v>
      </c>
      <c r="M675" s="75">
        <f>VLOOKUP(E675,Diccionario!C$2:AC$150,24,0)</f>
        <v>45962</v>
      </c>
      <c r="N675" s="76">
        <f>VLOOKUP(E675,Diccionario!C$2:AC$150,25,0)</f>
        <v>46264</v>
      </c>
      <c r="O675" s="77">
        <f>VLOOKUP(E675,Diccionario!C$2:AC$150,26,0)</f>
        <v>9.9700000000000006</v>
      </c>
      <c r="P675" s="77">
        <f t="shared" ca="1" si="187"/>
        <v>-1.9700000000000006</v>
      </c>
      <c r="Q675" s="78">
        <f t="shared" ca="1" si="199"/>
        <v>8</v>
      </c>
      <c r="R675" s="36"/>
      <c r="S675" s="86">
        <v>0.7</v>
      </c>
      <c r="T675" s="86"/>
      <c r="U675" s="82"/>
      <c r="V675" s="82"/>
      <c r="W675" s="82">
        <f t="shared" si="212"/>
        <v>0</v>
      </c>
      <c r="X675" s="82">
        <f t="shared" si="188"/>
        <v>2729180685</v>
      </c>
      <c r="Y675" s="82">
        <f t="shared" si="213"/>
        <v>0</v>
      </c>
      <c r="Z675" s="82">
        <f t="shared" si="189"/>
        <v>-2729180685</v>
      </c>
      <c r="AA675" s="83" t="str">
        <f t="shared" si="217"/>
        <v>No se realizó gasto en este corte</v>
      </c>
      <c r="AB675" s="84" t="str">
        <f t="shared" si="190"/>
        <v>Costo eficiente: se está gastando menos de lo presupuestado</v>
      </c>
      <c r="AC675" s="84">
        <f t="shared" si="214"/>
        <v>0</v>
      </c>
      <c r="AD675" s="84" t="str">
        <f t="shared" si="191"/>
        <v>Sin Línea Base</v>
      </c>
      <c r="AE675" s="85">
        <f t="shared" si="215"/>
        <v>0</v>
      </c>
      <c r="AF675" s="85">
        <f t="shared" si="216"/>
        <v>-3898829550</v>
      </c>
      <c r="AG675" s="40" t="str">
        <f>VLOOKUP(Indicador!E675,Diccionario!C$1:AC$150,27,0)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5" s="40">
        <v>1</v>
      </c>
      <c r="AI675" s="40">
        <v>1</v>
      </c>
    </row>
    <row r="676" spans="1:35" ht="18.75" customHeight="1">
      <c r="A676" s="73">
        <v>2026</v>
      </c>
      <c r="B676" s="112" t="s">
        <v>21</v>
      </c>
      <c r="C676" s="36" t="s">
        <v>427</v>
      </c>
      <c r="D676" s="37">
        <v>45979.833136423615</v>
      </c>
      <c r="E676" s="36" t="s">
        <v>107</v>
      </c>
      <c r="F676" s="36" t="s">
        <v>428</v>
      </c>
      <c r="G676" s="36" t="s">
        <v>429</v>
      </c>
      <c r="H676" s="36" t="s">
        <v>430</v>
      </c>
      <c r="I676" s="36" t="s">
        <v>175</v>
      </c>
      <c r="J676" s="36" t="s">
        <v>431</v>
      </c>
      <c r="K676" s="36" t="s">
        <v>339</v>
      </c>
      <c r="L676" s="74">
        <f>VLOOKUP(E676,Diccionario!C$2:AC$150,22,0)</f>
        <v>3898829550</v>
      </c>
      <c r="M676" s="75">
        <f>VLOOKUP(E676,Diccionario!C$2:AC$150,24,0)</f>
        <v>45962</v>
      </c>
      <c r="N676" s="76">
        <f>VLOOKUP(E676,Diccionario!C$2:AC$150,25,0)</f>
        <v>46264</v>
      </c>
      <c r="O676" s="77">
        <f>VLOOKUP(E676,Diccionario!C$2:AC$150,26,0)</f>
        <v>9.9700000000000006</v>
      </c>
      <c r="P676" s="77">
        <f t="shared" ca="1" si="187"/>
        <v>-1.9700000000000006</v>
      </c>
      <c r="Q676" s="78">
        <f t="shared" ca="1" si="199"/>
        <v>8</v>
      </c>
      <c r="R676" s="36"/>
      <c r="S676" s="86">
        <v>0.8</v>
      </c>
      <c r="T676" s="86"/>
      <c r="U676" s="82"/>
      <c r="V676" s="82"/>
      <c r="W676" s="82">
        <f t="shared" si="212"/>
        <v>0</v>
      </c>
      <c r="X676" s="82">
        <f t="shared" si="188"/>
        <v>3119063640</v>
      </c>
      <c r="Y676" s="82">
        <f t="shared" si="213"/>
        <v>0</v>
      </c>
      <c r="Z676" s="82">
        <f t="shared" si="189"/>
        <v>-3119063640</v>
      </c>
      <c r="AA676" s="83" t="str">
        <f t="shared" si="217"/>
        <v>No se realizó gasto en este corte</v>
      </c>
      <c r="AB676" s="84" t="str">
        <f t="shared" si="190"/>
        <v>Costo eficiente: se está gastando menos de lo presupuestado</v>
      </c>
      <c r="AC676" s="84">
        <f t="shared" si="214"/>
        <v>0</v>
      </c>
      <c r="AD676" s="84" t="str">
        <f t="shared" si="191"/>
        <v>Sin Línea Base</v>
      </c>
      <c r="AE676" s="85">
        <f t="shared" si="215"/>
        <v>0</v>
      </c>
      <c r="AF676" s="85">
        <f t="shared" si="216"/>
        <v>-3898829550</v>
      </c>
      <c r="AG676" s="40" t="str">
        <f>VLOOKUP(Indicador!E676,Diccionario!C$1:AC$150,27,0)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6" s="40">
        <v>1</v>
      </c>
      <c r="AI676" s="40">
        <v>1</v>
      </c>
    </row>
    <row r="677" spans="1:35" ht="18.75" customHeight="1">
      <c r="A677" s="73">
        <v>2026</v>
      </c>
      <c r="B677" s="112" t="s">
        <v>23</v>
      </c>
      <c r="C677" s="36" t="s">
        <v>427</v>
      </c>
      <c r="D677" s="37">
        <v>45979.833136423615</v>
      </c>
      <c r="E677" s="36" t="s">
        <v>107</v>
      </c>
      <c r="F677" s="36" t="s">
        <v>428</v>
      </c>
      <c r="G677" s="36" t="s">
        <v>429</v>
      </c>
      <c r="H677" s="36" t="s">
        <v>430</v>
      </c>
      <c r="I677" s="36" t="s">
        <v>175</v>
      </c>
      <c r="J677" s="36" t="s">
        <v>431</v>
      </c>
      <c r="K677" s="36" t="s">
        <v>339</v>
      </c>
      <c r="L677" s="74">
        <f>VLOOKUP(E677,Diccionario!C$2:AC$150,22,0)</f>
        <v>3898829550</v>
      </c>
      <c r="M677" s="75">
        <f>VLOOKUP(E677,Diccionario!C$2:AC$150,24,0)</f>
        <v>45962</v>
      </c>
      <c r="N677" s="76">
        <f>VLOOKUP(E677,Diccionario!C$2:AC$150,25,0)</f>
        <v>46264</v>
      </c>
      <c r="O677" s="77">
        <f>VLOOKUP(E677,Diccionario!C$2:AC$150,26,0)</f>
        <v>9.9700000000000006</v>
      </c>
      <c r="P677" s="77">
        <f t="shared" ca="1" si="187"/>
        <v>-1.9700000000000006</v>
      </c>
      <c r="Q677" s="78">
        <f t="shared" ca="1" si="199"/>
        <v>8</v>
      </c>
      <c r="R677" s="36"/>
      <c r="S677" s="86">
        <v>0.9</v>
      </c>
      <c r="T677" s="86"/>
      <c r="U677" s="82"/>
      <c r="V677" s="82"/>
      <c r="W677" s="82">
        <f t="shared" si="212"/>
        <v>0</v>
      </c>
      <c r="X677" s="82">
        <f t="shared" si="188"/>
        <v>3508946595</v>
      </c>
      <c r="Y677" s="82">
        <f t="shared" si="213"/>
        <v>0</v>
      </c>
      <c r="Z677" s="82">
        <f t="shared" si="189"/>
        <v>-3508946595</v>
      </c>
      <c r="AA677" s="83" t="str">
        <f t="shared" si="217"/>
        <v>No se realizó gasto en este corte</v>
      </c>
      <c r="AB677" s="84" t="str">
        <f t="shared" si="190"/>
        <v>Costo eficiente: se está gastando menos de lo presupuestado</v>
      </c>
      <c r="AC677" s="84">
        <f t="shared" si="214"/>
        <v>0</v>
      </c>
      <c r="AD677" s="84" t="str">
        <f t="shared" si="191"/>
        <v>Sin Línea Base</v>
      </c>
      <c r="AE677" s="85">
        <f t="shared" si="215"/>
        <v>0</v>
      </c>
      <c r="AF677" s="85">
        <f t="shared" si="216"/>
        <v>-3898829550</v>
      </c>
      <c r="AG677" s="40" t="str">
        <f>VLOOKUP(Indicador!E677,Diccionario!C$1:AC$150,27,0)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7" s="40">
        <v>1</v>
      </c>
      <c r="AI677" s="40">
        <v>1</v>
      </c>
    </row>
    <row r="678" spans="1:35" ht="18.75" customHeight="1">
      <c r="A678" s="73">
        <v>2026</v>
      </c>
      <c r="B678" s="112" t="s">
        <v>26</v>
      </c>
      <c r="C678" s="36" t="s">
        <v>427</v>
      </c>
      <c r="D678" s="37">
        <v>45979.833136423615</v>
      </c>
      <c r="E678" s="36" t="s">
        <v>107</v>
      </c>
      <c r="F678" s="36" t="s">
        <v>428</v>
      </c>
      <c r="G678" s="36" t="s">
        <v>429</v>
      </c>
      <c r="H678" s="36" t="s">
        <v>430</v>
      </c>
      <c r="I678" s="36" t="s">
        <v>175</v>
      </c>
      <c r="J678" s="36" t="s">
        <v>431</v>
      </c>
      <c r="K678" s="36" t="s">
        <v>339</v>
      </c>
      <c r="L678" s="74">
        <f>VLOOKUP(E678,Diccionario!C$2:AC$150,22,0)</f>
        <v>3898829550</v>
      </c>
      <c r="M678" s="75">
        <f>VLOOKUP(E678,Diccionario!C$2:AC$150,24,0)</f>
        <v>45962</v>
      </c>
      <c r="N678" s="76">
        <f>VLOOKUP(E678,Diccionario!C$2:AC$150,25,0)</f>
        <v>46264</v>
      </c>
      <c r="O678" s="77">
        <f>VLOOKUP(E678,Diccionario!C$2:AC$150,26,0)</f>
        <v>9.9700000000000006</v>
      </c>
      <c r="P678" s="77">
        <f t="shared" ca="1" si="187"/>
        <v>-1.9700000000000006</v>
      </c>
      <c r="Q678" s="78">
        <f t="shared" ca="1" si="199"/>
        <v>8</v>
      </c>
      <c r="R678" s="36"/>
      <c r="S678" s="86">
        <v>1</v>
      </c>
      <c r="T678" s="86"/>
      <c r="U678" s="82"/>
      <c r="V678" s="82"/>
      <c r="W678" s="82">
        <f t="shared" si="212"/>
        <v>0</v>
      </c>
      <c r="X678" s="82">
        <f t="shared" si="188"/>
        <v>3898829550</v>
      </c>
      <c r="Y678" s="82">
        <f t="shared" si="213"/>
        <v>0</v>
      </c>
      <c r="Z678" s="82">
        <f t="shared" si="189"/>
        <v>-3898829550</v>
      </c>
      <c r="AA678" s="83" t="str">
        <f t="shared" si="217"/>
        <v>No se realizó gasto en este corte</v>
      </c>
      <c r="AB678" s="84" t="str">
        <f t="shared" si="190"/>
        <v>Costo eficiente: se está gastando menos de lo presupuestado</v>
      </c>
      <c r="AC678" s="84">
        <f t="shared" si="214"/>
        <v>0</v>
      </c>
      <c r="AD678" s="84" t="str">
        <f t="shared" si="191"/>
        <v>Sin Línea Base</v>
      </c>
      <c r="AE678" s="85">
        <f t="shared" si="215"/>
        <v>0</v>
      </c>
      <c r="AF678" s="85">
        <f t="shared" si="216"/>
        <v>-3898829550</v>
      </c>
      <c r="AG678" s="40" t="str">
        <f>VLOOKUP(Indicador!E678,Diccionario!C$1:AC$150,27,0)</f>
        <v>https://growdatasas.sharepoint.com/:x:/r/sites/Gestiondocumental/Administrativa/GD/Financiera/_layouts/15/Doc.aspx?sourcedoc=%7BDC14EEB5-8BB0-4127-9C10-E6FA8B23CAA0%7D&amp;file=OK-%2020251301%20MODELO%20FINANCIERO%20FISCALIA%20FABRICA%20DE%20SW%2011.09.25%20V1.xlsm&amp;action=default&amp;mobileredirect=true</v>
      </c>
      <c r="AH678" s="40">
        <v>1</v>
      </c>
      <c r="AI678" s="40">
        <v>1</v>
      </c>
    </row>
    <row r="679" spans="1:35" ht="18.75" customHeight="1">
      <c r="A679" s="73">
        <v>2025</v>
      </c>
      <c r="B679" s="112" t="s">
        <v>31</v>
      </c>
      <c r="C679" s="36" t="s">
        <v>432</v>
      </c>
      <c r="D679" s="37">
        <v>45979.725087650462</v>
      </c>
      <c r="E679" s="36" t="s">
        <v>88</v>
      </c>
      <c r="F679" s="36" t="s">
        <v>433</v>
      </c>
      <c r="G679" s="36" t="s">
        <v>434</v>
      </c>
      <c r="H679" s="36" t="s">
        <v>435</v>
      </c>
      <c r="I679" s="36" t="s">
        <v>175</v>
      </c>
      <c r="J679" s="36" t="s">
        <v>436</v>
      </c>
      <c r="K679" s="36" t="s">
        <v>339</v>
      </c>
      <c r="L679" s="74">
        <f>VLOOKUP(E679,Diccionario!C$2:AC$150,22,0)</f>
        <v>836827348</v>
      </c>
      <c r="M679" s="75">
        <f>VLOOKUP(E679,Diccionario!C$2:AC$150,24,0)</f>
        <v>45962</v>
      </c>
      <c r="N679" s="76">
        <f>VLOOKUP(E679,Diccionario!C$2:AC$150,25,0)</f>
        <v>46111</v>
      </c>
      <c r="O679" s="77">
        <f>VLOOKUP(E679,Diccionario!C$2:AC$150,26,0)</f>
        <v>4.97</v>
      </c>
      <c r="P679" s="77">
        <f t="shared" ref="P679:P742" si="218">Q679-O679</f>
        <v>-3.9699999999999998</v>
      </c>
      <c r="Q679" s="78">
        <v>1</v>
      </c>
      <c r="R679" s="36">
        <v>5</v>
      </c>
      <c r="S679" s="86">
        <v>0.25</v>
      </c>
      <c r="T679" s="86">
        <v>0.25</v>
      </c>
      <c r="U679" s="82">
        <v>190549470</v>
      </c>
      <c r="V679" s="82">
        <v>190549470</v>
      </c>
      <c r="W679" s="82">
        <f t="shared" si="212"/>
        <v>209206837</v>
      </c>
      <c r="X679" s="82">
        <f t="shared" si="188"/>
        <v>209206837</v>
      </c>
      <c r="Y679" s="82">
        <f t="shared" si="213"/>
        <v>18657367</v>
      </c>
      <c r="Z679" s="82">
        <f t="shared" si="189"/>
        <v>0</v>
      </c>
      <c r="AA679" s="83">
        <f t="shared" si="217"/>
        <v>1.0979135077100974</v>
      </c>
      <c r="AB679" s="84" t="str">
        <f t="shared" si="190"/>
        <v>Costo eficiente: se está gastando menos de lo presupuestado</v>
      </c>
      <c r="AC679" s="84">
        <f t="shared" si="214"/>
        <v>1</v>
      </c>
      <c r="AD679" s="84" t="str">
        <f t="shared" si="191"/>
        <v>Proyecto a tiempo según lo planificado</v>
      </c>
      <c r="AE679" s="85">
        <f t="shared" si="215"/>
        <v>762197880.00000012</v>
      </c>
      <c r="AF679" s="85">
        <f t="shared" si="216"/>
        <v>-74629467.999999881</v>
      </c>
      <c r="AG679" s="40" t="str">
        <f>VLOOKUP(Indicador!E679,Diccionario!C$1:AC$150,27,0)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79" s="40">
        <v>1</v>
      </c>
      <c r="AI679" s="40">
        <v>1</v>
      </c>
    </row>
    <row r="680" spans="1:35" ht="18.75" customHeight="1">
      <c r="A680" s="73">
        <v>2025</v>
      </c>
      <c r="B680" s="112" t="s">
        <v>32</v>
      </c>
      <c r="C680" s="36" t="s">
        <v>432</v>
      </c>
      <c r="D680" s="37">
        <v>45979.725087650462</v>
      </c>
      <c r="E680" s="36" t="s">
        <v>88</v>
      </c>
      <c r="F680" s="36" t="s">
        <v>433</v>
      </c>
      <c r="G680" s="36" t="s">
        <v>434</v>
      </c>
      <c r="H680" s="36" t="s">
        <v>435</v>
      </c>
      <c r="I680" s="36" t="s">
        <v>175</v>
      </c>
      <c r="J680" s="36" t="s">
        <v>436</v>
      </c>
      <c r="K680" s="36" t="s">
        <v>339</v>
      </c>
      <c r="L680" s="74">
        <f>VLOOKUP(E680,Diccionario!C$2:AC$150,22,0)</f>
        <v>836827348</v>
      </c>
      <c r="M680" s="75">
        <f>VLOOKUP(E680,Diccionario!C$2:AC$150,24,0)</f>
        <v>45962</v>
      </c>
      <c r="N680" s="76">
        <f>VLOOKUP(E680,Diccionario!C$2:AC$150,25,0)</f>
        <v>46111</v>
      </c>
      <c r="O680" s="77">
        <f>VLOOKUP(E680,Diccionario!C$2:AC$150,26,0)</f>
        <v>4.97</v>
      </c>
      <c r="P680" s="77">
        <f t="shared" si="218"/>
        <v>-2.9699999999999998</v>
      </c>
      <c r="Q680" s="78">
        <v>2</v>
      </c>
      <c r="R680" s="36">
        <v>5</v>
      </c>
      <c r="S680" s="86">
        <v>0.45</v>
      </c>
      <c r="T680" s="86">
        <v>0.45</v>
      </c>
      <c r="U680" s="82">
        <v>161569470</v>
      </c>
      <c r="V680" s="82">
        <v>161569470</v>
      </c>
      <c r="W680" s="82">
        <f t="shared" si="212"/>
        <v>376572306.60000002</v>
      </c>
      <c r="X680" s="82">
        <f t="shared" si="188"/>
        <v>376572306.60000002</v>
      </c>
      <c r="Y680" s="82">
        <f t="shared" si="213"/>
        <v>215002836.60000002</v>
      </c>
      <c r="Z680" s="82">
        <f t="shared" si="189"/>
        <v>0</v>
      </c>
      <c r="AA680" s="83">
        <f t="shared" si="217"/>
        <v>2.3307145007036292</v>
      </c>
      <c r="AB680" s="84" t="str">
        <f t="shared" si="190"/>
        <v>Costo eficiente: se está gastando menos de lo presupuestado</v>
      </c>
      <c r="AC680" s="84">
        <f t="shared" si="214"/>
        <v>1</v>
      </c>
      <c r="AD680" s="84" t="str">
        <f t="shared" si="191"/>
        <v>Proyecto a tiempo según lo planificado</v>
      </c>
      <c r="AE680" s="85">
        <f t="shared" si="215"/>
        <v>359043266.66666669</v>
      </c>
      <c r="AF680" s="85">
        <f t="shared" si="216"/>
        <v>-477784081.33333331</v>
      </c>
      <c r="AG680" s="40" t="str">
        <f>VLOOKUP(Indicador!E680,Diccionario!C$1:AC$150,27,0)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80" s="40">
        <v>1</v>
      </c>
      <c r="AI680" s="40">
        <v>1</v>
      </c>
    </row>
    <row r="681" spans="1:35" ht="18.75" customHeight="1">
      <c r="A681" s="73">
        <v>2026</v>
      </c>
      <c r="B681" s="112" t="s">
        <v>14</v>
      </c>
      <c r="C681" s="36" t="s">
        <v>432</v>
      </c>
      <c r="D681" s="37">
        <v>45979.725087650462</v>
      </c>
      <c r="E681" s="36" t="s">
        <v>88</v>
      </c>
      <c r="F681" s="36" t="s">
        <v>433</v>
      </c>
      <c r="G681" s="36" t="s">
        <v>434</v>
      </c>
      <c r="H681" s="36" t="s">
        <v>435</v>
      </c>
      <c r="I681" s="36" t="s">
        <v>175</v>
      </c>
      <c r="J681" s="36" t="s">
        <v>436</v>
      </c>
      <c r="K681" s="36" t="s">
        <v>339</v>
      </c>
      <c r="L681" s="74">
        <f>VLOOKUP(E681,Diccionario!C$2:AC$150,22,0)</f>
        <v>836827348</v>
      </c>
      <c r="M681" s="75">
        <f>VLOOKUP(E681,Diccionario!C$2:AC$150,24,0)</f>
        <v>45962</v>
      </c>
      <c r="N681" s="76">
        <f>VLOOKUP(E681,Diccionario!C$2:AC$150,25,0)</f>
        <v>46111</v>
      </c>
      <c r="O681" s="77">
        <f>VLOOKUP(E681,Diccionario!C$2:AC$150,26,0)</f>
        <v>4.97</v>
      </c>
      <c r="P681" s="77">
        <f t="shared" si="218"/>
        <v>-1.9699999999999998</v>
      </c>
      <c r="Q681" s="78">
        <v>3</v>
      </c>
      <c r="R681" s="36">
        <v>5</v>
      </c>
      <c r="S681" s="86">
        <v>0.75</v>
      </c>
      <c r="T681" s="86">
        <v>0.75</v>
      </c>
      <c r="U681" s="82">
        <v>161569470</v>
      </c>
      <c r="V681" s="82">
        <v>161569470</v>
      </c>
      <c r="W681" s="82">
        <f t="shared" si="212"/>
        <v>627620511</v>
      </c>
      <c r="X681" s="82">
        <f t="shared" si="188"/>
        <v>627620511</v>
      </c>
      <c r="Y681" s="82">
        <f t="shared" si="213"/>
        <v>466051041</v>
      </c>
      <c r="Z681" s="82">
        <f t="shared" si="189"/>
        <v>0</v>
      </c>
      <c r="AA681" s="83">
        <f t="shared" si="217"/>
        <v>3.8845241678393818</v>
      </c>
      <c r="AB681" s="84" t="str">
        <f t="shared" si="190"/>
        <v>Costo eficiente: se está gastando menos de lo presupuestado</v>
      </c>
      <c r="AC681" s="84">
        <f t="shared" si="214"/>
        <v>1</v>
      </c>
      <c r="AD681" s="84" t="str">
        <f t="shared" si="191"/>
        <v>Proyecto a tiempo según lo planificado</v>
      </c>
      <c r="AE681" s="85">
        <f t="shared" si="215"/>
        <v>215425960</v>
      </c>
      <c r="AF681" s="85">
        <f t="shared" si="216"/>
        <v>-621401388</v>
      </c>
      <c r="AG681" s="40" t="str">
        <f>VLOOKUP(Indicador!E681,Diccionario!C$1:AC$150,27,0)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81" s="40">
        <v>1</v>
      </c>
      <c r="AI681" s="40">
        <v>1</v>
      </c>
    </row>
    <row r="682" spans="1:35" ht="18.75" customHeight="1">
      <c r="A682" s="73">
        <v>2026</v>
      </c>
      <c r="B682" s="112" t="s">
        <v>22</v>
      </c>
      <c r="C682" s="36" t="s">
        <v>432</v>
      </c>
      <c r="D682" s="37">
        <v>45979.725087650462</v>
      </c>
      <c r="E682" s="36" t="s">
        <v>88</v>
      </c>
      <c r="F682" s="36" t="s">
        <v>433</v>
      </c>
      <c r="G682" s="36" t="s">
        <v>434</v>
      </c>
      <c r="H682" s="36" t="s">
        <v>435</v>
      </c>
      <c r="I682" s="36" t="s">
        <v>175</v>
      </c>
      <c r="J682" s="36" t="s">
        <v>436</v>
      </c>
      <c r="K682" s="36" t="s">
        <v>339</v>
      </c>
      <c r="L682" s="74">
        <f>VLOOKUP(E682,Diccionario!C$2:AC$150,22,0)</f>
        <v>836827348</v>
      </c>
      <c r="M682" s="75">
        <f>VLOOKUP(E682,Diccionario!C$2:AC$150,24,0)</f>
        <v>45962</v>
      </c>
      <c r="N682" s="76">
        <f>VLOOKUP(E682,Diccionario!C$2:AC$150,25,0)</f>
        <v>46111</v>
      </c>
      <c r="O682" s="77">
        <f>VLOOKUP(E682,Diccionario!C$2:AC$150,26,0)</f>
        <v>4.97</v>
      </c>
      <c r="P682" s="77">
        <f t="shared" si="218"/>
        <v>-0.96999999999999975</v>
      </c>
      <c r="Q682" s="78">
        <v>4</v>
      </c>
      <c r="R682" s="36">
        <v>5</v>
      </c>
      <c r="S682" s="86">
        <v>0.92</v>
      </c>
      <c r="T682" s="86"/>
      <c r="U682" s="82"/>
      <c r="V682" s="82"/>
      <c r="W682" s="82">
        <f t="shared" si="212"/>
        <v>0</v>
      </c>
      <c r="X682" s="82">
        <f t="shared" si="188"/>
        <v>769881160.16000009</v>
      </c>
      <c r="Y682" s="82">
        <f t="shared" si="213"/>
        <v>0</v>
      </c>
      <c r="Z682" s="82">
        <f t="shared" si="189"/>
        <v>-769881160.16000009</v>
      </c>
      <c r="AA682" s="83" t="str">
        <f t="shared" si="217"/>
        <v>No se realizó gasto en este corte</v>
      </c>
      <c r="AB682" s="84" t="str">
        <f t="shared" si="190"/>
        <v>Costo eficiente: se está gastando menos de lo presupuestado</v>
      </c>
      <c r="AC682" s="84">
        <f t="shared" si="214"/>
        <v>0</v>
      </c>
      <c r="AD682" s="84" t="str">
        <f t="shared" si="191"/>
        <v>Sin Línea Base</v>
      </c>
      <c r="AE682" s="85">
        <f t="shared" si="215"/>
        <v>0</v>
      </c>
      <c r="AF682" s="85">
        <f t="shared" si="216"/>
        <v>-836827348</v>
      </c>
      <c r="AG682" s="40" t="str">
        <f>VLOOKUP(Indicador!E682,Diccionario!C$1:AC$150,27,0)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82" s="40">
        <v>1</v>
      </c>
      <c r="AI682" s="40">
        <v>1</v>
      </c>
    </row>
    <row r="683" spans="1:35" ht="18.75" customHeight="1">
      <c r="A683" s="73">
        <v>2026</v>
      </c>
      <c r="B683" s="112" t="s">
        <v>24</v>
      </c>
      <c r="C683" s="36" t="s">
        <v>432</v>
      </c>
      <c r="D683" s="37">
        <v>45979.725087650462</v>
      </c>
      <c r="E683" s="36" t="s">
        <v>88</v>
      </c>
      <c r="F683" s="36" t="s">
        <v>433</v>
      </c>
      <c r="G683" s="36" t="s">
        <v>434</v>
      </c>
      <c r="H683" s="36" t="s">
        <v>435</v>
      </c>
      <c r="I683" s="36" t="s">
        <v>175</v>
      </c>
      <c r="J683" s="36" t="s">
        <v>436</v>
      </c>
      <c r="K683" s="36" t="s">
        <v>339</v>
      </c>
      <c r="L683" s="74">
        <f>VLOOKUP(E683,Diccionario!C$2:AC$150,22,0)</f>
        <v>836827348</v>
      </c>
      <c r="M683" s="75">
        <f>VLOOKUP(E683,Diccionario!C$2:AC$150,24,0)</f>
        <v>45962</v>
      </c>
      <c r="N683" s="76">
        <f>VLOOKUP(E683,Diccionario!C$2:AC$150,25,0)</f>
        <v>46111</v>
      </c>
      <c r="O683" s="77">
        <f>VLOOKUP(E683,Diccionario!C$2:AC$150,26,0)</f>
        <v>4.97</v>
      </c>
      <c r="P683" s="77">
        <f t="shared" si="218"/>
        <v>3.0000000000000249E-2</v>
      </c>
      <c r="Q683" s="78">
        <v>5</v>
      </c>
      <c r="R683" s="36">
        <v>5</v>
      </c>
      <c r="S683" s="86">
        <v>1</v>
      </c>
      <c r="T683" s="86"/>
      <c r="U683" s="82"/>
      <c r="V683" s="82"/>
      <c r="W683" s="82">
        <f t="shared" si="212"/>
        <v>0</v>
      </c>
      <c r="X683" s="82">
        <f t="shared" si="188"/>
        <v>836827348</v>
      </c>
      <c r="Y683" s="82">
        <f t="shared" si="213"/>
        <v>0</v>
      </c>
      <c r="Z683" s="82">
        <f t="shared" si="189"/>
        <v>-836827348</v>
      </c>
      <c r="AA683" s="83" t="str">
        <f t="shared" si="217"/>
        <v>No se realizó gasto en este corte</v>
      </c>
      <c r="AB683" s="84" t="str">
        <f t="shared" si="190"/>
        <v>Costo eficiente: se está gastando menos de lo presupuestado</v>
      </c>
      <c r="AC683" s="84">
        <f t="shared" si="214"/>
        <v>0</v>
      </c>
      <c r="AD683" s="84" t="str">
        <f t="shared" si="191"/>
        <v>Sin Línea Base</v>
      </c>
      <c r="AE683" s="85">
        <f t="shared" si="215"/>
        <v>0</v>
      </c>
      <c r="AF683" s="85">
        <f t="shared" si="216"/>
        <v>-836827348</v>
      </c>
      <c r="AG683" s="40" t="str">
        <f>VLOOKUP(Indicador!E683,Diccionario!C$1:AC$150,27,0)</f>
        <v>http://growdatasas.sharepoint.com/:x:/r/sites/Gestiondocumental/Administrativa/GD/Financiera/_layouts/15/Doc.aspx?sourcedoc=%7B01BE6969-C81D-4E83-B0DC-5E1ADEBADCFC%7D&amp;file=20251301%20MODELO%20FINANCIERO%20FISCALIA%20GOBIERNO%20DE%20DATOS%2017.12.25%20V5.xlsm&amp;action=default&amp;mobileredirect=true</v>
      </c>
      <c r="AH683" s="40">
        <v>1</v>
      </c>
      <c r="AI683" s="40">
        <v>1</v>
      </c>
    </row>
    <row r="684" spans="1:35" ht="18.75" customHeight="1">
      <c r="A684" s="73">
        <v>2025</v>
      </c>
      <c r="B684" s="112" t="s">
        <v>31</v>
      </c>
      <c r="C684" s="36" t="s">
        <v>437</v>
      </c>
      <c r="D684" s="37">
        <v>45971.923861539355</v>
      </c>
      <c r="E684" s="36" t="s">
        <v>47</v>
      </c>
      <c r="F684" s="36" t="s">
        <v>438</v>
      </c>
      <c r="G684" s="36" t="s">
        <v>439</v>
      </c>
      <c r="H684" s="36" t="s">
        <v>440</v>
      </c>
      <c r="I684" s="36" t="s">
        <v>152</v>
      </c>
      <c r="J684" s="36" t="s">
        <v>441</v>
      </c>
      <c r="K684" s="36" t="s">
        <v>339</v>
      </c>
      <c r="L684" s="74">
        <f>VLOOKUP(E684,Diccionario!C$2:AC$150,22,0)</f>
        <v>243037690</v>
      </c>
      <c r="M684" s="75">
        <f>VLOOKUP(E684,Diccionario!C$2:AC$150,24,0)</f>
        <v>45962</v>
      </c>
      <c r="N684" s="76">
        <f>VLOOKUP(E684,Diccionario!C$2:AC$150,25,0)</f>
        <v>45991</v>
      </c>
      <c r="O684" s="77">
        <f>VLOOKUP(E684,Diccionario!C$2:AC$150,26,0)</f>
        <v>0.97</v>
      </c>
      <c r="P684" s="77">
        <f t="shared" si="218"/>
        <v>3.0000000000000027E-2</v>
      </c>
      <c r="Q684" s="78">
        <v>1</v>
      </c>
      <c r="R684" s="36">
        <v>2</v>
      </c>
      <c r="S684" s="86">
        <v>0.75</v>
      </c>
      <c r="T684" s="86">
        <v>0.75</v>
      </c>
      <c r="U684" s="82">
        <v>243037690</v>
      </c>
      <c r="V684" s="82">
        <v>243037690</v>
      </c>
      <c r="W684" s="82">
        <f t="shared" si="212"/>
        <v>182278267.5</v>
      </c>
      <c r="X684" s="82">
        <f t="shared" ref="X684:X747" si="219">S684*L684</f>
        <v>182278267.5</v>
      </c>
      <c r="Y684" s="82">
        <f t="shared" si="213"/>
        <v>-60759422.5</v>
      </c>
      <c r="Z684" s="82">
        <f t="shared" ref="Z684:Z747" si="220">W684-X684</f>
        <v>0</v>
      </c>
      <c r="AA684" s="83">
        <f>IFERROR(W684/U684,"No se realizó gasto en este corte")</f>
        <v>0.75</v>
      </c>
      <c r="AB684" s="84" t="str">
        <f t="shared" ref="AB684:AB747" si="221">IFERROR(
  IF(OR(AA684="",AA684=0),
    "No calculado",
    IF(AA684&gt;1,"Costo eficiente: se está gastando menos de lo presupuestado",
      IF(AA684=1,"Costo según lo presupuestado",
        "Costo ineficiente: se está gastando más de lo presupuestado"))),
"No calculado")</f>
        <v>Costo ineficiente: se está gastando más de lo presupuestado</v>
      </c>
      <c r="AC684" s="84">
        <f t="shared" si="214"/>
        <v>1</v>
      </c>
      <c r="AD684" s="84" t="str">
        <f t="shared" ref="AD684:AD747" si="222">IF(OR(AC684="",AC684=0),"Sin Línea Base",
IF(AC684&gt;1,"Proyecto adelantado respecto al cronograma",
IF(AC684=1,"Proyecto a tiempo según lo planificado",
IF(AC684&lt;1,"Proyecto atrasado con respecto al cronograma",
"No calculado"))))</f>
        <v>Proyecto a tiempo según lo planificado</v>
      </c>
      <c r="AE684" s="85">
        <f t="shared" si="215"/>
        <v>324050253.33333331</v>
      </c>
      <c r="AF684" s="85">
        <f t="shared" si="216"/>
        <v>81012563.333333313</v>
      </c>
      <c r="AG684" s="40" t="str">
        <f>VLOOKUP(Indicador!E684,Diccionario!C$1:AC$150,27,0)</f>
        <v>https://growdatasas.sharepoint.com/:x:/r/sites/Gestiondocumental/Administrativa/GD/Financiera/_layouts/15/Doc.aspx?sourcedoc=%7B0EF085EC-8E84-47C2-BAD9-3C84DC86B615%7D&amp;file=20251301%20MODELO%20FINANCIERO%20REFERENCIA%20V7.4%20CCE_DIAN_20251031.xlsm&amp;action=default&amp;mobileredirect=true</v>
      </c>
      <c r="AH684" s="40">
        <v>1</v>
      </c>
      <c r="AI684" s="40">
        <v>1</v>
      </c>
    </row>
    <row r="685" spans="1:35" ht="18.75" customHeight="1">
      <c r="A685" s="73">
        <v>2025</v>
      </c>
      <c r="B685" s="112" t="s">
        <v>32</v>
      </c>
      <c r="C685" s="36" t="s">
        <v>437</v>
      </c>
      <c r="D685" s="37">
        <v>45971.923861539355</v>
      </c>
      <c r="E685" s="36" t="s">
        <v>47</v>
      </c>
      <c r="F685" s="36" t="s">
        <v>438</v>
      </c>
      <c r="G685" s="36" t="s">
        <v>439</v>
      </c>
      <c r="H685" s="36" t="s">
        <v>440</v>
      </c>
      <c r="I685" s="36" t="s">
        <v>152</v>
      </c>
      <c r="J685" s="36" t="s">
        <v>441</v>
      </c>
      <c r="K685" s="36" t="s">
        <v>339</v>
      </c>
      <c r="L685" s="74">
        <f>VLOOKUP(E685,Diccionario!C$2:AC$150,22,0)</f>
        <v>243037690</v>
      </c>
      <c r="M685" s="75">
        <f>VLOOKUP(E685,Diccionario!C$2:AC$150,24,0)</f>
        <v>45962</v>
      </c>
      <c r="N685" s="76">
        <f>VLOOKUP(E685,Diccionario!C$2:AC$150,25,0)</f>
        <v>45991</v>
      </c>
      <c r="O685" s="77">
        <f>VLOOKUP(E685,Diccionario!C$2:AC$150,26,0)</f>
        <v>0.97</v>
      </c>
      <c r="P685" s="77">
        <f t="shared" si="218"/>
        <v>1.03</v>
      </c>
      <c r="Q685" s="78">
        <v>2</v>
      </c>
      <c r="R685" s="36">
        <v>2</v>
      </c>
      <c r="S685" s="86">
        <v>1</v>
      </c>
      <c r="T685" s="86">
        <v>1</v>
      </c>
      <c r="U685" s="82">
        <v>0</v>
      </c>
      <c r="V685" s="82">
        <v>0</v>
      </c>
      <c r="W685" s="82">
        <f t="shared" si="212"/>
        <v>243037690</v>
      </c>
      <c r="X685" s="82">
        <f t="shared" si="219"/>
        <v>243037690</v>
      </c>
      <c r="Y685" s="82">
        <f t="shared" si="213"/>
        <v>243037690</v>
      </c>
      <c r="Z685" s="82">
        <f t="shared" si="220"/>
        <v>0</v>
      </c>
      <c r="AA685" s="83" t="str">
        <f>IFERROR(W685/U685,"No se realizó gasto en este corte")</f>
        <v>No se realizó gasto en este corte</v>
      </c>
      <c r="AB685" s="84" t="str">
        <f t="shared" si="221"/>
        <v>Costo eficiente: se está gastando menos de lo presupuestado</v>
      </c>
      <c r="AC685" s="84">
        <f t="shared" si="214"/>
        <v>1</v>
      </c>
      <c r="AD685" s="84" t="str">
        <f t="shared" si="222"/>
        <v>Proyecto a tiempo según lo planificado</v>
      </c>
      <c r="AE685" s="85">
        <f t="shared" si="215"/>
        <v>0</v>
      </c>
      <c r="AF685" s="85">
        <f t="shared" si="216"/>
        <v>-243037690</v>
      </c>
      <c r="AG685" s="40" t="str">
        <f>VLOOKUP(Indicador!E685,Diccionario!C$1:AC$150,27,0)</f>
        <v>https://growdatasas.sharepoint.com/:x:/r/sites/Gestiondocumental/Administrativa/GD/Financiera/_layouts/15/Doc.aspx?sourcedoc=%7B0EF085EC-8E84-47C2-BAD9-3C84DC86B615%7D&amp;file=20251301%20MODELO%20FINANCIERO%20REFERENCIA%20V7.4%20CCE_DIAN_20251031.xlsm&amp;action=default&amp;mobileredirect=true</v>
      </c>
      <c r="AH685" s="40">
        <v>1</v>
      </c>
      <c r="AI685" s="40">
        <v>1</v>
      </c>
    </row>
    <row r="686" spans="1:35" ht="18.75" customHeight="1">
      <c r="A686" s="73">
        <v>2025</v>
      </c>
      <c r="B686" s="112" t="s">
        <v>31</v>
      </c>
      <c r="C686" s="36" t="s">
        <v>442</v>
      </c>
      <c r="D686" s="37">
        <v>45971.819201238424</v>
      </c>
      <c r="E686" s="36" t="s">
        <v>105</v>
      </c>
      <c r="F686" s="36" t="s">
        <v>389</v>
      </c>
      <c r="G686" s="36" t="s">
        <v>443</v>
      </c>
      <c r="H686" s="36" t="s">
        <v>444</v>
      </c>
      <c r="I686" s="36" t="s">
        <v>152</v>
      </c>
      <c r="J686" s="36" t="s">
        <v>445</v>
      </c>
      <c r="K686" s="36" t="s">
        <v>177</v>
      </c>
      <c r="L686" s="74">
        <f>VLOOKUP(E686,Diccionario!C$2:AC$150,22,0)</f>
        <v>28089671329</v>
      </c>
      <c r="M686" s="75">
        <f>VLOOKUP(E686,Diccionario!C$2:AC$150,24,0)</f>
        <v>45962</v>
      </c>
      <c r="N686" s="76">
        <f>VLOOKUP(E686,Diccionario!C$2:AC$150,25,0)</f>
        <v>47787</v>
      </c>
      <c r="O686" s="77">
        <f>VLOOKUP(E686,Diccionario!C$2:AC$150,26,0)</f>
        <v>60</v>
      </c>
      <c r="P686" s="77">
        <f t="shared" si="218"/>
        <v>-59</v>
      </c>
      <c r="Q686" s="78">
        <v>1</v>
      </c>
      <c r="R686" s="36">
        <v>60</v>
      </c>
      <c r="S686" s="86">
        <v>0.25</v>
      </c>
      <c r="T686" s="86">
        <v>0.25</v>
      </c>
      <c r="U686" s="82">
        <v>2429630372</v>
      </c>
      <c r="V686" s="82">
        <v>2429630372</v>
      </c>
      <c r="W686" s="82">
        <f t="shared" si="212"/>
        <v>7022417832.25</v>
      </c>
      <c r="X686" s="82">
        <f t="shared" si="219"/>
        <v>7022417832.25</v>
      </c>
      <c r="Y686" s="82">
        <f t="shared" si="213"/>
        <v>4592787460.25</v>
      </c>
      <c r="Z686" s="82">
        <f t="shared" si="220"/>
        <v>0</v>
      </c>
      <c r="AA686" s="83">
        <f t="shared" si="217"/>
        <v>2.8903235295290424</v>
      </c>
      <c r="AB686" s="84" t="str">
        <f t="shared" si="221"/>
        <v>Costo eficiente: se está gastando menos de lo presupuestado</v>
      </c>
      <c r="AC686" s="84">
        <f t="shared" si="214"/>
        <v>1</v>
      </c>
      <c r="AD686" s="84" t="str">
        <f t="shared" si="222"/>
        <v>Proyecto a tiempo según lo planificado</v>
      </c>
      <c r="AE686" s="85">
        <f t="shared" si="215"/>
        <v>9718521488</v>
      </c>
      <c r="AF686" s="85">
        <f t="shared" si="216"/>
        <v>-18371149841</v>
      </c>
      <c r="AG686" s="40" t="str">
        <f>VLOOKUP(Indicador!E686,Diccionario!C$1:AC$150,27,0)</f>
        <v>https://growdatasas.sharepoint.com/:x:/r/sites/Gestiondocumental/Administrativa/GD/Financiera/_layouts/15/Doc.aspx?sourcedoc=%7BBF6E8538-B113-45FF-83F6-596104EC0C59%7D&amp;file=3.0.0.%20%20MODELO%20UNAD%20V3.0.%20(ajustado).xlsm&amp;action=default&amp;mobileredirect=true</v>
      </c>
      <c r="AH686" s="40">
        <v>1</v>
      </c>
      <c r="AI686" s="40">
        <v>1</v>
      </c>
    </row>
    <row r="687" spans="1:35" ht="18.75" customHeight="1">
      <c r="A687" s="73">
        <v>2025</v>
      </c>
      <c r="B687" s="112" t="s">
        <v>32</v>
      </c>
      <c r="C687" s="36" t="s">
        <v>442</v>
      </c>
      <c r="D687" s="37">
        <v>45971.819201238424</v>
      </c>
      <c r="E687" s="36" t="s">
        <v>105</v>
      </c>
      <c r="F687" s="36" t="s">
        <v>389</v>
      </c>
      <c r="G687" s="36" t="s">
        <v>443</v>
      </c>
      <c r="H687" s="36" t="s">
        <v>444</v>
      </c>
      <c r="I687" s="36" t="s">
        <v>152</v>
      </c>
      <c r="J687" s="36" t="s">
        <v>445</v>
      </c>
      <c r="K687" s="36" t="s">
        <v>177</v>
      </c>
      <c r="L687" s="74">
        <f>VLOOKUP(E687,Diccionario!C$2:AC$150,22,0)</f>
        <v>28089671329</v>
      </c>
      <c r="M687" s="75">
        <f>VLOOKUP(E687,Diccionario!C$2:AC$150,24,0)</f>
        <v>45962</v>
      </c>
      <c r="N687" s="76">
        <f>VLOOKUP(E687,Diccionario!C$2:AC$150,25,0)</f>
        <v>47787</v>
      </c>
      <c r="O687" s="77">
        <f>VLOOKUP(E687,Diccionario!C$2:AC$150,26,0)</f>
        <v>60</v>
      </c>
      <c r="P687" s="77">
        <f t="shared" ca="1" si="218"/>
        <v>-52</v>
      </c>
      <c r="Q687" s="78">
        <f t="shared" ref="Q687:Q745" ca="1" si="223">DATEDIF(M687,TODAY(),"m")</f>
        <v>8</v>
      </c>
      <c r="R687" s="36">
        <v>60</v>
      </c>
      <c r="S687" s="86">
        <v>0.27</v>
      </c>
      <c r="T687" s="86">
        <v>0.27</v>
      </c>
      <c r="U687" s="82">
        <v>1680064195</v>
      </c>
      <c r="V687" s="82">
        <v>1680064195</v>
      </c>
      <c r="W687" s="82">
        <f t="shared" si="212"/>
        <v>7584211258.8300009</v>
      </c>
      <c r="X687" s="82">
        <f t="shared" si="219"/>
        <v>7584211258.8300009</v>
      </c>
      <c r="Y687" s="82">
        <f t="shared" si="213"/>
        <v>5904147063.8300009</v>
      </c>
      <c r="Z687" s="82">
        <f t="shared" si="220"/>
        <v>0</v>
      </c>
      <c r="AA687" s="83">
        <f t="shared" si="217"/>
        <v>4.5142389686067927</v>
      </c>
      <c r="AB687" s="84" t="str">
        <f t="shared" si="221"/>
        <v>Costo eficiente: se está gastando menos de lo presupuestado</v>
      </c>
      <c r="AC687" s="84">
        <f t="shared" si="214"/>
        <v>1</v>
      </c>
      <c r="AD687" s="84" t="str">
        <f t="shared" si="222"/>
        <v>Proyecto a tiempo según lo planificado</v>
      </c>
      <c r="AE687" s="85">
        <f t="shared" si="215"/>
        <v>6222459981.4814806</v>
      </c>
      <c r="AF687" s="85">
        <f t="shared" si="216"/>
        <v>-21867211347.51852</v>
      </c>
      <c r="AG687" s="40" t="str">
        <f>VLOOKUP(Indicador!E687,Diccionario!C$1:AC$150,27,0)</f>
        <v>https://growdatasas.sharepoint.com/:x:/r/sites/Gestiondocumental/Administrativa/GD/Financiera/_layouts/15/Doc.aspx?sourcedoc=%7BBF6E8538-B113-45FF-83F6-596104EC0C59%7D&amp;file=3.0.0.%20%20MODELO%20UNAD%20V3.0.%20(ajustado).xlsm&amp;action=default&amp;mobileredirect=true</v>
      </c>
      <c r="AH687" s="40">
        <v>1</v>
      </c>
      <c r="AI687" s="40">
        <v>1</v>
      </c>
    </row>
    <row r="688" spans="1:35" ht="18.75" customHeight="1">
      <c r="A688" s="73">
        <v>2026</v>
      </c>
      <c r="B688" s="112" t="s">
        <v>14</v>
      </c>
      <c r="C688" s="36" t="s">
        <v>442</v>
      </c>
      <c r="D688" s="37">
        <v>45971.819201238424</v>
      </c>
      <c r="E688" s="36" t="s">
        <v>105</v>
      </c>
      <c r="F688" s="36" t="s">
        <v>389</v>
      </c>
      <c r="G688" s="36" t="s">
        <v>443</v>
      </c>
      <c r="H688" s="36" t="s">
        <v>444</v>
      </c>
      <c r="I688" s="36" t="s">
        <v>152</v>
      </c>
      <c r="J688" s="36" t="s">
        <v>445</v>
      </c>
      <c r="K688" s="36" t="s">
        <v>177</v>
      </c>
      <c r="L688" s="74">
        <f>VLOOKUP(E688,Diccionario!C$2:AC$150,22,0)</f>
        <v>28089671329</v>
      </c>
      <c r="M688" s="75">
        <f>VLOOKUP(E688,Diccionario!C$2:AC$150,24,0)</f>
        <v>45962</v>
      </c>
      <c r="N688" s="76">
        <f>VLOOKUP(E688,Diccionario!C$2:AC$150,25,0)</f>
        <v>47787</v>
      </c>
      <c r="O688" s="77">
        <f>VLOOKUP(E688,Diccionario!C$2:AC$150,26,0)</f>
        <v>60</v>
      </c>
      <c r="P688" s="77">
        <f t="shared" ca="1" si="218"/>
        <v>-52</v>
      </c>
      <c r="Q688" s="78">
        <f t="shared" ca="1" si="223"/>
        <v>8</v>
      </c>
      <c r="R688" s="36">
        <v>60</v>
      </c>
      <c r="S688" s="86">
        <v>0.28000000000000003</v>
      </c>
      <c r="T688" s="86">
        <v>0.28000000000000003</v>
      </c>
      <c r="U688" s="82">
        <v>30081382</v>
      </c>
      <c r="V688" s="82">
        <v>30081382</v>
      </c>
      <c r="W688" s="82">
        <f t="shared" si="212"/>
        <v>7865107972.1200008</v>
      </c>
      <c r="X688" s="82">
        <f t="shared" si="219"/>
        <v>7865107972.1200008</v>
      </c>
      <c r="Y688" s="82">
        <f t="shared" si="213"/>
        <v>7835026590.1200008</v>
      </c>
      <c r="Z688" s="82">
        <f t="shared" si="220"/>
        <v>0</v>
      </c>
      <c r="AA688" s="83">
        <f t="shared" si="217"/>
        <v>261.46099178953949</v>
      </c>
      <c r="AB688" s="84" t="str">
        <f t="shared" si="221"/>
        <v>Costo eficiente: se está gastando menos de lo presupuestado</v>
      </c>
      <c r="AC688" s="84">
        <f t="shared" si="214"/>
        <v>1</v>
      </c>
      <c r="AD688" s="84" t="str">
        <f t="shared" si="222"/>
        <v>Proyecto a tiempo según lo planificado</v>
      </c>
      <c r="AE688" s="85">
        <f t="shared" si="215"/>
        <v>107433507.14285713</v>
      </c>
      <c r="AF688" s="85">
        <f t="shared" si="216"/>
        <v>-27982237821.857143</v>
      </c>
      <c r="AG688" s="40" t="str">
        <f>VLOOKUP(Indicador!E688,Diccionario!C$1:AC$150,27,0)</f>
        <v>https://growdatasas.sharepoint.com/:x:/r/sites/Gestiondocumental/Administrativa/GD/Financiera/_layouts/15/Doc.aspx?sourcedoc=%7BBF6E8538-B113-45FF-83F6-596104EC0C59%7D&amp;file=3.0.0.%20%20MODELO%20UNAD%20V3.0.%20(ajustado).xlsm&amp;action=default&amp;mobileredirect=true</v>
      </c>
      <c r="AH688" s="40">
        <v>1</v>
      </c>
      <c r="AI688" s="40">
        <v>1</v>
      </c>
    </row>
    <row r="689" spans="1:35" ht="18.75" customHeight="1">
      <c r="A689" s="73">
        <v>2026</v>
      </c>
      <c r="B689" s="112" t="s">
        <v>22</v>
      </c>
      <c r="C689" s="36" t="s">
        <v>442</v>
      </c>
      <c r="D689" s="37">
        <v>45971.819201238424</v>
      </c>
      <c r="E689" s="36" t="s">
        <v>105</v>
      </c>
      <c r="F689" s="36" t="s">
        <v>389</v>
      </c>
      <c r="G689" s="36" t="s">
        <v>443</v>
      </c>
      <c r="H689" s="36" t="s">
        <v>444</v>
      </c>
      <c r="I689" s="36" t="s">
        <v>152</v>
      </c>
      <c r="J689" s="36" t="s">
        <v>445</v>
      </c>
      <c r="K689" s="36" t="s">
        <v>177</v>
      </c>
      <c r="L689" s="74">
        <f>VLOOKUP(E689,Diccionario!C$2:AC$150,22,0)</f>
        <v>28089671329</v>
      </c>
      <c r="M689" s="75">
        <f>VLOOKUP(E689,Diccionario!C$2:AC$150,24,0)</f>
        <v>45962</v>
      </c>
      <c r="N689" s="76">
        <f>VLOOKUP(E689,Diccionario!C$2:AC$150,25,0)</f>
        <v>47787</v>
      </c>
      <c r="O689" s="77">
        <f>VLOOKUP(E689,Diccionario!C$2:AC$150,26,0)</f>
        <v>60</v>
      </c>
      <c r="P689" s="77">
        <f t="shared" ca="1" si="218"/>
        <v>-52</v>
      </c>
      <c r="Q689" s="78">
        <f t="shared" ca="1" si="223"/>
        <v>8</v>
      </c>
      <c r="R689" s="36">
        <v>60</v>
      </c>
      <c r="S689" s="86">
        <v>0.28999999999999998</v>
      </c>
      <c r="T689" s="86"/>
      <c r="U689" s="82"/>
      <c r="V689" s="82"/>
      <c r="W689" s="82">
        <f t="shared" si="212"/>
        <v>0</v>
      </c>
      <c r="X689" s="82">
        <f t="shared" si="219"/>
        <v>8146004685.4099998</v>
      </c>
      <c r="Y689" s="82">
        <f t="shared" si="213"/>
        <v>0</v>
      </c>
      <c r="Z689" s="82">
        <f t="shared" si="220"/>
        <v>-8146004685.4099998</v>
      </c>
      <c r="AA689" s="83" t="str">
        <f t="shared" si="217"/>
        <v>No se realizó gasto en este corte</v>
      </c>
      <c r="AB689" s="84" t="str">
        <f t="shared" si="221"/>
        <v>Costo eficiente: se está gastando menos de lo presupuestado</v>
      </c>
      <c r="AC689" s="84">
        <f t="shared" si="214"/>
        <v>0</v>
      </c>
      <c r="AD689" s="84" t="str">
        <f t="shared" si="222"/>
        <v>Sin Línea Base</v>
      </c>
      <c r="AE689" s="85">
        <f t="shared" si="215"/>
        <v>0</v>
      </c>
      <c r="AF689" s="85">
        <f t="shared" si="216"/>
        <v>-28089671329</v>
      </c>
      <c r="AG689" s="40" t="str">
        <f>VLOOKUP(Indicador!E689,Diccionario!C$1:AC$150,27,0)</f>
        <v>https://growdatasas.sharepoint.com/:x:/r/sites/Gestiondocumental/Administrativa/GD/Financiera/_layouts/15/Doc.aspx?sourcedoc=%7BBF6E8538-B113-45FF-83F6-596104EC0C59%7D&amp;file=3.0.0.%20%20MODELO%20UNAD%20V3.0.%20(ajustado).xlsm&amp;action=default&amp;mobileredirect=true</v>
      </c>
      <c r="AH689" s="40">
        <v>1</v>
      </c>
      <c r="AI689" s="40">
        <v>1</v>
      </c>
    </row>
    <row r="690" spans="1:35" ht="18.75" customHeight="1">
      <c r="A690" s="73">
        <v>2026</v>
      </c>
      <c r="B690" s="112" t="s">
        <v>24</v>
      </c>
      <c r="C690" s="36" t="s">
        <v>442</v>
      </c>
      <c r="D690" s="37">
        <v>45971.819201238424</v>
      </c>
      <c r="E690" s="36" t="s">
        <v>105</v>
      </c>
      <c r="F690" s="36" t="s">
        <v>389</v>
      </c>
      <c r="G690" s="36" t="s">
        <v>443</v>
      </c>
      <c r="H690" s="36" t="s">
        <v>444</v>
      </c>
      <c r="I690" s="36" t="s">
        <v>152</v>
      </c>
      <c r="J690" s="36" t="s">
        <v>445</v>
      </c>
      <c r="K690" s="36" t="s">
        <v>177</v>
      </c>
      <c r="L690" s="74">
        <f>VLOOKUP(E690,Diccionario!C$2:AC$150,22,0)</f>
        <v>28089671329</v>
      </c>
      <c r="M690" s="75">
        <f>VLOOKUP(E690,Diccionario!C$2:AC$150,24,0)</f>
        <v>45962</v>
      </c>
      <c r="N690" s="76">
        <f>VLOOKUP(E690,Diccionario!C$2:AC$150,25,0)</f>
        <v>47787</v>
      </c>
      <c r="O690" s="77">
        <f>VLOOKUP(E690,Diccionario!C$2:AC$150,26,0)</f>
        <v>60</v>
      </c>
      <c r="P690" s="77">
        <f t="shared" ca="1" si="218"/>
        <v>-52</v>
      </c>
      <c r="Q690" s="78">
        <f t="shared" ca="1" si="223"/>
        <v>8</v>
      </c>
      <c r="R690" s="36">
        <v>60</v>
      </c>
      <c r="S690" s="86">
        <v>0.3</v>
      </c>
      <c r="T690" s="86"/>
      <c r="U690" s="82"/>
      <c r="V690" s="82"/>
      <c r="W690" s="82">
        <f t="shared" si="212"/>
        <v>0</v>
      </c>
      <c r="X690" s="82">
        <f t="shared" si="219"/>
        <v>8426901398.6999998</v>
      </c>
      <c r="Y690" s="82">
        <f t="shared" si="213"/>
        <v>0</v>
      </c>
      <c r="Z690" s="82">
        <f t="shared" si="220"/>
        <v>-8426901398.6999998</v>
      </c>
      <c r="AA690" s="83" t="str">
        <f t="shared" si="217"/>
        <v>No se realizó gasto en este corte</v>
      </c>
      <c r="AB690" s="84" t="str">
        <f t="shared" si="221"/>
        <v>Costo eficiente: se está gastando menos de lo presupuestado</v>
      </c>
      <c r="AC690" s="84">
        <f t="shared" si="214"/>
        <v>0</v>
      </c>
      <c r="AD690" s="84" t="str">
        <f t="shared" si="222"/>
        <v>Sin Línea Base</v>
      </c>
      <c r="AE690" s="85">
        <f t="shared" si="215"/>
        <v>0</v>
      </c>
      <c r="AF690" s="85">
        <f t="shared" si="216"/>
        <v>-28089671329</v>
      </c>
      <c r="AG690" s="40" t="str">
        <f>VLOOKUP(Indicador!E690,Diccionario!C$1:AC$150,27,0)</f>
        <v>https://growdatasas.sharepoint.com/:x:/r/sites/Gestiondocumental/Administrativa/GD/Financiera/_layouts/15/Doc.aspx?sourcedoc=%7BBF6E8538-B113-45FF-83F6-596104EC0C59%7D&amp;file=3.0.0.%20%20MODELO%20UNAD%20V3.0.%20(ajustado).xlsm&amp;action=default&amp;mobileredirect=true</v>
      </c>
      <c r="AH690" s="40">
        <v>1</v>
      </c>
      <c r="AI690" s="40">
        <v>1</v>
      </c>
    </row>
    <row r="691" spans="1:35" ht="18.75" customHeight="1">
      <c r="A691" s="73">
        <v>2026</v>
      </c>
      <c r="B691" s="112" t="s">
        <v>27</v>
      </c>
      <c r="C691" s="36" t="s">
        <v>442</v>
      </c>
      <c r="D691" s="37">
        <v>45971.819201238424</v>
      </c>
      <c r="E691" s="36" t="s">
        <v>105</v>
      </c>
      <c r="F691" s="36" t="s">
        <v>389</v>
      </c>
      <c r="G691" s="36" t="s">
        <v>443</v>
      </c>
      <c r="H691" s="36" t="s">
        <v>444</v>
      </c>
      <c r="I691" s="36" t="s">
        <v>152</v>
      </c>
      <c r="J691" s="36" t="s">
        <v>445</v>
      </c>
      <c r="K691" s="36" t="s">
        <v>177</v>
      </c>
      <c r="L691" s="74">
        <f>VLOOKUP(E691,Diccionario!C$2:AC$150,22,0)</f>
        <v>28089671329</v>
      </c>
      <c r="M691" s="75">
        <f>VLOOKUP(E691,Diccionario!C$2:AC$150,24,0)</f>
        <v>45962</v>
      </c>
      <c r="N691" s="76">
        <f>VLOOKUP(E691,Diccionario!C$2:AC$150,25,0)</f>
        <v>47787</v>
      </c>
      <c r="O691" s="77">
        <f>VLOOKUP(E691,Diccionario!C$2:AC$150,26,0)</f>
        <v>60</v>
      </c>
      <c r="P691" s="77">
        <f t="shared" ca="1" si="218"/>
        <v>-52</v>
      </c>
      <c r="Q691" s="78">
        <f t="shared" ca="1" si="223"/>
        <v>8</v>
      </c>
      <c r="R691" s="36">
        <v>60</v>
      </c>
      <c r="S691" s="86">
        <v>0.31</v>
      </c>
      <c r="T691" s="86"/>
      <c r="U691" s="82"/>
      <c r="V691" s="82"/>
      <c r="W691" s="82">
        <f t="shared" si="212"/>
        <v>0</v>
      </c>
      <c r="X691" s="82">
        <f t="shared" si="219"/>
        <v>8707798111.9899998</v>
      </c>
      <c r="Y691" s="82">
        <f t="shared" si="213"/>
        <v>0</v>
      </c>
      <c r="Z691" s="82">
        <f t="shared" si="220"/>
        <v>-8707798111.9899998</v>
      </c>
      <c r="AA691" s="83" t="str">
        <f t="shared" si="217"/>
        <v>No se realizó gasto en este corte</v>
      </c>
      <c r="AB691" s="84" t="str">
        <f t="shared" si="221"/>
        <v>Costo eficiente: se está gastando menos de lo presupuestado</v>
      </c>
      <c r="AC691" s="84">
        <f t="shared" si="214"/>
        <v>0</v>
      </c>
      <c r="AD691" s="84" t="str">
        <f t="shared" si="222"/>
        <v>Sin Línea Base</v>
      </c>
      <c r="AE691" s="85">
        <f t="shared" si="215"/>
        <v>0</v>
      </c>
      <c r="AF691" s="85">
        <f t="shared" si="216"/>
        <v>-28089671329</v>
      </c>
      <c r="AG691" s="40" t="str">
        <f>VLOOKUP(Indicador!E691,Diccionario!C$1:AC$150,27,0)</f>
        <v>https://growdatasas.sharepoint.com/:x:/r/sites/Gestiondocumental/Administrativa/GD/Financiera/_layouts/15/Doc.aspx?sourcedoc=%7BBF6E8538-B113-45FF-83F6-596104EC0C59%7D&amp;file=3.0.0.%20%20MODELO%20UNAD%20V3.0.%20(ajustado).xlsm&amp;action=default&amp;mobileredirect=true</v>
      </c>
      <c r="AH691" s="40">
        <v>1</v>
      </c>
      <c r="AI691" s="40">
        <v>1</v>
      </c>
    </row>
    <row r="692" spans="1:35" ht="18.75" customHeight="1">
      <c r="A692" s="73">
        <v>2026</v>
      </c>
      <c r="B692" s="112" t="s">
        <v>13</v>
      </c>
      <c r="C692" s="36" t="s">
        <v>442</v>
      </c>
      <c r="D692" s="37">
        <v>45971.819201238424</v>
      </c>
      <c r="E692" s="36" t="s">
        <v>105</v>
      </c>
      <c r="F692" s="36" t="s">
        <v>389</v>
      </c>
      <c r="G692" s="36" t="s">
        <v>443</v>
      </c>
      <c r="H692" s="36" t="s">
        <v>444</v>
      </c>
      <c r="I692" s="36" t="s">
        <v>152</v>
      </c>
      <c r="J692" s="36" t="s">
        <v>445</v>
      </c>
      <c r="K692" s="36" t="s">
        <v>177</v>
      </c>
      <c r="L692" s="74">
        <f>VLOOKUP(E692,Diccionario!C$2:AC$150,22,0)</f>
        <v>28089671329</v>
      </c>
      <c r="M692" s="75">
        <f>VLOOKUP(E692,Diccionario!C$2:AC$150,24,0)</f>
        <v>45962</v>
      </c>
      <c r="N692" s="76">
        <f>VLOOKUP(E692,Diccionario!C$2:AC$150,25,0)</f>
        <v>47787</v>
      </c>
      <c r="O692" s="77">
        <f>VLOOKUP(E692,Diccionario!C$2:AC$150,26,0)</f>
        <v>60</v>
      </c>
      <c r="P692" s="77">
        <f t="shared" ca="1" si="218"/>
        <v>-52</v>
      </c>
      <c r="Q692" s="78">
        <f t="shared" ca="1" si="223"/>
        <v>8</v>
      </c>
      <c r="R692" s="36">
        <v>60</v>
      </c>
      <c r="S692" s="86">
        <v>0.32</v>
      </c>
      <c r="T692" s="86"/>
      <c r="U692" s="82"/>
      <c r="V692" s="82"/>
      <c r="W692" s="82">
        <f t="shared" si="212"/>
        <v>0</v>
      </c>
      <c r="X692" s="82">
        <f t="shared" si="219"/>
        <v>8988694825.2800007</v>
      </c>
      <c r="Y692" s="82">
        <f t="shared" si="213"/>
        <v>0</v>
      </c>
      <c r="Z692" s="82">
        <f t="shared" si="220"/>
        <v>-8988694825.2800007</v>
      </c>
      <c r="AA692" s="83" t="str">
        <f t="shared" si="217"/>
        <v>No se realizó gasto en este corte</v>
      </c>
      <c r="AB692" s="84" t="str">
        <f t="shared" si="221"/>
        <v>Costo eficiente: se está gastando menos de lo presupuestado</v>
      </c>
      <c r="AC692" s="84">
        <f t="shared" si="214"/>
        <v>0</v>
      </c>
      <c r="AD692" s="84" t="str">
        <f t="shared" si="222"/>
        <v>Sin Línea Base</v>
      </c>
      <c r="AE692" s="85">
        <f t="shared" si="215"/>
        <v>0</v>
      </c>
      <c r="AF692" s="85">
        <f t="shared" si="216"/>
        <v>-28089671329</v>
      </c>
      <c r="AG692" s="40" t="str">
        <f>VLOOKUP(Indicador!E692,Diccionario!C$1:AC$150,27,0)</f>
        <v>https://growdatasas.sharepoint.com/:x:/r/sites/Gestiondocumental/Administrativa/GD/Financiera/_layouts/15/Doc.aspx?sourcedoc=%7BBF6E8538-B113-45FF-83F6-596104EC0C59%7D&amp;file=3.0.0.%20%20MODELO%20UNAD%20V3.0.%20(ajustado).xlsm&amp;action=default&amp;mobileredirect=true</v>
      </c>
      <c r="AH692" s="40">
        <v>1</v>
      </c>
      <c r="AI692" s="40">
        <v>1</v>
      </c>
    </row>
    <row r="693" spans="1:35" ht="18.75" customHeight="1">
      <c r="A693" s="73">
        <v>2026</v>
      </c>
      <c r="B693" s="112" t="s">
        <v>21</v>
      </c>
      <c r="C693" s="36" t="s">
        <v>442</v>
      </c>
      <c r="D693" s="37">
        <v>45971.819201238424</v>
      </c>
      <c r="E693" s="36" t="s">
        <v>105</v>
      </c>
      <c r="F693" s="36" t="s">
        <v>389</v>
      </c>
      <c r="G693" s="36" t="s">
        <v>443</v>
      </c>
      <c r="H693" s="36" t="s">
        <v>444</v>
      </c>
      <c r="I693" s="36" t="s">
        <v>152</v>
      </c>
      <c r="J693" s="36" t="s">
        <v>445</v>
      </c>
      <c r="K693" s="36" t="s">
        <v>177</v>
      </c>
      <c r="L693" s="74">
        <f>VLOOKUP(E693,Diccionario!C$2:AC$150,22,0)</f>
        <v>28089671329</v>
      </c>
      <c r="M693" s="75">
        <f>VLOOKUP(E693,Diccionario!C$2:AC$150,24,0)</f>
        <v>45962</v>
      </c>
      <c r="N693" s="76">
        <f>VLOOKUP(E693,Diccionario!C$2:AC$150,25,0)</f>
        <v>47787</v>
      </c>
      <c r="O693" s="77">
        <f>VLOOKUP(E693,Diccionario!C$2:AC$150,26,0)</f>
        <v>60</v>
      </c>
      <c r="P693" s="77">
        <f t="shared" ca="1" si="218"/>
        <v>-52</v>
      </c>
      <c r="Q693" s="78">
        <f t="shared" ca="1" si="223"/>
        <v>8</v>
      </c>
      <c r="R693" s="36">
        <v>60</v>
      </c>
      <c r="S693" s="86">
        <v>0.33</v>
      </c>
      <c r="T693" s="86"/>
      <c r="U693" s="82"/>
      <c r="V693" s="82"/>
      <c r="W693" s="82">
        <f t="shared" si="212"/>
        <v>0</v>
      </c>
      <c r="X693" s="82">
        <f t="shared" si="219"/>
        <v>9269591538.5699997</v>
      </c>
      <c r="Y693" s="82">
        <f t="shared" si="213"/>
        <v>0</v>
      </c>
      <c r="Z693" s="82">
        <f t="shared" si="220"/>
        <v>-9269591538.5699997</v>
      </c>
      <c r="AA693" s="83" t="str">
        <f t="shared" si="217"/>
        <v>No se realizó gasto en este corte</v>
      </c>
      <c r="AB693" s="84" t="str">
        <f t="shared" si="221"/>
        <v>Costo eficiente: se está gastando menos de lo presupuestado</v>
      </c>
      <c r="AC693" s="84">
        <f t="shared" si="214"/>
        <v>0</v>
      </c>
      <c r="AD693" s="84" t="str">
        <f t="shared" si="222"/>
        <v>Sin Línea Base</v>
      </c>
      <c r="AE693" s="85">
        <f t="shared" si="215"/>
        <v>0</v>
      </c>
      <c r="AF693" s="85">
        <f t="shared" si="216"/>
        <v>-28089671329</v>
      </c>
      <c r="AG693" s="40" t="str">
        <f>VLOOKUP(Indicador!E693,Diccionario!C$1:AC$150,27,0)</f>
        <v>https://growdatasas.sharepoint.com/:x:/r/sites/Gestiondocumental/Administrativa/GD/Financiera/_layouts/15/Doc.aspx?sourcedoc=%7BBF6E8538-B113-45FF-83F6-596104EC0C59%7D&amp;file=3.0.0.%20%20MODELO%20UNAD%20V3.0.%20(ajustado).xlsm&amp;action=default&amp;mobileredirect=true</v>
      </c>
      <c r="AH693" s="40">
        <v>1</v>
      </c>
      <c r="AI693" s="40">
        <v>1</v>
      </c>
    </row>
    <row r="694" spans="1:35" ht="18.75" customHeight="1">
      <c r="A694" s="73">
        <v>2026</v>
      </c>
      <c r="B694" s="112" t="s">
        <v>23</v>
      </c>
      <c r="C694" s="36" t="s">
        <v>442</v>
      </c>
      <c r="D694" s="37">
        <v>45971.819201238424</v>
      </c>
      <c r="E694" s="36" t="s">
        <v>105</v>
      </c>
      <c r="F694" s="36" t="s">
        <v>389</v>
      </c>
      <c r="G694" s="36" t="s">
        <v>443</v>
      </c>
      <c r="H694" s="36" t="s">
        <v>444</v>
      </c>
      <c r="I694" s="36" t="s">
        <v>152</v>
      </c>
      <c r="J694" s="36" t="s">
        <v>445</v>
      </c>
      <c r="K694" s="36" t="s">
        <v>177</v>
      </c>
      <c r="L694" s="74">
        <f>VLOOKUP(E694,Diccionario!C$2:AC$150,22,0)</f>
        <v>28089671329</v>
      </c>
      <c r="M694" s="75">
        <f>VLOOKUP(E694,Diccionario!C$2:AC$150,24,0)</f>
        <v>45962</v>
      </c>
      <c r="N694" s="76">
        <f>VLOOKUP(E694,Diccionario!C$2:AC$150,25,0)</f>
        <v>47787</v>
      </c>
      <c r="O694" s="77">
        <f>VLOOKUP(E694,Diccionario!C$2:AC$150,26,0)</f>
        <v>60</v>
      </c>
      <c r="P694" s="77">
        <f t="shared" ca="1" si="218"/>
        <v>-52</v>
      </c>
      <c r="Q694" s="78">
        <f t="shared" ca="1" si="223"/>
        <v>8</v>
      </c>
      <c r="R694" s="36">
        <v>60</v>
      </c>
      <c r="S694" s="86">
        <v>0.34</v>
      </c>
      <c r="T694" s="86"/>
      <c r="U694" s="82"/>
      <c r="V694" s="82"/>
      <c r="W694" s="82">
        <f t="shared" si="212"/>
        <v>0</v>
      </c>
      <c r="X694" s="82">
        <f t="shared" si="219"/>
        <v>9550488251.8600006</v>
      </c>
      <c r="Y694" s="82">
        <f t="shared" si="213"/>
        <v>0</v>
      </c>
      <c r="Z694" s="82">
        <f t="shared" si="220"/>
        <v>-9550488251.8600006</v>
      </c>
      <c r="AA694" s="83" t="str">
        <f t="shared" si="217"/>
        <v>No se realizó gasto en este corte</v>
      </c>
      <c r="AB694" s="84" t="str">
        <f t="shared" si="221"/>
        <v>Costo eficiente: se está gastando menos de lo presupuestado</v>
      </c>
      <c r="AC694" s="84">
        <f t="shared" si="214"/>
        <v>0</v>
      </c>
      <c r="AD694" s="84" t="str">
        <f t="shared" si="222"/>
        <v>Sin Línea Base</v>
      </c>
      <c r="AE694" s="85">
        <f t="shared" si="215"/>
        <v>0</v>
      </c>
      <c r="AF694" s="85">
        <f t="shared" si="216"/>
        <v>-28089671329</v>
      </c>
      <c r="AG694" s="40" t="str">
        <f>VLOOKUP(Indicador!E694,Diccionario!C$1:AC$150,27,0)</f>
        <v>https://growdatasas.sharepoint.com/:x:/r/sites/Gestiondocumental/Administrativa/GD/Financiera/_layouts/15/Doc.aspx?sourcedoc=%7BBF6E8538-B113-45FF-83F6-596104EC0C59%7D&amp;file=3.0.0.%20%20MODELO%20UNAD%20V3.0.%20(ajustado).xlsm&amp;action=default&amp;mobileredirect=true</v>
      </c>
      <c r="AH694" s="40">
        <v>1</v>
      </c>
      <c r="AI694" s="40">
        <v>1</v>
      </c>
    </row>
    <row r="695" spans="1:35" ht="18.75" customHeight="1">
      <c r="A695" s="73">
        <v>2026</v>
      </c>
      <c r="B695" s="112" t="s">
        <v>26</v>
      </c>
      <c r="C695" s="36" t="s">
        <v>442</v>
      </c>
      <c r="D695" s="37">
        <v>45971.819201238424</v>
      </c>
      <c r="E695" s="36" t="s">
        <v>105</v>
      </c>
      <c r="F695" s="36" t="s">
        <v>389</v>
      </c>
      <c r="G695" s="36" t="s">
        <v>443</v>
      </c>
      <c r="H695" s="36" t="s">
        <v>444</v>
      </c>
      <c r="I695" s="36" t="s">
        <v>152</v>
      </c>
      <c r="J695" s="36" t="s">
        <v>445</v>
      </c>
      <c r="K695" s="36" t="s">
        <v>177</v>
      </c>
      <c r="L695" s="74">
        <f>VLOOKUP(E695,Diccionario!C$2:AC$150,22,0)</f>
        <v>28089671329</v>
      </c>
      <c r="M695" s="75">
        <f>VLOOKUP(E695,Diccionario!C$2:AC$150,24,0)</f>
        <v>45962</v>
      </c>
      <c r="N695" s="76">
        <f>VLOOKUP(E695,Diccionario!C$2:AC$150,25,0)</f>
        <v>47787</v>
      </c>
      <c r="O695" s="77">
        <f>VLOOKUP(E695,Diccionario!C$2:AC$150,26,0)</f>
        <v>60</v>
      </c>
      <c r="P695" s="77">
        <f t="shared" ca="1" si="218"/>
        <v>-52</v>
      </c>
      <c r="Q695" s="78">
        <f t="shared" ca="1" si="223"/>
        <v>8</v>
      </c>
      <c r="R695" s="36">
        <v>60</v>
      </c>
      <c r="S695" s="86">
        <v>0.35</v>
      </c>
      <c r="T695" s="86"/>
      <c r="U695" s="82"/>
      <c r="V695" s="82"/>
      <c r="W695" s="82">
        <f t="shared" si="212"/>
        <v>0</v>
      </c>
      <c r="X695" s="82">
        <f t="shared" si="219"/>
        <v>9831384965.1499996</v>
      </c>
      <c r="Y695" s="82">
        <f t="shared" si="213"/>
        <v>0</v>
      </c>
      <c r="Z695" s="82">
        <f t="shared" si="220"/>
        <v>-9831384965.1499996</v>
      </c>
      <c r="AA695" s="83" t="str">
        <f t="shared" si="217"/>
        <v>No se realizó gasto en este corte</v>
      </c>
      <c r="AB695" s="84" t="str">
        <f t="shared" si="221"/>
        <v>Costo eficiente: se está gastando menos de lo presupuestado</v>
      </c>
      <c r="AC695" s="84">
        <f t="shared" si="214"/>
        <v>0</v>
      </c>
      <c r="AD695" s="84" t="str">
        <f t="shared" si="222"/>
        <v>Sin Línea Base</v>
      </c>
      <c r="AE695" s="85">
        <f t="shared" si="215"/>
        <v>0</v>
      </c>
      <c r="AF695" s="85">
        <f t="shared" si="216"/>
        <v>-28089671329</v>
      </c>
      <c r="AG695" s="40" t="str">
        <f>VLOOKUP(Indicador!E695,Diccionario!C$1:AC$150,27,0)</f>
        <v>https://growdatasas.sharepoint.com/:x:/r/sites/Gestiondocumental/Administrativa/GD/Financiera/_layouts/15/Doc.aspx?sourcedoc=%7BBF6E8538-B113-45FF-83F6-596104EC0C59%7D&amp;file=3.0.0.%20%20MODELO%20UNAD%20V3.0.%20(ajustado).xlsm&amp;action=default&amp;mobileredirect=true</v>
      </c>
      <c r="AH695" s="40">
        <v>1</v>
      </c>
      <c r="AI695" s="40">
        <v>1</v>
      </c>
    </row>
    <row r="696" spans="1:35" ht="18.75" customHeight="1">
      <c r="A696" s="73">
        <v>2026</v>
      </c>
      <c r="B696" s="112" t="s">
        <v>28</v>
      </c>
      <c r="C696" s="36" t="s">
        <v>442</v>
      </c>
      <c r="D696" s="37">
        <v>45971.819201238424</v>
      </c>
      <c r="E696" s="36" t="s">
        <v>105</v>
      </c>
      <c r="F696" s="36" t="s">
        <v>389</v>
      </c>
      <c r="G696" s="36" t="s">
        <v>443</v>
      </c>
      <c r="H696" s="36" t="s">
        <v>444</v>
      </c>
      <c r="I696" s="36" t="s">
        <v>152</v>
      </c>
      <c r="J696" s="36" t="s">
        <v>445</v>
      </c>
      <c r="K696" s="36" t="s">
        <v>177</v>
      </c>
      <c r="L696" s="74">
        <f>VLOOKUP(E696,Diccionario!C$2:AC$150,22,0)</f>
        <v>28089671329</v>
      </c>
      <c r="M696" s="75">
        <f>VLOOKUP(E696,Diccionario!C$2:AC$150,24,0)</f>
        <v>45962</v>
      </c>
      <c r="N696" s="76">
        <f>VLOOKUP(E696,Diccionario!C$2:AC$150,25,0)</f>
        <v>47787</v>
      </c>
      <c r="O696" s="77">
        <f>VLOOKUP(E696,Diccionario!C$2:AC$150,26,0)</f>
        <v>60</v>
      </c>
      <c r="P696" s="77">
        <f t="shared" ca="1" si="218"/>
        <v>-52</v>
      </c>
      <c r="Q696" s="78">
        <f t="shared" ca="1" si="223"/>
        <v>8</v>
      </c>
      <c r="R696" s="36">
        <v>60</v>
      </c>
      <c r="S696" s="86">
        <v>0.36</v>
      </c>
      <c r="T696" s="86"/>
      <c r="U696" s="82"/>
      <c r="V696" s="82"/>
      <c r="W696" s="82">
        <f t="shared" si="212"/>
        <v>0</v>
      </c>
      <c r="X696" s="82">
        <f t="shared" si="219"/>
        <v>10112281678.440001</v>
      </c>
      <c r="Y696" s="82">
        <f t="shared" si="213"/>
        <v>0</v>
      </c>
      <c r="Z696" s="82">
        <f t="shared" si="220"/>
        <v>-10112281678.440001</v>
      </c>
      <c r="AA696" s="83" t="str">
        <f t="shared" si="217"/>
        <v>No se realizó gasto en este corte</v>
      </c>
      <c r="AB696" s="84" t="str">
        <f t="shared" si="221"/>
        <v>Costo eficiente: se está gastando menos de lo presupuestado</v>
      </c>
      <c r="AC696" s="84">
        <f t="shared" si="214"/>
        <v>0</v>
      </c>
      <c r="AD696" s="84" t="str">
        <f t="shared" si="222"/>
        <v>Sin Línea Base</v>
      </c>
      <c r="AE696" s="85">
        <f t="shared" si="215"/>
        <v>0</v>
      </c>
      <c r="AF696" s="85">
        <f t="shared" si="216"/>
        <v>-28089671329</v>
      </c>
      <c r="AG696" s="40" t="str">
        <f>VLOOKUP(Indicador!E696,Diccionario!C$1:AC$150,27,0)</f>
        <v>https://growdatasas.sharepoint.com/:x:/r/sites/Gestiondocumental/Administrativa/GD/Financiera/_layouts/15/Doc.aspx?sourcedoc=%7BBF6E8538-B113-45FF-83F6-596104EC0C59%7D&amp;file=3.0.0.%20%20MODELO%20UNAD%20V3.0.%20(ajustado).xlsm&amp;action=default&amp;mobileredirect=true</v>
      </c>
      <c r="AH696" s="40">
        <v>1</v>
      </c>
      <c r="AI696" s="40">
        <v>1</v>
      </c>
    </row>
    <row r="697" spans="1:35" ht="18.75" customHeight="1">
      <c r="A697" s="73">
        <v>2026</v>
      </c>
      <c r="B697" s="112" t="s">
        <v>30</v>
      </c>
      <c r="C697" s="36" t="s">
        <v>442</v>
      </c>
      <c r="D697" s="37">
        <v>45971.819201238424</v>
      </c>
      <c r="E697" s="36" t="s">
        <v>105</v>
      </c>
      <c r="F697" s="36" t="s">
        <v>389</v>
      </c>
      <c r="G697" s="36" t="s">
        <v>443</v>
      </c>
      <c r="H697" s="36" t="s">
        <v>444</v>
      </c>
      <c r="I697" s="36" t="s">
        <v>152</v>
      </c>
      <c r="J697" s="36" t="s">
        <v>445</v>
      </c>
      <c r="K697" s="36" t="s">
        <v>177</v>
      </c>
      <c r="L697" s="74">
        <f>VLOOKUP(E697,Diccionario!C$2:AC$150,22,0)</f>
        <v>28089671329</v>
      </c>
      <c r="M697" s="75">
        <f>VLOOKUP(E697,Diccionario!C$2:AC$150,24,0)</f>
        <v>45962</v>
      </c>
      <c r="N697" s="76">
        <f>VLOOKUP(E697,Diccionario!C$2:AC$150,25,0)</f>
        <v>47787</v>
      </c>
      <c r="O697" s="77">
        <f>VLOOKUP(E697,Diccionario!C$2:AC$150,26,0)</f>
        <v>60</v>
      </c>
      <c r="P697" s="77">
        <f t="shared" ca="1" si="218"/>
        <v>-52</v>
      </c>
      <c r="Q697" s="78">
        <f t="shared" ca="1" si="223"/>
        <v>8</v>
      </c>
      <c r="R697" s="36">
        <v>60</v>
      </c>
      <c r="S697" s="86">
        <v>0.37</v>
      </c>
      <c r="T697" s="86"/>
      <c r="U697" s="82"/>
      <c r="V697" s="82"/>
      <c r="W697" s="82">
        <f t="shared" si="212"/>
        <v>0</v>
      </c>
      <c r="X697" s="82">
        <f t="shared" si="219"/>
        <v>10393178391.73</v>
      </c>
      <c r="Y697" s="82">
        <f t="shared" si="213"/>
        <v>0</v>
      </c>
      <c r="Z697" s="82">
        <f t="shared" si="220"/>
        <v>-10393178391.73</v>
      </c>
      <c r="AA697" s="83" t="str">
        <f t="shared" si="217"/>
        <v>No se realizó gasto en este corte</v>
      </c>
      <c r="AB697" s="84" t="str">
        <f t="shared" si="221"/>
        <v>Costo eficiente: se está gastando menos de lo presupuestado</v>
      </c>
      <c r="AC697" s="84">
        <f t="shared" si="214"/>
        <v>0</v>
      </c>
      <c r="AD697" s="84" t="str">
        <f t="shared" si="222"/>
        <v>Sin Línea Base</v>
      </c>
      <c r="AE697" s="85">
        <f t="shared" si="215"/>
        <v>0</v>
      </c>
      <c r="AF697" s="85">
        <f t="shared" si="216"/>
        <v>-28089671329</v>
      </c>
      <c r="AG697" s="40" t="str">
        <f>VLOOKUP(Indicador!E697,Diccionario!C$1:AC$150,27,0)</f>
        <v>https://growdatasas.sharepoint.com/:x:/r/sites/Gestiondocumental/Administrativa/GD/Financiera/_layouts/15/Doc.aspx?sourcedoc=%7BBF6E8538-B113-45FF-83F6-596104EC0C59%7D&amp;file=3.0.0.%20%20MODELO%20UNAD%20V3.0.%20(ajustado).xlsm&amp;action=default&amp;mobileredirect=true</v>
      </c>
      <c r="AH697" s="40">
        <v>1</v>
      </c>
      <c r="AI697" s="40">
        <v>1</v>
      </c>
    </row>
    <row r="698" spans="1:35" ht="18.75" customHeight="1">
      <c r="A698" s="73">
        <v>2026</v>
      </c>
      <c r="B698" s="112" t="s">
        <v>31</v>
      </c>
      <c r="C698" s="36" t="s">
        <v>442</v>
      </c>
      <c r="D698" s="37">
        <v>45971.819201238424</v>
      </c>
      <c r="E698" s="36" t="s">
        <v>105</v>
      </c>
      <c r="F698" s="36" t="s">
        <v>389</v>
      </c>
      <c r="G698" s="36" t="s">
        <v>443</v>
      </c>
      <c r="H698" s="36" t="s">
        <v>444</v>
      </c>
      <c r="I698" s="36" t="s">
        <v>152</v>
      </c>
      <c r="J698" s="36" t="s">
        <v>445</v>
      </c>
      <c r="K698" s="36" t="s">
        <v>177</v>
      </c>
      <c r="L698" s="74">
        <f>VLOOKUP(E698,Diccionario!C$2:AC$150,22,0)</f>
        <v>28089671329</v>
      </c>
      <c r="M698" s="75">
        <f>VLOOKUP(E698,Diccionario!C$2:AC$150,24,0)</f>
        <v>45962</v>
      </c>
      <c r="N698" s="76">
        <f>VLOOKUP(E698,Diccionario!C$2:AC$150,25,0)</f>
        <v>47787</v>
      </c>
      <c r="O698" s="77">
        <f>VLOOKUP(E698,Diccionario!C$2:AC$150,26,0)</f>
        <v>60</v>
      </c>
      <c r="P698" s="77">
        <f t="shared" ca="1" si="218"/>
        <v>-52</v>
      </c>
      <c r="Q698" s="78">
        <f t="shared" ca="1" si="223"/>
        <v>8</v>
      </c>
      <c r="R698" s="36">
        <v>60</v>
      </c>
      <c r="S698" s="86">
        <v>0.38</v>
      </c>
      <c r="T698" s="86"/>
      <c r="U698" s="82"/>
      <c r="V698" s="82"/>
      <c r="W698" s="82">
        <f t="shared" si="212"/>
        <v>0</v>
      </c>
      <c r="X698" s="82">
        <f t="shared" si="219"/>
        <v>10674075105.02</v>
      </c>
      <c r="Y698" s="82">
        <f t="shared" si="213"/>
        <v>0</v>
      </c>
      <c r="Z698" s="82">
        <f t="shared" si="220"/>
        <v>-10674075105.02</v>
      </c>
      <c r="AA698" s="83" t="str">
        <f t="shared" si="217"/>
        <v>No se realizó gasto en este corte</v>
      </c>
      <c r="AB698" s="84" t="str">
        <f t="shared" si="221"/>
        <v>Costo eficiente: se está gastando menos de lo presupuestado</v>
      </c>
      <c r="AC698" s="84">
        <f t="shared" si="214"/>
        <v>0</v>
      </c>
      <c r="AD698" s="84" t="str">
        <f t="shared" si="222"/>
        <v>Sin Línea Base</v>
      </c>
      <c r="AE698" s="85">
        <f t="shared" si="215"/>
        <v>0</v>
      </c>
      <c r="AF698" s="85">
        <f t="shared" si="216"/>
        <v>-28089671329</v>
      </c>
      <c r="AG698" s="40" t="str">
        <f>VLOOKUP(Indicador!E698,Diccionario!C$1:AC$150,27,0)</f>
        <v>https://growdatasas.sharepoint.com/:x:/r/sites/Gestiondocumental/Administrativa/GD/Financiera/_layouts/15/Doc.aspx?sourcedoc=%7BBF6E8538-B113-45FF-83F6-596104EC0C59%7D&amp;file=3.0.0.%20%20MODELO%20UNAD%20V3.0.%20(ajustado).xlsm&amp;action=default&amp;mobileredirect=true</v>
      </c>
      <c r="AH698" s="40">
        <v>1</v>
      </c>
      <c r="AI698" s="40">
        <v>1</v>
      </c>
    </row>
    <row r="699" spans="1:35" ht="18.75" customHeight="1">
      <c r="A699" s="73">
        <v>2026</v>
      </c>
      <c r="B699" s="112" t="s">
        <v>32</v>
      </c>
      <c r="C699" s="36" t="s">
        <v>442</v>
      </c>
      <c r="D699" s="37">
        <v>45971.819201238424</v>
      </c>
      <c r="E699" s="36" t="s">
        <v>105</v>
      </c>
      <c r="F699" s="36" t="s">
        <v>389</v>
      </c>
      <c r="G699" s="36" t="s">
        <v>443</v>
      </c>
      <c r="H699" s="36" t="s">
        <v>444</v>
      </c>
      <c r="I699" s="36" t="s">
        <v>152</v>
      </c>
      <c r="J699" s="36" t="s">
        <v>445</v>
      </c>
      <c r="K699" s="36" t="s">
        <v>177</v>
      </c>
      <c r="L699" s="74">
        <f>VLOOKUP(E699,Diccionario!C$2:AC$150,22,0)</f>
        <v>28089671329</v>
      </c>
      <c r="M699" s="75">
        <f>VLOOKUP(E699,Diccionario!C$2:AC$150,24,0)</f>
        <v>45962</v>
      </c>
      <c r="N699" s="76">
        <f>VLOOKUP(E699,Diccionario!C$2:AC$150,25,0)</f>
        <v>47787</v>
      </c>
      <c r="O699" s="77">
        <f>VLOOKUP(E699,Diccionario!C$2:AC$150,26,0)</f>
        <v>60</v>
      </c>
      <c r="P699" s="77">
        <f t="shared" ca="1" si="218"/>
        <v>-52</v>
      </c>
      <c r="Q699" s="78">
        <f t="shared" ca="1" si="223"/>
        <v>8</v>
      </c>
      <c r="R699" s="36">
        <v>60</v>
      </c>
      <c r="S699" s="86">
        <v>0.38999999999999901</v>
      </c>
      <c r="T699" s="86"/>
      <c r="U699" s="82"/>
      <c r="V699" s="82"/>
      <c r="W699" s="82">
        <f t="shared" si="212"/>
        <v>0</v>
      </c>
      <c r="X699" s="82">
        <f t="shared" si="219"/>
        <v>10954971818.309973</v>
      </c>
      <c r="Y699" s="82">
        <f t="shared" si="213"/>
        <v>0</v>
      </c>
      <c r="Z699" s="82">
        <f t="shared" si="220"/>
        <v>-10954971818.309973</v>
      </c>
      <c r="AA699" s="83" t="str">
        <f t="shared" si="217"/>
        <v>No se realizó gasto en este corte</v>
      </c>
      <c r="AB699" s="84" t="str">
        <f t="shared" si="221"/>
        <v>Costo eficiente: se está gastando menos de lo presupuestado</v>
      </c>
      <c r="AC699" s="84">
        <f t="shared" si="214"/>
        <v>0</v>
      </c>
      <c r="AD699" s="84" t="str">
        <f t="shared" si="222"/>
        <v>Sin Línea Base</v>
      </c>
      <c r="AE699" s="85">
        <f t="shared" si="215"/>
        <v>0</v>
      </c>
      <c r="AF699" s="85">
        <f t="shared" si="216"/>
        <v>-28089671329</v>
      </c>
      <c r="AG699" s="40" t="str">
        <f>VLOOKUP(Indicador!E699,Diccionario!C$1:AC$150,27,0)</f>
        <v>https://growdatasas.sharepoint.com/:x:/r/sites/Gestiondocumental/Administrativa/GD/Financiera/_layouts/15/Doc.aspx?sourcedoc=%7BBF6E8538-B113-45FF-83F6-596104EC0C59%7D&amp;file=3.0.0.%20%20MODELO%20UNAD%20V3.0.%20(ajustado).xlsm&amp;action=default&amp;mobileredirect=true</v>
      </c>
      <c r="AH699" s="40">
        <v>1</v>
      </c>
      <c r="AI699" s="40">
        <v>1</v>
      </c>
    </row>
    <row r="700" spans="1:35" ht="18.75" customHeight="1">
      <c r="A700" s="73">
        <v>2027</v>
      </c>
      <c r="B700" s="112" t="s">
        <v>14</v>
      </c>
      <c r="C700" s="36" t="s">
        <v>442</v>
      </c>
      <c r="D700" s="37">
        <v>45971.819201238424</v>
      </c>
      <c r="E700" s="36" t="s">
        <v>105</v>
      </c>
      <c r="F700" s="36" t="s">
        <v>389</v>
      </c>
      <c r="G700" s="36" t="s">
        <v>443</v>
      </c>
      <c r="H700" s="36" t="s">
        <v>444</v>
      </c>
      <c r="I700" s="36" t="s">
        <v>152</v>
      </c>
      <c r="J700" s="36" t="s">
        <v>445</v>
      </c>
      <c r="K700" s="36" t="s">
        <v>177</v>
      </c>
      <c r="L700" s="74">
        <f>VLOOKUP(E700,Diccionario!C$2:AC$150,22,0)</f>
        <v>28089671329</v>
      </c>
      <c r="M700" s="75">
        <f>VLOOKUP(E700,Diccionario!C$2:AC$150,24,0)</f>
        <v>45962</v>
      </c>
      <c r="N700" s="76">
        <f>VLOOKUP(E700,Diccionario!C$2:AC$150,25,0)</f>
        <v>47787</v>
      </c>
      <c r="O700" s="77">
        <f>VLOOKUP(E700,Diccionario!C$2:AC$150,26,0)</f>
        <v>60</v>
      </c>
      <c r="P700" s="77">
        <f t="shared" ca="1" si="218"/>
        <v>-52</v>
      </c>
      <c r="Q700" s="78">
        <f t="shared" ca="1" si="223"/>
        <v>8</v>
      </c>
      <c r="R700" s="36">
        <v>60</v>
      </c>
      <c r="S700" s="86">
        <v>0.39999999999999902</v>
      </c>
      <c r="T700" s="86"/>
      <c r="U700" s="82"/>
      <c r="V700" s="82"/>
      <c r="W700" s="82">
        <f t="shared" si="212"/>
        <v>0</v>
      </c>
      <c r="X700" s="82">
        <f t="shared" si="219"/>
        <v>11235868531.599972</v>
      </c>
      <c r="Y700" s="82">
        <f t="shared" si="213"/>
        <v>0</v>
      </c>
      <c r="Z700" s="82">
        <f t="shared" si="220"/>
        <v>-11235868531.599972</v>
      </c>
      <c r="AA700" s="83" t="str">
        <f t="shared" si="217"/>
        <v>No se realizó gasto en este corte</v>
      </c>
      <c r="AB700" s="84" t="str">
        <f t="shared" si="221"/>
        <v>Costo eficiente: se está gastando menos de lo presupuestado</v>
      </c>
      <c r="AC700" s="84">
        <f t="shared" si="214"/>
        <v>0</v>
      </c>
      <c r="AD700" s="84" t="str">
        <f t="shared" si="222"/>
        <v>Sin Línea Base</v>
      </c>
      <c r="AE700" s="85">
        <f t="shared" si="215"/>
        <v>0</v>
      </c>
      <c r="AF700" s="85">
        <f t="shared" si="216"/>
        <v>-28089671329</v>
      </c>
      <c r="AG700" s="40" t="str">
        <f>VLOOKUP(Indicador!E700,Diccionario!C$1:AC$150,27,0)</f>
        <v>https://growdatasas.sharepoint.com/:x:/r/sites/Gestiondocumental/Administrativa/GD/Financiera/_layouts/15/Doc.aspx?sourcedoc=%7BBF6E8538-B113-45FF-83F6-596104EC0C59%7D&amp;file=3.0.0.%20%20MODELO%20UNAD%20V3.0.%20(ajustado).xlsm&amp;action=default&amp;mobileredirect=true</v>
      </c>
      <c r="AH700" s="40">
        <v>1</v>
      </c>
      <c r="AI700" s="40">
        <v>1</v>
      </c>
    </row>
    <row r="701" spans="1:35" ht="18.75" customHeight="1">
      <c r="A701" s="73">
        <v>2027</v>
      </c>
      <c r="B701" s="112" t="s">
        <v>22</v>
      </c>
      <c r="C701" s="36" t="s">
        <v>442</v>
      </c>
      <c r="D701" s="37">
        <v>45971.819201238424</v>
      </c>
      <c r="E701" s="36" t="s">
        <v>105</v>
      </c>
      <c r="F701" s="36" t="s">
        <v>389</v>
      </c>
      <c r="G701" s="36" t="s">
        <v>443</v>
      </c>
      <c r="H701" s="36" t="s">
        <v>444</v>
      </c>
      <c r="I701" s="36" t="s">
        <v>152</v>
      </c>
      <c r="J701" s="36" t="s">
        <v>445</v>
      </c>
      <c r="K701" s="36" t="s">
        <v>177</v>
      </c>
      <c r="L701" s="74">
        <f>VLOOKUP(E701,Diccionario!C$2:AC$150,22,0)</f>
        <v>28089671329</v>
      </c>
      <c r="M701" s="75">
        <f>VLOOKUP(E701,Diccionario!C$2:AC$150,24,0)</f>
        <v>45962</v>
      </c>
      <c r="N701" s="76">
        <f>VLOOKUP(E701,Diccionario!C$2:AC$150,25,0)</f>
        <v>47787</v>
      </c>
      <c r="O701" s="77">
        <f>VLOOKUP(E701,Diccionario!C$2:AC$150,26,0)</f>
        <v>60</v>
      </c>
      <c r="P701" s="77">
        <f t="shared" ca="1" si="218"/>
        <v>-52</v>
      </c>
      <c r="Q701" s="78">
        <f t="shared" ca="1" si="223"/>
        <v>8</v>
      </c>
      <c r="R701" s="36">
        <v>60</v>
      </c>
      <c r="S701" s="86">
        <v>0.40999999999999898</v>
      </c>
      <c r="T701" s="86"/>
      <c r="U701" s="82"/>
      <c r="V701" s="82"/>
      <c r="W701" s="82">
        <f t="shared" si="212"/>
        <v>0</v>
      </c>
      <c r="X701" s="82">
        <f t="shared" si="219"/>
        <v>11516765244.889971</v>
      </c>
      <c r="Y701" s="82">
        <f t="shared" si="213"/>
        <v>0</v>
      </c>
      <c r="Z701" s="82">
        <f t="shared" si="220"/>
        <v>-11516765244.889971</v>
      </c>
      <c r="AA701" s="83" t="str">
        <f t="shared" si="217"/>
        <v>No se realizó gasto en este corte</v>
      </c>
      <c r="AB701" s="84" t="str">
        <f t="shared" si="221"/>
        <v>Costo eficiente: se está gastando menos de lo presupuestado</v>
      </c>
      <c r="AC701" s="84">
        <f t="shared" si="214"/>
        <v>0</v>
      </c>
      <c r="AD701" s="84" t="str">
        <f t="shared" si="222"/>
        <v>Sin Línea Base</v>
      </c>
      <c r="AE701" s="85">
        <f t="shared" si="215"/>
        <v>0</v>
      </c>
      <c r="AF701" s="85">
        <f t="shared" si="216"/>
        <v>-28089671329</v>
      </c>
      <c r="AG701" s="40" t="str">
        <f>VLOOKUP(Indicador!E701,Diccionario!C$1:AC$150,27,0)</f>
        <v>https://growdatasas.sharepoint.com/:x:/r/sites/Gestiondocumental/Administrativa/GD/Financiera/_layouts/15/Doc.aspx?sourcedoc=%7BBF6E8538-B113-45FF-83F6-596104EC0C59%7D&amp;file=3.0.0.%20%20MODELO%20UNAD%20V3.0.%20(ajustado).xlsm&amp;action=default&amp;mobileredirect=true</v>
      </c>
      <c r="AH701" s="40">
        <v>1</v>
      </c>
      <c r="AI701" s="40">
        <v>1</v>
      </c>
    </row>
    <row r="702" spans="1:35" ht="18.75" customHeight="1">
      <c r="A702" s="73">
        <v>2027</v>
      </c>
      <c r="B702" s="112" t="s">
        <v>24</v>
      </c>
      <c r="C702" s="36" t="s">
        <v>442</v>
      </c>
      <c r="D702" s="37">
        <v>45971.819201238424</v>
      </c>
      <c r="E702" s="36" t="s">
        <v>105</v>
      </c>
      <c r="F702" s="36" t="s">
        <v>389</v>
      </c>
      <c r="G702" s="36" t="s">
        <v>443</v>
      </c>
      <c r="H702" s="36" t="s">
        <v>444</v>
      </c>
      <c r="I702" s="36" t="s">
        <v>152</v>
      </c>
      <c r="J702" s="36" t="s">
        <v>445</v>
      </c>
      <c r="K702" s="36" t="s">
        <v>177</v>
      </c>
      <c r="L702" s="74">
        <f>VLOOKUP(E702,Diccionario!C$2:AC$150,22,0)</f>
        <v>28089671329</v>
      </c>
      <c r="M702" s="75">
        <f>VLOOKUP(E702,Diccionario!C$2:AC$150,24,0)</f>
        <v>45962</v>
      </c>
      <c r="N702" s="76">
        <f>VLOOKUP(E702,Diccionario!C$2:AC$150,25,0)</f>
        <v>47787</v>
      </c>
      <c r="O702" s="77">
        <f>VLOOKUP(E702,Diccionario!C$2:AC$150,26,0)</f>
        <v>60</v>
      </c>
      <c r="P702" s="77">
        <f t="shared" ca="1" si="218"/>
        <v>-52</v>
      </c>
      <c r="Q702" s="78">
        <f t="shared" ca="1" si="223"/>
        <v>8</v>
      </c>
      <c r="R702" s="36">
        <v>60</v>
      </c>
      <c r="S702" s="86">
        <v>0.41999999999999899</v>
      </c>
      <c r="T702" s="86"/>
      <c r="U702" s="82"/>
      <c r="V702" s="82"/>
      <c r="W702" s="82">
        <f t="shared" si="212"/>
        <v>0</v>
      </c>
      <c r="X702" s="82">
        <f t="shared" si="219"/>
        <v>11797661958.179972</v>
      </c>
      <c r="Y702" s="82">
        <f t="shared" si="213"/>
        <v>0</v>
      </c>
      <c r="Z702" s="82">
        <f t="shared" si="220"/>
        <v>-11797661958.179972</v>
      </c>
      <c r="AA702" s="83" t="str">
        <f t="shared" si="217"/>
        <v>No se realizó gasto en este corte</v>
      </c>
      <c r="AB702" s="84" t="str">
        <f t="shared" si="221"/>
        <v>Costo eficiente: se está gastando menos de lo presupuestado</v>
      </c>
      <c r="AC702" s="84">
        <f t="shared" si="214"/>
        <v>0</v>
      </c>
      <c r="AD702" s="84" t="str">
        <f t="shared" si="222"/>
        <v>Sin Línea Base</v>
      </c>
      <c r="AE702" s="85">
        <f t="shared" si="215"/>
        <v>0</v>
      </c>
      <c r="AF702" s="85">
        <f t="shared" si="216"/>
        <v>-28089671329</v>
      </c>
      <c r="AG702" s="40" t="str">
        <f>VLOOKUP(Indicador!E702,Diccionario!C$1:AC$150,27,0)</f>
        <v>https://growdatasas.sharepoint.com/:x:/r/sites/Gestiondocumental/Administrativa/GD/Financiera/_layouts/15/Doc.aspx?sourcedoc=%7BBF6E8538-B113-45FF-83F6-596104EC0C59%7D&amp;file=3.0.0.%20%20MODELO%20UNAD%20V3.0.%20(ajustado).xlsm&amp;action=default&amp;mobileredirect=true</v>
      </c>
      <c r="AH702" s="40">
        <v>1</v>
      </c>
      <c r="AI702" s="40">
        <v>1</v>
      </c>
    </row>
    <row r="703" spans="1:35" ht="18.75" customHeight="1">
      <c r="A703" s="73">
        <v>2027</v>
      </c>
      <c r="B703" s="112" t="s">
        <v>27</v>
      </c>
      <c r="C703" s="36" t="s">
        <v>442</v>
      </c>
      <c r="D703" s="37">
        <v>45971.819201238424</v>
      </c>
      <c r="E703" s="36" t="s">
        <v>105</v>
      </c>
      <c r="F703" s="36" t="s">
        <v>389</v>
      </c>
      <c r="G703" s="36" t="s">
        <v>443</v>
      </c>
      <c r="H703" s="36" t="s">
        <v>444</v>
      </c>
      <c r="I703" s="36" t="s">
        <v>152</v>
      </c>
      <c r="J703" s="36" t="s">
        <v>445</v>
      </c>
      <c r="K703" s="36" t="s">
        <v>177</v>
      </c>
      <c r="L703" s="74">
        <f>VLOOKUP(E703,Diccionario!C$2:AC$150,22,0)</f>
        <v>28089671329</v>
      </c>
      <c r="M703" s="75">
        <f>VLOOKUP(E703,Diccionario!C$2:AC$150,24,0)</f>
        <v>45962</v>
      </c>
      <c r="N703" s="76">
        <f>VLOOKUP(E703,Diccionario!C$2:AC$150,25,0)</f>
        <v>47787</v>
      </c>
      <c r="O703" s="77">
        <f>VLOOKUP(E703,Diccionario!C$2:AC$150,26,0)</f>
        <v>60</v>
      </c>
      <c r="P703" s="77">
        <f t="shared" ca="1" si="218"/>
        <v>-52</v>
      </c>
      <c r="Q703" s="78">
        <f t="shared" ca="1" si="223"/>
        <v>8</v>
      </c>
      <c r="R703" s="36">
        <v>60</v>
      </c>
      <c r="S703" s="86">
        <v>0.42999999999999899</v>
      </c>
      <c r="T703" s="86"/>
      <c r="U703" s="82"/>
      <c r="V703" s="82"/>
      <c r="W703" s="82">
        <f t="shared" si="212"/>
        <v>0</v>
      </c>
      <c r="X703" s="82">
        <f t="shared" si="219"/>
        <v>12078558671.469973</v>
      </c>
      <c r="Y703" s="82">
        <f t="shared" si="213"/>
        <v>0</v>
      </c>
      <c r="Z703" s="82">
        <f t="shared" si="220"/>
        <v>-12078558671.469973</v>
      </c>
      <c r="AA703" s="83" t="str">
        <f t="shared" si="217"/>
        <v>No se realizó gasto en este corte</v>
      </c>
      <c r="AB703" s="84" t="str">
        <f t="shared" si="221"/>
        <v>Costo eficiente: se está gastando menos de lo presupuestado</v>
      </c>
      <c r="AC703" s="84">
        <f t="shared" si="214"/>
        <v>0</v>
      </c>
      <c r="AD703" s="84" t="str">
        <f t="shared" si="222"/>
        <v>Sin Línea Base</v>
      </c>
      <c r="AE703" s="85">
        <f t="shared" si="215"/>
        <v>0</v>
      </c>
      <c r="AF703" s="85">
        <f t="shared" si="216"/>
        <v>-28089671329</v>
      </c>
      <c r="AG703" s="40" t="str">
        <f>VLOOKUP(Indicador!E703,Diccionario!C$1:AC$150,27,0)</f>
        <v>https://growdatasas.sharepoint.com/:x:/r/sites/Gestiondocumental/Administrativa/GD/Financiera/_layouts/15/Doc.aspx?sourcedoc=%7BBF6E8538-B113-45FF-83F6-596104EC0C59%7D&amp;file=3.0.0.%20%20MODELO%20UNAD%20V3.0.%20(ajustado).xlsm&amp;action=default&amp;mobileredirect=true</v>
      </c>
      <c r="AH703" s="40">
        <v>1</v>
      </c>
      <c r="AI703" s="40">
        <v>1</v>
      </c>
    </row>
    <row r="704" spans="1:35" ht="18.75" customHeight="1">
      <c r="A704" s="73">
        <v>2027</v>
      </c>
      <c r="B704" s="112" t="s">
        <v>13</v>
      </c>
      <c r="C704" s="36" t="s">
        <v>442</v>
      </c>
      <c r="D704" s="37">
        <v>45971.819201238424</v>
      </c>
      <c r="E704" s="36" t="s">
        <v>105</v>
      </c>
      <c r="F704" s="36" t="s">
        <v>389</v>
      </c>
      <c r="G704" s="36" t="s">
        <v>443</v>
      </c>
      <c r="H704" s="36" t="s">
        <v>444</v>
      </c>
      <c r="I704" s="36" t="s">
        <v>152</v>
      </c>
      <c r="J704" s="36" t="s">
        <v>445</v>
      </c>
      <c r="K704" s="36" t="s">
        <v>177</v>
      </c>
      <c r="L704" s="74">
        <f>VLOOKUP(E704,Diccionario!C$2:AC$150,22,0)</f>
        <v>28089671329</v>
      </c>
      <c r="M704" s="75">
        <f>VLOOKUP(E704,Diccionario!C$2:AC$150,24,0)</f>
        <v>45962</v>
      </c>
      <c r="N704" s="76">
        <f>VLOOKUP(E704,Diccionario!C$2:AC$150,25,0)</f>
        <v>47787</v>
      </c>
      <c r="O704" s="77">
        <f>VLOOKUP(E704,Diccionario!C$2:AC$150,26,0)</f>
        <v>60</v>
      </c>
      <c r="P704" s="77">
        <f t="shared" ca="1" si="218"/>
        <v>-52</v>
      </c>
      <c r="Q704" s="78">
        <f t="shared" ca="1" si="223"/>
        <v>8</v>
      </c>
      <c r="R704" s="36">
        <v>60</v>
      </c>
      <c r="S704" s="86">
        <v>0.439999999999999</v>
      </c>
      <c r="T704" s="86"/>
      <c r="U704" s="82"/>
      <c r="V704" s="82"/>
      <c r="W704" s="82">
        <f t="shared" si="212"/>
        <v>0</v>
      </c>
      <c r="X704" s="82">
        <f t="shared" si="219"/>
        <v>12359455384.759972</v>
      </c>
      <c r="Y704" s="82">
        <f t="shared" si="213"/>
        <v>0</v>
      </c>
      <c r="Z704" s="82">
        <f t="shared" si="220"/>
        <v>-12359455384.759972</v>
      </c>
      <c r="AA704" s="83" t="str">
        <f t="shared" si="217"/>
        <v>No se realizó gasto en este corte</v>
      </c>
      <c r="AB704" s="84" t="str">
        <f t="shared" si="221"/>
        <v>Costo eficiente: se está gastando menos de lo presupuestado</v>
      </c>
      <c r="AC704" s="84">
        <f t="shared" si="214"/>
        <v>0</v>
      </c>
      <c r="AD704" s="84" t="str">
        <f t="shared" si="222"/>
        <v>Sin Línea Base</v>
      </c>
      <c r="AE704" s="85">
        <f t="shared" si="215"/>
        <v>0</v>
      </c>
      <c r="AF704" s="85">
        <f t="shared" si="216"/>
        <v>-28089671329</v>
      </c>
      <c r="AG704" s="40" t="str">
        <f>VLOOKUP(Indicador!E704,Diccionario!C$1:AC$150,27,0)</f>
        <v>https://growdatasas.sharepoint.com/:x:/r/sites/Gestiondocumental/Administrativa/GD/Financiera/_layouts/15/Doc.aspx?sourcedoc=%7BBF6E8538-B113-45FF-83F6-596104EC0C59%7D&amp;file=3.0.0.%20%20MODELO%20UNAD%20V3.0.%20(ajustado).xlsm&amp;action=default&amp;mobileredirect=true</v>
      </c>
      <c r="AH704" s="40">
        <v>1</v>
      </c>
      <c r="AI704" s="40">
        <v>1</v>
      </c>
    </row>
    <row r="705" spans="1:35" ht="18.75" customHeight="1">
      <c r="A705" s="73">
        <v>2027</v>
      </c>
      <c r="B705" s="112" t="s">
        <v>21</v>
      </c>
      <c r="C705" s="36" t="s">
        <v>442</v>
      </c>
      <c r="D705" s="37">
        <v>45971.819201238424</v>
      </c>
      <c r="E705" s="36" t="s">
        <v>105</v>
      </c>
      <c r="F705" s="36" t="s">
        <v>389</v>
      </c>
      <c r="G705" s="36" t="s">
        <v>443</v>
      </c>
      <c r="H705" s="36" t="s">
        <v>444</v>
      </c>
      <c r="I705" s="36" t="s">
        <v>152</v>
      </c>
      <c r="J705" s="36" t="s">
        <v>445</v>
      </c>
      <c r="K705" s="36" t="s">
        <v>177</v>
      </c>
      <c r="L705" s="74">
        <f>VLOOKUP(E705,Diccionario!C$2:AC$150,22,0)</f>
        <v>28089671329</v>
      </c>
      <c r="M705" s="75">
        <f>VLOOKUP(E705,Diccionario!C$2:AC$150,24,0)</f>
        <v>45962</v>
      </c>
      <c r="N705" s="76">
        <f>VLOOKUP(E705,Diccionario!C$2:AC$150,25,0)</f>
        <v>47787</v>
      </c>
      <c r="O705" s="77">
        <f>VLOOKUP(E705,Diccionario!C$2:AC$150,26,0)</f>
        <v>60</v>
      </c>
      <c r="P705" s="77">
        <f t="shared" ca="1" si="218"/>
        <v>-52</v>
      </c>
      <c r="Q705" s="78">
        <f t="shared" ca="1" si="223"/>
        <v>8</v>
      </c>
      <c r="R705" s="36">
        <v>60</v>
      </c>
      <c r="S705" s="86">
        <v>0.44999999999999901</v>
      </c>
      <c r="T705" s="86"/>
      <c r="U705" s="82"/>
      <c r="V705" s="82"/>
      <c r="W705" s="82">
        <f t="shared" si="212"/>
        <v>0</v>
      </c>
      <c r="X705" s="82">
        <f t="shared" si="219"/>
        <v>12640352098.049973</v>
      </c>
      <c r="Y705" s="82">
        <f t="shared" si="213"/>
        <v>0</v>
      </c>
      <c r="Z705" s="82">
        <f t="shared" si="220"/>
        <v>-12640352098.049973</v>
      </c>
      <c r="AA705" s="83" t="str">
        <f t="shared" si="217"/>
        <v>No se realizó gasto en este corte</v>
      </c>
      <c r="AB705" s="84" t="str">
        <f t="shared" si="221"/>
        <v>Costo eficiente: se está gastando menos de lo presupuestado</v>
      </c>
      <c r="AC705" s="84">
        <f t="shared" si="214"/>
        <v>0</v>
      </c>
      <c r="AD705" s="84" t="str">
        <f t="shared" si="222"/>
        <v>Sin Línea Base</v>
      </c>
      <c r="AE705" s="85">
        <f t="shared" si="215"/>
        <v>0</v>
      </c>
      <c r="AF705" s="85">
        <f t="shared" si="216"/>
        <v>-28089671329</v>
      </c>
      <c r="AG705" s="40" t="str">
        <f>VLOOKUP(Indicador!E705,Diccionario!C$1:AC$150,27,0)</f>
        <v>https://growdatasas.sharepoint.com/:x:/r/sites/Gestiondocumental/Administrativa/GD/Financiera/_layouts/15/Doc.aspx?sourcedoc=%7BBF6E8538-B113-45FF-83F6-596104EC0C59%7D&amp;file=3.0.0.%20%20MODELO%20UNAD%20V3.0.%20(ajustado).xlsm&amp;action=default&amp;mobileredirect=true</v>
      </c>
      <c r="AH705" s="40">
        <v>1</v>
      </c>
      <c r="AI705" s="40">
        <v>1</v>
      </c>
    </row>
    <row r="706" spans="1:35" ht="18.75" customHeight="1">
      <c r="A706" s="73">
        <v>2027</v>
      </c>
      <c r="B706" s="112" t="s">
        <v>23</v>
      </c>
      <c r="C706" s="36" t="s">
        <v>442</v>
      </c>
      <c r="D706" s="37">
        <v>45971.819201238424</v>
      </c>
      <c r="E706" s="36" t="s">
        <v>105</v>
      </c>
      <c r="F706" s="36" t="s">
        <v>389</v>
      </c>
      <c r="G706" s="36" t="s">
        <v>443</v>
      </c>
      <c r="H706" s="36" t="s">
        <v>444</v>
      </c>
      <c r="I706" s="36" t="s">
        <v>152</v>
      </c>
      <c r="J706" s="36" t="s">
        <v>445</v>
      </c>
      <c r="K706" s="36" t="s">
        <v>177</v>
      </c>
      <c r="L706" s="74">
        <f>VLOOKUP(E706,Diccionario!C$2:AC$150,22,0)</f>
        <v>28089671329</v>
      </c>
      <c r="M706" s="75">
        <f>VLOOKUP(E706,Diccionario!C$2:AC$150,24,0)</f>
        <v>45962</v>
      </c>
      <c r="N706" s="76">
        <f>VLOOKUP(E706,Diccionario!C$2:AC$150,25,0)</f>
        <v>47787</v>
      </c>
      <c r="O706" s="77">
        <f>VLOOKUP(E706,Diccionario!C$2:AC$150,26,0)</f>
        <v>60</v>
      </c>
      <c r="P706" s="77">
        <f t="shared" ca="1" si="218"/>
        <v>-52</v>
      </c>
      <c r="Q706" s="78">
        <f t="shared" ca="1" si="223"/>
        <v>8</v>
      </c>
      <c r="R706" s="36">
        <v>60</v>
      </c>
      <c r="S706" s="86">
        <v>0.45999999999999902</v>
      </c>
      <c r="T706" s="86"/>
      <c r="U706" s="82"/>
      <c r="V706" s="82"/>
      <c r="W706" s="82">
        <f t="shared" ref="W706:W769" si="224">IFERROR(T706*L706,0)</f>
        <v>0</v>
      </c>
      <c r="X706" s="82">
        <f t="shared" si="219"/>
        <v>12921248811.339972</v>
      </c>
      <c r="Y706" s="82">
        <f t="shared" ref="Y706:Y769" si="225">IFERROR(W706-U706,0)</f>
        <v>0</v>
      </c>
      <c r="Z706" s="82">
        <f t="shared" si="220"/>
        <v>-12921248811.339972</v>
      </c>
      <c r="AA706" s="83" t="str">
        <f t="shared" si="217"/>
        <v>No se realizó gasto en este corte</v>
      </c>
      <c r="AB706" s="84" t="str">
        <f t="shared" si="221"/>
        <v>Costo eficiente: se está gastando menos de lo presupuestado</v>
      </c>
      <c r="AC706" s="84">
        <f t="shared" ref="AC706:AC769" si="226">IFERROR(W706/X706,0)</f>
        <v>0</v>
      </c>
      <c r="AD706" s="84" t="str">
        <f t="shared" si="222"/>
        <v>Sin Línea Base</v>
      </c>
      <c r="AE706" s="85">
        <f t="shared" ref="AE706:AE769" si="227">IFERROR(L706/AA706,0)</f>
        <v>0</v>
      </c>
      <c r="AF706" s="85">
        <f t="shared" ref="AF706:AF769" si="228">IFERROR(AE706-L706,0)</f>
        <v>-28089671329</v>
      </c>
      <c r="AG706" s="40" t="str">
        <f>VLOOKUP(Indicador!E706,Diccionario!C$1:AC$150,27,0)</f>
        <v>https://growdatasas.sharepoint.com/:x:/r/sites/Gestiondocumental/Administrativa/GD/Financiera/_layouts/15/Doc.aspx?sourcedoc=%7BBF6E8538-B113-45FF-83F6-596104EC0C59%7D&amp;file=3.0.0.%20%20MODELO%20UNAD%20V3.0.%20(ajustado).xlsm&amp;action=default&amp;mobileredirect=true</v>
      </c>
      <c r="AH706" s="40">
        <v>1</v>
      </c>
      <c r="AI706" s="40">
        <v>1</v>
      </c>
    </row>
    <row r="707" spans="1:35" ht="18.75" customHeight="1">
      <c r="A707" s="73">
        <v>2027</v>
      </c>
      <c r="B707" s="112" t="s">
        <v>26</v>
      </c>
      <c r="C707" s="36" t="s">
        <v>442</v>
      </c>
      <c r="D707" s="37">
        <v>45971.819201238424</v>
      </c>
      <c r="E707" s="36" t="s">
        <v>105</v>
      </c>
      <c r="F707" s="36" t="s">
        <v>389</v>
      </c>
      <c r="G707" s="36" t="s">
        <v>443</v>
      </c>
      <c r="H707" s="36" t="s">
        <v>444</v>
      </c>
      <c r="I707" s="36" t="s">
        <v>152</v>
      </c>
      <c r="J707" s="36" t="s">
        <v>445</v>
      </c>
      <c r="K707" s="36" t="s">
        <v>177</v>
      </c>
      <c r="L707" s="74">
        <f>VLOOKUP(E707,Diccionario!C$2:AC$150,22,0)</f>
        <v>28089671329</v>
      </c>
      <c r="M707" s="75">
        <f>VLOOKUP(E707,Diccionario!C$2:AC$150,24,0)</f>
        <v>45962</v>
      </c>
      <c r="N707" s="76">
        <f>VLOOKUP(E707,Diccionario!C$2:AC$150,25,0)</f>
        <v>47787</v>
      </c>
      <c r="O707" s="77">
        <f>VLOOKUP(E707,Diccionario!C$2:AC$150,26,0)</f>
        <v>60</v>
      </c>
      <c r="P707" s="77">
        <f t="shared" ca="1" si="218"/>
        <v>-52</v>
      </c>
      <c r="Q707" s="78">
        <f t="shared" ca="1" si="223"/>
        <v>8</v>
      </c>
      <c r="R707" s="36">
        <v>60</v>
      </c>
      <c r="S707" s="86">
        <v>0.46999999999999897</v>
      </c>
      <c r="T707" s="86"/>
      <c r="U707" s="82"/>
      <c r="V707" s="82"/>
      <c r="W707" s="82">
        <f t="shared" si="224"/>
        <v>0</v>
      </c>
      <c r="X707" s="82">
        <f t="shared" si="219"/>
        <v>13202145524.629971</v>
      </c>
      <c r="Y707" s="82">
        <f t="shared" si="225"/>
        <v>0</v>
      </c>
      <c r="Z707" s="82">
        <f t="shared" si="220"/>
        <v>-13202145524.629971</v>
      </c>
      <c r="AA707" s="83" t="str">
        <f t="shared" si="217"/>
        <v>No se realizó gasto en este corte</v>
      </c>
      <c r="AB707" s="84" t="str">
        <f t="shared" si="221"/>
        <v>Costo eficiente: se está gastando menos de lo presupuestado</v>
      </c>
      <c r="AC707" s="84">
        <f t="shared" si="226"/>
        <v>0</v>
      </c>
      <c r="AD707" s="84" t="str">
        <f t="shared" si="222"/>
        <v>Sin Línea Base</v>
      </c>
      <c r="AE707" s="85">
        <f t="shared" si="227"/>
        <v>0</v>
      </c>
      <c r="AF707" s="85">
        <f t="shared" si="228"/>
        <v>-28089671329</v>
      </c>
      <c r="AG707" s="40" t="str">
        <f>VLOOKUP(Indicador!E707,Diccionario!C$1:AC$150,27,0)</f>
        <v>https://growdatasas.sharepoint.com/:x:/r/sites/Gestiondocumental/Administrativa/GD/Financiera/_layouts/15/Doc.aspx?sourcedoc=%7BBF6E8538-B113-45FF-83F6-596104EC0C59%7D&amp;file=3.0.0.%20%20MODELO%20UNAD%20V3.0.%20(ajustado).xlsm&amp;action=default&amp;mobileredirect=true</v>
      </c>
      <c r="AH707" s="40">
        <v>1</v>
      </c>
      <c r="AI707" s="40">
        <v>1</v>
      </c>
    </row>
    <row r="708" spans="1:35" ht="18.75" customHeight="1">
      <c r="A708" s="73">
        <v>2027</v>
      </c>
      <c r="B708" s="112" t="s">
        <v>28</v>
      </c>
      <c r="C708" s="36" t="s">
        <v>442</v>
      </c>
      <c r="D708" s="37">
        <v>45971.819201238424</v>
      </c>
      <c r="E708" s="36" t="s">
        <v>105</v>
      </c>
      <c r="F708" s="36" t="s">
        <v>389</v>
      </c>
      <c r="G708" s="36" t="s">
        <v>443</v>
      </c>
      <c r="H708" s="36" t="s">
        <v>444</v>
      </c>
      <c r="I708" s="36" t="s">
        <v>152</v>
      </c>
      <c r="J708" s="36" t="s">
        <v>445</v>
      </c>
      <c r="K708" s="36" t="s">
        <v>177</v>
      </c>
      <c r="L708" s="74">
        <f>VLOOKUP(E708,Diccionario!C$2:AC$150,22,0)</f>
        <v>28089671329</v>
      </c>
      <c r="M708" s="75">
        <f>VLOOKUP(E708,Diccionario!C$2:AC$150,24,0)</f>
        <v>45962</v>
      </c>
      <c r="N708" s="76">
        <f>VLOOKUP(E708,Diccionario!C$2:AC$150,25,0)</f>
        <v>47787</v>
      </c>
      <c r="O708" s="77">
        <f>VLOOKUP(E708,Diccionario!C$2:AC$150,26,0)</f>
        <v>60</v>
      </c>
      <c r="P708" s="77">
        <f t="shared" ca="1" si="218"/>
        <v>-52</v>
      </c>
      <c r="Q708" s="78">
        <f t="shared" ca="1" si="223"/>
        <v>8</v>
      </c>
      <c r="R708" s="36">
        <v>60</v>
      </c>
      <c r="S708" s="86">
        <v>0.47999999999999898</v>
      </c>
      <c r="T708" s="86"/>
      <c r="U708" s="82"/>
      <c r="V708" s="82"/>
      <c r="W708" s="82">
        <f t="shared" si="224"/>
        <v>0</v>
      </c>
      <c r="X708" s="82">
        <f t="shared" si="219"/>
        <v>13483042237.919971</v>
      </c>
      <c r="Y708" s="82">
        <f t="shared" si="225"/>
        <v>0</v>
      </c>
      <c r="Z708" s="82">
        <f t="shared" si="220"/>
        <v>-13483042237.919971</v>
      </c>
      <c r="AA708" s="83" t="str">
        <f t="shared" si="217"/>
        <v>No se realizó gasto en este corte</v>
      </c>
      <c r="AB708" s="84" t="str">
        <f t="shared" si="221"/>
        <v>Costo eficiente: se está gastando menos de lo presupuestado</v>
      </c>
      <c r="AC708" s="84">
        <f t="shared" si="226"/>
        <v>0</v>
      </c>
      <c r="AD708" s="84" t="str">
        <f t="shared" si="222"/>
        <v>Sin Línea Base</v>
      </c>
      <c r="AE708" s="85">
        <f t="shared" si="227"/>
        <v>0</v>
      </c>
      <c r="AF708" s="85">
        <f t="shared" si="228"/>
        <v>-28089671329</v>
      </c>
      <c r="AG708" s="40" t="str">
        <f>VLOOKUP(Indicador!E708,Diccionario!C$1:AC$150,27,0)</f>
        <v>https://growdatasas.sharepoint.com/:x:/r/sites/Gestiondocumental/Administrativa/GD/Financiera/_layouts/15/Doc.aspx?sourcedoc=%7BBF6E8538-B113-45FF-83F6-596104EC0C59%7D&amp;file=3.0.0.%20%20MODELO%20UNAD%20V3.0.%20(ajustado).xlsm&amp;action=default&amp;mobileredirect=true</v>
      </c>
      <c r="AH708" s="40">
        <v>1</v>
      </c>
      <c r="AI708" s="40">
        <v>1</v>
      </c>
    </row>
    <row r="709" spans="1:35" ht="18.75" customHeight="1">
      <c r="A709" s="73">
        <v>2027</v>
      </c>
      <c r="B709" s="112" t="s">
        <v>30</v>
      </c>
      <c r="C709" s="36" t="s">
        <v>442</v>
      </c>
      <c r="D709" s="37">
        <v>45971.819201238424</v>
      </c>
      <c r="E709" s="36" t="s">
        <v>105</v>
      </c>
      <c r="F709" s="36" t="s">
        <v>389</v>
      </c>
      <c r="G709" s="36" t="s">
        <v>443</v>
      </c>
      <c r="H709" s="36" t="s">
        <v>444</v>
      </c>
      <c r="I709" s="36" t="s">
        <v>152</v>
      </c>
      <c r="J709" s="36" t="s">
        <v>445</v>
      </c>
      <c r="K709" s="36" t="s">
        <v>177</v>
      </c>
      <c r="L709" s="74">
        <f>VLOOKUP(E709,Diccionario!C$2:AC$150,22,0)</f>
        <v>28089671329</v>
      </c>
      <c r="M709" s="75">
        <f>VLOOKUP(E709,Diccionario!C$2:AC$150,24,0)</f>
        <v>45962</v>
      </c>
      <c r="N709" s="76">
        <f>VLOOKUP(E709,Diccionario!C$2:AC$150,25,0)</f>
        <v>47787</v>
      </c>
      <c r="O709" s="77">
        <f>VLOOKUP(E709,Diccionario!C$2:AC$150,26,0)</f>
        <v>60</v>
      </c>
      <c r="P709" s="77">
        <f t="shared" ca="1" si="218"/>
        <v>-52</v>
      </c>
      <c r="Q709" s="78">
        <f t="shared" ca="1" si="223"/>
        <v>8</v>
      </c>
      <c r="R709" s="36">
        <v>60</v>
      </c>
      <c r="S709" s="86">
        <v>0.48999999999999899</v>
      </c>
      <c r="T709" s="86"/>
      <c r="U709" s="82"/>
      <c r="V709" s="82"/>
      <c r="W709" s="82">
        <f t="shared" si="224"/>
        <v>0</v>
      </c>
      <c r="X709" s="82">
        <f t="shared" si="219"/>
        <v>13763938951.209972</v>
      </c>
      <c r="Y709" s="82">
        <f t="shared" si="225"/>
        <v>0</v>
      </c>
      <c r="Z709" s="82">
        <f t="shared" si="220"/>
        <v>-13763938951.209972</v>
      </c>
      <c r="AA709" s="83" t="str">
        <f t="shared" si="217"/>
        <v>No se realizó gasto en este corte</v>
      </c>
      <c r="AB709" s="84" t="str">
        <f t="shared" si="221"/>
        <v>Costo eficiente: se está gastando menos de lo presupuestado</v>
      </c>
      <c r="AC709" s="84">
        <f t="shared" si="226"/>
        <v>0</v>
      </c>
      <c r="AD709" s="84" t="str">
        <f t="shared" si="222"/>
        <v>Sin Línea Base</v>
      </c>
      <c r="AE709" s="85">
        <f t="shared" si="227"/>
        <v>0</v>
      </c>
      <c r="AF709" s="85">
        <f t="shared" si="228"/>
        <v>-28089671329</v>
      </c>
      <c r="AG709" s="40" t="str">
        <f>VLOOKUP(Indicador!E709,Diccionario!C$1:AC$150,27,0)</f>
        <v>https://growdatasas.sharepoint.com/:x:/r/sites/Gestiondocumental/Administrativa/GD/Financiera/_layouts/15/Doc.aspx?sourcedoc=%7BBF6E8538-B113-45FF-83F6-596104EC0C59%7D&amp;file=3.0.0.%20%20MODELO%20UNAD%20V3.0.%20(ajustado).xlsm&amp;action=default&amp;mobileredirect=true</v>
      </c>
      <c r="AH709" s="40">
        <v>1</v>
      </c>
      <c r="AI709" s="40">
        <v>1</v>
      </c>
    </row>
    <row r="710" spans="1:35" ht="18.75" customHeight="1">
      <c r="A710" s="73">
        <v>2027</v>
      </c>
      <c r="B710" s="112" t="s">
        <v>31</v>
      </c>
      <c r="C710" s="36" t="s">
        <v>442</v>
      </c>
      <c r="D710" s="37">
        <v>45971.819201238424</v>
      </c>
      <c r="E710" s="36" t="s">
        <v>105</v>
      </c>
      <c r="F710" s="36" t="s">
        <v>389</v>
      </c>
      <c r="G710" s="36" t="s">
        <v>443</v>
      </c>
      <c r="H710" s="36" t="s">
        <v>444</v>
      </c>
      <c r="I710" s="36" t="s">
        <v>152</v>
      </c>
      <c r="J710" s="36" t="s">
        <v>445</v>
      </c>
      <c r="K710" s="36" t="s">
        <v>177</v>
      </c>
      <c r="L710" s="74">
        <f>VLOOKUP(E710,Diccionario!C$2:AC$150,22,0)</f>
        <v>28089671329</v>
      </c>
      <c r="M710" s="75">
        <f>VLOOKUP(E710,Diccionario!C$2:AC$150,24,0)</f>
        <v>45962</v>
      </c>
      <c r="N710" s="76">
        <f>VLOOKUP(E710,Diccionario!C$2:AC$150,25,0)</f>
        <v>47787</v>
      </c>
      <c r="O710" s="77">
        <f>VLOOKUP(E710,Diccionario!C$2:AC$150,26,0)</f>
        <v>60</v>
      </c>
      <c r="P710" s="77">
        <f t="shared" ca="1" si="218"/>
        <v>-52</v>
      </c>
      <c r="Q710" s="78">
        <f t="shared" ca="1" si="223"/>
        <v>8</v>
      </c>
      <c r="R710" s="36">
        <v>60</v>
      </c>
      <c r="S710" s="86">
        <v>0.499999999999999</v>
      </c>
      <c r="T710" s="86"/>
      <c r="U710" s="82"/>
      <c r="V710" s="82"/>
      <c r="W710" s="82">
        <f t="shared" si="224"/>
        <v>0</v>
      </c>
      <c r="X710" s="82">
        <f t="shared" si="219"/>
        <v>14044835664.499971</v>
      </c>
      <c r="Y710" s="82">
        <f t="shared" si="225"/>
        <v>0</v>
      </c>
      <c r="Z710" s="82">
        <f t="shared" si="220"/>
        <v>-14044835664.499971</v>
      </c>
      <c r="AA710" s="83" t="str">
        <f t="shared" si="217"/>
        <v>No se realizó gasto en este corte</v>
      </c>
      <c r="AB710" s="84" t="str">
        <f t="shared" si="221"/>
        <v>Costo eficiente: se está gastando menos de lo presupuestado</v>
      </c>
      <c r="AC710" s="84">
        <f t="shared" si="226"/>
        <v>0</v>
      </c>
      <c r="AD710" s="84" t="str">
        <f t="shared" si="222"/>
        <v>Sin Línea Base</v>
      </c>
      <c r="AE710" s="85">
        <f t="shared" si="227"/>
        <v>0</v>
      </c>
      <c r="AF710" s="85">
        <f t="shared" si="228"/>
        <v>-28089671329</v>
      </c>
      <c r="AG710" s="40" t="str">
        <f>VLOOKUP(Indicador!E710,Diccionario!C$1:AC$150,27,0)</f>
        <v>https://growdatasas.sharepoint.com/:x:/r/sites/Gestiondocumental/Administrativa/GD/Financiera/_layouts/15/Doc.aspx?sourcedoc=%7BBF6E8538-B113-45FF-83F6-596104EC0C59%7D&amp;file=3.0.0.%20%20MODELO%20UNAD%20V3.0.%20(ajustado).xlsm&amp;action=default&amp;mobileredirect=true</v>
      </c>
      <c r="AH710" s="40">
        <v>1</v>
      </c>
      <c r="AI710" s="40">
        <v>1</v>
      </c>
    </row>
    <row r="711" spans="1:35" ht="18.75" customHeight="1">
      <c r="A711" s="73">
        <v>2027</v>
      </c>
      <c r="B711" s="112" t="s">
        <v>32</v>
      </c>
      <c r="C711" s="36" t="s">
        <v>442</v>
      </c>
      <c r="D711" s="37">
        <v>45971.819201238424</v>
      </c>
      <c r="E711" s="36" t="s">
        <v>105</v>
      </c>
      <c r="F711" s="36" t="s">
        <v>389</v>
      </c>
      <c r="G711" s="36" t="s">
        <v>443</v>
      </c>
      <c r="H711" s="36" t="s">
        <v>444</v>
      </c>
      <c r="I711" s="36" t="s">
        <v>152</v>
      </c>
      <c r="J711" s="36" t="s">
        <v>445</v>
      </c>
      <c r="K711" s="36" t="s">
        <v>177</v>
      </c>
      <c r="L711" s="74">
        <f>VLOOKUP(E711,Diccionario!C$2:AC$150,22,0)</f>
        <v>28089671329</v>
      </c>
      <c r="M711" s="75">
        <f>VLOOKUP(E711,Diccionario!C$2:AC$150,24,0)</f>
        <v>45962</v>
      </c>
      <c r="N711" s="76">
        <f>VLOOKUP(E711,Diccionario!C$2:AC$150,25,0)</f>
        <v>47787</v>
      </c>
      <c r="O711" s="77">
        <f>VLOOKUP(E711,Diccionario!C$2:AC$150,26,0)</f>
        <v>60</v>
      </c>
      <c r="P711" s="77">
        <f t="shared" ca="1" si="218"/>
        <v>-52</v>
      </c>
      <c r="Q711" s="78">
        <f t="shared" ca="1" si="223"/>
        <v>8</v>
      </c>
      <c r="R711" s="36">
        <v>60</v>
      </c>
      <c r="S711" s="86">
        <v>0.50999999999999901</v>
      </c>
      <c r="T711" s="86"/>
      <c r="U711" s="82"/>
      <c r="V711" s="82"/>
      <c r="W711" s="82">
        <f t="shared" si="224"/>
        <v>0</v>
      </c>
      <c r="X711" s="82">
        <f t="shared" si="219"/>
        <v>14325732377.789972</v>
      </c>
      <c r="Y711" s="82">
        <f t="shared" si="225"/>
        <v>0</v>
      </c>
      <c r="Z711" s="82">
        <f t="shared" si="220"/>
        <v>-14325732377.789972</v>
      </c>
      <c r="AA711" s="83" t="str">
        <f t="shared" si="217"/>
        <v>No se realizó gasto en este corte</v>
      </c>
      <c r="AB711" s="84" t="str">
        <f t="shared" si="221"/>
        <v>Costo eficiente: se está gastando menos de lo presupuestado</v>
      </c>
      <c r="AC711" s="84">
        <f t="shared" si="226"/>
        <v>0</v>
      </c>
      <c r="AD711" s="84" t="str">
        <f t="shared" si="222"/>
        <v>Sin Línea Base</v>
      </c>
      <c r="AE711" s="85">
        <f t="shared" si="227"/>
        <v>0</v>
      </c>
      <c r="AF711" s="85">
        <f t="shared" si="228"/>
        <v>-28089671329</v>
      </c>
      <c r="AG711" s="40" t="str">
        <f>VLOOKUP(Indicador!E711,Diccionario!C$1:AC$150,27,0)</f>
        <v>https://growdatasas.sharepoint.com/:x:/r/sites/Gestiondocumental/Administrativa/GD/Financiera/_layouts/15/Doc.aspx?sourcedoc=%7BBF6E8538-B113-45FF-83F6-596104EC0C59%7D&amp;file=3.0.0.%20%20MODELO%20UNAD%20V3.0.%20(ajustado).xlsm&amp;action=default&amp;mobileredirect=true</v>
      </c>
      <c r="AH711" s="40">
        <v>1</v>
      </c>
      <c r="AI711" s="40">
        <v>1</v>
      </c>
    </row>
    <row r="712" spans="1:35" ht="18.75" customHeight="1">
      <c r="A712" s="73">
        <v>2028</v>
      </c>
      <c r="B712" s="112" t="s">
        <v>14</v>
      </c>
      <c r="C712" s="36" t="s">
        <v>442</v>
      </c>
      <c r="D712" s="37">
        <v>45971.819201238424</v>
      </c>
      <c r="E712" s="36" t="s">
        <v>105</v>
      </c>
      <c r="F712" s="36" t="s">
        <v>389</v>
      </c>
      <c r="G712" s="36" t="s">
        <v>443</v>
      </c>
      <c r="H712" s="36" t="s">
        <v>444</v>
      </c>
      <c r="I712" s="36" t="s">
        <v>152</v>
      </c>
      <c r="J712" s="36" t="s">
        <v>445</v>
      </c>
      <c r="K712" s="36" t="s">
        <v>177</v>
      </c>
      <c r="L712" s="74">
        <f>VLOOKUP(E712,Diccionario!C$2:AC$150,22,0)</f>
        <v>28089671329</v>
      </c>
      <c r="M712" s="75">
        <f>VLOOKUP(E712,Diccionario!C$2:AC$150,24,0)</f>
        <v>45962</v>
      </c>
      <c r="N712" s="76">
        <f>VLOOKUP(E712,Diccionario!C$2:AC$150,25,0)</f>
        <v>47787</v>
      </c>
      <c r="O712" s="77">
        <f>VLOOKUP(E712,Diccionario!C$2:AC$150,26,0)</f>
        <v>60</v>
      </c>
      <c r="P712" s="77">
        <f t="shared" ca="1" si="218"/>
        <v>-52</v>
      </c>
      <c r="Q712" s="78">
        <f t="shared" ca="1" si="223"/>
        <v>8</v>
      </c>
      <c r="R712" s="36">
        <v>60</v>
      </c>
      <c r="S712" s="86">
        <v>0.51999999999999902</v>
      </c>
      <c r="T712" s="86"/>
      <c r="U712" s="82"/>
      <c r="V712" s="82"/>
      <c r="W712" s="82">
        <f t="shared" si="224"/>
        <v>0</v>
      </c>
      <c r="X712" s="82">
        <f t="shared" si="219"/>
        <v>14606629091.079973</v>
      </c>
      <c r="Y712" s="82">
        <f t="shared" si="225"/>
        <v>0</v>
      </c>
      <c r="Z712" s="82">
        <f t="shared" si="220"/>
        <v>-14606629091.079973</v>
      </c>
      <c r="AA712" s="83" t="str">
        <f t="shared" si="217"/>
        <v>No se realizó gasto en este corte</v>
      </c>
      <c r="AB712" s="84" t="str">
        <f t="shared" si="221"/>
        <v>Costo eficiente: se está gastando menos de lo presupuestado</v>
      </c>
      <c r="AC712" s="84">
        <f t="shared" si="226"/>
        <v>0</v>
      </c>
      <c r="AD712" s="84" t="str">
        <f t="shared" si="222"/>
        <v>Sin Línea Base</v>
      </c>
      <c r="AE712" s="85">
        <f t="shared" si="227"/>
        <v>0</v>
      </c>
      <c r="AF712" s="85">
        <f t="shared" si="228"/>
        <v>-28089671329</v>
      </c>
      <c r="AG712" s="40" t="str">
        <f>VLOOKUP(Indicador!E712,Diccionario!C$1:AC$150,27,0)</f>
        <v>https://growdatasas.sharepoint.com/:x:/r/sites/Gestiondocumental/Administrativa/GD/Financiera/_layouts/15/Doc.aspx?sourcedoc=%7BBF6E8538-B113-45FF-83F6-596104EC0C59%7D&amp;file=3.0.0.%20%20MODELO%20UNAD%20V3.0.%20(ajustado).xlsm&amp;action=default&amp;mobileredirect=true</v>
      </c>
      <c r="AH712" s="40">
        <v>1</v>
      </c>
      <c r="AI712" s="40">
        <v>1</v>
      </c>
    </row>
    <row r="713" spans="1:35" ht="18.75" customHeight="1">
      <c r="A713" s="73">
        <v>2028</v>
      </c>
      <c r="B713" s="112" t="s">
        <v>22</v>
      </c>
      <c r="C713" s="36" t="s">
        <v>442</v>
      </c>
      <c r="D713" s="37">
        <v>45971.819201238424</v>
      </c>
      <c r="E713" s="36" t="s">
        <v>105</v>
      </c>
      <c r="F713" s="36" t="s">
        <v>389</v>
      </c>
      <c r="G713" s="36" t="s">
        <v>443</v>
      </c>
      <c r="H713" s="36" t="s">
        <v>444</v>
      </c>
      <c r="I713" s="36" t="s">
        <v>152</v>
      </c>
      <c r="J713" s="36" t="s">
        <v>445</v>
      </c>
      <c r="K713" s="36" t="s">
        <v>177</v>
      </c>
      <c r="L713" s="74">
        <f>VLOOKUP(E713,Diccionario!C$2:AC$150,22,0)</f>
        <v>28089671329</v>
      </c>
      <c r="M713" s="75">
        <f>VLOOKUP(E713,Diccionario!C$2:AC$150,24,0)</f>
        <v>45962</v>
      </c>
      <c r="N713" s="76">
        <f>VLOOKUP(E713,Diccionario!C$2:AC$150,25,0)</f>
        <v>47787</v>
      </c>
      <c r="O713" s="77">
        <f>VLOOKUP(E713,Diccionario!C$2:AC$150,26,0)</f>
        <v>60</v>
      </c>
      <c r="P713" s="77">
        <f t="shared" ca="1" si="218"/>
        <v>-52</v>
      </c>
      <c r="Q713" s="78">
        <f t="shared" ca="1" si="223"/>
        <v>8</v>
      </c>
      <c r="R713" s="36">
        <v>60</v>
      </c>
      <c r="S713" s="86">
        <v>0.52999999999999903</v>
      </c>
      <c r="T713" s="86"/>
      <c r="U713" s="82"/>
      <c r="V713" s="82"/>
      <c r="W713" s="82">
        <f t="shared" si="224"/>
        <v>0</v>
      </c>
      <c r="X713" s="82">
        <f t="shared" si="219"/>
        <v>14887525804.369972</v>
      </c>
      <c r="Y713" s="82">
        <f t="shared" si="225"/>
        <v>0</v>
      </c>
      <c r="Z713" s="82">
        <f t="shared" si="220"/>
        <v>-14887525804.369972</v>
      </c>
      <c r="AA713" s="83" t="str">
        <f t="shared" si="217"/>
        <v>No se realizó gasto en este corte</v>
      </c>
      <c r="AB713" s="84" t="str">
        <f t="shared" si="221"/>
        <v>Costo eficiente: se está gastando menos de lo presupuestado</v>
      </c>
      <c r="AC713" s="84">
        <f t="shared" si="226"/>
        <v>0</v>
      </c>
      <c r="AD713" s="84" t="str">
        <f t="shared" si="222"/>
        <v>Sin Línea Base</v>
      </c>
      <c r="AE713" s="85">
        <f t="shared" si="227"/>
        <v>0</v>
      </c>
      <c r="AF713" s="85">
        <f t="shared" si="228"/>
        <v>-28089671329</v>
      </c>
      <c r="AG713" s="40" t="str">
        <f>VLOOKUP(Indicador!E713,Diccionario!C$1:AC$150,27,0)</f>
        <v>https://growdatasas.sharepoint.com/:x:/r/sites/Gestiondocumental/Administrativa/GD/Financiera/_layouts/15/Doc.aspx?sourcedoc=%7BBF6E8538-B113-45FF-83F6-596104EC0C59%7D&amp;file=3.0.0.%20%20MODELO%20UNAD%20V3.0.%20(ajustado).xlsm&amp;action=default&amp;mobileredirect=true</v>
      </c>
      <c r="AH713" s="40">
        <v>1</v>
      </c>
      <c r="AI713" s="40">
        <v>1</v>
      </c>
    </row>
    <row r="714" spans="1:35" ht="18.75" customHeight="1">
      <c r="A714" s="73">
        <v>2028</v>
      </c>
      <c r="B714" s="112" t="s">
        <v>24</v>
      </c>
      <c r="C714" s="36" t="s">
        <v>442</v>
      </c>
      <c r="D714" s="37">
        <v>45971.819201238424</v>
      </c>
      <c r="E714" s="36" t="s">
        <v>105</v>
      </c>
      <c r="F714" s="36" t="s">
        <v>389</v>
      </c>
      <c r="G714" s="36" t="s">
        <v>443</v>
      </c>
      <c r="H714" s="36" t="s">
        <v>444</v>
      </c>
      <c r="I714" s="36" t="s">
        <v>152</v>
      </c>
      <c r="J714" s="36" t="s">
        <v>445</v>
      </c>
      <c r="K714" s="36" t="s">
        <v>177</v>
      </c>
      <c r="L714" s="74">
        <f>VLOOKUP(E714,Diccionario!C$2:AC$150,22,0)</f>
        <v>28089671329</v>
      </c>
      <c r="M714" s="75">
        <f>VLOOKUP(E714,Diccionario!C$2:AC$150,24,0)</f>
        <v>45962</v>
      </c>
      <c r="N714" s="76">
        <f>VLOOKUP(E714,Diccionario!C$2:AC$150,25,0)</f>
        <v>47787</v>
      </c>
      <c r="O714" s="77">
        <f>VLOOKUP(E714,Diccionario!C$2:AC$150,26,0)</f>
        <v>60</v>
      </c>
      <c r="P714" s="77">
        <f t="shared" ca="1" si="218"/>
        <v>-52</v>
      </c>
      <c r="Q714" s="78">
        <f t="shared" ca="1" si="223"/>
        <v>8</v>
      </c>
      <c r="R714" s="36">
        <v>60</v>
      </c>
      <c r="S714" s="86">
        <v>0.53999999999999904</v>
      </c>
      <c r="T714" s="86"/>
      <c r="U714" s="82"/>
      <c r="V714" s="82"/>
      <c r="W714" s="82">
        <f t="shared" si="224"/>
        <v>0</v>
      </c>
      <c r="X714" s="82">
        <f t="shared" si="219"/>
        <v>15168422517.659973</v>
      </c>
      <c r="Y714" s="82">
        <f t="shared" si="225"/>
        <v>0</v>
      </c>
      <c r="Z714" s="82">
        <f t="shared" si="220"/>
        <v>-15168422517.659973</v>
      </c>
      <c r="AA714" s="83" t="str">
        <f t="shared" si="217"/>
        <v>No se realizó gasto en este corte</v>
      </c>
      <c r="AB714" s="84" t="str">
        <f t="shared" si="221"/>
        <v>Costo eficiente: se está gastando menos de lo presupuestado</v>
      </c>
      <c r="AC714" s="84">
        <f t="shared" si="226"/>
        <v>0</v>
      </c>
      <c r="AD714" s="84" t="str">
        <f t="shared" si="222"/>
        <v>Sin Línea Base</v>
      </c>
      <c r="AE714" s="85">
        <f t="shared" si="227"/>
        <v>0</v>
      </c>
      <c r="AF714" s="85">
        <f t="shared" si="228"/>
        <v>-28089671329</v>
      </c>
      <c r="AG714" s="40" t="str">
        <f>VLOOKUP(Indicador!E714,Diccionario!C$1:AC$150,27,0)</f>
        <v>https://growdatasas.sharepoint.com/:x:/r/sites/Gestiondocumental/Administrativa/GD/Financiera/_layouts/15/Doc.aspx?sourcedoc=%7BBF6E8538-B113-45FF-83F6-596104EC0C59%7D&amp;file=3.0.0.%20%20MODELO%20UNAD%20V3.0.%20(ajustado).xlsm&amp;action=default&amp;mobileredirect=true</v>
      </c>
      <c r="AH714" s="40">
        <v>1</v>
      </c>
      <c r="AI714" s="40">
        <v>1</v>
      </c>
    </row>
    <row r="715" spans="1:35" ht="18.75" customHeight="1">
      <c r="A715" s="73">
        <v>2028</v>
      </c>
      <c r="B715" s="112" t="s">
        <v>27</v>
      </c>
      <c r="C715" s="36" t="s">
        <v>442</v>
      </c>
      <c r="D715" s="37">
        <v>45971.819201238424</v>
      </c>
      <c r="E715" s="36" t="s">
        <v>105</v>
      </c>
      <c r="F715" s="36" t="s">
        <v>389</v>
      </c>
      <c r="G715" s="36" t="s">
        <v>443</v>
      </c>
      <c r="H715" s="36" t="s">
        <v>444</v>
      </c>
      <c r="I715" s="36" t="s">
        <v>152</v>
      </c>
      <c r="J715" s="36" t="s">
        <v>445</v>
      </c>
      <c r="K715" s="36" t="s">
        <v>177</v>
      </c>
      <c r="L715" s="74">
        <f>VLOOKUP(E715,Diccionario!C$2:AC$150,22,0)</f>
        <v>28089671329</v>
      </c>
      <c r="M715" s="75">
        <f>VLOOKUP(E715,Diccionario!C$2:AC$150,24,0)</f>
        <v>45962</v>
      </c>
      <c r="N715" s="76">
        <f>VLOOKUP(E715,Diccionario!C$2:AC$150,25,0)</f>
        <v>47787</v>
      </c>
      <c r="O715" s="77">
        <f>VLOOKUP(E715,Diccionario!C$2:AC$150,26,0)</f>
        <v>60</v>
      </c>
      <c r="P715" s="77">
        <f t="shared" ca="1" si="218"/>
        <v>-52</v>
      </c>
      <c r="Q715" s="78">
        <f t="shared" ca="1" si="223"/>
        <v>8</v>
      </c>
      <c r="R715" s="36">
        <v>60</v>
      </c>
      <c r="S715" s="86">
        <v>0.54999999999999905</v>
      </c>
      <c r="T715" s="86"/>
      <c r="U715" s="82"/>
      <c r="V715" s="82"/>
      <c r="W715" s="82">
        <f t="shared" si="224"/>
        <v>0</v>
      </c>
      <c r="X715" s="82">
        <f t="shared" si="219"/>
        <v>15449319230.949974</v>
      </c>
      <c r="Y715" s="82">
        <f t="shared" si="225"/>
        <v>0</v>
      </c>
      <c r="Z715" s="82">
        <f t="shared" si="220"/>
        <v>-15449319230.949974</v>
      </c>
      <c r="AA715" s="83" t="str">
        <f t="shared" si="217"/>
        <v>No se realizó gasto en este corte</v>
      </c>
      <c r="AB715" s="84" t="str">
        <f t="shared" si="221"/>
        <v>Costo eficiente: se está gastando menos de lo presupuestado</v>
      </c>
      <c r="AC715" s="84">
        <f t="shared" si="226"/>
        <v>0</v>
      </c>
      <c r="AD715" s="84" t="str">
        <f t="shared" si="222"/>
        <v>Sin Línea Base</v>
      </c>
      <c r="AE715" s="85">
        <f t="shared" si="227"/>
        <v>0</v>
      </c>
      <c r="AF715" s="85">
        <f t="shared" si="228"/>
        <v>-28089671329</v>
      </c>
      <c r="AG715" s="40" t="str">
        <f>VLOOKUP(Indicador!E715,Diccionario!C$1:AC$150,27,0)</f>
        <v>https://growdatasas.sharepoint.com/:x:/r/sites/Gestiondocumental/Administrativa/GD/Financiera/_layouts/15/Doc.aspx?sourcedoc=%7BBF6E8538-B113-45FF-83F6-596104EC0C59%7D&amp;file=3.0.0.%20%20MODELO%20UNAD%20V3.0.%20(ajustado).xlsm&amp;action=default&amp;mobileredirect=true</v>
      </c>
      <c r="AH715" s="40">
        <v>1</v>
      </c>
      <c r="AI715" s="40">
        <v>1</v>
      </c>
    </row>
    <row r="716" spans="1:35" ht="18.75" customHeight="1">
      <c r="A716" s="73">
        <v>2028</v>
      </c>
      <c r="B716" s="112" t="s">
        <v>13</v>
      </c>
      <c r="C716" s="36" t="s">
        <v>442</v>
      </c>
      <c r="D716" s="37">
        <v>45971.819201238424</v>
      </c>
      <c r="E716" s="36" t="s">
        <v>105</v>
      </c>
      <c r="F716" s="36" t="s">
        <v>389</v>
      </c>
      <c r="G716" s="36" t="s">
        <v>443</v>
      </c>
      <c r="H716" s="36" t="s">
        <v>444</v>
      </c>
      <c r="I716" s="36" t="s">
        <v>152</v>
      </c>
      <c r="J716" s="36" t="s">
        <v>445</v>
      </c>
      <c r="K716" s="36" t="s">
        <v>177</v>
      </c>
      <c r="L716" s="74">
        <f>VLOOKUP(E716,Diccionario!C$2:AC$150,22,0)</f>
        <v>28089671329</v>
      </c>
      <c r="M716" s="75">
        <f>VLOOKUP(E716,Diccionario!C$2:AC$150,24,0)</f>
        <v>45962</v>
      </c>
      <c r="N716" s="76">
        <f>VLOOKUP(E716,Diccionario!C$2:AC$150,25,0)</f>
        <v>47787</v>
      </c>
      <c r="O716" s="77">
        <f>VLOOKUP(E716,Diccionario!C$2:AC$150,26,0)</f>
        <v>60</v>
      </c>
      <c r="P716" s="77">
        <f t="shared" ca="1" si="218"/>
        <v>-52</v>
      </c>
      <c r="Q716" s="78">
        <f t="shared" ca="1" si="223"/>
        <v>8</v>
      </c>
      <c r="R716" s="36">
        <v>60</v>
      </c>
      <c r="S716" s="86">
        <v>0.55999999999999905</v>
      </c>
      <c r="T716" s="86"/>
      <c r="U716" s="82"/>
      <c r="V716" s="82"/>
      <c r="W716" s="82">
        <f t="shared" si="224"/>
        <v>0</v>
      </c>
      <c r="X716" s="82">
        <f t="shared" si="219"/>
        <v>15730215944.239973</v>
      </c>
      <c r="Y716" s="82">
        <f t="shared" si="225"/>
        <v>0</v>
      </c>
      <c r="Z716" s="82">
        <f t="shared" si="220"/>
        <v>-15730215944.239973</v>
      </c>
      <c r="AA716" s="83" t="str">
        <f t="shared" si="217"/>
        <v>No se realizó gasto en este corte</v>
      </c>
      <c r="AB716" s="84" t="str">
        <f t="shared" si="221"/>
        <v>Costo eficiente: se está gastando menos de lo presupuestado</v>
      </c>
      <c r="AC716" s="84">
        <f t="shared" si="226"/>
        <v>0</v>
      </c>
      <c r="AD716" s="84" t="str">
        <f t="shared" si="222"/>
        <v>Sin Línea Base</v>
      </c>
      <c r="AE716" s="85">
        <f t="shared" si="227"/>
        <v>0</v>
      </c>
      <c r="AF716" s="85">
        <f t="shared" si="228"/>
        <v>-28089671329</v>
      </c>
      <c r="AG716" s="40" t="str">
        <f>VLOOKUP(Indicador!E716,Diccionario!C$1:AC$150,27,0)</f>
        <v>https://growdatasas.sharepoint.com/:x:/r/sites/Gestiondocumental/Administrativa/GD/Financiera/_layouts/15/Doc.aspx?sourcedoc=%7BBF6E8538-B113-45FF-83F6-596104EC0C59%7D&amp;file=3.0.0.%20%20MODELO%20UNAD%20V3.0.%20(ajustado).xlsm&amp;action=default&amp;mobileredirect=true</v>
      </c>
      <c r="AH716" s="40">
        <v>1</v>
      </c>
      <c r="AI716" s="40">
        <v>1</v>
      </c>
    </row>
    <row r="717" spans="1:35" ht="18.75" customHeight="1">
      <c r="A717" s="73">
        <v>2028</v>
      </c>
      <c r="B717" s="112" t="s">
        <v>21</v>
      </c>
      <c r="C717" s="36" t="s">
        <v>442</v>
      </c>
      <c r="D717" s="37">
        <v>45971.819201238424</v>
      </c>
      <c r="E717" s="36" t="s">
        <v>105</v>
      </c>
      <c r="F717" s="36" t="s">
        <v>389</v>
      </c>
      <c r="G717" s="36" t="s">
        <v>443</v>
      </c>
      <c r="H717" s="36" t="s">
        <v>444</v>
      </c>
      <c r="I717" s="36" t="s">
        <v>152</v>
      </c>
      <c r="J717" s="36" t="s">
        <v>445</v>
      </c>
      <c r="K717" s="36" t="s">
        <v>177</v>
      </c>
      <c r="L717" s="74">
        <f>VLOOKUP(E717,Diccionario!C$2:AC$150,22,0)</f>
        <v>28089671329</v>
      </c>
      <c r="M717" s="75">
        <f>VLOOKUP(E717,Diccionario!C$2:AC$150,24,0)</f>
        <v>45962</v>
      </c>
      <c r="N717" s="76">
        <f>VLOOKUP(E717,Diccionario!C$2:AC$150,25,0)</f>
        <v>47787</v>
      </c>
      <c r="O717" s="77">
        <f>VLOOKUP(E717,Diccionario!C$2:AC$150,26,0)</f>
        <v>60</v>
      </c>
      <c r="P717" s="77">
        <f t="shared" ca="1" si="218"/>
        <v>-52</v>
      </c>
      <c r="Q717" s="78">
        <f t="shared" ca="1" si="223"/>
        <v>8</v>
      </c>
      <c r="R717" s="36">
        <v>60</v>
      </c>
      <c r="S717" s="86">
        <v>0.56999999999999895</v>
      </c>
      <c r="T717" s="86"/>
      <c r="U717" s="82"/>
      <c r="V717" s="82"/>
      <c r="W717" s="82">
        <f t="shared" si="224"/>
        <v>0</v>
      </c>
      <c r="X717" s="82">
        <f t="shared" si="219"/>
        <v>16011112657.52997</v>
      </c>
      <c r="Y717" s="82">
        <f t="shared" si="225"/>
        <v>0</v>
      </c>
      <c r="Z717" s="82">
        <f t="shared" si="220"/>
        <v>-16011112657.52997</v>
      </c>
      <c r="AA717" s="83" t="str">
        <f t="shared" si="217"/>
        <v>No se realizó gasto en este corte</v>
      </c>
      <c r="AB717" s="84" t="str">
        <f t="shared" si="221"/>
        <v>Costo eficiente: se está gastando menos de lo presupuestado</v>
      </c>
      <c r="AC717" s="84">
        <f t="shared" si="226"/>
        <v>0</v>
      </c>
      <c r="AD717" s="84" t="str">
        <f t="shared" si="222"/>
        <v>Sin Línea Base</v>
      </c>
      <c r="AE717" s="85">
        <f t="shared" si="227"/>
        <v>0</v>
      </c>
      <c r="AF717" s="85">
        <f t="shared" si="228"/>
        <v>-28089671329</v>
      </c>
      <c r="AG717" s="40" t="str">
        <f>VLOOKUP(Indicador!E717,Diccionario!C$1:AC$150,27,0)</f>
        <v>https://growdatasas.sharepoint.com/:x:/r/sites/Gestiondocumental/Administrativa/GD/Financiera/_layouts/15/Doc.aspx?sourcedoc=%7BBF6E8538-B113-45FF-83F6-596104EC0C59%7D&amp;file=3.0.0.%20%20MODELO%20UNAD%20V3.0.%20(ajustado).xlsm&amp;action=default&amp;mobileredirect=true</v>
      </c>
      <c r="AH717" s="40">
        <v>1</v>
      </c>
      <c r="AI717" s="40">
        <v>1</v>
      </c>
    </row>
    <row r="718" spans="1:35" ht="18.75" customHeight="1">
      <c r="A718" s="73">
        <v>2028</v>
      </c>
      <c r="B718" s="112" t="s">
        <v>23</v>
      </c>
      <c r="C718" s="36" t="s">
        <v>442</v>
      </c>
      <c r="D718" s="37">
        <v>45971.819201238424</v>
      </c>
      <c r="E718" s="36" t="s">
        <v>105</v>
      </c>
      <c r="F718" s="36" t="s">
        <v>389</v>
      </c>
      <c r="G718" s="36" t="s">
        <v>443</v>
      </c>
      <c r="H718" s="36" t="s">
        <v>444</v>
      </c>
      <c r="I718" s="36" t="s">
        <v>152</v>
      </c>
      <c r="J718" s="36" t="s">
        <v>445</v>
      </c>
      <c r="K718" s="36" t="s">
        <v>177</v>
      </c>
      <c r="L718" s="74">
        <f>VLOOKUP(E718,Diccionario!C$2:AC$150,22,0)</f>
        <v>28089671329</v>
      </c>
      <c r="M718" s="75">
        <f>VLOOKUP(E718,Diccionario!C$2:AC$150,24,0)</f>
        <v>45962</v>
      </c>
      <c r="N718" s="76">
        <f>VLOOKUP(E718,Diccionario!C$2:AC$150,25,0)</f>
        <v>47787</v>
      </c>
      <c r="O718" s="77">
        <f>VLOOKUP(E718,Diccionario!C$2:AC$150,26,0)</f>
        <v>60</v>
      </c>
      <c r="P718" s="77">
        <f t="shared" ca="1" si="218"/>
        <v>-52</v>
      </c>
      <c r="Q718" s="78">
        <f t="shared" ca="1" si="223"/>
        <v>8</v>
      </c>
      <c r="R718" s="36">
        <v>60</v>
      </c>
      <c r="S718" s="86">
        <v>0.57999999999999896</v>
      </c>
      <c r="T718" s="86"/>
      <c r="U718" s="82"/>
      <c r="V718" s="82"/>
      <c r="W718" s="82">
        <f t="shared" si="224"/>
        <v>0</v>
      </c>
      <c r="X718" s="82">
        <f t="shared" si="219"/>
        <v>16292009370.819971</v>
      </c>
      <c r="Y718" s="82">
        <f t="shared" si="225"/>
        <v>0</v>
      </c>
      <c r="Z718" s="82">
        <f t="shared" si="220"/>
        <v>-16292009370.819971</v>
      </c>
      <c r="AA718" s="83" t="str">
        <f t="shared" si="217"/>
        <v>No se realizó gasto en este corte</v>
      </c>
      <c r="AB718" s="84" t="str">
        <f t="shared" si="221"/>
        <v>Costo eficiente: se está gastando menos de lo presupuestado</v>
      </c>
      <c r="AC718" s="84">
        <f t="shared" si="226"/>
        <v>0</v>
      </c>
      <c r="AD718" s="84" t="str">
        <f t="shared" si="222"/>
        <v>Sin Línea Base</v>
      </c>
      <c r="AE718" s="85">
        <f t="shared" si="227"/>
        <v>0</v>
      </c>
      <c r="AF718" s="85">
        <f t="shared" si="228"/>
        <v>-28089671329</v>
      </c>
      <c r="AG718" s="40" t="str">
        <f>VLOOKUP(Indicador!E718,Diccionario!C$1:AC$150,27,0)</f>
        <v>https://growdatasas.sharepoint.com/:x:/r/sites/Gestiondocumental/Administrativa/GD/Financiera/_layouts/15/Doc.aspx?sourcedoc=%7BBF6E8538-B113-45FF-83F6-596104EC0C59%7D&amp;file=3.0.0.%20%20MODELO%20UNAD%20V3.0.%20(ajustado).xlsm&amp;action=default&amp;mobileredirect=true</v>
      </c>
      <c r="AH718" s="40">
        <v>1</v>
      </c>
      <c r="AI718" s="40">
        <v>1</v>
      </c>
    </row>
    <row r="719" spans="1:35" ht="18.75" customHeight="1">
      <c r="A719" s="73">
        <v>2028</v>
      </c>
      <c r="B719" s="112" t="s">
        <v>26</v>
      </c>
      <c r="C719" s="36" t="s">
        <v>442</v>
      </c>
      <c r="D719" s="37">
        <v>45971.819201238424</v>
      </c>
      <c r="E719" s="36" t="s">
        <v>105</v>
      </c>
      <c r="F719" s="36" t="s">
        <v>389</v>
      </c>
      <c r="G719" s="36" t="s">
        <v>443</v>
      </c>
      <c r="H719" s="36" t="s">
        <v>444</v>
      </c>
      <c r="I719" s="36" t="s">
        <v>152</v>
      </c>
      <c r="J719" s="36" t="s">
        <v>445</v>
      </c>
      <c r="K719" s="36" t="s">
        <v>177</v>
      </c>
      <c r="L719" s="74">
        <f>VLOOKUP(E719,Diccionario!C$2:AC$150,22,0)</f>
        <v>28089671329</v>
      </c>
      <c r="M719" s="75">
        <f>VLOOKUP(E719,Diccionario!C$2:AC$150,24,0)</f>
        <v>45962</v>
      </c>
      <c r="N719" s="76">
        <f>VLOOKUP(E719,Diccionario!C$2:AC$150,25,0)</f>
        <v>47787</v>
      </c>
      <c r="O719" s="77">
        <f>VLOOKUP(E719,Diccionario!C$2:AC$150,26,0)</f>
        <v>60</v>
      </c>
      <c r="P719" s="77">
        <f t="shared" ca="1" si="218"/>
        <v>-52</v>
      </c>
      <c r="Q719" s="78">
        <f t="shared" ca="1" si="223"/>
        <v>8</v>
      </c>
      <c r="R719" s="36">
        <v>60</v>
      </c>
      <c r="S719" s="86">
        <v>0.58999999999999897</v>
      </c>
      <c r="T719" s="86"/>
      <c r="U719" s="82"/>
      <c r="V719" s="82"/>
      <c r="W719" s="82">
        <f t="shared" si="224"/>
        <v>0</v>
      </c>
      <c r="X719" s="82">
        <f t="shared" si="219"/>
        <v>16572906084.109972</v>
      </c>
      <c r="Y719" s="82">
        <f t="shared" si="225"/>
        <v>0</v>
      </c>
      <c r="Z719" s="82">
        <f t="shared" si="220"/>
        <v>-16572906084.109972</v>
      </c>
      <c r="AA719" s="83" t="str">
        <f t="shared" si="217"/>
        <v>No se realizó gasto en este corte</v>
      </c>
      <c r="AB719" s="84" t="str">
        <f t="shared" si="221"/>
        <v>Costo eficiente: se está gastando menos de lo presupuestado</v>
      </c>
      <c r="AC719" s="84">
        <f t="shared" si="226"/>
        <v>0</v>
      </c>
      <c r="AD719" s="84" t="str">
        <f t="shared" si="222"/>
        <v>Sin Línea Base</v>
      </c>
      <c r="AE719" s="85">
        <f t="shared" si="227"/>
        <v>0</v>
      </c>
      <c r="AF719" s="85">
        <f t="shared" si="228"/>
        <v>-28089671329</v>
      </c>
      <c r="AG719" s="40" t="str">
        <f>VLOOKUP(Indicador!E719,Diccionario!C$1:AC$150,27,0)</f>
        <v>https://growdatasas.sharepoint.com/:x:/r/sites/Gestiondocumental/Administrativa/GD/Financiera/_layouts/15/Doc.aspx?sourcedoc=%7BBF6E8538-B113-45FF-83F6-596104EC0C59%7D&amp;file=3.0.0.%20%20MODELO%20UNAD%20V3.0.%20(ajustado).xlsm&amp;action=default&amp;mobileredirect=true</v>
      </c>
      <c r="AH719" s="40">
        <v>1</v>
      </c>
      <c r="AI719" s="40">
        <v>1</v>
      </c>
    </row>
    <row r="720" spans="1:35" ht="18.75" customHeight="1">
      <c r="A720" s="73">
        <v>2028</v>
      </c>
      <c r="B720" s="112" t="s">
        <v>28</v>
      </c>
      <c r="C720" s="36" t="s">
        <v>442</v>
      </c>
      <c r="D720" s="37">
        <v>45971.819201238424</v>
      </c>
      <c r="E720" s="36" t="s">
        <v>105</v>
      </c>
      <c r="F720" s="36" t="s">
        <v>389</v>
      </c>
      <c r="G720" s="36" t="s">
        <v>443</v>
      </c>
      <c r="H720" s="36" t="s">
        <v>444</v>
      </c>
      <c r="I720" s="36" t="s">
        <v>152</v>
      </c>
      <c r="J720" s="36" t="s">
        <v>445</v>
      </c>
      <c r="K720" s="36" t="s">
        <v>177</v>
      </c>
      <c r="L720" s="74">
        <f>VLOOKUP(E720,Diccionario!C$2:AC$150,22,0)</f>
        <v>28089671329</v>
      </c>
      <c r="M720" s="75">
        <f>VLOOKUP(E720,Diccionario!C$2:AC$150,24,0)</f>
        <v>45962</v>
      </c>
      <c r="N720" s="76">
        <f>VLOOKUP(E720,Diccionario!C$2:AC$150,25,0)</f>
        <v>47787</v>
      </c>
      <c r="O720" s="77">
        <f>VLOOKUP(E720,Diccionario!C$2:AC$150,26,0)</f>
        <v>60</v>
      </c>
      <c r="P720" s="77">
        <f t="shared" ca="1" si="218"/>
        <v>-52</v>
      </c>
      <c r="Q720" s="78">
        <f t="shared" ca="1" si="223"/>
        <v>8</v>
      </c>
      <c r="R720" s="36">
        <v>60</v>
      </c>
      <c r="S720" s="86">
        <v>0.59999999999999898</v>
      </c>
      <c r="T720" s="86"/>
      <c r="U720" s="82"/>
      <c r="V720" s="82"/>
      <c r="W720" s="82">
        <f t="shared" si="224"/>
        <v>0</v>
      </c>
      <c r="X720" s="82">
        <f t="shared" si="219"/>
        <v>16853802797.399971</v>
      </c>
      <c r="Y720" s="82">
        <f t="shared" si="225"/>
        <v>0</v>
      </c>
      <c r="Z720" s="82">
        <f t="shared" si="220"/>
        <v>-16853802797.399971</v>
      </c>
      <c r="AA720" s="83" t="str">
        <f t="shared" si="217"/>
        <v>No se realizó gasto en este corte</v>
      </c>
      <c r="AB720" s="84" t="str">
        <f t="shared" si="221"/>
        <v>Costo eficiente: se está gastando menos de lo presupuestado</v>
      </c>
      <c r="AC720" s="84">
        <f t="shared" si="226"/>
        <v>0</v>
      </c>
      <c r="AD720" s="84" t="str">
        <f t="shared" si="222"/>
        <v>Sin Línea Base</v>
      </c>
      <c r="AE720" s="85">
        <f t="shared" si="227"/>
        <v>0</v>
      </c>
      <c r="AF720" s="85">
        <f t="shared" si="228"/>
        <v>-28089671329</v>
      </c>
      <c r="AG720" s="40" t="str">
        <f>VLOOKUP(Indicador!E720,Diccionario!C$1:AC$150,27,0)</f>
        <v>https://growdatasas.sharepoint.com/:x:/r/sites/Gestiondocumental/Administrativa/GD/Financiera/_layouts/15/Doc.aspx?sourcedoc=%7BBF6E8538-B113-45FF-83F6-596104EC0C59%7D&amp;file=3.0.0.%20%20MODELO%20UNAD%20V3.0.%20(ajustado).xlsm&amp;action=default&amp;mobileredirect=true</v>
      </c>
      <c r="AH720" s="40">
        <v>1</v>
      </c>
      <c r="AI720" s="40">
        <v>1</v>
      </c>
    </row>
    <row r="721" spans="1:35" ht="18.75" customHeight="1">
      <c r="A721" s="73">
        <v>2028</v>
      </c>
      <c r="B721" s="112" t="s">
        <v>30</v>
      </c>
      <c r="C721" s="36" t="s">
        <v>442</v>
      </c>
      <c r="D721" s="37">
        <v>45971.819201238424</v>
      </c>
      <c r="E721" s="36" t="s">
        <v>105</v>
      </c>
      <c r="F721" s="36" t="s">
        <v>389</v>
      </c>
      <c r="G721" s="36" t="s">
        <v>443</v>
      </c>
      <c r="H721" s="36" t="s">
        <v>444</v>
      </c>
      <c r="I721" s="36" t="s">
        <v>152</v>
      </c>
      <c r="J721" s="36" t="s">
        <v>445</v>
      </c>
      <c r="K721" s="36" t="s">
        <v>177</v>
      </c>
      <c r="L721" s="74">
        <f>VLOOKUP(E721,Diccionario!C$2:AC$150,22,0)</f>
        <v>28089671329</v>
      </c>
      <c r="M721" s="75">
        <f>VLOOKUP(E721,Diccionario!C$2:AC$150,24,0)</f>
        <v>45962</v>
      </c>
      <c r="N721" s="76">
        <f>VLOOKUP(E721,Diccionario!C$2:AC$150,25,0)</f>
        <v>47787</v>
      </c>
      <c r="O721" s="77">
        <f>VLOOKUP(E721,Diccionario!C$2:AC$150,26,0)</f>
        <v>60</v>
      </c>
      <c r="P721" s="77">
        <f t="shared" ca="1" si="218"/>
        <v>-52</v>
      </c>
      <c r="Q721" s="78">
        <f t="shared" ca="1" si="223"/>
        <v>8</v>
      </c>
      <c r="R721" s="36">
        <v>60</v>
      </c>
      <c r="S721" s="86">
        <v>0.60999999999999799</v>
      </c>
      <c r="T721" s="86"/>
      <c r="U721" s="82"/>
      <c r="V721" s="82"/>
      <c r="W721" s="82">
        <f t="shared" si="224"/>
        <v>0</v>
      </c>
      <c r="X721" s="82">
        <f t="shared" si="219"/>
        <v>17134699510.689943</v>
      </c>
      <c r="Y721" s="82">
        <f t="shared" si="225"/>
        <v>0</v>
      </c>
      <c r="Z721" s="82">
        <f t="shared" si="220"/>
        <v>-17134699510.689943</v>
      </c>
      <c r="AA721" s="83" t="str">
        <f t="shared" si="217"/>
        <v>No se realizó gasto en este corte</v>
      </c>
      <c r="AB721" s="84" t="str">
        <f t="shared" si="221"/>
        <v>Costo eficiente: se está gastando menos de lo presupuestado</v>
      </c>
      <c r="AC721" s="84">
        <f t="shared" si="226"/>
        <v>0</v>
      </c>
      <c r="AD721" s="84" t="str">
        <f t="shared" si="222"/>
        <v>Sin Línea Base</v>
      </c>
      <c r="AE721" s="85">
        <f t="shared" si="227"/>
        <v>0</v>
      </c>
      <c r="AF721" s="85">
        <f t="shared" si="228"/>
        <v>-28089671329</v>
      </c>
      <c r="AG721" s="40" t="str">
        <f>VLOOKUP(Indicador!E721,Diccionario!C$1:AC$150,27,0)</f>
        <v>https://growdatasas.sharepoint.com/:x:/r/sites/Gestiondocumental/Administrativa/GD/Financiera/_layouts/15/Doc.aspx?sourcedoc=%7BBF6E8538-B113-45FF-83F6-596104EC0C59%7D&amp;file=3.0.0.%20%20MODELO%20UNAD%20V3.0.%20(ajustado).xlsm&amp;action=default&amp;mobileredirect=true</v>
      </c>
      <c r="AH721" s="40">
        <v>1</v>
      </c>
      <c r="AI721" s="40">
        <v>1</v>
      </c>
    </row>
    <row r="722" spans="1:35" ht="18.75" customHeight="1">
      <c r="A722" s="73">
        <v>2028</v>
      </c>
      <c r="B722" s="112" t="s">
        <v>31</v>
      </c>
      <c r="C722" s="36" t="s">
        <v>442</v>
      </c>
      <c r="D722" s="37">
        <v>45971.819201238424</v>
      </c>
      <c r="E722" s="36" t="s">
        <v>105</v>
      </c>
      <c r="F722" s="36" t="s">
        <v>389</v>
      </c>
      <c r="G722" s="36" t="s">
        <v>443</v>
      </c>
      <c r="H722" s="36" t="s">
        <v>444</v>
      </c>
      <c r="I722" s="36" t="s">
        <v>152</v>
      </c>
      <c r="J722" s="36" t="s">
        <v>445</v>
      </c>
      <c r="K722" s="36" t="s">
        <v>177</v>
      </c>
      <c r="L722" s="74">
        <f>VLOOKUP(E722,Diccionario!C$2:AC$150,22,0)</f>
        <v>28089671329</v>
      </c>
      <c r="M722" s="75">
        <f>VLOOKUP(E722,Diccionario!C$2:AC$150,24,0)</f>
        <v>45962</v>
      </c>
      <c r="N722" s="76">
        <f>VLOOKUP(E722,Diccionario!C$2:AC$150,25,0)</f>
        <v>47787</v>
      </c>
      <c r="O722" s="77">
        <f>VLOOKUP(E722,Diccionario!C$2:AC$150,26,0)</f>
        <v>60</v>
      </c>
      <c r="P722" s="77">
        <f t="shared" ca="1" si="218"/>
        <v>-52</v>
      </c>
      <c r="Q722" s="78">
        <f t="shared" ca="1" si="223"/>
        <v>8</v>
      </c>
      <c r="R722" s="36">
        <v>60</v>
      </c>
      <c r="S722" s="86">
        <v>0.619999999999998</v>
      </c>
      <c r="T722" s="86"/>
      <c r="U722" s="82"/>
      <c r="V722" s="82"/>
      <c r="W722" s="82">
        <f t="shared" si="224"/>
        <v>0</v>
      </c>
      <c r="X722" s="82">
        <f t="shared" si="219"/>
        <v>17415596223.979942</v>
      </c>
      <c r="Y722" s="82">
        <f t="shared" si="225"/>
        <v>0</v>
      </c>
      <c r="Z722" s="82">
        <f t="shared" si="220"/>
        <v>-17415596223.979942</v>
      </c>
      <c r="AA722" s="83" t="str">
        <f t="shared" si="217"/>
        <v>No se realizó gasto en este corte</v>
      </c>
      <c r="AB722" s="84" t="str">
        <f t="shared" si="221"/>
        <v>Costo eficiente: se está gastando menos de lo presupuestado</v>
      </c>
      <c r="AC722" s="84">
        <f t="shared" si="226"/>
        <v>0</v>
      </c>
      <c r="AD722" s="84" t="str">
        <f t="shared" si="222"/>
        <v>Sin Línea Base</v>
      </c>
      <c r="AE722" s="85">
        <f t="shared" si="227"/>
        <v>0</v>
      </c>
      <c r="AF722" s="85">
        <f t="shared" si="228"/>
        <v>-28089671329</v>
      </c>
      <c r="AG722" s="40" t="str">
        <f>VLOOKUP(Indicador!E722,Diccionario!C$1:AC$150,27,0)</f>
        <v>https://growdatasas.sharepoint.com/:x:/r/sites/Gestiondocumental/Administrativa/GD/Financiera/_layouts/15/Doc.aspx?sourcedoc=%7BBF6E8538-B113-45FF-83F6-596104EC0C59%7D&amp;file=3.0.0.%20%20MODELO%20UNAD%20V3.0.%20(ajustado).xlsm&amp;action=default&amp;mobileredirect=true</v>
      </c>
      <c r="AH722" s="40">
        <v>1</v>
      </c>
      <c r="AI722" s="40">
        <v>1</v>
      </c>
    </row>
    <row r="723" spans="1:35" ht="18.75" customHeight="1">
      <c r="A723" s="73">
        <v>2028</v>
      </c>
      <c r="B723" s="112" t="s">
        <v>32</v>
      </c>
      <c r="C723" s="36" t="s">
        <v>442</v>
      </c>
      <c r="D723" s="37">
        <v>45971.819201238424</v>
      </c>
      <c r="E723" s="36" t="s">
        <v>105</v>
      </c>
      <c r="F723" s="36" t="s">
        <v>389</v>
      </c>
      <c r="G723" s="36" t="s">
        <v>443</v>
      </c>
      <c r="H723" s="36" t="s">
        <v>444</v>
      </c>
      <c r="I723" s="36" t="s">
        <v>152</v>
      </c>
      <c r="J723" s="36" t="s">
        <v>445</v>
      </c>
      <c r="K723" s="36" t="s">
        <v>177</v>
      </c>
      <c r="L723" s="74">
        <f>VLOOKUP(E723,Diccionario!C$2:AC$150,22,0)</f>
        <v>28089671329</v>
      </c>
      <c r="M723" s="75">
        <f>VLOOKUP(E723,Diccionario!C$2:AC$150,24,0)</f>
        <v>45962</v>
      </c>
      <c r="N723" s="76">
        <f>VLOOKUP(E723,Diccionario!C$2:AC$150,25,0)</f>
        <v>47787</v>
      </c>
      <c r="O723" s="77">
        <f>VLOOKUP(E723,Diccionario!C$2:AC$150,26,0)</f>
        <v>60</v>
      </c>
      <c r="P723" s="77">
        <f t="shared" ca="1" si="218"/>
        <v>-52</v>
      </c>
      <c r="Q723" s="78">
        <f t="shared" ca="1" si="223"/>
        <v>8</v>
      </c>
      <c r="R723" s="36">
        <v>60</v>
      </c>
      <c r="S723" s="86">
        <v>0.62999999999999801</v>
      </c>
      <c r="T723" s="86"/>
      <c r="U723" s="82"/>
      <c r="V723" s="82"/>
      <c r="W723" s="82">
        <f t="shared" si="224"/>
        <v>0</v>
      </c>
      <c r="X723" s="82">
        <f t="shared" si="219"/>
        <v>17696492937.269943</v>
      </c>
      <c r="Y723" s="82">
        <f t="shared" si="225"/>
        <v>0</v>
      </c>
      <c r="Z723" s="82">
        <f t="shared" si="220"/>
        <v>-17696492937.269943</v>
      </c>
      <c r="AA723" s="83" t="str">
        <f t="shared" si="217"/>
        <v>No se realizó gasto en este corte</v>
      </c>
      <c r="AB723" s="84" t="str">
        <f t="shared" si="221"/>
        <v>Costo eficiente: se está gastando menos de lo presupuestado</v>
      </c>
      <c r="AC723" s="84">
        <f t="shared" si="226"/>
        <v>0</v>
      </c>
      <c r="AD723" s="84" t="str">
        <f t="shared" si="222"/>
        <v>Sin Línea Base</v>
      </c>
      <c r="AE723" s="85">
        <f t="shared" si="227"/>
        <v>0</v>
      </c>
      <c r="AF723" s="85">
        <f t="shared" si="228"/>
        <v>-28089671329</v>
      </c>
      <c r="AG723" s="40" t="str">
        <f>VLOOKUP(Indicador!E723,Diccionario!C$1:AC$150,27,0)</f>
        <v>https://growdatasas.sharepoint.com/:x:/r/sites/Gestiondocumental/Administrativa/GD/Financiera/_layouts/15/Doc.aspx?sourcedoc=%7BBF6E8538-B113-45FF-83F6-596104EC0C59%7D&amp;file=3.0.0.%20%20MODELO%20UNAD%20V3.0.%20(ajustado).xlsm&amp;action=default&amp;mobileredirect=true</v>
      </c>
      <c r="AH723" s="40">
        <v>1</v>
      </c>
      <c r="AI723" s="40">
        <v>1</v>
      </c>
    </row>
    <row r="724" spans="1:35" ht="18.75" customHeight="1">
      <c r="A724" s="73">
        <v>2029</v>
      </c>
      <c r="B724" s="112" t="s">
        <v>14</v>
      </c>
      <c r="C724" s="36" t="s">
        <v>442</v>
      </c>
      <c r="D724" s="37">
        <v>45971.819201238424</v>
      </c>
      <c r="E724" s="36" t="s">
        <v>105</v>
      </c>
      <c r="F724" s="36" t="s">
        <v>389</v>
      </c>
      <c r="G724" s="36" t="s">
        <v>443</v>
      </c>
      <c r="H724" s="36" t="s">
        <v>444</v>
      </c>
      <c r="I724" s="36" t="s">
        <v>152</v>
      </c>
      <c r="J724" s="36" t="s">
        <v>445</v>
      </c>
      <c r="K724" s="36" t="s">
        <v>177</v>
      </c>
      <c r="L724" s="74">
        <f>VLOOKUP(E724,Diccionario!C$2:AC$150,22,0)</f>
        <v>28089671329</v>
      </c>
      <c r="M724" s="75">
        <f>VLOOKUP(E724,Diccionario!C$2:AC$150,24,0)</f>
        <v>45962</v>
      </c>
      <c r="N724" s="76">
        <f>VLOOKUP(E724,Diccionario!C$2:AC$150,25,0)</f>
        <v>47787</v>
      </c>
      <c r="O724" s="77">
        <f>VLOOKUP(E724,Diccionario!C$2:AC$150,26,0)</f>
        <v>60</v>
      </c>
      <c r="P724" s="77">
        <f t="shared" ca="1" si="218"/>
        <v>-52</v>
      </c>
      <c r="Q724" s="78">
        <f t="shared" ca="1" si="223"/>
        <v>8</v>
      </c>
      <c r="R724" s="36">
        <v>60</v>
      </c>
      <c r="S724" s="86">
        <v>0.63999999999999801</v>
      </c>
      <c r="T724" s="86"/>
      <c r="U724" s="82"/>
      <c r="V724" s="82"/>
      <c r="W724" s="82">
        <f t="shared" si="224"/>
        <v>0</v>
      </c>
      <c r="X724" s="82">
        <f t="shared" si="219"/>
        <v>17977389650.559944</v>
      </c>
      <c r="Y724" s="82">
        <f t="shared" si="225"/>
        <v>0</v>
      </c>
      <c r="Z724" s="82">
        <f t="shared" si="220"/>
        <v>-17977389650.559944</v>
      </c>
      <c r="AA724" s="83" t="str">
        <f t="shared" si="217"/>
        <v>No se realizó gasto en este corte</v>
      </c>
      <c r="AB724" s="84" t="str">
        <f t="shared" si="221"/>
        <v>Costo eficiente: se está gastando menos de lo presupuestado</v>
      </c>
      <c r="AC724" s="84">
        <f t="shared" si="226"/>
        <v>0</v>
      </c>
      <c r="AD724" s="84" t="str">
        <f t="shared" si="222"/>
        <v>Sin Línea Base</v>
      </c>
      <c r="AE724" s="85">
        <f t="shared" si="227"/>
        <v>0</v>
      </c>
      <c r="AF724" s="85">
        <f t="shared" si="228"/>
        <v>-28089671329</v>
      </c>
      <c r="AG724" s="40" t="str">
        <f>VLOOKUP(Indicador!E724,Diccionario!C$1:AC$150,27,0)</f>
        <v>https://growdatasas.sharepoint.com/:x:/r/sites/Gestiondocumental/Administrativa/GD/Financiera/_layouts/15/Doc.aspx?sourcedoc=%7BBF6E8538-B113-45FF-83F6-596104EC0C59%7D&amp;file=3.0.0.%20%20MODELO%20UNAD%20V3.0.%20(ajustado).xlsm&amp;action=default&amp;mobileredirect=true</v>
      </c>
      <c r="AH724" s="40">
        <v>1</v>
      </c>
      <c r="AI724" s="40">
        <v>1</v>
      </c>
    </row>
    <row r="725" spans="1:35" ht="18.75" customHeight="1">
      <c r="A725" s="73">
        <v>2029</v>
      </c>
      <c r="B725" s="112" t="s">
        <v>22</v>
      </c>
      <c r="C725" s="36" t="s">
        <v>442</v>
      </c>
      <c r="D725" s="37">
        <v>45971.819201238424</v>
      </c>
      <c r="E725" s="36" t="s">
        <v>105</v>
      </c>
      <c r="F725" s="36" t="s">
        <v>389</v>
      </c>
      <c r="G725" s="36" t="s">
        <v>443</v>
      </c>
      <c r="H725" s="36" t="s">
        <v>444</v>
      </c>
      <c r="I725" s="36" t="s">
        <v>152</v>
      </c>
      <c r="J725" s="36" t="s">
        <v>445</v>
      </c>
      <c r="K725" s="36" t="s">
        <v>177</v>
      </c>
      <c r="L725" s="74">
        <f>VLOOKUP(E725,Diccionario!C$2:AC$150,22,0)</f>
        <v>28089671329</v>
      </c>
      <c r="M725" s="75">
        <f>VLOOKUP(E725,Diccionario!C$2:AC$150,24,0)</f>
        <v>45962</v>
      </c>
      <c r="N725" s="76">
        <f>VLOOKUP(E725,Diccionario!C$2:AC$150,25,0)</f>
        <v>47787</v>
      </c>
      <c r="O725" s="77">
        <f>VLOOKUP(E725,Diccionario!C$2:AC$150,26,0)</f>
        <v>60</v>
      </c>
      <c r="P725" s="77">
        <f t="shared" ca="1" si="218"/>
        <v>-52</v>
      </c>
      <c r="Q725" s="78">
        <f t="shared" ca="1" si="223"/>
        <v>8</v>
      </c>
      <c r="R725" s="36">
        <v>60</v>
      </c>
      <c r="S725" s="86">
        <v>0.64999999999999802</v>
      </c>
      <c r="T725" s="86"/>
      <c r="U725" s="82"/>
      <c r="V725" s="82"/>
      <c r="W725" s="82">
        <f t="shared" si="224"/>
        <v>0</v>
      </c>
      <c r="X725" s="82">
        <f t="shared" si="219"/>
        <v>18258286363.849945</v>
      </c>
      <c r="Y725" s="82">
        <f t="shared" si="225"/>
        <v>0</v>
      </c>
      <c r="Z725" s="82">
        <f t="shared" si="220"/>
        <v>-18258286363.849945</v>
      </c>
      <c r="AA725" s="83" t="str">
        <f t="shared" si="217"/>
        <v>No se realizó gasto en este corte</v>
      </c>
      <c r="AB725" s="84" t="str">
        <f t="shared" si="221"/>
        <v>Costo eficiente: se está gastando menos de lo presupuestado</v>
      </c>
      <c r="AC725" s="84">
        <f t="shared" si="226"/>
        <v>0</v>
      </c>
      <c r="AD725" s="84" t="str">
        <f t="shared" si="222"/>
        <v>Sin Línea Base</v>
      </c>
      <c r="AE725" s="85">
        <f t="shared" si="227"/>
        <v>0</v>
      </c>
      <c r="AF725" s="85">
        <f t="shared" si="228"/>
        <v>-28089671329</v>
      </c>
      <c r="AG725" s="40" t="str">
        <f>VLOOKUP(Indicador!E725,Diccionario!C$1:AC$150,27,0)</f>
        <v>https://growdatasas.sharepoint.com/:x:/r/sites/Gestiondocumental/Administrativa/GD/Financiera/_layouts/15/Doc.aspx?sourcedoc=%7BBF6E8538-B113-45FF-83F6-596104EC0C59%7D&amp;file=3.0.0.%20%20MODELO%20UNAD%20V3.0.%20(ajustado).xlsm&amp;action=default&amp;mobileredirect=true</v>
      </c>
      <c r="AH725" s="40">
        <v>1</v>
      </c>
      <c r="AI725" s="40">
        <v>1</v>
      </c>
    </row>
    <row r="726" spans="1:35" ht="18.75" customHeight="1">
      <c r="A726" s="73">
        <v>2029</v>
      </c>
      <c r="B726" s="112" t="s">
        <v>24</v>
      </c>
      <c r="C726" s="36" t="s">
        <v>442</v>
      </c>
      <c r="D726" s="37">
        <v>45971.819201238424</v>
      </c>
      <c r="E726" s="36" t="s">
        <v>105</v>
      </c>
      <c r="F726" s="36" t="s">
        <v>389</v>
      </c>
      <c r="G726" s="36" t="s">
        <v>443</v>
      </c>
      <c r="H726" s="36" t="s">
        <v>444</v>
      </c>
      <c r="I726" s="36" t="s">
        <v>152</v>
      </c>
      <c r="J726" s="36" t="s">
        <v>445</v>
      </c>
      <c r="K726" s="36" t="s">
        <v>177</v>
      </c>
      <c r="L726" s="74">
        <f>VLOOKUP(E726,Diccionario!C$2:AC$150,22,0)</f>
        <v>28089671329</v>
      </c>
      <c r="M726" s="75">
        <f>VLOOKUP(E726,Diccionario!C$2:AC$150,24,0)</f>
        <v>45962</v>
      </c>
      <c r="N726" s="76">
        <f>VLOOKUP(E726,Diccionario!C$2:AC$150,25,0)</f>
        <v>47787</v>
      </c>
      <c r="O726" s="77">
        <f>VLOOKUP(E726,Diccionario!C$2:AC$150,26,0)</f>
        <v>60</v>
      </c>
      <c r="P726" s="77">
        <f t="shared" ca="1" si="218"/>
        <v>-52</v>
      </c>
      <c r="Q726" s="78">
        <f t="shared" ca="1" si="223"/>
        <v>8</v>
      </c>
      <c r="R726" s="36">
        <v>60</v>
      </c>
      <c r="S726" s="86">
        <v>0.65999999999999803</v>
      </c>
      <c r="T726" s="86"/>
      <c r="U726" s="82"/>
      <c r="V726" s="82"/>
      <c r="W726" s="82">
        <f t="shared" si="224"/>
        <v>0</v>
      </c>
      <c r="X726" s="82">
        <f t="shared" si="219"/>
        <v>18539183077.139946</v>
      </c>
      <c r="Y726" s="82">
        <f t="shared" si="225"/>
        <v>0</v>
      </c>
      <c r="Z726" s="82">
        <f t="shared" si="220"/>
        <v>-18539183077.139946</v>
      </c>
      <c r="AA726" s="83" t="str">
        <f t="shared" ref="AA726:AA747" si="229">IFERROR(W726/U726,"No se realizó gasto en este corte")</f>
        <v>No se realizó gasto en este corte</v>
      </c>
      <c r="AB726" s="84" t="str">
        <f t="shared" si="221"/>
        <v>Costo eficiente: se está gastando menos de lo presupuestado</v>
      </c>
      <c r="AC726" s="84">
        <f t="shared" si="226"/>
        <v>0</v>
      </c>
      <c r="AD726" s="84" t="str">
        <f t="shared" si="222"/>
        <v>Sin Línea Base</v>
      </c>
      <c r="AE726" s="85">
        <f t="shared" si="227"/>
        <v>0</v>
      </c>
      <c r="AF726" s="85">
        <f t="shared" si="228"/>
        <v>-28089671329</v>
      </c>
      <c r="AG726" s="40" t="str">
        <f>VLOOKUP(Indicador!E726,Diccionario!C$1:AC$150,27,0)</f>
        <v>https://growdatasas.sharepoint.com/:x:/r/sites/Gestiondocumental/Administrativa/GD/Financiera/_layouts/15/Doc.aspx?sourcedoc=%7BBF6E8538-B113-45FF-83F6-596104EC0C59%7D&amp;file=3.0.0.%20%20MODELO%20UNAD%20V3.0.%20(ajustado).xlsm&amp;action=default&amp;mobileredirect=true</v>
      </c>
      <c r="AH726" s="40">
        <v>1</v>
      </c>
      <c r="AI726" s="40">
        <v>1</v>
      </c>
    </row>
    <row r="727" spans="1:35" ht="18.75" customHeight="1">
      <c r="A727" s="73">
        <v>2029</v>
      </c>
      <c r="B727" s="112" t="s">
        <v>27</v>
      </c>
      <c r="C727" s="36" t="s">
        <v>442</v>
      </c>
      <c r="D727" s="37">
        <v>45971.819201238424</v>
      </c>
      <c r="E727" s="36" t="s">
        <v>105</v>
      </c>
      <c r="F727" s="36" t="s">
        <v>389</v>
      </c>
      <c r="G727" s="36" t="s">
        <v>443</v>
      </c>
      <c r="H727" s="36" t="s">
        <v>444</v>
      </c>
      <c r="I727" s="36" t="s">
        <v>152</v>
      </c>
      <c r="J727" s="36" t="s">
        <v>445</v>
      </c>
      <c r="K727" s="36" t="s">
        <v>177</v>
      </c>
      <c r="L727" s="74">
        <f>VLOOKUP(E727,Diccionario!C$2:AC$150,22,0)</f>
        <v>28089671329</v>
      </c>
      <c r="M727" s="75">
        <f>VLOOKUP(E727,Diccionario!C$2:AC$150,24,0)</f>
        <v>45962</v>
      </c>
      <c r="N727" s="76">
        <f>VLOOKUP(E727,Diccionario!C$2:AC$150,25,0)</f>
        <v>47787</v>
      </c>
      <c r="O727" s="77">
        <f>VLOOKUP(E727,Diccionario!C$2:AC$150,26,0)</f>
        <v>60</v>
      </c>
      <c r="P727" s="77">
        <f t="shared" ca="1" si="218"/>
        <v>-52</v>
      </c>
      <c r="Q727" s="78">
        <f t="shared" ca="1" si="223"/>
        <v>8</v>
      </c>
      <c r="R727" s="36">
        <v>60</v>
      </c>
      <c r="S727" s="86">
        <v>0.66999999999999804</v>
      </c>
      <c r="T727" s="86"/>
      <c r="U727" s="82"/>
      <c r="V727" s="82"/>
      <c r="W727" s="82">
        <f t="shared" si="224"/>
        <v>0</v>
      </c>
      <c r="X727" s="82">
        <f t="shared" si="219"/>
        <v>18820079790.429943</v>
      </c>
      <c r="Y727" s="82">
        <f t="shared" si="225"/>
        <v>0</v>
      </c>
      <c r="Z727" s="82">
        <f t="shared" si="220"/>
        <v>-18820079790.429943</v>
      </c>
      <c r="AA727" s="83" t="str">
        <f t="shared" si="229"/>
        <v>No se realizó gasto en este corte</v>
      </c>
      <c r="AB727" s="84" t="str">
        <f t="shared" si="221"/>
        <v>Costo eficiente: se está gastando menos de lo presupuestado</v>
      </c>
      <c r="AC727" s="84">
        <f t="shared" si="226"/>
        <v>0</v>
      </c>
      <c r="AD727" s="84" t="str">
        <f t="shared" si="222"/>
        <v>Sin Línea Base</v>
      </c>
      <c r="AE727" s="85">
        <f t="shared" si="227"/>
        <v>0</v>
      </c>
      <c r="AF727" s="85">
        <f t="shared" si="228"/>
        <v>-28089671329</v>
      </c>
      <c r="AG727" s="40" t="str">
        <f>VLOOKUP(Indicador!E727,Diccionario!C$1:AC$150,27,0)</f>
        <v>https://growdatasas.sharepoint.com/:x:/r/sites/Gestiondocumental/Administrativa/GD/Financiera/_layouts/15/Doc.aspx?sourcedoc=%7BBF6E8538-B113-45FF-83F6-596104EC0C59%7D&amp;file=3.0.0.%20%20MODELO%20UNAD%20V3.0.%20(ajustado).xlsm&amp;action=default&amp;mobileredirect=true</v>
      </c>
      <c r="AH727" s="40">
        <v>1</v>
      </c>
      <c r="AI727" s="40">
        <v>1</v>
      </c>
    </row>
    <row r="728" spans="1:35" ht="18.75" customHeight="1">
      <c r="A728" s="73">
        <v>2029</v>
      </c>
      <c r="B728" s="112" t="s">
        <v>13</v>
      </c>
      <c r="C728" s="36" t="s">
        <v>442</v>
      </c>
      <c r="D728" s="37">
        <v>45971.819201238424</v>
      </c>
      <c r="E728" s="36" t="s">
        <v>105</v>
      </c>
      <c r="F728" s="36" t="s">
        <v>389</v>
      </c>
      <c r="G728" s="36" t="s">
        <v>443</v>
      </c>
      <c r="H728" s="36" t="s">
        <v>444</v>
      </c>
      <c r="I728" s="36" t="s">
        <v>152</v>
      </c>
      <c r="J728" s="36" t="s">
        <v>445</v>
      </c>
      <c r="K728" s="36" t="s">
        <v>177</v>
      </c>
      <c r="L728" s="74">
        <f>VLOOKUP(E728,Diccionario!C$2:AC$150,22,0)</f>
        <v>28089671329</v>
      </c>
      <c r="M728" s="75">
        <f>VLOOKUP(E728,Diccionario!C$2:AC$150,24,0)</f>
        <v>45962</v>
      </c>
      <c r="N728" s="76">
        <f>VLOOKUP(E728,Diccionario!C$2:AC$150,25,0)</f>
        <v>47787</v>
      </c>
      <c r="O728" s="77">
        <f>VLOOKUP(E728,Diccionario!C$2:AC$150,26,0)</f>
        <v>60</v>
      </c>
      <c r="P728" s="77">
        <f t="shared" ca="1" si="218"/>
        <v>-52</v>
      </c>
      <c r="Q728" s="78">
        <f t="shared" ca="1" si="223"/>
        <v>8</v>
      </c>
      <c r="R728" s="36">
        <v>60</v>
      </c>
      <c r="S728" s="86">
        <v>0.67999999999999805</v>
      </c>
      <c r="T728" s="86"/>
      <c r="U728" s="82"/>
      <c r="V728" s="82"/>
      <c r="W728" s="82">
        <f t="shared" si="224"/>
        <v>0</v>
      </c>
      <c r="X728" s="82">
        <f t="shared" si="219"/>
        <v>19100976503.719944</v>
      </c>
      <c r="Y728" s="82">
        <f t="shared" si="225"/>
        <v>0</v>
      </c>
      <c r="Z728" s="82">
        <f t="shared" si="220"/>
        <v>-19100976503.719944</v>
      </c>
      <c r="AA728" s="83" t="str">
        <f t="shared" si="229"/>
        <v>No se realizó gasto en este corte</v>
      </c>
      <c r="AB728" s="84" t="str">
        <f t="shared" si="221"/>
        <v>Costo eficiente: se está gastando menos de lo presupuestado</v>
      </c>
      <c r="AC728" s="84">
        <f t="shared" si="226"/>
        <v>0</v>
      </c>
      <c r="AD728" s="84" t="str">
        <f t="shared" si="222"/>
        <v>Sin Línea Base</v>
      </c>
      <c r="AE728" s="85">
        <f t="shared" si="227"/>
        <v>0</v>
      </c>
      <c r="AF728" s="85">
        <f t="shared" si="228"/>
        <v>-28089671329</v>
      </c>
      <c r="AG728" s="40" t="str">
        <f>VLOOKUP(Indicador!E728,Diccionario!C$1:AC$150,27,0)</f>
        <v>https://growdatasas.sharepoint.com/:x:/r/sites/Gestiondocumental/Administrativa/GD/Financiera/_layouts/15/Doc.aspx?sourcedoc=%7BBF6E8538-B113-45FF-83F6-596104EC0C59%7D&amp;file=3.0.0.%20%20MODELO%20UNAD%20V3.0.%20(ajustado).xlsm&amp;action=default&amp;mobileredirect=true</v>
      </c>
      <c r="AH728" s="40">
        <v>1</v>
      </c>
      <c r="AI728" s="40">
        <v>1</v>
      </c>
    </row>
    <row r="729" spans="1:35" ht="18.75" customHeight="1">
      <c r="A729" s="73">
        <v>2029</v>
      </c>
      <c r="B729" s="112" t="s">
        <v>21</v>
      </c>
      <c r="C729" s="36" t="s">
        <v>442</v>
      </c>
      <c r="D729" s="37">
        <v>45971.819201238424</v>
      </c>
      <c r="E729" s="36" t="s">
        <v>105</v>
      </c>
      <c r="F729" s="36" t="s">
        <v>389</v>
      </c>
      <c r="G729" s="36" t="s">
        <v>443</v>
      </c>
      <c r="H729" s="36" t="s">
        <v>444</v>
      </c>
      <c r="I729" s="36" t="s">
        <v>152</v>
      </c>
      <c r="J729" s="36" t="s">
        <v>445</v>
      </c>
      <c r="K729" s="36" t="s">
        <v>177</v>
      </c>
      <c r="L729" s="74">
        <f>VLOOKUP(E729,Diccionario!C$2:AC$150,22,0)</f>
        <v>28089671329</v>
      </c>
      <c r="M729" s="75">
        <f>VLOOKUP(E729,Diccionario!C$2:AC$150,24,0)</f>
        <v>45962</v>
      </c>
      <c r="N729" s="76">
        <f>VLOOKUP(E729,Diccionario!C$2:AC$150,25,0)</f>
        <v>47787</v>
      </c>
      <c r="O729" s="77">
        <f>VLOOKUP(E729,Diccionario!C$2:AC$150,26,0)</f>
        <v>60</v>
      </c>
      <c r="P729" s="77">
        <f t="shared" ca="1" si="218"/>
        <v>-52</v>
      </c>
      <c r="Q729" s="78">
        <f t="shared" ca="1" si="223"/>
        <v>8</v>
      </c>
      <c r="R729" s="36">
        <v>60</v>
      </c>
      <c r="S729" s="86">
        <v>0.68999999999999795</v>
      </c>
      <c r="T729" s="86"/>
      <c r="U729" s="82"/>
      <c r="V729" s="82"/>
      <c r="W729" s="82">
        <f t="shared" si="224"/>
        <v>0</v>
      </c>
      <c r="X729" s="82">
        <f t="shared" si="219"/>
        <v>19381873217.009941</v>
      </c>
      <c r="Y729" s="82">
        <f t="shared" si="225"/>
        <v>0</v>
      </c>
      <c r="Z729" s="82">
        <f t="shared" si="220"/>
        <v>-19381873217.009941</v>
      </c>
      <c r="AA729" s="83" t="str">
        <f t="shared" si="229"/>
        <v>No se realizó gasto en este corte</v>
      </c>
      <c r="AB729" s="84" t="str">
        <f t="shared" si="221"/>
        <v>Costo eficiente: se está gastando menos de lo presupuestado</v>
      </c>
      <c r="AC729" s="84">
        <f t="shared" si="226"/>
        <v>0</v>
      </c>
      <c r="AD729" s="84" t="str">
        <f t="shared" si="222"/>
        <v>Sin Línea Base</v>
      </c>
      <c r="AE729" s="85">
        <f t="shared" si="227"/>
        <v>0</v>
      </c>
      <c r="AF729" s="85">
        <f t="shared" si="228"/>
        <v>-28089671329</v>
      </c>
      <c r="AG729" s="40" t="str">
        <f>VLOOKUP(Indicador!E729,Diccionario!C$1:AC$150,27,0)</f>
        <v>https://growdatasas.sharepoint.com/:x:/r/sites/Gestiondocumental/Administrativa/GD/Financiera/_layouts/15/Doc.aspx?sourcedoc=%7BBF6E8538-B113-45FF-83F6-596104EC0C59%7D&amp;file=3.0.0.%20%20MODELO%20UNAD%20V3.0.%20(ajustado).xlsm&amp;action=default&amp;mobileredirect=true</v>
      </c>
      <c r="AH729" s="40">
        <v>1</v>
      </c>
      <c r="AI729" s="40">
        <v>1</v>
      </c>
    </row>
    <row r="730" spans="1:35" ht="18.75" customHeight="1">
      <c r="A730" s="73">
        <v>2029</v>
      </c>
      <c r="B730" s="112" t="s">
        <v>23</v>
      </c>
      <c r="C730" s="36" t="s">
        <v>442</v>
      </c>
      <c r="D730" s="37">
        <v>45971.819201238424</v>
      </c>
      <c r="E730" s="36" t="s">
        <v>105</v>
      </c>
      <c r="F730" s="36" t="s">
        <v>389</v>
      </c>
      <c r="G730" s="36" t="s">
        <v>443</v>
      </c>
      <c r="H730" s="36" t="s">
        <v>444</v>
      </c>
      <c r="I730" s="36" t="s">
        <v>152</v>
      </c>
      <c r="J730" s="36" t="s">
        <v>445</v>
      </c>
      <c r="K730" s="36" t="s">
        <v>177</v>
      </c>
      <c r="L730" s="74">
        <f>VLOOKUP(E730,Diccionario!C$2:AC$150,22,0)</f>
        <v>28089671329</v>
      </c>
      <c r="M730" s="75">
        <f>VLOOKUP(E730,Diccionario!C$2:AC$150,24,0)</f>
        <v>45962</v>
      </c>
      <c r="N730" s="76">
        <f>VLOOKUP(E730,Diccionario!C$2:AC$150,25,0)</f>
        <v>47787</v>
      </c>
      <c r="O730" s="77">
        <f>VLOOKUP(E730,Diccionario!C$2:AC$150,26,0)</f>
        <v>60</v>
      </c>
      <c r="P730" s="77">
        <f t="shared" ca="1" si="218"/>
        <v>-52</v>
      </c>
      <c r="Q730" s="78">
        <f t="shared" ca="1" si="223"/>
        <v>8</v>
      </c>
      <c r="R730" s="36">
        <v>60</v>
      </c>
      <c r="S730" s="86">
        <v>0.69999999999999796</v>
      </c>
      <c r="T730" s="86"/>
      <c r="U730" s="82"/>
      <c r="V730" s="82"/>
      <c r="W730" s="82">
        <f t="shared" si="224"/>
        <v>0</v>
      </c>
      <c r="X730" s="82">
        <f t="shared" si="219"/>
        <v>19662769930.299942</v>
      </c>
      <c r="Y730" s="82">
        <f t="shared" si="225"/>
        <v>0</v>
      </c>
      <c r="Z730" s="82">
        <f t="shared" si="220"/>
        <v>-19662769930.299942</v>
      </c>
      <c r="AA730" s="83" t="str">
        <f t="shared" si="229"/>
        <v>No se realizó gasto en este corte</v>
      </c>
      <c r="AB730" s="84" t="str">
        <f t="shared" si="221"/>
        <v>Costo eficiente: se está gastando menos de lo presupuestado</v>
      </c>
      <c r="AC730" s="84">
        <f t="shared" si="226"/>
        <v>0</v>
      </c>
      <c r="AD730" s="84" t="str">
        <f t="shared" si="222"/>
        <v>Sin Línea Base</v>
      </c>
      <c r="AE730" s="85">
        <f t="shared" si="227"/>
        <v>0</v>
      </c>
      <c r="AF730" s="85">
        <f t="shared" si="228"/>
        <v>-28089671329</v>
      </c>
      <c r="AG730" s="40" t="str">
        <f>VLOOKUP(Indicador!E730,Diccionario!C$1:AC$150,27,0)</f>
        <v>https://growdatasas.sharepoint.com/:x:/r/sites/Gestiondocumental/Administrativa/GD/Financiera/_layouts/15/Doc.aspx?sourcedoc=%7BBF6E8538-B113-45FF-83F6-596104EC0C59%7D&amp;file=3.0.0.%20%20MODELO%20UNAD%20V3.0.%20(ajustado).xlsm&amp;action=default&amp;mobileredirect=true</v>
      </c>
      <c r="AH730" s="40">
        <v>1</v>
      </c>
      <c r="AI730" s="40">
        <v>1</v>
      </c>
    </row>
    <row r="731" spans="1:35" ht="18.75" customHeight="1">
      <c r="A731" s="73">
        <v>2029</v>
      </c>
      <c r="B731" s="112" t="s">
        <v>26</v>
      </c>
      <c r="C731" s="36" t="s">
        <v>442</v>
      </c>
      <c r="D731" s="37">
        <v>45971.819201238424</v>
      </c>
      <c r="E731" s="36" t="s">
        <v>105</v>
      </c>
      <c r="F731" s="36" t="s">
        <v>389</v>
      </c>
      <c r="G731" s="36" t="s">
        <v>443</v>
      </c>
      <c r="H731" s="36" t="s">
        <v>444</v>
      </c>
      <c r="I731" s="36" t="s">
        <v>152</v>
      </c>
      <c r="J731" s="36" t="s">
        <v>445</v>
      </c>
      <c r="K731" s="36" t="s">
        <v>177</v>
      </c>
      <c r="L731" s="74">
        <f>VLOOKUP(E731,Diccionario!C$2:AC$150,22,0)</f>
        <v>28089671329</v>
      </c>
      <c r="M731" s="75">
        <f>VLOOKUP(E731,Diccionario!C$2:AC$150,24,0)</f>
        <v>45962</v>
      </c>
      <c r="N731" s="76">
        <f>VLOOKUP(E731,Diccionario!C$2:AC$150,25,0)</f>
        <v>47787</v>
      </c>
      <c r="O731" s="77">
        <f>VLOOKUP(E731,Diccionario!C$2:AC$150,26,0)</f>
        <v>60</v>
      </c>
      <c r="P731" s="77">
        <f t="shared" ca="1" si="218"/>
        <v>-52</v>
      </c>
      <c r="Q731" s="78">
        <f t="shared" ca="1" si="223"/>
        <v>8</v>
      </c>
      <c r="R731" s="36">
        <v>60</v>
      </c>
      <c r="S731" s="86">
        <v>0.70999999999999797</v>
      </c>
      <c r="T731" s="86"/>
      <c r="U731" s="82"/>
      <c r="V731" s="82"/>
      <c r="W731" s="82">
        <f t="shared" si="224"/>
        <v>0</v>
      </c>
      <c r="X731" s="82">
        <f t="shared" si="219"/>
        <v>19943666643.589943</v>
      </c>
      <c r="Y731" s="82">
        <f t="shared" si="225"/>
        <v>0</v>
      </c>
      <c r="Z731" s="82">
        <f t="shared" si="220"/>
        <v>-19943666643.589943</v>
      </c>
      <c r="AA731" s="83" t="str">
        <f t="shared" si="229"/>
        <v>No se realizó gasto en este corte</v>
      </c>
      <c r="AB731" s="84" t="str">
        <f t="shared" si="221"/>
        <v>Costo eficiente: se está gastando menos de lo presupuestado</v>
      </c>
      <c r="AC731" s="84">
        <f t="shared" si="226"/>
        <v>0</v>
      </c>
      <c r="AD731" s="84" t="str">
        <f t="shared" si="222"/>
        <v>Sin Línea Base</v>
      </c>
      <c r="AE731" s="85">
        <f t="shared" si="227"/>
        <v>0</v>
      </c>
      <c r="AF731" s="85">
        <f t="shared" si="228"/>
        <v>-28089671329</v>
      </c>
      <c r="AG731" s="40" t="str">
        <f>VLOOKUP(Indicador!E731,Diccionario!C$1:AC$150,27,0)</f>
        <v>https://growdatasas.sharepoint.com/:x:/r/sites/Gestiondocumental/Administrativa/GD/Financiera/_layouts/15/Doc.aspx?sourcedoc=%7BBF6E8538-B113-45FF-83F6-596104EC0C59%7D&amp;file=3.0.0.%20%20MODELO%20UNAD%20V3.0.%20(ajustado).xlsm&amp;action=default&amp;mobileredirect=true</v>
      </c>
      <c r="AH731" s="40">
        <v>1</v>
      </c>
      <c r="AI731" s="40">
        <v>1</v>
      </c>
    </row>
    <row r="732" spans="1:35" ht="18.75" customHeight="1">
      <c r="A732" s="73">
        <v>2029</v>
      </c>
      <c r="B732" s="112" t="s">
        <v>28</v>
      </c>
      <c r="C732" s="36" t="s">
        <v>442</v>
      </c>
      <c r="D732" s="37">
        <v>45971.819201238424</v>
      </c>
      <c r="E732" s="36" t="s">
        <v>105</v>
      </c>
      <c r="F732" s="36" t="s">
        <v>389</v>
      </c>
      <c r="G732" s="36" t="s">
        <v>443</v>
      </c>
      <c r="H732" s="36" t="s">
        <v>444</v>
      </c>
      <c r="I732" s="36" t="s">
        <v>152</v>
      </c>
      <c r="J732" s="36" t="s">
        <v>445</v>
      </c>
      <c r="K732" s="36" t="s">
        <v>177</v>
      </c>
      <c r="L732" s="74">
        <f>VLOOKUP(E732,Diccionario!C$2:AC$150,22,0)</f>
        <v>28089671329</v>
      </c>
      <c r="M732" s="75">
        <f>VLOOKUP(E732,Diccionario!C$2:AC$150,24,0)</f>
        <v>45962</v>
      </c>
      <c r="N732" s="76">
        <f>VLOOKUP(E732,Diccionario!C$2:AC$150,25,0)</f>
        <v>47787</v>
      </c>
      <c r="O732" s="77">
        <f>VLOOKUP(E732,Diccionario!C$2:AC$150,26,0)</f>
        <v>60</v>
      </c>
      <c r="P732" s="77">
        <f t="shared" ca="1" si="218"/>
        <v>-52</v>
      </c>
      <c r="Q732" s="78">
        <f t="shared" ca="1" si="223"/>
        <v>8</v>
      </c>
      <c r="R732" s="36">
        <v>60</v>
      </c>
      <c r="S732" s="86">
        <v>0.71999999999999797</v>
      </c>
      <c r="T732" s="86"/>
      <c r="U732" s="82"/>
      <c r="V732" s="82"/>
      <c r="W732" s="82">
        <f t="shared" si="224"/>
        <v>0</v>
      </c>
      <c r="X732" s="82">
        <f t="shared" si="219"/>
        <v>20224563356.879944</v>
      </c>
      <c r="Y732" s="82">
        <f t="shared" si="225"/>
        <v>0</v>
      </c>
      <c r="Z732" s="82">
        <f t="shared" si="220"/>
        <v>-20224563356.879944</v>
      </c>
      <c r="AA732" s="83" t="str">
        <f t="shared" si="229"/>
        <v>No se realizó gasto en este corte</v>
      </c>
      <c r="AB732" s="84" t="str">
        <f t="shared" si="221"/>
        <v>Costo eficiente: se está gastando menos de lo presupuestado</v>
      </c>
      <c r="AC732" s="84">
        <f t="shared" si="226"/>
        <v>0</v>
      </c>
      <c r="AD732" s="84" t="str">
        <f t="shared" si="222"/>
        <v>Sin Línea Base</v>
      </c>
      <c r="AE732" s="85">
        <f t="shared" si="227"/>
        <v>0</v>
      </c>
      <c r="AF732" s="85">
        <f t="shared" si="228"/>
        <v>-28089671329</v>
      </c>
      <c r="AG732" s="40" t="str">
        <f>VLOOKUP(Indicador!E732,Diccionario!C$1:AC$150,27,0)</f>
        <v>https://growdatasas.sharepoint.com/:x:/r/sites/Gestiondocumental/Administrativa/GD/Financiera/_layouts/15/Doc.aspx?sourcedoc=%7BBF6E8538-B113-45FF-83F6-596104EC0C59%7D&amp;file=3.0.0.%20%20MODELO%20UNAD%20V3.0.%20(ajustado).xlsm&amp;action=default&amp;mobileredirect=true</v>
      </c>
      <c r="AH732" s="40">
        <v>1</v>
      </c>
      <c r="AI732" s="40">
        <v>1</v>
      </c>
    </row>
    <row r="733" spans="1:35" ht="18.75" customHeight="1">
      <c r="A733" s="73">
        <v>2029</v>
      </c>
      <c r="B733" s="112" t="s">
        <v>30</v>
      </c>
      <c r="C733" s="36" t="s">
        <v>442</v>
      </c>
      <c r="D733" s="37">
        <v>45971.819201238424</v>
      </c>
      <c r="E733" s="36" t="s">
        <v>105</v>
      </c>
      <c r="F733" s="36" t="s">
        <v>389</v>
      </c>
      <c r="G733" s="36" t="s">
        <v>443</v>
      </c>
      <c r="H733" s="36" t="s">
        <v>444</v>
      </c>
      <c r="I733" s="36" t="s">
        <v>152</v>
      </c>
      <c r="J733" s="36" t="s">
        <v>445</v>
      </c>
      <c r="K733" s="36" t="s">
        <v>177</v>
      </c>
      <c r="L733" s="74">
        <f>VLOOKUP(E733,Diccionario!C$2:AC$150,22,0)</f>
        <v>28089671329</v>
      </c>
      <c r="M733" s="75">
        <f>VLOOKUP(E733,Diccionario!C$2:AC$150,24,0)</f>
        <v>45962</v>
      </c>
      <c r="N733" s="76">
        <f>VLOOKUP(E733,Diccionario!C$2:AC$150,25,0)</f>
        <v>47787</v>
      </c>
      <c r="O733" s="77">
        <f>VLOOKUP(E733,Diccionario!C$2:AC$150,26,0)</f>
        <v>60</v>
      </c>
      <c r="P733" s="77">
        <f t="shared" ca="1" si="218"/>
        <v>-52</v>
      </c>
      <c r="Q733" s="78">
        <f t="shared" ca="1" si="223"/>
        <v>8</v>
      </c>
      <c r="R733" s="36">
        <v>60</v>
      </c>
      <c r="S733" s="86">
        <v>0.85</v>
      </c>
      <c r="T733" s="86"/>
      <c r="U733" s="82"/>
      <c r="V733" s="82"/>
      <c r="W733" s="82">
        <f t="shared" si="224"/>
        <v>0</v>
      </c>
      <c r="X733" s="82">
        <f t="shared" si="219"/>
        <v>23876220629.649998</v>
      </c>
      <c r="Y733" s="82">
        <f t="shared" si="225"/>
        <v>0</v>
      </c>
      <c r="Z733" s="82">
        <f t="shared" si="220"/>
        <v>-23876220629.649998</v>
      </c>
      <c r="AA733" s="83" t="str">
        <f t="shared" si="229"/>
        <v>No se realizó gasto en este corte</v>
      </c>
      <c r="AB733" s="84" t="str">
        <f t="shared" si="221"/>
        <v>Costo eficiente: se está gastando menos de lo presupuestado</v>
      </c>
      <c r="AC733" s="84">
        <f t="shared" si="226"/>
        <v>0</v>
      </c>
      <c r="AD733" s="84" t="str">
        <f t="shared" si="222"/>
        <v>Sin Línea Base</v>
      </c>
      <c r="AE733" s="85">
        <f t="shared" si="227"/>
        <v>0</v>
      </c>
      <c r="AF733" s="85">
        <f t="shared" si="228"/>
        <v>-28089671329</v>
      </c>
      <c r="AG733" s="40" t="str">
        <f>VLOOKUP(Indicador!E733,Diccionario!C$1:AC$150,27,0)</f>
        <v>https://growdatasas.sharepoint.com/:x:/r/sites/Gestiondocumental/Administrativa/GD/Financiera/_layouts/15/Doc.aspx?sourcedoc=%7BBF6E8538-B113-45FF-83F6-596104EC0C59%7D&amp;file=3.0.0.%20%20MODELO%20UNAD%20V3.0.%20(ajustado).xlsm&amp;action=default&amp;mobileredirect=true</v>
      </c>
      <c r="AH733" s="40">
        <v>1</v>
      </c>
      <c r="AI733" s="40">
        <v>1</v>
      </c>
    </row>
    <row r="734" spans="1:35" ht="18.75" customHeight="1">
      <c r="A734" s="73">
        <v>2029</v>
      </c>
      <c r="B734" s="112" t="s">
        <v>31</v>
      </c>
      <c r="C734" s="36" t="s">
        <v>442</v>
      </c>
      <c r="D734" s="37">
        <v>45971.819201238424</v>
      </c>
      <c r="E734" s="36" t="s">
        <v>105</v>
      </c>
      <c r="F734" s="36" t="s">
        <v>389</v>
      </c>
      <c r="G734" s="36" t="s">
        <v>443</v>
      </c>
      <c r="H734" s="36" t="s">
        <v>444</v>
      </c>
      <c r="I734" s="36" t="s">
        <v>152</v>
      </c>
      <c r="J734" s="36" t="s">
        <v>445</v>
      </c>
      <c r="K734" s="36" t="s">
        <v>177</v>
      </c>
      <c r="L734" s="74">
        <f>VLOOKUP(E734,Diccionario!C$2:AC$150,22,0)</f>
        <v>28089671329</v>
      </c>
      <c r="M734" s="75">
        <f>VLOOKUP(E734,Diccionario!C$2:AC$150,24,0)</f>
        <v>45962</v>
      </c>
      <c r="N734" s="76">
        <f>VLOOKUP(E734,Diccionario!C$2:AC$150,25,0)</f>
        <v>47787</v>
      </c>
      <c r="O734" s="77">
        <f>VLOOKUP(E734,Diccionario!C$2:AC$150,26,0)</f>
        <v>60</v>
      </c>
      <c r="P734" s="77">
        <f t="shared" ca="1" si="218"/>
        <v>-52</v>
      </c>
      <c r="Q734" s="78">
        <f t="shared" ca="1" si="223"/>
        <v>8</v>
      </c>
      <c r="R734" s="36">
        <v>60</v>
      </c>
      <c r="S734" s="86">
        <v>0.86</v>
      </c>
      <c r="T734" s="86"/>
      <c r="U734" s="82"/>
      <c r="V734" s="82"/>
      <c r="W734" s="82">
        <f t="shared" si="224"/>
        <v>0</v>
      </c>
      <c r="X734" s="82">
        <f t="shared" si="219"/>
        <v>24157117342.939999</v>
      </c>
      <c r="Y734" s="82">
        <f t="shared" si="225"/>
        <v>0</v>
      </c>
      <c r="Z734" s="82">
        <f t="shared" si="220"/>
        <v>-24157117342.939999</v>
      </c>
      <c r="AA734" s="83" t="str">
        <f t="shared" si="229"/>
        <v>No se realizó gasto en este corte</v>
      </c>
      <c r="AB734" s="84" t="str">
        <f t="shared" si="221"/>
        <v>Costo eficiente: se está gastando menos de lo presupuestado</v>
      </c>
      <c r="AC734" s="84">
        <f t="shared" si="226"/>
        <v>0</v>
      </c>
      <c r="AD734" s="84" t="str">
        <f t="shared" si="222"/>
        <v>Sin Línea Base</v>
      </c>
      <c r="AE734" s="85">
        <f t="shared" si="227"/>
        <v>0</v>
      </c>
      <c r="AF734" s="85">
        <f t="shared" si="228"/>
        <v>-28089671329</v>
      </c>
      <c r="AG734" s="40" t="str">
        <f>VLOOKUP(Indicador!E734,Diccionario!C$1:AC$150,27,0)</f>
        <v>https://growdatasas.sharepoint.com/:x:/r/sites/Gestiondocumental/Administrativa/GD/Financiera/_layouts/15/Doc.aspx?sourcedoc=%7BBF6E8538-B113-45FF-83F6-596104EC0C59%7D&amp;file=3.0.0.%20%20MODELO%20UNAD%20V3.0.%20(ajustado).xlsm&amp;action=default&amp;mobileredirect=true</v>
      </c>
      <c r="AH734" s="40">
        <v>1</v>
      </c>
      <c r="AI734" s="40">
        <v>1</v>
      </c>
    </row>
    <row r="735" spans="1:35" ht="18.75" customHeight="1">
      <c r="A735" s="73">
        <v>2029</v>
      </c>
      <c r="B735" s="112" t="s">
        <v>32</v>
      </c>
      <c r="C735" s="36" t="s">
        <v>442</v>
      </c>
      <c r="D735" s="37">
        <v>45971.819201238424</v>
      </c>
      <c r="E735" s="36" t="s">
        <v>105</v>
      </c>
      <c r="F735" s="36" t="s">
        <v>389</v>
      </c>
      <c r="G735" s="36" t="s">
        <v>443</v>
      </c>
      <c r="H735" s="36" t="s">
        <v>444</v>
      </c>
      <c r="I735" s="36" t="s">
        <v>152</v>
      </c>
      <c r="J735" s="36" t="s">
        <v>445</v>
      </c>
      <c r="K735" s="36" t="s">
        <v>177</v>
      </c>
      <c r="L735" s="74">
        <f>VLOOKUP(E735,Diccionario!C$2:AC$150,22,0)</f>
        <v>28089671329</v>
      </c>
      <c r="M735" s="75">
        <f>VLOOKUP(E735,Diccionario!C$2:AC$150,24,0)</f>
        <v>45962</v>
      </c>
      <c r="N735" s="76">
        <f>VLOOKUP(E735,Diccionario!C$2:AC$150,25,0)</f>
        <v>47787</v>
      </c>
      <c r="O735" s="77">
        <f>VLOOKUP(E735,Diccionario!C$2:AC$150,26,0)</f>
        <v>60</v>
      </c>
      <c r="P735" s="77">
        <f t="shared" ca="1" si="218"/>
        <v>-52</v>
      </c>
      <c r="Q735" s="78">
        <f t="shared" ca="1" si="223"/>
        <v>8</v>
      </c>
      <c r="R735" s="36">
        <v>60</v>
      </c>
      <c r="S735" s="86">
        <v>0.87</v>
      </c>
      <c r="T735" s="86"/>
      <c r="U735" s="82"/>
      <c r="V735" s="82"/>
      <c r="W735" s="82">
        <f t="shared" si="224"/>
        <v>0</v>
      </c>
      <c r="X735" s="82">
        <f t="shared" si="219"/>
        <v>24438014056.23</v>
      </c>
      <c r="Y735" s="82">
        <f t="shared" si="225"/>
        <v>0</v>
      </c>
      <c r="Z735" s="82">
        <f t="shared" si="220"/>
        <v>-24438014056.23</v>
      </c>
      <c r="AA735" s="83" t="str">
        <f t="shared" si="229"/>
        <v>No se realizó gasto en este corte</v>
      </c>
      <c r="AB735" s="84" t="str">
        <f t="shared" si="221"/>
        <v>Costo eficiente: se está gastando menos de lo presupuestado</v>
      </c>
      <c r="AC735" s="84">
        <f t="shared" si="226"/>
        <v>0</v>
      </c>
      <c r="AD735" s="84" t="str">
        <f t="shared" si="222"/>
        <v>Sin Línea Base</v>
      </c>
      <c r="AE735" s="85">
        <f t="shared" si="227"/>
        <v>0</v>
      </c>
      <c r="AF735" s="85">
        <f t="shared" si="228"/>
        <v>-28089671329</v>
      </c>
      <c r="AG735" s="40" t="str">
        <f>VLOOKUP(Indicador!E735,Diccionario!C$1:AC$150,27,0)</f>
        <v>https://growdatasas.sharepoint.com/:x:/r/sites/Gestiondocumental/Administrativa/GD/Financiera/_layouts/15/Doc.aspx?sourcedoc=%7BBF6E8538-B113-45FF-83F6-596104EC0C59%7D&amp;file=3.0.0.%20%20MODELO%20UNAD%20V3.0.%20(ajustado).xlsm&amp;action=default&amp;mobileredirect=true</v>
      </c>
      <c r="AH735" s="40">
        <v>1</v>
      </c>
      <c r="AI735" s="40">
        <v>1</v>
      </c>
    </row>
    <row r="736" spans="1:35" ht="18.75" customHeight="1">
      <c r="A736" s="73">
        <v>2030</v>
      </c>
      <c r="B736" s="112" t="s">
        <v>14</v>
      </c>
      <c r="C736" s="36" t="s">
        <v>442</v>
      </c>
      <c r="D736" s="37">
        <v>45971.819201238424</v>
      </c>
      <c r="E736" s="36" t="s">
        <v>105</v>
      </c>
      <c r="F736" s="36" t="s">
        <v>389</v>
      </c>
      <c r="G736" s="36" t="s">
        <v>443</v>
      </c>
      <c r="H736" s="36" t="s">
        <v>444</v>
      </c>
      <c r="I736" s="36" t="s">
        <v>152</v>
      </c>
      <c r="J736" s="36" t="s">
        <v>445</v>
      </c>
      <c r="K736" s="36" t="s">
        <v>177</v>
      </c>
      <c r="L736" s="74">
        <f>VLOOKUP(E736,Diccionario!C$2:AC$150,22,0)</f>
        <v>28089671329</v>
      </c>
      <c r="M736" s="75">
        <f>VLOOKUP(E736,Diccionario!C$2:AC$150,24,0)</f>
        <v>45962</v>
      </c>
      <c r="N736" s="76">
        <f>VLOOKUP(E736,Diccionario!C$2:AC$150,25,0)</f>
        <v>47787</v>
      </c>
      <c r="O736" s="77">
        <f>VLOOKUP(E736,Diccionario!C$2:AC$150,26,0)</f>
        <v>60</v>
      </c>
      <c r="P736" s="77">
        <f t="shared" ca="1" si="218"/>
        <v>-52</v>
      </c>
      <c r="Q736" s="78">
        <f t="shared" ca="1" si="223"/>
        <v>8</v>
      </c>
      <c r="R736" s="36">
        <v>60</v>
      </c>
      <c r="S736" s="86">
        <v>0.88</v>
      </c>
      <c r="T736" s="86"/>
      <c r="U736" s="82"/>
      <c r="V736" s="82"/>
      <c r="W736" s="82">
        <f t="shared" si="224"/>
        <v>0</v>
      </c>
      <c r="X736" s="82">
        <f t="shared" si="219"/>
        <v>24718910769.52</v>
      </c>
      <c r="Y736" s="82">
        <f t="shared" si="225"/>
        <v>0</v>
      </c>
      <c r="Z736" s="82">
        <f t="shared" si="220"/>
        <v>-24718910769.52</v>
      </c>
      <c r="AA736" s="83" t="str">
        <f t="shared" si="229"/>
        <v>No se realizó gasto en este corte</v>
      </c>
      <c r="AB736" s="84" t="str">
        <f t="shared" si="221"/>
        <v>Costo eficiente: se está gastando menos de lo presupuestado</v>
      </c>
      <c r="AC736" s="84">
        <f t="shared" si="226"/>
        <v>0</v>
      </c>
      <c r="AD736" s="84" t="str">
        <f t="shared" si="222"/>
        <v>Sin Línea Base</v>
      </c>
      <c r="AE736" s="85">
        <f t="shared" si="227"/>
        <v>0</v>
      </c>
      <c r="AF736" s="85">
        <f t="shared" si="228"/>
        <v>-28089671329</v>
      </c>
      <c r="AG736" s="40" t="str">
        <f>VLOOKUP(Indicador!E736,Diccionario!C$1:AC$150,27,0)</f>
        <v>https://growdatasas.sharepoint.com/:x:/r/sites/Gestiondocumental/Administrativa/GD/Financiera/_layouts/15/Doc.aspx?sourcedoc=%7BBF6E8538-B113-45FF-83F6-596104EC0C59%7D&amp;file=3.0.0.%20%20MODELO%20UNAD%20V3.0.%20(ajustado).xlsm&amp;action=default&amp;mobileredirect=true</v>
      </c>
      <c r="AH736" s="40">
        <v>1</v>
      </c>
      <c r="AI736" s="40">
        <v>1</v>
      </c>
    </row>
    <row r="737" spans="1:35" ht="18.75" customHeight="1">
      <c r="A737" s="73">
        <v>2030</v>
      </c>
      <c r="B737" s="112" t="s">
        <v>22</v>
      </c>
      <c r="C737" s="36" t="s">
        <v>442</v>
      </c>
      <c r="D737" s="37">
        <v>45971.819201238424</v>
      </c>
      <c r="E737" s="36" t="s">
        <v>105</v>
      </c>
      <c r="F737" s="36" t="s">
        <v>389</v>
      </c>
      <c r="G737" s="36" t="s">
        <v>443</v>
      </c>
      <c r="H737" s="36" t="s">
        <v>444</v>
      </c>
      <c r="I737" s="36" t="s">
        <v>152</v>
      </c>
      <c r="J737" s="36" t="s">
        <v>445</v>
      </c>
      <c r="K737" s="36" t="s">
        <v>177</v>
      </c>
      <c r="L737" s="74">
        <f>VLOOKUP(E737,Diccionario!C$2:AC$150,22,0)</f>
        <v>28089671329</v>
      </c>
      <c r="M737" s="75">
        <f>VLOOKUP(E737,Diccionario!C$2:AC$150,24,0)</f>
        <v>45962</v>
      </c>
      <c r="N737" s="76">
        <f>VLOOKUP(E737,Diccionario!C$2:AC$150,25,0)</f>
        <v>47787</v>
      </c>
      <c r="O737" s="77">
        <f>VLOOKUP(E737,Diccionario!C$2:AC$150,26,0)</f>
        <v>60</v>
      </c>
      <c r="P737" s="77">
        <f t="shared" ca="1" si="218"/>
        <v>-52</v>
      </c>
      <c r="Q737" s="78">
        <f t="shared" ca="1" si="223"/>
        <v>8</v>
      </c>
      <c r="R737" s="36">
        <v>60</v>
      </c>
      <c r="S737" s="86">
        <v>0.89</v>
      </c>
      <c r="T737" s="86"/>
      <c r="U737" s="82"/>
      <c r="V737" s="82"/>
      <c r="W737" s="82">
        <f t="shared" si="224"/>
        <v>0</v>
      </c>
      <c r="X737" s="82">
        <f t="shared" si="219"/>
        <v>24999807482.810001</v>
      </c>
      <c r="Y737" s="82">
        <f t="shared" si="225"/>
        <v>0</v>
      </c>
      <c r="Z737" s="82">
        <f t="shared" si="220"/>
        <v>-24999807482.810001</v>
      </c>
      <c r="AA737" s="83" t="str">
        <f t="shared" si="229"/>
        <v>No se realizó gasto en este corte</v>
      </c>
      <c r="AB737" s="84" t="str">
        <f t="shared" si="221"/>
        <v>Costo eficiente: se está gastando menos de lo presupuestado</v>
      </c>
      <c r="AC737" s="84">
        <f t="shared" si="226"/>
        <v>0</v>
      </c>
      <c r="AD737" s="84" t="str">
        <f t="shared" si="222"/>
        <v>Sin Línea Base</v>
      </c>
      <c r="AE737" s="85">
        <f t="shared" si="227"/>
        <v>0</v>
      </c>
      <c r="AF737" s="85">
        <f t="shared" si="228"/>
        <v>-28089671329</v>
      </c>
      <c r="AG737" s="40" t="str">
        <f>VLOOKUP(Indicador!E737,Diccionario!C$1:AC$150,27,0)</f>
        <v>https://growdatasas.sharepoint.com/:x:/r/sites/Gestiondocumental/Administrativa/GD/Financiera/_layouts/15/Doc.aspx?sourcedoc=%7BBF6E8538-B113-45FF-83F6-596104EC0C59%7D&amp;file=3.0.0.%20%20MODELO%20UNAD%20V3.0.%20(ajustado).xlsm&amp;action=default&amp;mobileredirect=true</v>
      </c>
      <c r="AH737" s="40">
        <v>1</v>
      </c>
      <c r="AI737" s="40">
        <v>1</v>
      </c>
    </row>
    <row r="738" spans="1:35" ht="18.75" customHeight="1">
      <c r="A738" s="73">
        <v>2030</v>
      </c>
      <c r="B738" s="112" t="s">
        <v>24</v>
      </c>
      <c r="C738" s="36" t="s">
        <v>442</v>
      </c>
      <c r="D738" s="37">
        <v>45971.819201238424</v>
      </c>
      <c r="E738" s="36" t="s">
        <v>105</v>
      </c>
      <c r="F738" s="36" t="s">
        <v>389</v>
      </c>
      <c r="G738" s="36" t="s">
        <v>443</v>
      </c>
      <c r="H738" s="36" t="s">
        <v>444</v>
      </c>
      <c r="I738" s="36" t="s">
        <v>152</v>
      </c>
      <c r="J738" s="36" t="s">
        <v>445</v>
      </c>
      <c r="K738" s="36" t="s">
        <v>177</v>
      </c>
      <c r="L738" s="74">
        <f>VLOOKUP(E738,Diccionario!C$2:AC$150,22,0)</f>
        <v>28089671329</v>
      </c>
      <c r="M738" s="75">
        <f>VLOOKUP(E738,Diccionario!C$2:AC$150,24,0)</f>
        <v>45962</v>
      </c>
      <c r="N738" s="76">
        <f>VLOOKUP(E738,Diccionario!C$2:AC$150,25,0)</f>
        <v>47787</v>
      </c>
      <c r="O738" s="77">
        <f>VLOOKUP(E738,Diccionario!C$2:AC$150,26,0)</f>
        <v>60</v>
      </c>
      <c r="P738" s="77">
        <f t="shared" ca="1" si="218"/>
        <v>-52</v>
      </c>
      <c r="Q738" s="78">
        <f t="shared" ca="1" si="223"/>
        <v>8</v>
      </c>
      <c r="R738" s="36">
        <v>60</v>
      </c>
      <c r="S738" s="86">
        <v>0.9</v>
      </c>
      <c r="T738" s="86"/>
      <c r="U738" s="82"/>
      <c r="V738" s="82"/>
      <c r="W738" s="82">
        <f t="shared" si="224"/>
        <v>0</v>
      </c>
      <c r="X738" s="82">
        <f t="shared" si="219"/>
        <v>25280704196.100002</v>
      </c>
      <c r="Y738" s="82">
        <f t="shared" si="225"/>
        <v>0</v>
      </c>
      <c r="Z738" s="82">
        <f t="shared" si="220"/>
        <v>-25280704196.100002</v>
      </c>
      <c r="AA738" s="83" t="str">
        <f t="shared" si="229"/>
        <v>No se realizó gasto en este corte</v>
      </c>
      <c r="AB738" s="84" t="str">
        <f t="shared" si="221"/>
        <v>Costo eficiente: se está gastando menos de lo presupuestado</v>
      </c>
      <c r="AC738" s="84">
        <f t="shared" si="226"/>
        <v>0</v>
      </c>
      <c r="AD738" s="84" t="str">
        <f t="shared" si="222"/>
        <v>Sin Línea Base</v>
      </c>
      <c r="AE738" s="85">
        <f t="shared" si="227"/>
        <v>0</v>
      </c>
      <c r="AF738" s="85">
        <f t="shared" si="228"/>
        <v>-28089671329</v>
      </c>
      <c r="AG738" s="40" t="str">
        <f>VLOOKUP(Indicador!E738,Diccionario!C$1:AC$150,27,0)</f>
        <v>https://growdatasas.sharepoint.com/:x:/r/sites/Gestiondocumental/Administrativa/GD/Financiera/_layouts/15/Doc.aspx?sourcedoc=%7BBF6E8538-B113-45FF-83F6-596104EC0C59%7D&amp;file=3.0.0.%20%20MODELO%20UNAD%20V3.0.%20(ajustado).xlsm&amp;action=default&amp;mobileredirect=true</v>
      </c>
      <c r="AH738" s="40">
        <v>1</v>
      </c>
      <c r="AI738" s="40">
        <v>1</v>
      </c>
    </row>
    <row r="739" spans="1:35" ht="18.75" customHeight="1">
      <c r="A739" s="73">
        <v>2030</v>
      </c>
      <c r="B739" s="112" t="s">
        <v>27</v>
      </c>
      <c r="C739" s="36" t="s">
        <v>442</v>
      </c>
      <c r="D739" s="37">
        <v>45971.819201238424</v>
      </c>
      <c r="E739" s="36" t="s">
        <v>105</v>
      </c>
      <c r="F739" s="36" t="s">
        <v>389</v>
      </c>
      <c r="G739" s="36" t="s">
        <v>443</v>
      </c>
      <c r="H739" s="36" t="s">
        <v>444</v>
      </c>
      <c r="I739" s="36" t="s">
        <v>152</v>
      </c>
      <c r="J739" s="36" t="s">
        <v>445</v>
      </c>
      <c r="K739" s="36" t="s">
        <v>177</v>
      </c>
      <c r="L739" s="74">
        <f>VLOOKUP(E739,Diccionario!C$2:AC$150,22,0)</f>
        <v>28089671329</v>
      </c>
      <c r="M739" s="75">
        <f>VLOOKUP(E739,Diccionario!C$2:AC$150,24,0)</f>
        <v>45962</v>
      </c>
      <c r="N739" s="76">
        <f>VLOOKUP(E739,Diccionario!C$2:AC$150,25,0)</f>
        <v>47787</v>
      </c>
      <c r="O739" s="77">
        <f>VLOOKUP(E739,Diccionario!C$2:AC$150,26,0)</f>
        <v>60</v>
      </c>
      <c r="P739" s="77">
        <f t="shared" ca="1" si="218"/>
        <v>-52</v>
      </c>
      <c r="Q739" s="78">
        <f t="shared" ca="1" si="223"/>
        <v>8</v>
      </c>
      <c r="R739" s="36">
        <v>60</v>
      </c>
      <c r="S739" s="86">
        <v>0.91</v>
      </c>
      <c r="T739" s="86"/>
      <c r="U739" s="82"/>
      <c r="V739" s="82"/>
      <c r="W739" s="82">
        <f t="shared" si="224"/>
        <v>0</v>
      </c>
      <c r="X739" s="82">
        <f t="shared" si="219"/>
        <v>25561600909.389999</v>
      </c>
      <c r="Y739" s="82">
        <f t="shared" si="225"/>
        <v>0</v>
      </c>
      <c r="Z739" s="82">
        <f t="shared" si="220"/>
        <v>-25561600909.389999</v>
      </c>
      <c r="AA739" s="83" t="str">
        <f t="shared" si="229"/>
        <v>No se realizó gasto en este corte</v>
      </c>
      <c r="AB739" s="84" t="str">
        <f t="shared" si="221"/>
        <v>Costo eficiente: se está gastando menos de lo presupuestado</v>
      </c>
      <c r="AC739" s="84">
        <f t="shared" si="226"/>
        <v>0</v>
      </c>
      <c r="AD739" s="84" t="str">
        <f t="shared" si="222"/>
        <v>Sin Línea Base</v>
      </c>
      <c r="AE739" s="85">
        <f t="shared" si="227"/>
        <v>0</v>
      </c>
      <c r="AF739" s="85">
        <f t="shared" si="228"/>
        <v>-28089671329</v>
      </c>
      <c r="AG739" s="40" t="str">
        <f>VLOOKUP(Indicador!E739,Diccionario!C$1:AC$150,27,0)</f>
        <v>https://growdatasas.sharepoint.com/:x:/r/sites/Gestiondocumental/Administrativa/GD/Financiera/_layouts/15/Doc.aspx?sourcedoc=%7BBF6E8538-B113-45FF-83F6-596104EC0C59%7D&amp;file=3.0.0.%20%20MODELO%20UNAD%20V3.0.%20(ajustado).xlsm&amp;action=default&amp;mobileredirect=true</v>
      </c>
      <c r="AH739" s="40">
        <v>1</v>
      </c>
      <c r="AI739" s="40">
        <v>1</v>
      </c>
    </row>
    <row r="740" spans="1:35" ht="18.75" customHeight="1">
      <c r="A740" s="73">
        <v>2030</v>
      </c>
      <c r="B740" s="112" t="s">
        <v>13</v>
      </c>
      <c r="C740" s="36" t="s">
        <v>442</v>
      </c>
      <c r="D740" s="37">
        <v>45971.819201238424</v>
      </c>
      <c r="E740" s="36" t="s">
        <v>105</v>
      </c>
      <c r="F740" s="36" t="s">
        <v>389</v>
      </c>
      <c r="G740" s="36" t="s">
        <v>443</v>
      </c>
      <c r="H740" s="36" t="s">
        <v>444</v>
      </c>
      <c r="I740" s="36" t="s">
        <v>152</v>
      </c>
      <c r="J740" s="36" t="s">
        <v>445</v>
      </c>
      <c r="K740" s="36" t="s">
        <v>177</v>
      </c>
      <c r="L740" s="74">
        <f>VLOOKUP(E740,Diccionario!C$2:AC$150,22,0)</f>
        <v>28089671329</v>
      </c>
      <c r="M740" s="75">
        <f>VLOOKUP(E740,Diccionario!C$2:AC$150,24,0)</f>
        <v>45962</v>
      </c>
      <c r="N740" s="76">
        <f>VLOOKUP(E740,Diccionario!C$2:AC$150,25,0)</f>
        <v>47787</v>
      </c>
      <c r="O740" s="77">
        <f>VLOOKUP(E740,Diccionario!C$2:AC$150,26,0)</f>
        <v>60</v>
      </c>
      <c r="P740" s="77">
        <f t="shared" ca="1" si="218"/>
        <v>-52</v>
      </c>
      <c r="Q740" s="78">
        <f t="shared" ca="1" si="223"/>
        <v>8</v>
      </c>
      <c r="R740" s="36">
        <v>60</v>
      </c>
      <c r="S740" s="86">
        <v>0.92</v>
      </c>
      <c r="T740" s="86"/>
      <c r="U740" s="82"/>
      <c r="V740" s="82"/>
      <c r="W740" s="82">
        <f t="shared" si="224"/>
        <v>0</v>
      </c>
      <c r="X740" s="82">
        <f t="shared" si="219"/>
        <v>25842497622.68</v>
      </c>
      <c r="Y740" s="82">
        <f t="shared" si="225"/>
        <v>0</v>
      </c>
      <c r="Z740" s="82">
        <f t="shared" si="220"/>
        <v>-25842497622.68</v>
      </c>
      <c r="AA740" s="83" t="str">
        <f t="shared" si="229"/>
        <v>No se realizó gasto en este corte</v>
      </c>
      <c r="AB740" s="84" t="str">
        <f t="shared" si="221"/>
        <v>Costo eficiente: se está gastando menos de lo presupuestado</v>
      </c>
      <c r="AC740" s="84">
        <f t="shared" si="226"/>
        <v>0</v>
      </c>
      <c r="AD740" s="84" t="str">
        <f t="shared" si="222"/>
        <v>Sin Línea Base</v>
      </c>
      <c r="AE740" s="85">
        <f t="shared" si="227"/>
        <v>0</v>
      </c>
      <c r="AF740" s="85">
        <f t="shared" si="228"/>
        <v>-28089671329</v>
      </c>
      <c r="AG740" s="40" t="str">
        <f>VLOOKUP(Indicador!E740,Diccionario!C$1:AC$150,27,0)</f>
        <v>https://growdatasas.sharepoint.com/:x:/r/sites/Gestiondocumental/Administrativa/GD/Financiera/_layouts/15/Doc.aspx?sourcedoc=%7BBF6E8538-B113-45FF-83F6-596104EC0C59%7D&amp;file=3.0.0.%20%20MODELO%20UNAD%20V3.0.%20(ajustado).xlsm&amp;action=default&amp;mobileredirect=true</v>
      </c>
      <c r="AH740" s="40">
        <v>1</v>
      </c>
      <c r="AI740" s="40">
        <v>1</v>
      </c>
    </row>
    <row r="741" spans="1:35" ht="18.75" customHeight="1">
      <c r="A741" s="73">
        <v>2030</v>
      </c>
      <c r="B741" s="112" t="s">
        <v>21</v>
      </c>
      <c r="C741" s="36" t="s">
        <v>442</v>
      </c>
      <c r="D741" s="37">
        <v>45971.819201238424</v>
      </c>
      <c r="E741" s="36" t="s">
        <v>105</v>
      </c>
      <c r="F741" s="36" t="s">
        <v>389</v>
      </c>
      <c r="G741" s="36" t="s">
        <v>443</v>
      </c>
      <c r="H741" s="36" t="s">
        <v>444</v>
      </c>
      <c r="I741" s="36" t="s">
        <v>152</v>
      </c>
      <c r="J741" s="36" t="s">
        <v>445</v>
      </c>
      <c r="K741" s="36" t="s">
        <v>177</v>
      </c>
      <c r="L741" s="74">
        <f>VLOOKUP(E741,Diccionario!C$2:AC$150,22,0)</f>
        <v>28089671329</v>
      </c>
      <c r="M741" s="75">
        <f>VLOOKUP(E741,Diccionario!C$2:AC$150,24,0)</f>
        <v>45962</v>
      </c>
      <c r="N741" s="76">
        <f>VLOOKUP(E741,Diccionario!C$2:AC$150,25,0)</f>
        <v>47787</v>
      </c>
      <c r="O741" s="77">
        <f>VLOOKUP(E741,Diccionario!C$2:AC$150,26,0)</f>
        <v>60</v>
      </c>
      <c r="P741" s="77">
        <f t="shared" ca="1" si="218"/>
        <v>-52</v>
      </c>
      <c r="Q741" s="78">
        <f t="shared" ca="1" si="223"/>
        <v>8</v>
      </c>
      <c r="R741" s="36">
        <v>60</v>
      </c>
      <c r="S741" s="86">
        <v>0.93</v>
      </c>
      <c r="T741" s="86"/>
      <c r="U741" s="82"/>
      <c r="V741" s="82"/>
      <c r="W741" s="82">
        <f t="shared" si="224"/>
        <v>0</v>
      </c>
      <c r="X741" s="82">
        <f t="shared" si="219"/>
        <v>26123394335.970001</v>
      </c>
      <c r="Y741" s="82">
        <f t="shared" si="225"/>
        <v>0</v>
      </c>
      <c r="Z741" s="82">
        <f t="shared" si="220"/>
        <v>-26123394335.970001</v>
      </c>
      <c r="AA741" s="83" t="str">
        <f t="shared" si="229"/>
        <v>No se realizó gasto en este corte</v>
      </c>
      <c r="AB741" s="84" t="str">
        <f t="shared" si="221"/>
        <v>Costo eficiente: se está gastando menos de lo presupuestado</v>
      </c>
      <c r="AC741" s="84">
        <f t="shared" si="226"/>
        <v>0</v>
      </c>
      <c r="AD741" s="84" t="str">
        <f t="shared" si="222"/>
        <v>Sin Línea Base</v>
      </c>
      <c r="AE741" s="85">
        <f t="shared" si="227"/>
        <v>0</v>
      </c>
      <c r="AF741" s="85">
        <f t="shared" si="228"/>
        <v>-28089671329</v>
      </c>
      <c r="AG741" s="40" t="str">
        <f>VLOOKUP(Indicador!E741,Diccionario!C$1:AC$150,27,0)</f>
        <v>https://growdatasas.sharepoint.com/:x:/r/sites/Gestiondocumental/Administrativa/GD/Financiera/_layouts/15/Doc.aspx?sourcedoc=%7BBF6E8538-B113-45FF-83F6-596104EC0C59%7D&amp;file=3.0.0.%20%20MODELO%20UNAD%20V3.0.%20(ajustado).xlsm&amp;action=default&amp;mobileredirect=true</v>
      </c>
      <c r="AH741" s="40">
        <v>1</v>
      </c>
      <c r="AI741" s="40">
        <v>1</v>
      </c>
    </row>
    <row r="742" spans="1:35" ht="18.75" customHeight="1">
      <c r="A742" s="73">
        <v>2030</v>
      </c>
      <c r="B742" s="112" t="s">
        <v>23</v>
      </c>
      <c r="C742" s="36" t="s">
        <v>442</v>
      </c>
      <c r="D742" s="37">
        <v>45971.819201238424</v>
      </c>
      <c r="E742" s="36" t="s">
        <v>105</v>
      </c>
      <c r="F742" s="36" t="s">
        <v>389</v>
      </c>
      <c r="G742" s="36" t="s">
        <v>443</v>
      </c>
      <c r="H742" s="36" t="s">
        <v>444</v>
      </c>
      <c r="I742" s="36" t="s">
        <v>152</v>
      </c>
      <c r="J742" s="36" t="s">
        <v>445</v>
      </c>
      <c r="K742" s="36" t="s">
        <v>177</v>
      </c>
      <c r="L742" s="74">
        <f>VLOOKUP(E742,Diccionario!C$2:AC$150,22,0)</f>
        <v>28089671329</v>
      </c>
      <c r="M742" s="75">
        <f>VLOOKUP(E742,Diccionario!C$2:AC$150,24,0)</f>
        <v>45962</v>
      </c>
      <c r="N742" s="76">
        <f>VLOOKUP(E742,Diccionario!C$2:AC$150,25,0)</f>
        <v>47787</v>
      </c>
      <c r="O742" s="77">
        <f>VLOOKUP(E742,Diccionario!C$2:AC$150,26,0)</f>
        <v>60</v>
      </c>
      <c r="P742" s="77">
        <f t="shared" ca="1" si="218"/>
        <v>-52</v>
      </c>
      <c r="Q742" s="78">
        <f t="shared" ca="1" si="223"/>
        <v>8</v>
      </c>
      <c r="R742" s="36">
        <v>60</v>
      </c>
      <c r="S742" s="86">
        <v>0.94</v>
      </c>
      <c r="T742" s="86"/>
      <c r="U742" s="82"/>
      <c r="V742" s="82"/>
      <c r="W742" s="82">
        <f t="shared" si="224"/>
        <v>0</v>
      </c>
      <c r="X742" s="82">
        <f t="shared" si="219"/>
        <v>26404291049.259998</v>
      </c>
      <c r="Y742" s="82">
        <f t="shared" si="225"/>
        <v>0</v>
      </c>
      <c r="Z742" s="82">
        <f t="shared" si="220"/>
        <v>-26404291049.259998</v>
      </c>
      <c r="AA742" s="83" t="str">
        <f t="shared" si="229"/>
        <v>No se realizó gasto en este corte</v>
      </c>
      <c r="AB742" s="84" t="str">
        <f t="shared" si="221"/>
        <v>Costo eficiente: se está gastando menos de lo presupuestado</v>
      </c>
      <c r="AC742" s="84">
        <f t="shared" si="226"/>
        <v>0</v>
      </c>
      <c r="AD742" s="84" t="str">
        <f t="shared" si="222"/>
        <v>Sin Línea Base</v>
      </c>
      <c r="AE742" s="85">
        <f t="shared" si="227"/>
        <v>0</v>
      </c>
      <c r="AF742" s="85">
        <f t="shared" si="228"/>
        <v>-28089671329</v>
      </c>
      <c r="AG742" s="40" t="str">
        <f>VLOOKUP(Indicador!E742,Diccionario!C$1:AC$150,27,0)</f>
        <v>https://growdatasas.sharepoint.com/:x:/r/sites/Gestiondocumental/Administrativa/GD/Financiera/_layouts/15/Doc.aspx?sourcedoc=%7BBF6E8538-B113-45FF-83F6-596104EC0C59%7D&amp;file=3.0.0.%20%20MODELO%20UNAD%20V3.0.%20(ajustado).xlsm&amp;action=default&amp;mobileredirect=true</v>
      </c>
      <c r="AH742" s="40">
        <v>1</v>
      </c>
      <c r="AI742" s="40">
        <v>1</v>
      </c>
    </row>
    <row r="743" spans="1:35" ht="18.75" customHeight="1">
      <c r="A743" s="73">
        <v>2030</v>
      </c>
      <c r="B743" s="112" t="s">
        <v>26</v>
      </c>
      <c r="C743" s="36" t="s">
        <v>442</v>
      </c>
      <c r="D743" s="37">
        <v>45971.819201238424</v>
      </c>
      <c r="E743" s="36" t="s">
        <v>105</v>
      </c>
      <c r="F743" s="36" t="s">
        <v>389</v>
      </c>
      <c r="G743" s="36" t="s">
        <v>443</v>
      </c>
      <c r="H743" s="36" t="s">
        <v>444</v>
      </c>
      <c r="I743" s="36" t="s">
        <v>152</v>
      </c>
      <c r="J743" s="36" t="s">
        <v>445</v>
      </c>
      <c r="K743" s="36" t="s">
        <v>177</v>
      </c>
      <c r="L743" s="74">
        <f>VLOOKUP(E743,Diccionario!C$2:AC$150,22,0)</f>
        <v>28089671329</v>
      </c>
      <c r="M743" s="75">
        <f>VLOOKUP(E743,Diccionario!C$2:AC$150,24,0)</f>
        <v>45962</v>
      </c>
      <c r="N743" s="76">
        <f>VLOOKUP(E743,Diccionario!C$2:AC$150,25,0)</f>
        <v>47787</v>
      </c>
      <c r="O743" s="77">
        <f>VLOOKUP(E743,Diccionario!C$2:AC$150,26,0)</f>
        <v>60</v>
      </c>
      <c r="P743" s="77">
        <f t="shared" ref="P743:P747" ca="1" si="230">Q743-O743</f>
        <v>-52</v>
      </c>
      <c r="Q743" s="78">
        <f t="shared" ca="1" si="223"/>
        <v>8</v>
      </c>
      <c r="R743" s="36">
        <v>60</v>
      </c>
      <c r="S743" s="86">
        <v>0.95</v>
      </c>
      <c r="T743" s="86"/>
      <c r="U743" s="82"/>
      <c r="V743" s="82"/>
      <c r="W743" s="82">
        <f t="shared" si="224"/>
        <v>0</v>
      </c>
      <c r="X743" s="82">
        <f t="shared" si="219"/>
        <v>26685187762.549999</v>
      </c>
      <c r="Y743" s="82">
        <f t="shared" si="225"/>
        <v>0</v>
      </c>
      <c r="Z743" s="82">
        <f t="shared" si="220"/>
        <v>-26685187762.549999</v>
      </c>
      <c r="AA743" s="83" t="str">
        <f t="shared" si="229"/>
        <v>No se realizó gasto en este corte</v>
      </c>
      <c r="AB743" s="84" t="str">
        <f t="shared" si="221"/>
        <v>Costo eficiente: se está gastando menos de lo presupuestado</v>
      </c>
      <c r="AC743" s="84">
        <f t="shared" si="226"/>
        <v>0</v>
      </c>
      <c r="AD743" s="84" t="str">
        <f t="shared" si="222"/>
        <v>Sin Línea Base</v>
      </c>
      <c r="AE743" s="85">
        <f t="shared" si="227"/>
        <v>0</v>
      </c>
      <c r="AF743" s="85">
        <f t="shared" si="228"/>
        <v>-28089671329</v>
      </c>
      <c r="AG743" s="40" t="str">
        <f>VLOOKUP(Indicador!E743,Diccionario!C$1:AC$150,27,0)</f>
        <v>https://growdatasas.sharepoint.com/:x:/r/sites/Gestiondocumental/Administrativa/GD/Financiera/_layouts/15/Doc.aspx?sourcedoc=%7BBF6E8538-B113-45FF-83F6-596104EC0C59%7D&amp;file=3.0.0.%20%20MODELO%20UNAD%20V3.0.%20(ajustado).xlsm&amp;action=default&amp;mobileredirect=true</v>
      </c>
      <c r="AH743" s="40">
        <v>1</v>
      </c>
      <c r="AI743" s="40">
        <v>1</v>
      </c>
    </row>
    <row r="744" spans="1:35" ht="18.75" customHeight="1">
      <c r="A744" s="73">
        <v>2030</v>
      </c>
      <c r="B744" s="112" t="s">
        <v>28</v>
      </c>
      <c r="C744" s="36" t="s">
        <v>442</v>
      </c>
      <c r="D744" s="37">
        <v>45971.819201238424</v>
      </c>
      <c r="E744" s="36" t="s">
        <v>105</v>
      </c>
      <c r="F744" s="36" t="s">
        <v>389</v>
      </c>
      <c r="G744" s="36" t="s">
        <v>443</v>
      </c>
      <c r="H744" s="36" t="s">
        <v>444</v>
      </c>
      <c r="I744" s="36" t="s">
        <v>152</v>
      </c>
      <c r="J744" s="36" t="s">
        <v>445</v>
      </c>
      <c r="K744" s="36" t="s">
        <v>177</v>
      </c>
      <c r="L744" s="74">
        <f>VLOOKUP(E744,Diccionario!C$2:AC$150,22,0)</f>
        <v>28089671329</v>
      </c>
      <c r="M744" s="75">
        <f>VLOOKUP(E744,Diccionario!C$2:AC$150,24,0)</f>
        <v>45962</v>
      </c>
      <c r="N744" s="76">
        <f>VLOOKUP(E744,Diccionario!C$2:AC$150,25,0)</f>
        <v>47787</v>
      </c>
      <c r="O744" s="77">
        <f>VLOOKUP(E744,Diccionario!C$2:AC$150,26,0)</f>
        <v>60</v>
      </c>
      <c r="P744" s="77">
        <f t="shared" ca="1" si="230"/>
        <v>-52</v>
      </c>
      <c r="Q744" s="78">
        <f t="shared" ca="1" si="223"/>
        <v>8</v>
      </c>
      <c r="R744" s="36">
        <v>60</v>
      </c>
      <c r="S744" s="86">
        <v>0.98</v>
      </c>
      <c r="T744" s="86"/>
      <c r="U744" s="82"/>
      <c r="V744" s="82"/>
      <c r="W744" s="82">
        <f t="shared" si="224"/>
        <v>0</v>
      </c>
      <c r="X744" s="82">
        <f t="shared" si="219"/>
        <v>27527877902.419998</v>
      </c>
      <c r="Y744" s="82">
        <f t="shared" si="225"/>
        <v>0</v>
      </c>
      <c r="Z744" s="82">
        <f t="shared" si="220"/>
        <v>-27527877902.419998</v>
      </c>
      <c r="AA744" s="83" t="str">
        <f t="shared" si="229"/>
        <v>No se realizó gasto en este corte</v>
      </c>
      <c r="AB744" s="84" t="str">
        <f t="shared" si="221"/>
        <v>Costo eficiente: se está gastando menos de lo presupuestado</v>
      </c>
      <c r="AC744" s="84">
        <f t="shared" si="226"/>
        <v>0</v>
      </c>
      <c r="AD744" s="84" t="str">
        <f t="shared" si="222"/>
        <v>Sin Línea Base</v>
      </c>
      <c r="AE744" s="85">
        <f t="shared" si="227"/>
        <v>0</v>
      </c>
      <c r="AF744" s="85">
        <f t="shared" si="228"/>
        <v>-28089671329</v>
      </c>
      <c r="AG744" s="40" t="str">
        <f>VLOOKUP(Indicador!E744,Diccionario!C$1:AC$150,27,0)</f>
        <v>https://growdatasas.sharepoint.com/:x:/r/sites/Gestiondocumental/Administrativa/GD/Financiera/_layouts/15/Doc.aspx?sourcedoc=%7BBF6E8538-B113-45FF-83F6-596104EC0C59%7D&amp;file=3.0.0.%20%20MODELO%20UNAD%20V3.0.%20(ajustado).xlsm&amp;action=default&amp;mobileredirect=true</v>
      </c>
      <c r="AH744" s="40">
        <v>1</v>
      </c>
      <c r="AI744" s="40">
        <v>1</v>
      </c>
    </row>
    <row r="745" spans="1:35" ht="18.75" customHeight="1">
      <c r="A745" s="73">
        <v>2030</v>
      </c>
      <c r="B745" s="112" t="s">
        <v>30</v>
      </c>
      <c r="C745" s="36" t="s">
        <v>442</v>
      </c>
      <c r="D745" s="37">
        <v>45971.819201238424</v>
      </c>
      <c r="E745" s="36" t="s">
        <v>105</v>
      </c>
      <c r="F745" s="36" t="s">
        <v>389</v>
      </c>
      <c r="G745" s="36" t="s">
        <v>443</v>
      </c>
      <c r="H745" s="36" t="s">
        <v>444</v>
      </c>
      <c r="I745" s="36" t="s">
        <v>152</v>
      </c>
      <c r="J745" s="36" t="s">
        <v>445</v>
      </c>
      <c r="K745" s="36" t="s">
        <v>177</v>
      </c>
      <c r="L745" s="74">
        <f>VLOOKUP(E745,Diccionario!C$2:AC$150,22,0)</f>
        <v>28089671329</v>
      </c>
      <c r="M745" s="75">
        <f>VLOOKUP(E745,Diccionario!C$2:AC$150,24,0)</f>
        <v>45962</v>
      </c>
      <c r="N745" s="76">
        <f>VLOOKUP(E745,Diccionario!C$2:AC$150,25,0)</f>
        <v>47787</v>
      </c>
      <c r="O745" s="77">
        <f>VLOOKUP(E745,Diccionario!C$2:AC$150,26,0)</f>
        <v>60</v>
      </c>
      <c r="P745" s="77">
        <f t="shared" ca="1" si="230"/>
        <v>-52</v>
      </c>
      <c r="Q745" s="78">
        <f t="shared" ca="1" si="223"/>
        <v>8</v>
      </c>
      <c r="R745" s="36">
        <v>60</v>
      </c>
      <c r="S745" s="86">
        <v>1</v>
      </c>
      <c r="T745" s="86"/>
      <c r="U745" s="82"/>
      <c r="V745" s="82"/>
      <c r="W745" s="82">
        <f t="shared" si="224"/>
        <v>0</v>
      </c>
      <c r="X745" s="82">
        <f t="shared" si="219"/>
        <v>28089671329</v>
      </c>
      <c r="Y745" s="82">
        <f t="shared" si="225"/>
        <v>0</v>
      </c>
      <c r="Z745" s="82">
        <f t="shared" si="220"/>
        <v>-28089671329</v>
      </c>
      <c r="AA745" s="83" t="str">
        <f t="shared" si="229"/>
        <v>No se realizó gasto en este corte</v>
      </c>
      <c r="AB745" s="84" t="str">
        <f t="shared" si="221"/>
        <v>Costo eficiente: se está gastando menos de lo presupuestado</v>
      </c>
      <c r="AC745" s="84">
        <f t="shared" si="226"/>
        <v>0</v>
      </c>
      <c r="AD745" s="84" t="str">
        <f t="shared" si="222"/>
        <v>Sin Línea Base</v>
      </c>
      <c r="AE745" s="85">
        <f t="shared" si="227"/>
        <v>0</v>
      </c>
      <c r="AF745" s="85">
        <f t="shared" si="228"/>
        <v>-28089671329</v>
      </c>
      <c r="AG745" s="40" t="str">
        <f>VLOOKUP(Indicador!E745,Diccionario!C$1:AC$150,27,0)</f>
        <v>https://growdatasas.sharepoint.com/:x:/r/sites/Gestiondocumental/Administrativa/GD/Financiera/_layouts/15/Doc.aspx?sourcedoc=%7BBF6E8538-B113-45FF-83F6-596104EC0C59%7D&amp;file=3.0.0.%20%20MODELO%20UNAD%20V3.0.%20(ajustado).xlsm&amp;action=default&amp;mobileredirect=true</v>
      </c>
      <c r="AH745" s="40">
        <v>1</v>
      </c>
      <c r="AI745" s="40">
        <v>1</v>
      </c>
    </row>
    <row r="746" spans="1:35" ht="18.75" customHeight="1">
      <c r="A746" s="73">
        <v>2025</v>
      </c>
      <c r="B746" s="112" t="s">
        <v>31</v>
      </c>
      <c r="C746" s="36" t="s">
        <v>446</v>
      </c>
      <c r="D746" s="37">
        <v>45971.808570567133</v>
      </c>
      <c r="E746" s="36" t="s">
        <v>89</v>
      </c>
      <c r="F746" s="36" t="s">
        <v>389</v>
      </c>
      <c r="G746" s="36" t="s">
        <v>447</v>
      </c>
      <c r="H746" s="36" t="s">
        <v>448</v>
      </c>
      <c r="I746" s="36" t="s">
        <v>152</v>
      </c>
      <c r="J746" s="36" t="s">
        <v>449</v>
      </c>
      <c r="K746" s="36" t="s">
        <v>177</v>
      </c>
      <c r="L746" s="74">
        <f>VLOOKUP(E746,Diccionario!C$2:AC$150,22,0)</f>
        <v>3323342988</v>
      </c>
      <c r="M746" s="75">
        <f>VLOOKUP(E746,Diccionario!C$2:AC$150,24,0)</f>
        <v>45962</v>
      </c>
      <c r="N746" s="76">
        <f>VLOOKUP(E746,Diccionario!C$2:AC$150,25,0)</f>
        <v>46021</v>
      </c>
      <c r="O746" s="77">
        <f>VLOOKUP(E746,Diccionario!C$2:AC$150,26,0)</f>
        <v>1.97</v>
      </c>
      <c r="P746" s="77">
        <f t="shared" si="230"/>
        <v>-0.97</v>
      </c>
      <c r="Q746" s="78">
        <v>1</v>
      </c>
      <c r="R746" s="36">
        <v>3</v>
      </c>
      <c r="S746" s="86">
        <v>0.5</v>
      </c>
      <c r="T746" s="86">
        <v>0.25</v>
      </c>
      <c r="U746" s="82">
        <v>3301205601</v>
      </c>
      <c r="V746" s="82">
        <v>3301205601</v>
      </c>
      <c r="W746" s="82">
        <f t="shared" si="224"/>
        <v>830835747</v>
      </c>
      <c r="X746" s="82">
        <f t="shared" si="219"/>
        <v>1661671494</v>
      </c>
      <c r="Y746" s="82">
        <f t="shared" si="225"/>
        <v>-2470369854</v>
      </c>
      <c r="Z746" s="82">
        <f t="shared" si="220"/>
        <v>-830835747</v>
      </c>
      <c r="AA746" s="83">
        <f t="shared" si="229"/>
        <v>0.25167646230465729</v>
      </c>
      <c r="AB746" s="84" t="str">
        <f t="shared" si="221"/>
        <v>Costo ineficiente: se está gastando más de lo presupuestado</v>
      </c>
      <c r="AC746" s="84">
        <f t="shared" si="226"/>
        <v>0.5</v>
      </c>
      <c r="AD746" s="84" t="str">
        <f t="shared" si="222"/>
        <v>Proyecto atrasado con respecto al cronograma</v>
      </c>
      <c r="AE746" s="85">
        <f t="shared" si="227"/>
        <v>13204822404</v>
      </c>
      <c r="AF746" s="85">
        <f t="shared" si="228"/>
        <v>9881479416</v>
      </c>
      <c r="AG746" s="40" t="str">
        <f>VLOOKUP(Indicador!E746,Diccionario!C$1:AC$150,27,0)</f>
        <v>https://growdatasas.sharepoint.com/:x:/r/sites/Gestiondocumental/Administrativa/GD/Financiera/_layouts/15/Doc.aspx?sourcedoc=%7BAAF63AB6-0AC1-49FD-8C96-9D5F6CE441A2%7D&amp;file=10112025%20MODELO%20FINANCIERO%20SUMINISTRO%20INFRESTRUCTURA%20LAN%20CANCILLERIA.xlsm&amp;action=default&amp;mobileredirect=true</v>
      </c>
      <c r="AH746" s="40">
        <v>1</v>
      </c>
      <c r="AI746" s="40">
        <v>1</v>
      </c>
    </row>
    <row r="747" spans="1:35" ht="18.75" customHeight="1">
      <c r="A747" s="73">
        <v>2025</v>
      </c>
      <c r="B747" s="112" t="s">
        <v>32</v>
      </c>
      <c r="C747" s="36" t="s">
        <v>446</v>
      </c>
      <c r="D747" s="37">
        <v>45971.808570567133</v>
      </c>
      <c r="E747" s="36" t="s">
        <v>89</v>
      </c>
      <c r="F747" s="36" t="s">
        <v>389</v>
      </c>
      <c r="G747" s="36" t="s">
        <v>447</v>
      </c>
      <c r="H747" s="36" t="s">
        <v>448</v>
      </c>
      <c r="I747" s="36" t="s">
        <v>152</v>
      </c>
      <c r="J747" s="36" t="s">
        <v>449</v>
      </c>
      <c r="K747" s="36" t="s">
        <v>177</v>
      </c>
      <c r="L747" s="74">
        <f>VLOOKUP(E747,Diccionario!C$2:AC$150,22,0)</f>
        <v>3323342988</v>
      </c>
      <c r="M747" s="75">
        <f>VLOOKUP(E747,Diccionario!C$2:AC$150,24,0)</f>
        <v>45962</v>
      </c>
      <c r="N747" s="76">
        <f>VLOOKUP(E747,Diccionario!C$2:AC$150,25,0)</f>
        <v>46021</v>
      </c>
      <c r="O747" s="77">
        <f>VLOOKUP(E747,Diccionario!C$2:AC$150,26,0)</f>
        <v>1.97</v>
      </c>
      <c r="P747" s="77">
        <f t="shared" si="230"/>
        <v>3.0000000000000027E-2</v>
      </c>
      <c r="Q747" s="78">
        <v>2</v>
      </c>
      <c r="R747" s="36">
        <v>3</v>
      </c>
      <c r="S747" s="86">
        <v>1</v>
      </c>
      <c r="T747" s="86">
        <v>0.5</v>
      </c>
      <c r="U747" s="82">
        <v>11068693</v>
      </c>
      <c r="V747" s="82">
        <v>11068693</v>
      </c>
      <c r="W747" s="82">
        <f t="shared" si="224"/>
        <v>1661671494</v>
      </c>
      <c r="X747" s="82">
        <f t="shared" si="219"/>
        <v>3323342988</v>
      </c>
      <c r="Y747" s="82">
        <f t="shared" si="225"/>
        <v>1650602801</v>
      </c>
      <c r="Z747" s="82">
        <f t="shared" si="220"/>
        <v>-1661671494</v>
      </c>
      <c r="AA747" s="83">
        <f t="shared" si="229"/>
        <v>150.12355063059388</v>
      </c>
      <c r="AB747" s="84" t="str">
        <f t="shared" si="221"/>
        <v>Costo eficiente: se está gastando menos de lo presupuestado</v>
      </c>
      <c r="AC747" s="84">
        <f t="shared" si="226"/>
        <v>0.5</v>
      </c>
      <c r="AD747" s="84" t="str">
        <f t="shared" si="222"/>
        <v>Proyecto atrasado con respecto al cronograma</v>
      </c>
      <c r="AE747" s="85">
        <f t="shared" si="227"/>
        <v>22137386</v>
      </c>
      <c r="AF747" s="85">
        <f t="shared" si="228"/>
        <v>-3301205602</v>
      </c>
      <c r="AG747" s="40" t="str">
        <f>VLOOKUP(Indicador!E747,Diccionario!C$1:AC$150,27,0)</f>
        <v>https://growdatasas.sharepoint.com/:x:/r/sites/Gestiondocumental/Administrativa/GD/Financiera/_layouts/15/Doc.aspx?sourcedoc=%7BAAF63AB6-0AC1-49FD-8C96-9D5F6CE441A2%7D&amp;file=10112025%20MODELO%20FINANCIERO%20SUMINISTRO%20INFRESTRUCTURA%20LAN%20CANCILLERIA.xlsm&amp;action=default&amp;mobileredirect=true</v>
      </c>
      <c r="AH747" s="40">
        <v>1</v>
      </c>
      <c r="AI747" s="40">
        <v>1</v>
      </c>
    </row>
    <row r="748" spans="1:35" ht="18.75" customHeight="1">
      <c r="A748" s="73">
        <v>2025</v>
      </c>
      <c r="B748" s="112" t="s">
        <v>32</v>
      </c>
      <c r="C748" s="36" t="s">
        <v>446</v>
      </c>
      <c r="D748" s="37">
        <v>45971.808570567133</v>
      </c>
      <c r="E748" s="36" t="s">
        <v>89</v>
      </c>
      <c r="F748" s="36" t="s">
        <v>389</v>
      </c>
      <c r="G748" s="36" t="s">
        <v>447</v>
      </c>
      <c r="H748" s="36" t="s">
        <v>448</v>
      </c>
      <c r="I748" s="36" t="s">
        <v>152</v>
      </c>
      <c r="J748" s="36" t="s">
        <v>449</v>
      </c>
      <c r="K748" s="36" t="s">
        <v>177</v>
      </c>
      <c r="L748" s="74">
        <f>VLOOKUP(E748,Diccionario!C$2:AC$150,22,0)</f>
        <v>3323342988</v>
      </c>
      <c r="M748" s="75">
        <f>VLOOKUP(E748,Diccionario!C$2:AC$150,24,0)</f>
        <v>45962</v>
      </c>
      <c r="N748" s="76">
        <f>VLOOKUP(E748,Diccionario!C$2:AC$150,25,0)</f>
        <v>46021</v>
      </c>
      <c r="O748" s="77">
        <f>VLOOKUP(E748,Diccionario!C$2:AC$150,26,0)</f>
        <v>1.97</v>
      </c>
      <c r="P748" s="77">
        <f t="shared" ref="P748" si="231">Q748-O748</f>
        <v>1.03</v>
      </c>
      <c r="Q748" s="78">
        <v>3</v>
      </c>
      <c r="R748" s="36">
        <v>3</v>
      </c>
      <c r="S748" s="86">
        <v>1</v>
      </c>
      <c r="T748" s="86">
        <v>0.8</v>
      </c>
      <c r="U748" s="82">
        <v>11068693</v>
      </c>
      <c r="V748" s="82">
        <v>11068693</v>
      </c>
      <c r="W748" s="82">
        <f t="shared" si="224"/>
        <v>2658674390.4000001</v>
      </c>
      <c r="X748" s="82">
        <f t="shared" ref="X748" si="232">S748*L748</f>
        <v>3323342988</v>
      </c>
      <c r="Y748" s="82">
        <f t="shared" si="225"/>
        <v>2647605697.4000001</v>
      </c>
      <c r="Z748" s="82">
        <f t="shared" ref="Z748" si="233">W748-X748</f>
        <v>-664668597.5999999</v>
      </c>
      <c r="AA748" s="83">
        <f t="shared" ref="AA748" si="234">IFERROR(W748/U748,"No se realizó gasto en este corte")</f>
        <v>240.19768100895021</v>
      </c>
      <c r="AB748" s="84" t="str">
        <f t="shared" ref="AB748" si="235">IFERROR(
  IF(OR(AA748="",AA748=0),
    "No calculado",
    IF(AA748&gt;1,"Costo eficiente: se está gastando menos de lo presupuestado",
      IF(AA748=1,"Costo según lo presupuestado",
        "Costo ineficiente: se está gastando más de lo presupuestado"))),
"No calculado")</f>
        <v>Costo eficiente: se está gastando menos de lo presupuestado</v>
      </c>
      <c r="AC748" s="84">
        <f t="shared" si="226"/>
        <v>0.8</v>
      </c>
      <c r="AD748" s="84" t="str">
        <f t="shared" ref="AD748" si="236">IF(OR(AC748="",AC748=0),"Sin Línea Base",
IF(AC748&gt;1,"Proyecto adelantado respecto al cronograma",
IF(AC748=1,"Proyecto a tiempo según lo planificado",
IF(AC748&lt;1,"Proyecto atrasado con respecto al cronograma",
"No calculado"))))</f>
        <v>Proyecto atrasado con respecto al cronograma</v>
      </c>
      <c r="AE748" s="85">
        <f t="shared" si="227"/>
        <v>13835866.25</v>
      </c>
      <c r="AF748" s="85">
        <f t="shared" si="228"/>
        <v>-3309507121.75</v>
      </c>
      <c r="AG748" s="40" t="str">
        <f>VLOOKUP(Indicador!E748,Diccionario!C$1:AC$150,27,0)</f>
        <v>https://growdatasas.sharepoint.com/:x:/r/sites/Gestiondocumental/Administrativa/GD/Financiera/_layouts/15/Doc.aspx?sourcedoc=%7BAAF63AB6-0AC1-49FD-8C96-9D5F6CE441A2%7D&amp;file=10112025%20MODELO%20FINANCIERO%20SUMINISTRO%20INFRESTRUCTURA%20LAN%20CANCILLERIA.xlsm&amp;action=default&amp;mobileredirect=true</v>
      </c>
      <c r="AH748" s="40">
        <v>1</v>
      </c>
      <c r="AI748" s="40">
        <v>1</v>
      </c>
    </row>
    <row r="749" spans="1:35" ht="18.75" customHeight="1">
      <c r="A749" s="73">
        <v>2025</v>
      </c>
      <c r="B749" s="112" t="s">
        <v>31</v>
      </c>
      <c r="C749" s="36" t="s">
        <v>450</v>
      </c>
      <c r="D749" s="37">
        <v>46020.703303703704</v>
      </c>
      <c r="E749" s="36" t="s">
        <v>100</v>
      </c>
      <c r="F749" s="36" t="s">
        <v>190</v>
      </c>
      <c r="G749" s="36" t="s">
        <v>451</v>
      </c>
      <c r="H749" s="36" t="s">
        <v>452</v>
      </c>
      <c r="I749" s="36" t="s">
        <v>165</v>
      </c>
      <c r="J749" s="36" t="s">
        <v>453</v>
      </c>
      <c r="K749" s="36" t="s">
        <v>177</v>
      </c>
      <c r="L749" s="74">
        <f>VLOOKUP(E749,Diccionario!C$2:AC$150,22,0)</f>
        <v>484465444</v>
      </c>
      <c r="M749" s="75">
        <f>VLOOKUP(E749,Diccionario!C$2:AC$150,24,0)</f>
        <v>45965</v>
      </c>
      <c r="N749" s="76">
        <f>VLOOKUP(E749,Diccionario!C$2:AC$150,25,0)</f>
        <v>46695</v>
      </c>
      <c r="O749" s="77">
        <f>VLOOKUP(E749,Diccionario!C$2:AC$150,26,0)</f>
        <v>24</v>
      </c>
      <c r="P749" s="77">
        <f t="shared" ref="P749:P780" si="237">Q749-O749</f>
        <v>-23</v>
      </c>
      <c r="Q749" s="78">
        <v>1</v>
      </c>
      <c r="R749" s="36">
        <v>25</v>
      </c>
      <c r="S749" s="86">
        <v>0.05</v>
      </c>
      <c r="T749" s="86">
        <v>0.05</v>
      </c>
      <c r="U749" s="121">
        <v>8362120</v>
      </c>
      <c r="V749" s="121">
        <v>8362120</v>
      </c>
      <c r="W749" s="82">
        <f t="shared" si="224"/>
        <v>24223272.200000003</v>
      </c>
      <c r="X749" s="82">
        <f t="shared" ref="X749:X775" si="238">S749*L749</f>
        <v>24223272.200000003</v>
      </c>
      <c r="Y749" s="82">
        <f t="shared" si="225"/>
        <v>15861152.200000003</v>
      </c>
      <c r="Z749" s="82">
        <f t="shared" ref="Z749:Z775" si="239">W749-X749</f>
        <v>0</v>
      </c>
      <c r="AA749" s="83">
        <f t="shared" ref="AA749:AA792" si="240">IFERROR(W749/U749,"No se realizó gasto en este corte")</f>
        <v>2.8967860064194251</v>
      </c>
      <c r="AB749" s="84" t="str">
        <f t="shared" ref="AB749:AB775" si="241">IFERROR(
  IF(OR(AA749="",AA749=0),
    "No calculado",
    IF(AA749&gt;1,"Costo eficiente: se está gastando menos de lo presupuestado",
      IF(AA749=1,"Costo según lo presupuestado",
        "Costo ineficiente: se está gastando más de lo presupuestado"))),
"No calculado")</f>
        <v>Costo eficiente: se está gastando menos de lo presupuestado</v>
      </c>
      <c r="AC749" s="84">
        <f t="shared" si="226"/>
        <v>1</v>
      </c>
      <c r="AD749" s="84" t="str">
        <f t="shared" ref="AD749:AD775" si="242">IF(OR(AC749="",AC749=0),"Sin Línea Base",
IF(AC749&gt;1,"Proyecto adelantado respecto al cronograma",
IF(AC749=1,"Proyecto a tiempo según lo planificado",
IF(AC749&lt;1,"Proyecto atrasado con respecto al cronograma",
"No calculado"))))</f>
        <v>Proyecto a tiempo según lo planificado</v>
      </c>
      <c r="AE749" s="85">
        <f t="shared" si="227"/>
        <v>167242399.99999997</v>
      </c>
      <c r="AF749" s="85">
        <f t="shared" si="228"/>
        <v>-317223044</v>
      </c>
      <c r="AG749" s="40" t="str">
        <f>VLOOKUP(Indicador!E749,Diccionario!C$1:AC$150,27,0)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49" s="40">
        <v>1</v>
      </c>
      <c r="AI749" s="40">
        <v>1</v>
      </c>
    </row>
    <row r="750" spans="1:35" ht="18.75" customHeight="1">
      <c r="A750" s="73">
        <v>2025</v>
      </c>
      <c r="B750" s="112" t="s">
        <v>32</v>
      </c>
      <c r="C750" s="36" t="s">
        <v>450</v>
      </c>
      <c r="D750" s="37">
        <v>46020.703303703704</v>
      </c>
      <c r="E750" s="36" t="s">
        <v>100</v>
      </c>
      <c r="F750" s="36" t="s">
        <v>190</v>
      </c>
      <c r="G750" s="36" t="s">
        <v>451</v>
      </c>
      <c r="H750" s="36" t="s">
        <v>452</v>
      </c>
      <c r="I750" s="36" t="s">
        <v>165</v>
      </c>
      <c r="J750" s="36" t="s">
        <v>453</v>
      </c>
      <c r="K750" s="36" t="s">
        <v>177</v>
      </c>
      <c r="L750" s="74">
        <f>VLOOKUP(E750,Diccionario!C$2:AC$150,22,0)</f>
        <v>484465444</v>
      </c>
      <c r="M750" s="75">
        <f>VLOOKUP(E750,Diccionario!C$2:AC$150,24,0)</f>
        <v>45965</v>
      </c>
      <c r="N750" s="76">
        <f>VLOOKUP(E750,Diccionario!C$2:AC$150,25,0)</f>
        <v>46695</v>
      </c>
      <c r="O750" s="77">
        <f>VLOOKUP(E750,Diccionario!C$2:AC$150,26,0)</f>
        <v>24</v>
      </c>
      <c r="P750" s="77">
        <f t="shared" si="237"/>
        <v>-22</v>
      </c>
      <c r="Q750" s="78">
        <v>2</v>
      </c>
      <c r="R750" s="36">
        <v>25</v>
      </c>
      <c r="S750" s="86">
        <v>0.1</v>
      </c>
      <c r="T750" s="86">
        <v>0.1</v>
      </c>
      <c r="U750" s="121">
        <v>25921600</v>
      </c>
      <c r="V750" s="121">
        <v>25921600</v>
      </c>
      <c r="W750" s="82">
        <f t="shared" si="224"/>
        <v>48446544.400000006</v>
      </c>
      <c r="X750" s="82">
        <f t="shared" si="238"/>
        <v>48446544.400000006</v>
      </c>
      <c r="Y750" s="82">
        <f t="shared" si="225"/>
        <v>22524944.400000006</v>
      </c>
      <c r="Z750" s="82">
        <f t="shared" si="239"/>
        <v>0</v>
      </c>
      <c r="AA750" s="83">
        <f t="shared" si="240"/>
        <v>1.868964276896488</v>
      </c>
      <c r="AB750" s="84" t="str">
        <f t="shared" si="241"/>
        <v>Costo eficiente: se está gastando menos de lo presupuestado</v>
      </c>
      <c r="AC750" s="84">
        <f t="shared" si="226"/>
        <v>1</v>
      </c>
      <c r="AD750" s="84" t="str">
        <f t="shared" si="242"/>
        <v>Proyecto a tiempo según lo planificado</v>
      </c>
      <c r="AE750" s="85">
        <f t="shared" si="227"/>
        <v>259215999.99999997</v>
      </c>
      <c r="AF750" s="85">
        <f t="shared" si="228"/>
        <v>-225249444.00000003</v>
      </c>
      <c r="AG750" s="40" t="str">
        <f>VLOOKUP(Indicador!E750,Diccionario!C$1:AC$150,27,0)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0" s="40">
        <v>1</v>
      </c>
      <c r="AI750" s="40">
        <v>1</v>
      </c>
    </row>
    <row r="751" spans="1:35" ht="18.75" customHeight="1">
      <c r="A751" s="73">
        <v>2026</v>
      </c>
      <c r="B751" s="112" t="s">
        <v>14</v>
      </c>
      <c r="C751" s="36" t="s">
        <v>450</v>
      </c>
      <c r="D751" s="37">
        <v>46020.703303703704</v>
      </c>
      <c r="E751" s="36" t="s">
        <v>100</v>
      </c>
      <c r="F751" s="36" t="s">
        <v>190</v>
      </c>
      <c r="G751" s="36" t="s">
        <v>451</v>
      </c>
      <c r="H751" s="36" t="s">
        <v>452</v>
      </c>
      <c r="I751" s="36" t="s">
        <v>165</v>
      </c>
      <c r="J751" s="36" t="s">
        <v>453</v>
      </c>
      <c r="K751" s="36" t="s">
        <v>177</v>
      </c>
      <c r="L751" s="74">
        <f>VLOOKUP(E751,Diccionario!C$2:AC$150,22,0)</f>
        <v>484465444</v>
      </c>
      <c r="M751" s="75">
        <f>VLOOKUP(E751,Diccionario!C$2:AC$150,24,0)</f>
        <v>45965</v>
      </c>
      <c r="N751" s="76">
        <f>VLOOKUP(E751,Diccionario!C$2:AC$150,25,0)</f>
        <v>46695</v>
      </c>
      <c r="O751" s="77">
        <f>VLOOKUP(E751,Diccionario!C$2:AC$150,26,0)</f>
        <v>24</v>
      </c>
      <c r="P751" s="77">
        <f t="shared" si="237"/>
        <v>-21</v>
      </c>
      <c r="Q751" s="78">
        <v>3</v>
      </c>
      <c r="R751" s="36">
        <v>25</v>
      </c>
      <c r="S751" s="86">
        <v>0.15</v>
      </c>
      <c r="T751" s="86">
        <v>0.15</v>
      </c>
      <c r="U751" s="121">
        <v>427660124</v>
      </c>
      <c r="V751" s="121">
        <v>427660124</v>
      </c>
      <c r="W751" s="82">
        <f t="shared" si="224"/>
        <v>72669816.599999994</v>
      </c>
      <c r="X751" s="82">
        <f t="shared" si="238"/>
        <v>72669816.599999994</v>
      </c>
      <c r="Y751" s="82">
        <f t="shared" si="225"/>
        <v>-354990307.39999998</v>
      </c>
      <c r="Z751" s="82">
        <f t="shared" si="239"/>
        <v>0</v>
      </c>
      <c r="AA751" s="83">
        <f t="shared" si="240"/>
        <v>0.16992422842771282</v>
      </c>
      <c r="AB751" s="84" t="str">
        <f t="shared" si="241"/>
        <v>Costo ineficiente: se está gastando más de lo presupuestado</v>
      </c>
      <c r="AC751" s="84">
        <f t="shared" si="226"/>
        <v>1</v>
      </c>
      <c r="AD751" s="84" t="str">
        <f t="shared" si="242"/>
        <v>Proyecto a tiempo según lo planificado</v>
      </c>
      <c r="AE751" s="85">
        <f t="shared" si="227"/>
        <v>2851067493.333334</v>
      </c>
      <c r="AF751" s="85">
        <f t="shared" si="228"/>
        <v>2366602049.333334</v>
      </c>
      <c r="AG751" s="40" t="str">
        <f>VLOOKUP(Indicador!E751,Diccionario!C$1:AC$150,27,0)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1" s="40">
        <v>1</v>
      </c>
      <c r="AI751" s="40">
        <v>1</v>
      </c>
    </row>
    <row r="752" spans="1:35" ht="18.75" customHeight="1">
      <c r="A752" s="73">
        <v>2026</v>
      </c>
      <c r="B752" s="112" t="s">
        <v>22</v>
      </c>
      <c r="C752" s="36" t="s">
        <v>450</v>
      </c>
      <c r="D752" s="37">
        <v>46020.703303703704</v>
      </c>
      <c r="E752" s="36" t="s">
        <v>100</v>
      </c>
      <c r="F752" s="36" t="s">
        <v>190</v>
      </c>
      <c r="G752" s="36" t="s">
        <v>451</v>
      </c>
      <c r="H752" s="36" t="s">
        <v>452</v>
      </c>
      <c r="I752" s="36" t="s">
        <v>165</v>
      </c>
      <c r="J752" s="36" t="s">
        <v>453</v>
      </c>
      <c r="K752" s="36" t="s">
        <v>177</v>
      </c>
      <c r="L752" s="74">
        <f>VLOOKUP(E752,Diccionario!C$2:AC$150,22,0)</f>
        <v>484465444</v>
      </c>
      <c r="M752" s="75">
        <f>VLOOKUP(E752,Diccionario!C$2:AC$150,24,0)</f>
        <v>45965</v>
      </c>
      <c r="N752" s="76">
        <f>VLOOKUP(E752,Diccionario!C$2:AC$150,25,0)</f>
        <v>46695</v>
      </c>
      <c r="O752" s="77">
        <f>VLOOKUP(E752,Diccionario!C$2:AC$150,26,0)</f>
        <v>24</v>
      </c>
      <c r="P752" s="77">
        <f t="shared" si="237"/>
        <v>-20</v>
      </c>
      <c r="Q752" s="78">
        <v>4</v>
      </c>
      <c r="R752" s="36">
        <v>25</v>
      </c>
      <c r="S752" s="86">
        <v>0.2</v>
      </c>
      <c r="T752" s="86"/>
      <c r="U752" s="82"/>
      <c r="V752" s="82"/>
      <c r="W752" s="82">
        <f t="shared" si="224"/>
        <v>0</v>
      </c>
      <c r="X752" s="82">
        <f t="shared" si="238"/>
        <v>96893088.800000012</v>
      </c>
      <c r="Y752" s="82">
        <f t="shared" si="225"/>
        <v>0</v>
      </c>
      <c r="Z752" s="82">
        <f t="shared" si="239"/>
        <v>-96893088.800000012</v>
      </c>
      <c r="AA752" s="83" t="str">
        <f t="shared" si="240"/>
        <v>No se realizó gasto en este corte</v>
      </c>
      <c r="AB752" s="84" t="str">
        <f t="shared" si="241"/>
        <v>Costo eficiente: se está gastando menos de lo presupuestado</v>
      </c>
      <c r="AC752" s="84">
        <f t="shared" si="226"/>
        <v>0</v>
      </c>
      <c r="AD752" s="84" t="str">
        <f t="shared" si="242"/>
        <v>Sin Línea Base</v>
      </c>
      <c r="AE752" s="85">
        <f t="shared" si="227"/>
        <v>0</v>
      </c>
      <c r="AF752" s="85">
        <f t="shared" si="228"/>
        <v>-484465444</v>
      </c>
      <c r="AG752" s="40" t="str">
        <f>VLOOKUP(Indicador!E752,Diccionario!C$1:AC$150,27,0)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2" s="40">
        <v>1</v>
      </c>
      <c r="AI752" s="40">
        <v>1</v>
      </c>
    </row>
    <row r="753" spans="1:35" ht="18.75" customHeight="1">
      <c r="A753" s="73">
        <v>2026</v>
      </c>
      <c r="B753" s="112" t="s">
        <v>24</v>
      </c>
      <c r="C753" s="36" t="s">
        <v>450</v>
      </c>
      <c r="D753" s="37">
        <v>46020.703303703704</v>
      </c>
      <c r="E753" s="36" t="s">
        <v>100</v>
      </c>
      <c r="F753" s="36" t="s">
        <v>190</v>
      </c>
      <c r="G753" s="36" t="s">
        <v>451</v>
      </c>
      <c r="H753" s="36" t="s">
        <v>452</v>
      </c>
      <c r="I753" s="36" t="s">
        <v>165</v>
      </c>
      <c r="J753" s="36" t="s">
        <v>453</v>
      </c>
      <c r="K753" s="36" t="s">
        <v>177</v>
      </c>
      <c r="L753" s="74">
        <f>VLOOKUP(E753,Diccionario!C$2:AC$150,22,0)</f>
        <v>484465444</v>
      </c>
      <c r="M753" s="75">
        <f>VLOOKUP(E753,Diccionario!C$2:AC$150,24,0)</f>
        <v>45965</v>
      </c>
      <c r="N753" s="76">
        <f>VLOOKUP(E753,Diccionario!C$2:AC$150,25,0)</f>
        <v>46695</v>
      </c>
      <c r="O753" s="77">
        <f>VLOOKUP(E753,Diccionario!C$2:AC$150,26,0)</f>
        <v>24</v>
      </c>
      <c r="P753" s="77">
        <f t="shared" si="237"/>
        <v>-19</v>
      </c>
      <c r="Q753" s="78">
        <v>5</v>
      </c>
      <c r="R753" s="36">
        <v>25</v>
      </c>
      <c r="S753" s="86">
        <v>0.22</v>
      </c>
      <c r="T753" s="86"/>
      <c r="U753" s="82"/>
      <c r="V753" s="82"/>
      <c r="W753" s="82">
        <f t="shared" si="224"/>
        <v>0</v>
      </c>
      <c r="X753" s="82">
        <f t="shared" si="238"/>
        <v>106582397.68000001</v>
      </c>
      <c r="Y753" s="82">
        <f t="shared" si="225"/>
        <v>0</v>
      </c>
      <c r="Z753" s="82">
        <f t="shared" si="239"/>
        <v>-106582397.68000001</v>
      </c>
      <c r="AA753" s="83" t="str">
        <f t="shared" si="240"/>
        <v>No se realizó gasto en este corte</v>
      </c>
      <c r="AB753" s="84" t="str">
        <f t="shared" si="241"/>
        <v>Costo eficiente: se está gastando menos de lo presupuestado</v>
      </c>
      <c r="AC753" s="84">
        <f t="shared" si="226"/>
        <v>0</v>
      </c>
      <c r="AD753" s="84" t="str">
        <f t="shared" si="242"/>
        <v>Sin Línea Base</v>
      </c>
      <c r="AE753" s="85">
        <f t="shared" si="227"/>
        <v>0</v>
      </c>
      <c r="AF753" s="85">
        <f t="shared" si="228"/>
        <v>-484465444</v>
      </c>
      <c r="AG753" s="40" t="str">
        <f>VLOOKUP(Indicador!E753,Diccionario!C$1:AC$150,27,0)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3" s="40">
        <v>1</v>
      </c>
      <c r="AI753" s="40">
        <v>1</v>
      </c>
    </row>
    <row r="754" spans="1:35" ht="18.75" customHeight="1">
      <c r="A754" s="73">
        <v>2026</v>
      </c>
      <c r="B754" s="112" t="s">
        <v>27</v>
      </c>
      <c r="C754" s="36" t="s">
        <v>450</v>
      </c>
      <c r="D754" s="37">
        <v>46020.703303703704</v>
      </c>
      <c r="E754" s="36" t="s">
        <v>100</v>
      </c>
      <c r="F754" s="36" t="s">
        <v>190</v>
      </c>
      <c r="G754" s="36" t="s">
        <v>451</v>
      </c>
      <c r="H754" s="36" t="s">
        <v>452</v>
      </c>
      <c r="I754" s="36" t="s">
        <v>165</v>
      </c>
      <c r="J754" s="36" t="s">
        <v>453</v>
      </c>
      <c r="K754" s="36" t="s">
        <v>177</v>
      </c>
      <c r="L754" s="74">
        <f>VLOOKUP(E754,Diccionario!C$2:AC$150,22,0)</f>
        <v>484465444</v>
      </c>
      <c r="M754" s="75">
        <f>VLOOKUP(E754,Diccionario!C$2:AC$150,24,0)</f>
        <v>45965</v>
      </c>
      <c r="N754" s="76">
        <f>VLOOKUP(E754,Diccionario!C$2:AC$150,25,0)</f>
        <v>46695</v>
      </c>
      <c r="O754" s="77">
        <f>VLOOKUP(E754,Diccionario!C$2:AC$150,26,0)</f>
        <v>24</v>
      </c>
      <c r="P754" s="77">
        <f t="shared" si="237"/>
        <v>-18</v>
      </c>
      <c r="Q754" s="78">
        <v>6</v>
      </c>
      <c r="R754" s="36">
        <v>25</v>
      </c>
      <c r="S754" s="86">
        <v>0.26</v>
      </c>
      <c r="T754" s="86"/>
      <c r="U754" s="82"/>
      <c r="V754" s="82"/>
      <c r="W754" s="82">
        <f t="shared" si="224"/>
        <v>0</v>
      </c>
      <c r="X754" s="82">
        <f t="shared" si="238"/>
        <v>125961015.44</v>
      </c>
      <c r="Y754" s="82">
        <f t="shared" si="225"/>
        <v>0</v>
      </c>
      <c r="Z754" s="82">
        <f t="shared" si="239"/>
        <v>-125961015.44</v>
      </c>
      <c r="AA754" s="83" t="str">
        <f t="shared" si="240"/>
        <v>No se realizó gasto en este corte</v>
      </c>
      <c r="AB754" s="84" t="str">
        <f t="shared" si="241"/>
        <v>Costo eficiente: se está gastando menos de lo presupuestado</v>
      </c>
      <c r="AC754" s="84">
        <f t="shared" si="226"/>
        <v>0</v>
      </c>
      <c r="AD754" s="84" t="str">
        <f t="shared" si="242"/>
        <v>Sin Línea Base</v>
      </c>
      <c r="AE754" s="85">
        <f t="shared" si="227"/>
        <v>0</v>
      </c>
      <c r="AF754" s="85">
        <f t="shared" si="228"/>
        <v>-484465444</v>
      </c>
      <c r="AG754" s="40" t="str">
        <f>VLOOKUP(Indicador!E754,Diccionario!C$1:AC$150,27,0)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4" s="40">
        <v>1</v>
      </c>
      <c r="AI754" s="40">
        <v>1</v>
      </c>
    </row>
    <row r="755" spans="1:35" ht="18.75" customHeight="1">
      <c r="A755" s="73">
        <v>2026</v>
      </c>
      <c r="B755" s="112" t="s">
        <v>13</v>
      </c>
      <c r="C755" s="36" t="s">
        <v>450</v>
      </c>
      <c r="D755" s="37">
        <v>46020.703303703704</v>
      </c>
      <c r="E755" s="36" t="s">
        <v>100</v>
      </c>
      <c r="F755" s="36" t="s">
        <v>190</v>
      </c>
      <c r="G755" s="36" t="s">
        <v>451</v>
      </c>
      <c r="H755" s="36" t="s">
        <v>452</v>
      </c>
      <c r="I755" s="36" t="s">
        <v>165</v>
      </c>
      <c r="J755" s="36" t="s">
        <v>453</v>
      </c>
      <c r="K755" s="36" t="s">
        <v>177</v>
      </c>
      <c r="L755" s="74">
        <f>VLOOKUP(E755,Diccionario!C$2:AC$150,22,0)</f>
        <v>484465444</v>
      </c>
      <c r="M755" s="75">
        <f>VLOOKUP(E755,Diccionario!C$2:AC$150,24,0)</f>
        <v>45965</v>
      </c>
      <c r="N755" s="76">
        <f>VLOOKUP(E755,Diccionario!C$2:AC$150,25,0)</f>
        <v>46695</v>
      </c>
      <c r="O755" s="77">
        <f>VLOOKUP(E755,Diccionario!C$2:AC$150,26,0)</f>
        <v>24</v>
      </c>
      <c r="P755" s="77">
        <f t="shared" si="237"/>
        <v>-17</v>
      </c>
      <c r="Q755" s="78">
        <v>7</v>
      </c>
      <c r="R755" s="36">
        <v>25</v>
      </c>
      <c r="S755" s="86">
        <v>0.3</v>
      </c>
      <c r="T755" s="86"/>
      <c r="U755" s="82"/>
      <c r="V755" s="82"/>
      <c r="W755" s="82">
        <f t="shared" si="224"/>
        <v>0</v>
      </c>
      <c r="X755" s="82">
        <f t="shared" si="238"/>
        <v>145339633.19999999</v>
      </c>
      <c r="Y755" s="82">
        <f t="shared" si="225"/>
        <v>0</v>
      </c>
      <c r="Z755" s="82">
        <f t="shared" si="239"/>
        <v>-145339633.19999999</v>
      </c>
      <c r="AA755" s="83" t="str">
        <f t="shared" si="240"/>
        <v>No se realizó gasto en este corte</v>
      </c>
      <c r="AB755" s="84" t="str">
        <f t="shared" si="241"/>
        <v>Costo eficiente: se está gastando menos de lo presupuestado</v>
      </c>
      <c r="AC755" s="84">
        <f t="shared" si="226"/>
        <v>0</v>
      </c>
      <c r="AD755" s="84" t="str">
        <f t="shared" si="242"/>
        <v>Sin Línea Base</v>
      </c>
      <c r="AE755" s="85">
        <f t="shared" si="227"/>
        <v>0</v>
      </c>
      <c r="AF755" s="85">
        <f t="shared" si="228"/>
        <v>-484465444</v>
      </c>
      <c r="AG755" s="40" t="str">
        <f>VLOOKUP(Indicador!E755,Diccionario!C$1:AC$150,27,0)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5" s="40">
        <v>1</v>
      </c>
      <c r="AI755" s="40">
        <v>1</v>
      </c>
    </row>
    <row r="756" spans="1:35" ht="18.75" customHeight="1">
      <c r="A756" s="73">
        <v>2026</v>
      </c>
      <c r="B756" s="112" t="s">
        <v>21</v>
      </c>
      <c r="C756" s="36" t="s">
        <v>450</v>
      </c>
      <c r="D756" s="37">
        <v>46020.703303703704</v>
      </c>
      <c r="E756" s="36" t="s">
        <v>100</v>
      </c>
      <c r="F756" s="36" t="s">
        <v>190</v>
      </c>
      <c r="G756" s="36" t="s">
        <v>451</v>
      </c>
      <c r="H756" s="36" t="s">
        <v>452</v>
      </c>
      <c r="I756" s="36" t="s">
        <v>165</v>
      </c>
      <c r="J756" s="36" t="s">
        <v>453</v>
      </c>
      <c r="K756" s="36" t="s">
        <v>177</v>
      </c>
      <c r="L756" s="74">
        <f>VLOOKUP(E756,Diccionario!C$2:AC$150,22,0)</f>
        <v>484465444</v>
      </c>
      <c r="M756" s="75">
        <f>VLOOKUP(E756,Diccionario!C$2:AC$150,24,0)</f>
        <v>45965</v>
      </c>
      <c r="N756" s="76">
        <f>VLOOKUP(E756,Diccionario!C$2:AC$150,25,0)</f>
        <v>46695</v>
      </c>
      <c r="O756" s="77">
        <f>VLOOKUP(E756,Diccionario!C$2:AC$150,26,0)</f>
        <v>24</v>
      </c>
      <c r="P756" s="77">
        <f t="shared" si="237"/>
        <v>-16</v>
      </c>
      <c r="Q756" s="78">
        <v>8</v>
      </c>
      <c r="R756" s="36">
        <v>25</v>
      </c>
      <c r="S756" s="86">
        <v>0.34</v>
      </c>
      <c r="T756" s="86"/>
      <c r="U756" s="82"/>
      <c r="V756" s="82"/>
      <c r="W756" s="82">
        <f t="shared" si="224"/>
        <v>0</v>
      </c>
      <c r="X756" s="82">
        <f t="shared" si="238"/>
        <v>164718250.96000001</v>
      </c>
      <c r="Y756" s="82">
        <f t="shared" si="225"/>
        <v>0</v>
      </c>
      <c r="Z756" s="82">
        <f t="shared" si="239"/>
        <v>-164718250.96000001</v>
      </c>
      <c r="AA756" s="83" t="str">
        <f t="shared" si="240"/>
        <v>No se realizó gasto en este corte</v>
      </c>
      <c r="AB756" s="84" t="str">
        <f t="shared" si="241"/>
        <v>Costo eficiente: se está gastando menos de lo presupuestado</v>
      </c>
      <c r="AC756" s="84">
        <f t="shared" si="226"/>
        <v>0</v>
      </c>
      <c r="AD756" s="84" t="str">
        <f t="shared" si="242"/>
        <v>Sin Línea Base</v>
      </c>
      <c r="AE756" s="85">
        <f t="shared" si="227"/>
        <v>0</v>
      </c>
      <c r="AF756" s="85">
        <f t="shared" si="228"/>
        <v>-484465444</v>
      </c>
      <c r="AG756" s="40" t="str">
        <f>VLOOKUP(Indicador!E756,Diccionario!C$1:AC$150,27,0)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6" s="40">
        <v>1</v>
      </c>
      <c r="AI756" s="40">
        <v>1</v>
      </c>
    </row>
    <row r="757" spans="1:35" ht="18.75" customHeight="1">
      <c r="A757" s="73">
        <v>2026</v>
      </c>
      <c r="B757" s="112" t="s">
        <v>23</v>
      </c>
      <c r="C757" s="36" t="s">
        <v>450</v>
      </c>
      <c r="D757" s="37">
        <v>46020.703303703704</v>
      </c>
      <c r="E757" s="36" t="s">
        <v>100</v>
      </c>
      <c r="F757" s="36" t="s">
        <v>190</v>
      </c>
      <c r="G757" s="36" t="s">
        <v>451</v>
      </c>
      <c r="H757" s="36" t="s">
        <v>452</v>
      </c>
      <c r="I757" s="36" t="s">
        <v>165</v>
      </c>
      <c r="J757" s="36" t="s">
        <v>453</v>
      </c>
      <c r="K757" s="36" t="s">
        <v>177</v>
      </c>
      <c r="L757" s="74">
        <f>VLOOKUP(E757,Diccionario!C$2:AC$150,22,0)</f>
        <v>484465444</v>
      </c>
      <c r="M757" s="75">
        <f>VLOOKUP(E757,Diccionario!C$2:AC$150,24,0)</f>
        <v>45965</v>
      </c>
      <c r="N757" s="76">
        <f>VLOOKUP(E757,Diccionario!C$2:AC$150,25,0)</f>
        <v>46695</v>
      </c>
      <c r="O757" s="77">
        <f>VLOOKUP(E757,Diccionario!C$2:AC$150,26,0)</f>
        <v>24</v>
      </c>
      <c r="P757" s="77">
        <f t="shared" si="237"/>
        <v>-15</v>
      </c>
      <c r="Q757" s="78">
        <v>9</v>
      </c>
      <c r="R757" s="36">
        <v>25</v>
      </c>
      <c r="S757" s="86">
        <v>0.372</v>
      </c>
      <c r="T757" s="86"/>
      <c r="U757" s="82"/>
      <c r="V757" s="82"/>
      <c r="W757" s="82">
        <f t="shared" si="224"/>
        <v>0</v>
      </c>
      <c r="X757" s="82">
        <f t="shared" si="238"/>
        <v>180221145.16800001</v>
      </c>
      <c r="Y757" s="82">
        <f t="shared" si="225"/>
        <v>0</v>
      </c>
      <c r="Z757" s="82">
        <f t="shared" si="239"/>
        <v>-180221145.16800001</v>
      </c>
      <c r="AA757" s="83" t="str">
        <f t="shared" si="240"/>
        <v>No se realizó gasto en este corte</v>
      </c>
      <c r="AB757" s="84" t="str">
        <f t="shared" si="241"/>
        <v>Costo eficiente: se está gastando menos de lo presupuestado</v>
      </c>
      <c r="AC757" s="84">
        <f t="shared" si="226"/>
        <v>0</v>
      </c>
      <c r="AD757" s="84" t="str">
        <f t="shared" si="242"/>
        <v>Sin Línea Base</v>
      </c>
      <c r="AE757" s="85">
        <f t="shared" si="227"/>
        <v>0</v>
      </c>
      <c r="AF757" s="85">
        <f t="shared" si="228"/>
        <v>-484465444</v>
      </c>
      <c r="AG757" s="40" t="str">
        <f>VLOOKUP(Indicador!E757,Diccionario!C$1:AC$150,27,0)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7" s="40">
        <v>1</v>
      </c>
      <c r="AI757" s="40">
        <v>1</v>
      </c>
    </row>
    <row r="758" spans="1:35" ht="18.75" customHeight="1">
      <c r="A758" s="73">
        <v>2026</v>
      </c>
      <c r="B758" s="112" t="s">
        <v>26</v>
      </c>
      <c r="C758" s="36" t="s">
        <v>450</v>
      </c>
      <c r="D758" s="37">
        <v>46020.703303703704</v>
      </c>
      <c r="E758" s="36" t="s">
        <v>100</v>
      </c>
      <c r="F758" s="36" t="s">
        <v>190</v>
      </c>
      <c r="G758" s="36" t="s">
        <v>451</v>
      </c>
      <c r="H758" s="36" t="s">
        <v>452</v>
      </c>
      <c r="I758" s="36" t="s">
        <v>165</v>
      </c>
      <c r="J758" s="36" t="s">
        <v>453</v>
      </c>
      <c r="K758" s="36" t="s">
        <v>177</v>
      </c>
      <c r="L758" s="74">
        <f>VLOOKUP(E758,Diccionario!C$2:AC$150,22,0)</f>
        <v>484465444</v>
      </c>
      <c r="M758" s="75">
        <f>VLOOKUP(E758,Diccionario!C$2:AC$150,24,0)</f>
        <v>45965</v>
      </c>
      <c r="N758" s="76">
        <f>VLOOKUP(E758,Diccionario!C$2:AC$150,25,0)</f>
        <v>46695</v>
      </c>
      <c r="O758" s="77">
        <f>VLOOKUP(E758,Diccionario!C$2:AC$150,26,0)</f>
        <v>24</v>
      </c>
      <c r="P758" s="77">
        <f t="shared" si="237"/>
        <v>-14</v>
      </c>
      <c r="Q758" s="78">
        <v>10</v>
      </c>
      <c r="R758" s="36">
        <v>25</v>
      </c>
      <c r="S758" s="86">
        <v>0.40799999999999997</v>
      </c>
      <c r="T758" s="86"/>
      <c r="U758" s="82"/>
      <c r="V758" s="82"/>
      <c r="W758" s="82">
        <f t="shared" si="224"/>
        <v>0</v>
      </c>
      <c r="X758" s="82">
        <f t="shared" si="238"/>
        <v>197661901.15199998</v>
      </c>
      <c r="Y758" s="82">
        <f t="shared" si="225"/>
        <v>0</v>
      </c>
      <c r="Z758" s="82">
        <f t="shared" si="239"/>
        <v>-197661901.15199998</v>
      </c>
      <c r="AA758" s="83" t="str">
        <f t="shared" si="240"/>
        <v>No se realizó gasto en este corte</v>
      </c>
      <c r="AB758" s="84" t="str">
        <f t="shared" si="241"/>
        <v>Costo eficiente: se está gastando menos de lo presupuestado</v>
      </c>
      <c r="AC758" s="84">
        <f t="shared" si="226"/>
        <v>0</v>
      </c>
      <c r="AD758" s="84" t="str">
        <f t="shared" si="242"/>
        <v>Sin Línea Base</v>
      </c>
      <c r="AE758" s="85">
        <f t="shared" si="227"/>
        <v>0</v>
      </c>
      <c r="AF758" s="85">
        <f t="shared" si="228"/>
        <v>-484465444</v>
      </c>
      <c r="AG758" s="40" t="str">
        <f>VLOOKUP(Indicador!E758,Diccionario!C$1:AC$150,27,0)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8" s="40">
        <v>1</v>
      </c>
      <c r="AI758" s="40">
        <v>1</v>
      </c>
    </row>
    <row r="759" spans="1:35" ht="18.75" customHeight="1">
      <c r="A759" s="73">
        <v>2026</v>
      </c>
      <c r="B759" s="112" t="s">
        <v>28</v>
      </c>
      <c r="C759" s="36" t="s">
        <v>450</v>
      </c>
      <c r="D759" s="37">
        <v>46020.703303703704</v>
      </c>
      <c r="E759" s="36" t="s">
        <v>100</v>
      </c>
      <c r="F759" s="36" t="s">
        <v>190</v>
      </c>
      <c r="G759" s="36" t="s">
        <v>451</v>
      </c>
      <c r="H759" s="36" t="s">
        <v>452</v>
      </c>
      <c r="I759" s="36" t="s">
        <v>165</v>
      </c>
      <c r="J759" s="36" t="s">
        <v>453</v>
      </c>
      <c r="K759" s="36" t="s">
        <v>177</v>
      </c>
      <c r="L759" s="74">
        <f>VLOOKUP(E759,Diccionario!C$2:AC$150,22,0)</f>
        <v>484465444</v>
      </c>
      <c r="M759" s="75">
        <f>VLOOKUP(E759,Diccionario!C$2:AC$150,24,0)</f>
        <v>45965</v>
      </c>
      <c r="N759" s="76">
        <f>VLOOKUP(E759,Diccionario!C$2:AC$150,25,0)</f>
        <v>46695</v>
      </c>
      <c r="O759" s="77">
        <f>VLOOKUP(E759,Diccionario!C$2:AC$150,26,0)</f>
        <v>24</v>
      </c>
      <c r="P759" s="77">
        <f t="shared" si="237"/>
        <v>-13</v>
      </c>
      <c r="Q759" s="78">
        <v>11</v>
      </c>
      <c r="R759" s="36">
        <v>25</v>
      </c>
      <c r="S759" s="86">
        <v>0.44400000000000001</v>
      </c>
      <c r="T759" s="86"/>
      <c r="U759" s="82"/>
      <c r="V759" s="82"/>
      <c r="W759" s="82">
        <f t="shared" si="224"/>
        <v>0</v>
      </c>
      <c r="X759" s="82">
        <f t="shared" si="238"/>
        <v>215102657.13600001</v>
      </c>
      <c r="Y759" s="82">
        <f t="shared" si="225"/>
        <v>0</v>
      </c>
      <c r="Z759" s="82">
        <f t="shared" si="239"/>
        <v>-215102657.13600001</v>
      </c>
      <c r="AA759" s="83" t="str">
        <f t="shared" si="240"/>
        <v>No se realizó gasto en este corte</v>
      </c>
      <c r="AB759" s="84" t="str">
        <f t="shared" si="241"/>
        <v>Costo eficiente: se está gastando menos de lo presupuestado</v>
      </c>
      <c r="AC759" s="84">
        <f t="shared" si="226"/>
        <v>0</v>
      </c>
      <c r="AD759" s="84" t="str">
        <f t="shared" si="242"/>
        <v>Sin Línea Base</v>
      </c>
      <c r="AE759" s="85">
        <f t="shared" si="227"/>
        <v>0</v>
      </c>
      <c r="AF759" s="85">
        <f t="shared" si="228"/>
        <v>-484465444</v>
      </c>
      <c r="AG759" s="40" t="str">
        <f>VLOOKUP(Indicador!E759,Diccionario!C$1:AC$150,27,0)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59" s="40">
        <v>1</v>
      </c>
      <c r="AI759" s="40">
        <v>1</v>
      </c>
    </row>
    <row r="760" spans="1:35" ht="18.75" customHeight="1">
      <c r="A760" s="73">
        <v>2026</v>
      </c>
      <c r="B760" s="112" t="s">
        <v>30</v>
      </c>
      <c r="C760" s="36" t="s">
        <v>450</v>
      </c>
      <c r="D760" s="37">
        <v>46020.703303703704</v>
      </c>
      <c r="E760" s="36" t="s">
        <v>100</v>
      </c>
      <c r="F760" s="36" t="s">
        <v>190</v>
      </c>
      <c r="G760" s="36" t="s">
        <v>451</v>
      </c>
      <c r="H760" s="36" t="s">
        <v>452</v>
      </c>
      <c r="I760" s="36" t="s">
        <v>165</v>
      </c>
      <c r="J760" s="36" t="s">
        <v>453</v>
      </c>
      <c r="K760" s="36" t="s">
        <v>177</v>
      </c>
      <c r="L760" s="74">
        <f>VLOOKUP(E760,Diccionario!C$2:AC$150,22,0)</f>
        <v>484465444</v>
      </c>
      <c r="M760" s="75">
        <f>VLOOKUP(E760,Diccionario!C$2:AC$150,24,0)</f>
        <v>45965</v>
      </c>
      <c r="N760" s="76">
        <f>VLOOKUP(E760,Diccionario!C$2:AC$150,25,0)</f>
        <v>46695</v>
      </c>
      <c r="O760" s="77">
        <f>VLOOKUP(E760,Diccionario!C$2:AC$150,26,0)</f>
        <v>24</v>
      </c>
      <c r="P760" s="77">
        <f t="shared" si="237"/>
        <v>-12</v>
      </c>
      <c r="Q760" s="78">
        <v>12</v>
      </c>
      <c r="R760" s="36">
        <v>25</v>
      </c>
      <c r="S760" s="86">
        <v>0.48</v>
      </c>
      <c r="T760" s="86"/>
      <c r="U760" s="82"/>
      <c r="V760" s="82"/>
      <c r="W760" s="82">
        <f t="shared" si="224"/>
        <v>0</v>
      </c>
      <c r="X760" s="82">
        <f t="shared" si="238"/>
        <v>232543413.12</v>
      </c>
      <c r="Y760" s="82">
        <f t="shared" si="225"/>
        <v>0</v>
      </c>
      <c r="Z760" s="82">
        <f t="shared" si="239"/>
        <v>-232543413.12</v>
      </c>
      <c r="AA760" s="83" t="str">
        <f t="shared" si="240"/>
        <v>No se realizó gasto en este corte</v>
      </c>
      <c r="AB760" s="84" t="str">
        <f t="shared" si="241"/>
        <v>Costo eficiente: se está gastando menos de lo presupuestado</v>
      </c>
      <c r="AC760" s="84">
        <f t="shared" si="226"/>
        <v>0</v>
      </c>
      <c r="AD760" s="84" t="str">
        <f t="shared" si="242"/>
        <v>Sin Línea Base</v>
      </c>
      <c r="AE760" s="85">
        <f t="shared" si="227"/>
        <v>0</v>
      </c>
      <c r="AF760" s="85">
        <f t="shared" si="228"/>
        <v>-484465444</v>
      </c>
      <c r="AG760" s="40" t="str">
        <f>VLOOKUP(Indicador!E760,Diccionario!C$1:AC$150,27,0)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0" s="40">
        <v>1</v>
      </c>
      <c r="AI760" s="40">
        <v>1</v>
      </c>
    </row>
    <row r="761" spans="1:35" ht="18.75" customHeight="1">
      <c r="A761" s="73">
        <v>2026</v>
      </c>
      <c r="B761" s="112" t="s">
        <v>31</v>
      </c>
      <c r="C761" s="36" t="s">
        <v>450</v>
      </c>
      <c r="D761" s="37">
        <v>46020.703303703704</v>
      </c>
      <c r="E761" s="36" t="s">
        <v>100</v>
      </c>
      <c r="F761" s="36" t="s">
        <v>190</v>
      </c>
      <c r="G761" s="36" t="s">
        <v>451</v>
      </c>
      <c r="H761" s="36" t="s">
        <v>452</v>
      </c>
      <c r="I761" s="36" t="s">
        <v>165</v>
      </c>
      <c r="J761" s="36" t="s">
        <v>453</v>
      </c>
      <c r="K761" s="36" t="s">
        <v>177</v>
      </c>
      <c r="L761" s="74">
        <f>VLOOKUP(E761,Diccionario!C$2:AC$150,22,0)</f>
        <v>484465444</v>
      </c>
      <c r="M761" s="75">
        <f>VLOOKUP(E761,Diccionario!C$2:AC$150,24,0)</f>
        <v>45965</v>
      </c>
      <c r="N761" s="76">
        <f>VLOOKUP(E761,Diccionario!C$2:AC$150,25,0)</f>
        <v>46695</v>
      </c>
      <c r="O761" s="77">
        <f>VLOOKUP(E761,Diccionario!C$2:AC$150,26,0)</f>
        <v>24</v>
      </c>
      <c r="P761" s="77">
        <f t="shared" si="237"/>
        <v>-11</v>
      </c>
      <c r="Q761" s="78">
        <v>13</v>
      </c>
      <c r="R761" s="36">
        <v>25</v>
      </c>
      <c r="S761" s="86">
        <v>0.51600000000000001</v>
      </c>
      <c r="T761" s="86"/>
      <c r="U761" s="82"/>
      <c r="V761" s="82"/>
      <c r="W761" s="82">
        <f t="shared" si="224"/>
        <v>0</v>
      </c>
      <c r="X761" s="82">
        <f t="shared" si="238"/>
        <v>249984169.104</v>
      </c>
      <c r="Y761" s="82">
        <f t="shared" si="225"/>
        <v>0</v>
      </c>
      <c r="Z761" s="82">
        <f t="shared" si="239"/>
        <v>-249984169.104</v>
      </c>
      <c r="AA761" s="83" t="str">
        <f t="shared" si="240"/>
        <v>No se realizó gasto en este corte</v>
      </c>
      <c r="AB761" s="84" t="str">
        <f t="shared" si="241"/>
        <v>Costo eficiente: se está gastando menos de lo presupuestado</v>
      </c>
      <c r="AC761" s="84">
        <f t="shared" si="226"/>
        <v>0</v>
      </c>
      <c r="AD761" s="84" t="str">
        <f t="shared" si="242"/>
        <v>Sin Línea Base</v>
      </c>
      <c r="AE761" s="85">
        <f t="shared" si="227"/>
        <v>0</v>
      </c>
      <c r="AF761" s="85">
        <f t="shared" si="228"/>
        <v>-484465444</v>
      </c>
      <c r="AG761" s="40" t="str">
        <f>VLOOKUP(Indicador!E761,Diccionario!C$1:AC$150,27,0)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1" s="40">
        <v>1</v>
      </c>
      <c r="AI761" s="40">
        <v>1</v>
      </c>
    </row>
    <row r="762" spans="1:35" ht="18.75" customHeight="1">
      <c r="A762" s="73">
        <v>2026</v>
      </c>
      <c r="B762" s="112" t="s">
        <v>32</v>
      </c>
      <c r="C762" s="36" t="s">
        <v>450</v>
      </c>
      <c r="D762" s="37">
        <v>46020.703303703704</v>
      </c>
      <c r="E762" s="36" t="s">
        <v>100</v>
      </c>
      <c r="F762" s="36" t="s">
        <v>190</v>
      </c>
      <c r="G762" s="36" t="s">
        <v>451</v>
      </c>
      <c r="H762" s="36" t="s">
        <v>452</v>
      </c>
      <c r="I762" s="36" t="s">
        <v>165</v>
      </c>
      <c r="J762" s="36" t="s">
        <v>453</v>
      </c>
      <c r="K762" s="36" t="s">
        <v>177</v>
      </c>
      <c r="L762" s="74">
        <f>VLOOKUP(E762,Diccionario!C$2:AC$150,22,0)</f>
        <v>484465444</v>
      </c>
      <c r="M762" s="75">
        <f>VLOOKUP(E762,Diccionario!C$2:AC$150,24,0)</f>
        <v>45965</v>
      </c>
      <c r="N762" s="76">
        <f>VLOOKUP(E762,Diccionario!C$2:AC$150,25,0)</f>
        <v>46695</v>
      </c>
      <c r="O762" s="77">
        <f>VLOOKUP(E762,Diccionario!C$2:AC$150,26,0)</f>
        <v>24</v>
      </c>
      <c r="P762" s="77">
        <f t="shared" si="237"/>
        <v>-10</v>
      </c>
      <c r="Q762" s="78">
        <v>14</v>
      </c>
      <c r="R762" s="36">
        <v>25</v>
      </c>
      <c r="S762" s="86">
        <v>0.55200000000000005</v>
      </c>
      <c r="T762" s="86"/>
      <c r="U762" s="82"/>
      <c r="V762" s="82"/>
      <c r="W762" s="82">
        <f t="shared" si="224"/>
        <v>0</v>
      </c>
      <c r="X762" s="82">
        <f t="shared" si="238"/>
        <v>267424925.08800003</v>
      </c>
      <c r="Y762" s="82">
        <f t="shared" si="225"/>
        <v>0</v>
      </c>
      <c r="Z762" s="82">
        <f t="shared" si="239"/>
        <v>-267424925.08800003</v>
      </c>
      <c r="AA762" s="83" t="str">
        <f t="shared" si="240"/>
        <v>No se realizó gasto en este corte</v>
      </c>
      <c r="AB762" s="84" t="str">
        <f t="shared" si="241"/>
        <v>Costo eficiente: se está gastando menos de lo presupuestado</v>
      </c>
      <c r="AC762" s="84">
        <f t="shared" si="226"/>
        <v>0</v>
      </c>
      <c r="AD762" s="84" t="str">
        <f t="shared" si="242"/>
        <v>Sin Línea Base</v>
      </c>
      <c r="AE762" s="85">
        <f t="shared" si="227"/>
        <v>0</v>
      </c>
      <c r="AF762" s="85">
        <f t="shared" si="228"/>
        <v>-484465444</v>
      </c>
      <c r="AG762" s="40" t="str">
        <f>VLOOKUP(Indicador!E762,Diccionario!C$1:AC$150,27,0)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2" s="40">
        <v>1</v>
      </c>
      <c r="AI762" s="40">
        <v>1</v>
      </c>
    </row>
    <row r="763" spans="1:35" ht="18.75" customHeight="1">
      <c r="A763" s="73">
        <v>2027</v>
      </c>
      <c r="B763" s="112" t="s">
        <v>14</v>
      </c>
      <c r="C763" s="36" t="s">
        <v>450</v>
      </c>
      <c r="D763" s="37">
        <v>46020.703303703704</v>
      </c>
      <c r="E763" s="36" t="s">
        <v>100</v>
      </c>
      <c r="F763" s="36" t="s">
        <v>190</v>
      </c>
      <c r="G763" s="36" t="s">
        <v>451</v>
      </c>
      <c r="H763" s="36" t="s">
        <v>452</v>
      </c>
      <c r="I763" s="36" t="s">
        <v>165</v>
      </c>
      <c r="J763" s="36" t="s">
        <v>453</v>
      </c>
      <c r="K763" s="36" t="s">
        <v>177</v>
      </c>
      <c r="L763" s="74">
        <f>VLOOKUP(E763,Diccionario!C$2:AC$150,22,0)</f>
        <v>484465444</v>
      </c>
      <c r="M763" s="75">
        <f>VLOOKUP(E763,Diccionario!C$2:AC$150,24,0)</f>
        <v>45965</v>
      </c>
      <c r="N763" s="76">
        <f>VLOOKUP(E763,Diccionario!C$2:AC$150,25,0)</f>
        <v>46695</v>
      </c>
      <c r="O763" s="77">
        <f>VLOOKUP(E763,Diccionario!C$2:AC$150,26,0)</f>
        <v>24</v>
      </c>
      <c r="P763" s="77">
        <f t="shared" si="237"/>
        <v>-9</v>
      </c>
      <c r="Q763" s="78">
        <v>15</v>
      </c>
      <c r="R763" s="36">
        <v>25</v>
      </c>
      <c r="S763" s="86">
        <v>0.58799999999999997</v>
      </c>
      <c r="T763" s="86"/>
      <c r="U763" s="82"/>
      <c r="V763" s="82"/>
      <c r="W763" s="82">
        <f t="shared" si="224"/>
        <v>0</v>
      </c>
      <c r="X763" s="82">
        <f t="shared" si="238"/>
        <v>284865681.07199997</v>
      </c>
      <c r="Y763" s="82">
        <f t="shared" si="225"/>
        <v>0</v>
      </c>
      <c r="Z763" s="82">
        <f t="shared" si="239"/>
        <v>-284865681.07199997</v>
      </c>
      <c r="AA763" s="83" t="str">
        <f t="shared" si="240"/>
        <v>No se realizó gasto en este corte</v>
      </c>
      <c r="AB763" s="84" t="str">
        <f t="shared" si="241"/>
        <v>Costo eficiente: se está gastando menos de lo presupuestado</v>
      </c>
      <c r="AC763" s="84">
        <f t="shared" si="226"/>
        <v>0</v>
      </c>
      <c r="AD763" s="84" t="str">
        <f t="shared" si="242"/>
        <v>Sin Línea Base</v>
      </c>
      <c r="AE763" s="85">
        <f t="shared" si="227"/>
        <v>0</v>
      </c>
      <c r="AF763" s="85">
        <f t="shared" si="228"/>
        <v>-484465444</v>
      </c>
      <c r="AG763" s="40" t="str">
        <f>VLOOKUP(Indicador!E763,Diccionario!C$1:AC$150,27,0)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3" s="40">
        <v>1</v>
      </c>
      <c r="AI763" s="40">
        <v>1</v>
      </c>
    </row>
    <row r="764" spans="1:35" ht="18.75" customHeight="1">
      <c r="A764" s="73">
        <v>2027</v>
      </c>
      <c r="B764" s="112" t="s">
        <v>22</v>
      </c>
      <c r="C764" s="36" t="s">
        <v>450</v>
      </c>
      <c r="D764" s="37">
        <v>46020.703303703704</v>
      </c>
      <c r="E764" s="36" t="s">
        <v>100</v>
      </c>
      <c r="F764" s="36" t="s">
        <v>190</v>
      </c>
      <c r="G764" s="36" t="s">
        <v>451</v>
      </c>
      <c r="H764" s="36" t="s">
        <v>452</v>
      </c>
      <c r="I764" s="36" t="s">
        <v>165</v>
      </c>
      <c r="J764" s="36" t="s">
        <v>453</v>
      </c>
      <c r="K764" s="36" t="s">
        <v>177</v>
      </c>
      <c r="L764" s="74">
        <f>VLOOKUP(E764,Diccionario!C$2:AC$150,22,0)</f>
        <v>484465444</v>
      </c>
      <c r="M764" s="75">
        <f>VLOOKUP(E764,Diccionario!C$2:AC$150,24,0)</f>
        <v>45965</v>
      </c>
      <c r="N764" s="76">
        <f>VLOOKUP(E764,Diccionario!C$2:AC$150,25,0)</f>
        <v>46695</v>
      </c>
      <c r="O764" s="77">
        <f>VLOOKUP(E764,Diccionario!C$2:AC$150,26,0)</f>
        <v>24</v>
      </c>
      <c r="P764" s="77">
        <f t="shared" si="237"/>
        <v>-8</v>
      </c>
      <c r="Q764" s="78">
        <v>16</v>
      </c>
      <c r="R764" s="36">
        <v>25</v>
      </c>
      <c r="S764" s="86">
        <v>0.624</v>
      </c>
      <c r="T764" s="86"/>
      <c r="U764" s="82"/>
      <c r="V764" s="82"/>
      <c r="W764" s="82">
        <f t="shared" si="224"/>
        <v>0</v>
      </c>
      <c r="X764" s="82">
        <f t="shared" si="238"/>
        <v>302306437.05599999</v>
      </c>
      <c r="Y764" s="82">
        <f t="shared" si="225"/>
        <v>0</v>
      </c>
      <c r="Z764" s="82">
        <f t="shared" si="239"/>
        <v>-302306437.05599999</v>
      </c>
      <c r="AA764" s="83" t="str">
        <f t="shared" si="240"/>
        <v>No se realizó gasto en este corte</v>
      </c>
      <c r="AB764" s="84" t="str">
        <f t="shared" si="241"/>
        <v>Costo eficiente: se está gastando menos de lo presupuestado</v>
      </c>
      <c r="AC764" s="84">
        <f t="shared" si="226"/>
        <v>0</v>
      </c>
      <c r="AD764" s="84" t="str">
        <f t="shared" si="242"/>
        <v>Sin Línea Base</v>
      </c>
      <c r="AE764" s="85">
        <f t="shared" si="227"/>
        <v>0</v>
      </c>
      <c r="AF764" s="85">
        <f t="shared" si="228"/>
        <v>-484465444</v>
      </c>
      <c r="AG764" s="40" t="str">
        <f>VLOOKUP(Indicador!E764,Diccionario!C$1:AC$150,27,0)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4" s="40">
        <v>1</v>
      </c>
      <c r="AI764" s="40">
        <v>1</v>
      </c>
    </row>
    <row r="765" spans="1:35" ht="18.75" customHeight="1">
      <c r="A765" s="73">
        <v>2027</v>
      </c>
      <c r="B765" s="112" t="s">
        <v>24</v>
      </c>
      <c r="C765" s="36" t="s">
        <v>450</v>
      </c>
      <c r="D765" s="37">
        <v>46020.703303703704</v>
      </c>
      <c r="E765" s="36" t="s">
        <v>100</v>
      </c>
      <c r="F765" s="36" t="s">
        <v>190</v>
      </c>
      <c r="G765" s="36" t="s">
        <v>451</v>
      </c>
      <c r="H765" s="36" t="s">
        <v>452</v>
      </c>
      <c r="I765" s="36" t="s">
        <v>165</v>
      </c>
      <c r="J765" s="36" t="s">
        <v>453</v>
      </c>
      <c r="K765" s="36" t="s">
        <v>177</v>
      </c>
      <c r="L765" s="74">
        <f>VLOOKUP(E765,Diccionario!C$2:AC$150,22,0)</f>
        <v>484465444</v>
      </c>
      <c r="M765" s="75">
        <f>VLOOKUP(E765,Diccionario!C$2:AC$150,24,0)</f>
        <v>45965</v>
      </c>
      <c r="N765" s="76">
        <f>VLOOKUP(E765,Diccionario!C$2:AC$150,25,0)</f>
        <v>46695</v>
      </c>
      <c r="O765" s="77">
        <f>VLOOKUP(E765,Diccionario!C$2:AC$150,26,0)</f>
        <v>24</v>
      </c>
      <c r="P765" s="77">
        <f t="shared" si="237"/>
        <v>-7</v>
      </c>
      <c r="Q765" s="78">
        <v>17</v>
      </c>
      <c r="R765" s="36">
        <v>25</v>
      </c>
      <c r="S765" s="86">
        <v>0.66</v>
      </c>
      <c r="T765" s="86"/>
      <c r="U765" s="82"/>
      <c r="V765" s="82"/>
      <c r="W765" s="82">
        <f t="shared" si="224"/>
        <v>0</v>
      </c>
      <c r="X765" s="82">
        <f t="shared" si="238"/>
        <v>319747193.04000002</v>
      </c>
      <c r="Y765" s="82">
        <f t="shared" si="225"/>
        <v>0</v>
      </c>
      <c r="Z765" s="82">
        <f t="shared" si="239"/>
        <v>-319747193.04000002</v>
      </c>
      <c r="AA765" s="83" t="str">
        <f t="shared" si="240"/>
        <v>No se realizó gasto en este corte</v>
      </c>
      <c r="AB765" s="84" t="str">
        <f t="shared" si="241"/>
        <v>Costo eficiente: se está gastando menos de lo presupuestado</v>
      </c>
      <c r="AC765" s="84">
        <f t="shared" si="226"/>
        <v>0</v>
      </c>
      <c r="AD765" s="84" t="str">
        <f t="shared" si="242"/>
        <v>Sin Línea Base</v>
      </c>
      <c r="AE765" s="85">
        <f t="shared" si="227"/>
        <v>0</v>
      </c>
      <c r="AF765" s="85">
        <f t="shared" si="228"/>
        <v>-484465444</v>
      </c>
      <c r="AG765" s="40" t="str">
        <f>VLOOKUP(Indicador!E765,Diccionario!C$1:AC$150,27,0)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5" s="40">
        <v>1</v>
      </c>
      <c r="AI765" s="40">
        <v>1</v>
      </c>
    </row>
    <row r="766" spans="1:35" ht="18.75" customHeight="1">
      <c r="A766" s="73">
        <v>2027</v>
      </c>
      <c r="B766" s="112" t="s">
        <v>27</v>
      </c>
      <c r="C766" s="36" t="s">
        <v>450</v>
      </c>
      <c r="D766" s="37">
        <v>46020.703303703704</v>
      </c>
      <c r="E766" s="36" t="s">
        <v>100</v>
      </c>
      <c r="F766" s="36" t="s">
        <v>190</v>
      </c>
      <c r="G766" s="36" t="s">
        <v>451</v>
      </c>
      <c r="H766" s="36" t="s">
        <v>452</v>
      </c>
      <c r="I766" s="36" t="s">
        <v>165</v>
      </c>
      <c r="J766" s="36" t="s">
        <v>453</v>
      </c>
      <c r="K766" s="36" t="s">
        <v>177</v>
      </c>
      <c r="L766" s="74">
        <f>VLOOKUP(E766,Diccionario!C$2:AC$150,22,0)</f>
        <v>484465444</v>
      </c>
      <c r="M766" s="75">
        <f>VLOOKUP(E766,Diccionario!C$2:AC$150,24,0)</f>
        <v>45965</v>
      </c>
      <c r="N766" s="76">
        <f>VLOOKUP(E766,Diccionario!C$2:AC$150,25,0)</f>
        <v>46695</v>
      </c>
      <c r="O766" s="77">
        <f>VLOOKUP(E766,Diccionario!C$2:AC$150,26,0)</f>
        <v>24</v>
      </c>
      <c r="P766" s="77">
        <f t="shared" si="237"/>
        <v>-6</v>
      </c>
      <c r="Q766" s="78">
        <v>18</v>
      </c>
      <c r="R766" s="36">
        <v>25</v>
      </c>
      <c r="S766" s="86">
        <v>0.69599999999999995</v>
      </c>
      <c r="T766" s="86"/>
      <c r="U766" s="82"/>
      <c r="V766" s="82"/>
      <c r="W766" s="82">
        <f t="shared" si="224"/>
        <v>0</v>
      </c>
      <c r="X766" s="82">
        <f t="shared" si="238"/>
        <v>337187949.02399999</v>
      </c>
      <c r="Y766" s="82">
        <f t="shared" si="225"/>
        <v>0</v>
      </c>
      <c r="Z766" s="82">
        <f t="shared" si="239"/>
        <v>-337187949.02399999</v>
      </c>
      <c r="AA766" s="83" t="str">
        <f t="shared" si="240"/>
        <v>No se realizó gasto en este corte</v>
      </c>
      <c r="AB766" s="84" t="str">
        <f t="shared" si="241"/>
        <v>Costo eficiente: se está gastando menos de lo presupuestado</v>
      </c>
      <c r="AC766" s="84">
        <f t="shared" si="226"/>
        <v>0</v>
      </c>
      <c r="AD766" s="84" t="str">
        <f t="shared" si="242"/>
        <v>Sin Línea Base</v>
      </c>
      <c r="AE766" s="85">
        <f t="shared" si="227"/>
        <v>0</v>
      </c>
      <c r="AF766" s="85">
        <f t="shared" si="228"/>
        <v>-484465444</v>
      </c>
      <c r="AG766" s="40" t="str">
        <f>VLOOKUP(Indicador!E766,Diccionario!C$1:AC$150,27,0)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6" s="40">
        <v>1</v>
      </c>
      <c r="AI766" s="40">
        <v>1</v>
      </c>
    </row>
    <row r="767" spans="1:35" ht="18.75" customHeight="1">
      <c r="A767" s="73">
        <v>2027</v>
      </c>
      <c r="B767" s="112" t="s">
        <v>13</v>
      </c>
      <c r="C767" s="36" t="s">
        <v>450</v>
      </c>
      <c r="D767" s="37">
        <v>46020.703303703704</v>
      </c>
      <c r="E767" s="36" t="s">
        <v>100</v>
      </c>
      <c r="F767" s="36" t="s">
        <v>190</v>
      </c>
      <c r="G767" s="36" t="s">
        <v>451</v>
      </c>
      <c r="H767" s="36" t="s">
        <v>452</v>
      </c>
      <c r="I767" s="36" t="s">
        <v>165</v>
      </c>
      <c r="J767" s="36" t="s">
        <v>453</v>
      </c>
      <c r="K767" s="36" t="s">
        <v>177</v>
      </c>
      <c r="L767" s="74">
        <f>VLOOKUP(E767,Diccionario!C$2:AC$150,22,0)</f>
        <v>484465444</v>
      </c>
      <c r="M767" s="75">
        <f>VLOOKUP(E767,Diccionario!C$2:AC$150,24,0)</f>
        <v>45965</v>
      </c>
      <c r="N767" s="76">
        <f>VLOOKUP(E767,Diccionario!C$2:AC$150,25,0)</f>
        <v>46695</v>
      </c>
      <c r="O767" s="77">
        <f>VLOOKUP(E767,Diccionario!C$2:AC$150,26,0)</f>
        <v>24</v>
      </c>
      <c r="P767" s="77">
        <f t="shared" si="237"/>
        <v>-5</v>
      </c>
      <c r="Q767" s="78">
        <v>19</v>
      </c>
      <c r="R767" s="36">
        <v>25</v>
      </c>
      <c r="S767" s="86">
        <v>0.73199999999999998</v>
      </c>
      <c r="T767" s="86"/>
      <c r="U767" s="82"/>
      <c r="V767" s="82"/>
      <c r="W767" s="82">
        <f t="shared" si="224"/>
        <v>0</v>
      </c>
      <c r="X767" s="82">
        <f t="shared" si="238"/>
        <v>354628705.00800002</v>
      </c>
      <c r="Y767" s="82">
        <f t="shared" si="225"/>
        <v>0</v>
      </c>
      <c r="Z767" s="82">
        <f t="shared" si="239"/>
        <v>-354628705.00800002</v>
      </c>
      <c r="AA767" s="83" t="str">
        <f t="shared" si="240"/>
        <v>No se realizó gasto en este corte</v>
      </c>
      <c r="AB767" s="84" t="str">
        <f t="shared" si="241"/>
        <v>Costo eficiente: se está gastando menos de lo presupuestado</v>
      </c>
      <c r="AC767" s="84">
        <f t="shared" si="226"/>
        <v>0</v>
      </c>
      <c r="AD767" s="84" t="str">
        <f t="shared" si="242"/>
        <v>Sin Línea Base</v>
      </c>
      <c r="AE767" s="85">
        <f t="shared" si="227"/>
        <v>0</v>
      </c>
      <c r="AF767" s="85">
        <f t="shared" si="228"/>
        <v>-484465444</v>
      </c>
      <c r="AG767" s="40" t="str">
        <f>VLOOKUP(Indicador!E767,Diccionario!C$1:AC$150,27,0)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7" s="40">
        <v>1</v>
      </c>
      <c r="AI767" s="40">
        <v>1</v>
      </c>
    </row>
    <row r="768" spans="1:35" ht="18.75" customHeight="1">
      <c r="A768" s="73">
        <v>2027</v>
      </c>
      <c r="B768" s="112" t="s">
        <v>21</v>
      </c>
      <c r="C768" s="36" t="s">
        <v>450</v>
      </c>
      <c r="D768" s="37">
        <v>46020.703303703704</v>
      </c>
      <c r="E768" s="36" t="s">
        <v>100</v>
      </c>
      <c r="F768" s="36" t="s">
        <v>190</v>
      </c>
      <c r="G768" s="36" t="s">
        <v>451</v>
      </c>
      <c r="H768" s="36" t="s">
        <v>452</v>
      </c>
      <c r="I768" s="36" t="s">
        <v>165</v>
      </c>
      <c r="J768" s="36" t="s">
        <v>453</v>
      </c>
      <c r="K768" s="36" t="s">
        <v>177</v>
      </c>
      <c r="L768" s="74">
        <f>VLOOKUP(E768,Diccionario!C$2:AC$150,22,0)</f>
        <v>484465444</v>
      </c>
      <c r="M768" s="75">
        <f>VLOOKUP(E768,Diccionario!C$2:AC$150,24,0)</f>
        <v>45965</v>
      </c>
      <c r="N768" s="76">
        <f>VLOOKUP(E768,Diccionario!C$2:AC$150,25,0)</f>
        <v>46695</v>
      </c>
      <c r="O768" s="77">
        <f>VLOOKUP(E768,Diccionario!C$2:AC$150,26,0)</f>
        <v>24</v>
      </c>
      <c r="P768" s="77">
        <f t="shared" si="237"/>
        <v>-4</v>
      </c>
      <c r="Q768" s="78">
        <v>20</v>
      </c>
      <c r="R768" s="36">
        <v>25</v>
      </c>
      <c r="S768" s="86">
        <v>0.76800000000000002</v>
      </c>
      <c r="T768" s="86"/>
      <c r="U768" s="82"/>
      <c r="V768" s="82"/>
      <c r="W768" s="82">
        <f t="shared" si="224"/>
        <v>0</v>
      </c>
      <c r="X768" s="82">
        <f t="shared" si="238"/>
        <v>372069460.99199998</v>
      </c>
      <c r="Y768" s="82">
        <f t="shared" si="225"/>
        <v>0</v>
      </c>
      <c r="Z768" s="82">
        <f t="shared" si="239"/>
        <v>-372069460.99199998</v>
      </c>
      <c r="AA768" s="83" t="str">
        <f t="shared" si="240"/>
        <v>No se realizó gasto en este corte</v>
      </c>
      <c r="AB768" s="84" t="str">
        <f t="shared" si="241"/>
        <v>Costo eficiente: se está gastando menos de lo presupuestado</v>
      </c>
      <c r="AC768" s="84">
        <f t="shared" si="226"/>
        <v>0</v>
      </c>
      <c r="AD768" s="84" t="str">
        <f t="shared" si="242"/>
        <v>Sin Línea Base</v>
      </c>
      <c r="AE768" s="85">
        <f t="shared" si="227"/>
        <v>0</v>
      </c>
      <c r="AF768" s="85">
        <f t="shared" si="228"/>
        <v>-484465444</v>
      </c>
      <c r="AG768" s="40" t="str">
        <f>VLOOKUP(Indicador!E768,Diccionario!C$1:AC$150,27,0)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8" s="40">
        <v>1</v>
      </c>
      <c r="AI768" s="40">
        <v>1</v>
      </c>
    </row>
    <row r="769" spans="1:35" ht="18.75" customHeight="1">
      <c r="A769" s="73">
        <v>2027</v>
      </c>
      <c r="B769" s="112" t="s">
        <v>23</v>
      </c>
      <c r="C769" s="36" t="s">
        <v>450</v>
      </c>
      <c r="D769" s="37">
        <v>46020.703303703704</v>
      </c>
      <c r="E769" s="36" t="s">
        <v>100</v>
      </c>
      <c r="F769" s="36" t="s">
        <v>190</v>
      </c>
      <c r="G769" s="36" t="s">
        <v>451</v>
      </c>
      <c r="H769" s="36" t="s">
        <v>452</v>
      </c>
      <c r="I769" s="36" t="s">
        <v>165</v>
      </c>
      <c r="J769" s="36" t="s">
        <v>453</v>
      </c>
      <c r="K769" s="36" t="s">
        <v>177</v>
      </c>
      <c r="L769" s="74">
        <f>VLOOKUP(E769,Diccionario!C$2:AC$150,22,0)</f>
        <v>484465444</v>
      </c>
      <c r="M769" s="75">
        <f>VLOOKUP(E769,Diccionario!C$2:AC$150,24,0)</f>
        <v>45965</v>
      </c>
      <c r="N769" s="76">
        <f>VLOOKUP(E769,Diccionario!C$2:AC$150,25,0)</f>
        <v>46695</v>
      </c>
      <c r="O769" s="77">
        <f>VLOOKUP(E769,Diccionario!C$2:AC$150,26,0)</f>
        <v>24</v>
      </c>
      <c r="P769" s="77">
        <f t="shared" si="237"/>
        <v>-3</v>
      </c>
      <c r="Q769" s="78">
        <v>21</v>
      </c>
      <c r="R769" s="36">
        <v>25</v>
      </c>
      <c r="S769" s="86">
        <v>0.80400000000000005</v>
      </c>
      <c r="T769" s="86"/>
      <c r="U769" s="82"/>
      <c r="V769" s="82"/>
      <c r="W769" s="82">
        <f t="shared" si="224"/>
        <v>0</v>
      </c>
      <c r="X769" s="82">
        <f t="shared" si="238"/>
        <v>389510216.97600001</v>
      </c>
      <c r="Y769" s="82">
        <f t="shared" si="225"/>
        <v>0</v>
      </c>
      <c r="Z769" s="82">
        <f t="shared" si="239"/>
        <v>-389510216.97600001</v>
      </c>
      <c r="AA769" s="83" t="str">
        <f t="shared" si="240"/>
        <v>No se realizó gasto en este corte</v>
      </c>
      <c r="AB769" s="84" t="str">
        <f t="shared" si="241"/>
        <v>Costo eficiente: se está gastando menos de lo presupuestado</v>
      </c>
      <c r="AC769" s="84">
        <f t="shared" si="226"/>
        <v>0</v>
      </c>
      <c r="AD769" s="84" t="str">
        <f t="shared" si="242"/>
        <v>Sin Línea Base</v>
      </c>
      <c r="AE769" s="85">
        <f t="shared" si="227"/>
        <v>0</v>
      </c>
      <c r="AF769" s="85">
        <f t="shared" si="228"/>
        <v>-484465444</v>
      </c>
      <c r="AG769" s="40" t="str">
        <f>VLOOKUP(Indicador!E769,Diccionario!C$1:AC$150,27,0)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69" s="40">
        <v>1</v>
      </c>
      <c r="AI769" s="40">
        <v>1</v>
      </c>
    </row>
    <row r="770" spans="1:35" ht="18.75" customHeight="1">
      <c r="A770" s="73">
        <v>2027</v>
      </c>
      <c r="B770" s="112" t="s">
        <v>26</v>
      </c>
      <c r="C770" s="36" t="s">
        <v>450</v>
      </c>
      <c r="D770" s="37">
        <v>46020.703303703704</v>
      </c>
      <c r="E770" s="36" t="s">
        <v>100</v>
      </c>
      <c r="F770" s="36" t="s">
        <v>190</v>
      </c>
      <c r="G770" s="36" t="s">
        <v>451</v>
      </c>
      <c r="H770" s="36" t="s">
        <v>452</v>
      </c>
      <c r="I770" s="36" t="s">
        <v>165</v>
      </c>
      <c r="J770" s="36" t="s">
        <v>453</v>
      </c>
      <c r="K770" s="36" t="s">
        <v>177</v>
      </c>
      <c r="L770" s="74">
        <f>VLOOKUP(E770,Diccionario!C$2:AC$150,22,0)</f>
        <v>484465444</v>
      </c>
      <c r="M770" s="75">
        <f>VLOOKUP(E770,Diccionario!C$2:AC$150,24,0)</f>
        <v>45965</v>
      </c>
      <c r="N770" s="76">
        <f>VLOOKUP(E770,Diccionario!C$2:AC$150,25,0)</f>
        <v>46695</v>
      </c>
      <c r="O770" s="77">
        <f>VLOOKUP(E770,Diccionario!C$2:AC$150,26,0)</f>
        <v>24</v>
      </c>
      <c r="P770" s="77">
        <f t="shared" si="237"/>
        <v>-2</v>
      </c>
      <c r="Q770" s="78">
        <v>22</v>
      </c>
      <c r="R770" s="36">
        <v>25</v>
      </c>
      <c r="S770" s="86">
        <v>0.84</v>
      </c>
      <c r="T770" s="86"/>
      <c r="U770" s="82"/>
      <c r="V770" s="82"/>
      <c r="W770" s="82">
        <f t="shared" ref="W770:W833" si="243">IFERROR(T770*L770,0)</f>
        <v>0</v>
      </c>
      <c r="X770" s="82">
        <f t="shared" si="238"/>
        <v>406950972.95999998</v>
      </c>
      <c r="Y770" s="82">
        <f t="shared" ref="Y770:Y833" si="244">IFERROR(W770-U770,0)</f>
        <v>0</v>
      </c>
      <c r="Z770" s="82">
        <f t="shared" si="239"/>
        <v>-406950972.95999998</v>
      </c>
      <c r="AA770" s="83" t="str">
        <f t="shared" si="240"/>
        <v>No se realizó gasto en este corte</v>
      </c>
      <c r="AB770" s="84" t="str">
        <f t="shared" si="241"/>
        <v>Costo eficiente: se está gastando menos de lo presupuestado</v>
      </c>
      <c r="AC770" s="84">
        <f t="shared" ref="AC770:AC833" si="245">IFERROR(W770/X770,0)</f>
        <v>0</v>
      </c>
      <c r="AD770" s="84" t="str">
        <f t="shared" si="242"/>
        <v>Sin Línea Base</v>
      </c>
      <c r="AE770" s="85">
        <f t="shared" ref="AE770:AE833" si="246">IFERROR(L770/AA770,0)</f>
        <v>0</v>
      </c>
      <c r="AF770" s="85">
        <f t="shared" ref="AF770:AF833" si="247">IFERROR(AE770-L770,0)</f>
        <v>-484465444</v>
      </c>
      <c r="AG770" s="40" t="str">
        <f>VLOOKUP(Indicador!E770,Diccionario!C$1:AC$150,27,0)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70" s="40">
        <v>1</v>
      </c>
      <c r="AI770" s="40">
        <v>1</v>
      </c>
    </row>
    <row r="771" spans="1:35" ht="18.75" customHeight="1">
      <c r="A771" s="73">
        <v>2027</v>
      </c>
      <c r="B771" s="112" t="s">
        <v>28</v>
      </c>
      <c r="C771" s="36" t="s">
        <v>450</v>
      </c>
      <c r="D771" s="37">
        <v>46020.703303703704</v>
      </c>
      <c r="E771" s="36" t="s">
        <v>100</v>
      </c>
      <c r="F771" s="36" t="s">
        <v>190</v>
      </c>
      <c r="G771" s="36" t="s">
        <v>451</v>
      </c>
      <c r="H771" s="36" t="s">
        <v>452</v>
      </c>
      <c r="I771" s="36" t="s">
        <v>165</v>
      </c>
      <c r="J771" s="36" t="s">
        <v>453</v>
      </c>
      <c r="K771" s="36" t="s">
        <v>177</v>
      </c>
      <c r="L771" s="74">
        <f>VLOOKUP(E771,Diccionario!C$2:AC$150,22,0)</f>
        <v>484465444</v>
      </c>
      <c r="M771" s="75">
        <f>VLOOKUP(E771,Diccionario!C$2:AC$150,24,0)</f>
        <v>45965</v>
      </c>
      <c r="N771" s="76">
        <f>VLOOKUP(E771,Diccionario!C$2:AC$150,25,0)</f>
        <v>46695</v>
      </c>
      <c r="O771" s="77">
        <f>VLOOKUP(E771,Diccionario!C$2:AC$150,26,0)</f>
        <v>24</v>
      </c>
      <c r="P771" s="77">
        <f t="shared" si="237"/>
        <v>-1</v>
      </c>
      <c r="Q771" s="78">
        <v>23</v>
      </c>
      <c r="R771" s="36">
        <v>25</v>
      </c>
      <c r="S771" s="86">
        <v>0.876</v>
      </c>
      <c r="T771" s="86"/>
      <c r="U771" s="82"/>
      <c r="V771" s="82"/>
      <c r="W771" s="82">
        <f t="shared" si="243"/>
        <v>0</v>
      </c>
      <c r="X771" s="82">
        <f t="shared" si="238"/>
        <v>424391728.94400001</v>
      </c>
      <c r="Y771" s="82">
        <f t="shared" si="244"/>
        <v>0</v>
      </c>
      <c r="Z771" s="82">
        <f t="shared" si="239"/>
        <v>-424391728.94400001</v>
      </c>
      <c r="AA771" s="83" t="str">
        <f t="shared" si="240"/>
        <v>No se realizó gasto en este corte</v>
      </c>
      <c r="AB771" s="84" t="str">
        <f t="shared" si="241"/>
        <v>Costo eficiente: se está gastando menos de lo presupuestado</v>
      </c>
      <c r="AC771" s="84">
        <f t="shared" si="245"/>
        <v>0</v>
      </c>
      <c r="AD771" s="84" t="str">
        <f t="shared" si="242"/>
        <v>Sin Línea Base</v>
      </c>
      <c r="AE771" s="85">
        <f t="shared" si="246"/>
        <v>0</v>
      </c>
      <c r="AF771" s="85">
        <f t="shared" si="247"/>
        <v>-484465444</v>
      </c>
      <c r="AG771" s="40" t="str">
        <f>VLOOKUP(Indicador!E771,Diccionario!C$1:AC$150,27,0)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71" s="40">
        <v>1</v>
      </c>
      <c r="AI771" s="40">
        <v>1</v>
      </c>
    </row>
    <row r="772" spans="1:35" ht="18.75" customHeight="1">
      <c r="A772" s="73">
        <v>2027</v>
      </c>
      <c r="B772" s="112" t="s">
        <v>30</v>
      </c>
      <c r="C772" s="36" t="s">
        <v>450</v>
      </c>
      <c r="D772" s="37">
        <v>46020.703303703704</v>
      </c>
      <c r="E772" s="36" t="s">
        <v>100</v>
      </c>
      <c r="F772" s="36" t="s">
        <v>190</v>
      </c>
      <c r="G772" s="36" t="s">
        <v>451</v>
      </c>
      <c r="H772" s="36" t="s">
        <v>452</v>
      </c>
      <c r="I772" s="36" t="s">
        <v>165</v>
      </c>
      <c r="J772" s="36" t="s">
        <v>453</v>
      </c>
      <c r="K772" s="36" t="s">
        <v>177</v>
      </c>
      <c r="L772" s="74">
        <f>VLOOKUP(E772,Diccionario!C$2:AC$150,22,0)</f>
        <v>484465444</v>
      </c>
      <c r="M772" s="75">
        <f>VLOOKUP(E772,Diccionario!C$2:AC$150,24,0)</f>
        <v>45965</v>
      </c>
      <c r="N772" s="76">
        <f>VLOOKUP(E772,Diccionario!C$2:AC$150,25,0)</f>
        <v>46695</v>
      </c>
      <c r="O772" s="77">
        <f>VLOOKUP(E772,Diccionario!C$2:AC$150,26,0)</f>
        <v>24</v>
      </c>
      <c r="P772" s="77">
        <f t="shared" si="237"/>
        <v>0</v>
      </c>
      <c r="Q772" s="78">
        <v>24</v>
      </c>
      <c r="R772" s="36">
        <v>25</v>
      </c>
      <c r="S772" s="86">
        <v>0.95</v>
      </c>
      <c r="T772" s="86"/>
      <c r="U772" s="82"/>
      <c r="V772" s="82"/>
      <c r="W772" s="82">
        <f t="shared" si="243"/>
        <v>0</v>
      </c>
      <c r="X772" s="82">
        <f t="shared" si="238"/>
        <v>460242171.79999995</v>
      </c>
      <c r="Y772" s="82">
        <f t="shared" si="244"/>
        <v>0</v>
      </c>
      <c r="Z772" s="82">
        <f t="shared" si="239"/>
        <v>-460242171.79999995</v>
      </c>
      <c r="AA772" s="83" t="str">
        <f t="shared" si="240"/>
        <v>No se realizó gasto en este corte</v>
      </c>
      <c r="AB772" s="84" t="str">
        <f t="shared" si="241"/>
        <v>Costo eficiente: se está gastando menos de lo presupuestado</v>
      </c>
      <c r="AC772" s="84">
        <f t="shared" si="245"/>
        <v>0</v>
      </c>
      <c r="AD772" s="84" t="str">
        <f t="shared" si="242"/>
        <v>Sin Línea Base</v>
      </c>
      <c r="AE772" s="85">
        <f t="shared" si="246"/>
        <v>0</v>
      </c>
      <c r="AF772" s="85">
        <f t="shared" si="247"/>
        <v>-484465444</v>
      </c>
      <c r="AG772" s="40" t="str">
        <f>VLOOKUP(Indicador!E772,Diccionario!C$1:AC$150,27,0)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72" s="40">
        <v>1</v>
      </c>
      <c r="AI772" s="40">
        <v>1</v>
      </c>
    </row>
    <row r="773" spans="1:35" ht="18.75" customHeight="1">
      <c r="A773" s="73">
        <v>2027</v>
      </c>
      <c r="B773" s="112" t="s">
        <v>31</v>
      </c>
      <c r="C773" s="36" t="s">
        <v>450</v>
      </c>
      <c r="D773" s="37">
        <v>46020.703303703704</v>
      </c>
      <c r="E773" s="36" t="s">
        <v>100</v>
      </c>
      <c r="F773" s="36" t="s">
        <v>190</v>
      </c>
      <c r="G773" s="36" t="s">
        <v>451</v>
      </c>
      <c r="H773" s="36" t="s">
        <v>452</v>
      </c>
      <c r="I773" s="36" t="s">
        <v>165</v>
      </c>
      <c r="J773" s="36" t="s">
        <v>453</v>
      </c>
      <c r="K773" s="36" t="s">
        <v>177</v>
      </c>
      <c r="L773" s="74">
        <f>VLOOKUP(E773,Diccionario!C$2:AC$150,22,0)</f>
        <v>484465444</v>
      </c>
      <c r="M773" s="75">
        <f>VLOOKUP(E773,Diccionario!C$2:AC$150,24,0)</f>
        <v>45965</v>
      </c>
      <c r="N773" s="76">
        <f>VLOOKUP(E773,Diccionario!C$2:AC$150,25,0)</f>
        <v>46695</v>
      </c>
      <c r="O773" s="77">
        <f>VLOOKUP(E773,Diccionario!C$2:AC$150,26,0)</f>
        <v>24</v>
      </c>
      <c r="P773" s="77">
        <f t="shared" si="237"/>
        <v>1</v>
      </c>
      <c r="Q773" s="78">
        <v>25</v>
      </c>
      <c r="R773" s="36">
        <v>25</v>
      </c>
      <c r="S773" s="86">
        <v>1</v>
      </c>
      <c r="T773" s="86"/>
      <c r="U773" s="82"/>
      <c r="V773" s="82"/>
      <c r="W773" s="82">
        <f t="shared" si="243"/>
        <v>0</v>
      </c>
      <c r="X773" s="82">
        <f t="shared" si="238"/>
        <v>484465444</v>
      </c>
      <c r="Y773" s="82">
        <f t="shared" si="244"/>
        <v>0</v>
      </c>
      <c r="Z773" s="82">
        <f t="shared" si="239"/>
        <v>-484465444</v>
      </c>
      <c r="AA773" s="83" t="str">
        <f t="shared" si="240"/>
        <v>No se realizó gasto en este corte</v>
      </c>
      <c r="AB773" s="84" t="str">
        <f t="shared" si="241"/>
        <v>Costo eficiente: se está gastando menos de lo presupuestado</v>
      </c>
      <c r="AC773" s="84">
        <f t="shared" si="245"/>
        <v>0</v>
      </c>
      <c r="AD773" s="84" t="str">
        <f t="shared" si="242"/>
        <v>Sin Línea Base</v>
      </c>
      <c r="AE773" s="85">
        <f t="shared" si="246"/>
        <v>0</v>
      </c>
      <c r="AF773" s="85">
        <f t="shared" si="247"/>
        <v>-484465444</v>
      </c>
      <c r="AG773" s="40" t="str">
        <f>VLOOKUP(Indicador!E773,Diccionario!C$1:AC$150,27,0)</f>
        <v>https://growdatasas.sharepoint.com/:x:/r/sites/Gestiondocumental/Administrativa/GD/Financiera/_layouts/15/Doc.aspx?sourcedoc=%7BD3D1C463-BD96-490E-8523-005453EFE334%7D&amp;file=20251301%20MODELO%20FINANCIERO%20REFERENCIA%20V7.4_CONTINUAR_SAAS_RAMA.xlsm&amp;action=default&amp;mobileredirect=true</v>
      </c>
      <c r="AH773" s="40">
        <v>1</v>
      </c>
      <c r="AI773" s="40">
        <v>1</v>
      </c>
    </row>
    <row r="774" spans="1:35" ht="18.75" customHeight="1">
      <c r="A774" s="73">
        <v>2025</v>
      </c>
      <c r="B774" s="112" t="s">
        <v>31</v>
      </c>
      <c r="C774" s="36" t="s">
        <v>454</v>
      </c>
      <c r="D774" s="37">
        <v>46041.077208368057</v>
      </c>
      <c r="E774" s="36" t="s">
        <v>69</v>
      </c>
      <c r="F774" s="36" t="s">
        <v>149</v>
      </c>
      <c r="G774" s="36" t="s">
        <v>455</v>
      </c>
      <c r="H774" s="36" t="s">
        <v>456</v>
      </c>
      <c r="I774" s="36" t="s">
        <v>152</v>
      </c>
      <c r="J774" s="36" t="s">
        <v>457</v>
      </c>
      <c r="K774" s="36" t="s">
        <v>177</v>
      </c>
      <c r="L774" s="74">
        <f>VLOOKUP(E774,Diccionario!C$2:AC$150,22,0)</f>
        <v>1965212706</v>
      </c>
      <c r="M774" s="75">
        <f>VLOOKUP(E774,Diccionario!C$2:AC$150,24,0)</f>
        <v>45971</v>
      </c>
      <c r="N774" s="76">
        <f>VLOOKUP(E774,Diccionario!C$2:AC$150,25,0)</f>
        <v>46022</v>
      </c>
      <c r="O774" s="77">
        <f>VLOOKUP(E774,Diccionario!C$2:AC$150,26,0)</f>
        <v>1.7</v>
      </c>
      <c r="P774" s="77">
        <f t="shared" si="237"/>
        <v>-0.7</v>
      </c>
      <c r="Q774" s="78">
        <v>1</v>
      </c>
      <c r="R774" s="36">
        <v>2</v>
      </c>
      <c r="S774" s="86">
        <v>0.5</v>
      </c>
      <c r="T774" s="86">
        <v>0.5</v>
      </c>
      <c r="U774" s="82">
        <v>55878009</v>
      </c>
      <c r="V774" s="82">
        <v>55878009</v>
      </c>
      <c r="W774" s="82">
        <f t="shared" si="243"/>
        <v>982606353</v>
      </c>
      <c r="X774" s="82">
        <f t="shared" si="238"/>
        <v>982606353</v>
      </c>
      <c r="Y774" s="82">
        <f t="shared" si="244"/>
        <v>926728344</v>
      </c>
      <c r="Z774" s="82">
        <f t="shared" si="239"/>
        <v>0</v>
      </c>
      <c r="AA774" s="83">
        <f t="shared" si="240"/>
        <v>17.584849041418064</v>
      </c>
      <c r="AB774" s="84" t="str">
        <f t="shared" si="241"/>
        <v>Costo eficiente: se está gastando menos de lo presupuestado</v>
      </c>
      <c r="AC774" s="84">
        <f t="shared" si="245"/>
        <v>1</v>
      </c>
      <c r="AD774" s="84" t="str">
        <f t="shared" si="242"/>
        <v>Proyecto a tiempo según lo planificado</v>
      </c>
      <c r="AE774" s="85">
        <f t="shared" si="246"/>
        <v>111756018</v>
      </c>
      <c r="AF774" s="85">
        <f t="shared" si="247"/>
        <v>-1853456688</v>
      </c>
      <c r="AG774" s="40" t="str">
        <f>VLOOKUP(Indicador!E774,Diccionario!C$1:AC$150,27,0)</f>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
      <c r="AH774" s="40">
        <v>1</v>
      </c>
      <c r="AI774" s="40">
        <v>1</v>
      </c>
    </row>
    <row r="775" spans="1:35" ht="18.75" customHeight="1">
      <c r="A775" s="73">
        <v>2025</v>
      </c>
      <c r="B775" s="112" t="s">
        <v>32</v>
      </c>
      <c r="C775" s="36" t="s">
        <v>454</v>
      </c>
      <c r="D775" s="37">
        <v>46041.077208368057</v>
      </c>
      <c r="E775" s="36" t="s">
        <v>69</v>
      </c>
      <c r="F775" s="36" t="s">
        <v>149</v>
      </c>
      <c r="G775" s="36" t="s">
        <v>455</v>
      </c>
      <c r="H775" s="36" t="s">
        <v>456</v>
      </c>
      <c r="I775" s="36" t="s">
        <v>152</v>
      </c>
      <c r="J775" s="36" t="s">
        <v>457</v>
      </c>
      <c r="K775" s="36" t="s">
        <v>177</v>
      </c>
      <c r="L775" s="74">
        <f>VLOOKUP(E775,Diccionario!C$2:AC$150,22,0)</f>
        <v>1965212706</v>
      </c>
      <c r="M775" s="75">
        <f>VLOOKUP(E775,Diccionario!C$2:AC$150,24,0)</f>
        <v>45971</v>
      </c>
      <c r="N775" s="76">
        <f>VLOOKUP(E775,Diccionario!C$2:AC$150,25,0)</f>
        <v>46022</v>
      </c>
      <c r="O775" s="77">
        <f>VLOOKUP(E775,Diccionario!C$2:AC$150,26,0)</f>
        <v>1.7</v>
      </c>
      <c r="P775" s="77">
        <f t="shared" si="237"/>
        <v>0.30000000000000004</v>
      </c>
      <c r="Q775" s="78">
        <v>2</v>
      </c>
      <c r="R775" s="36">
        <v>2</v>
      </c>
      <c r="S775" s="86">
        <v>1</v>
      </c>
      <c r="T775" s="86">
        <v>0.75</v>
      </c>
      <c r="U775" s="82">
        <v>20470785</v>
      </c>
      <c r="V775" s="82">
        <v>20470785</v>
      </c>
      <c r="W775" s="82">
        <f t="shared" si="243"/>
        <v>1473909529.5</v>
      </c>
      <c r="X775" s="82">
        <f t="shared" si="238"/>
        <v>1965212706</v>
      </c>
      <c r="Y775" s="82">
        <f t="shared" si="244"/>
        <v>1453438744.5</v>
      </c>
      <c r="Z775" s="82">
        <f t="shared" si="239"/>
        <v>-491303176.5</v>
      </c>
      <c r="AA775" s="83">
        <f t="shared" si="240"/>
        <v>72.000635515443108</v>
      </c>
      <c r="AB775" s="84" t="str">
        <f t="shared" si="241"/>
        <v>Costo eficiente: se está gastando menos de lo presupuestado</v>
      </c>
      <c r="AC775" s="84">
        <f t="shared" si="245"/>
        <v>0.75</v>
      </c>
      <c r="AD775" s="84" t="str">
        <f t="shared" si="242"/>
        <v>Proyecto atrasado con respecto al cronograma</v>
      </c>
      <c r="AE775" s="85">
        <f t="shared" si="246"/>
        <v>27294380</v>
      </c>
      <c r="AF775" s="85">
        <f t="shared" si="247"/>
        <v>-1937918326</v>
      </c>
      <c r="AG775" s="40" t="str">
        <f>VLOOKUP(Indicador!E775,Diccionario!C$1:AC$150,27,0)</f>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
      <c r="AH775" s="40">
        <v>1</v>
      </c>
      <c r="AI775" s="40">
        <v>1</v>
      </c>
    </row>
    <row r="776" spans="1:35" ht="18.75" customHeight="1">
      <c r="A776" s="73">
        <v>2026</v>
      </c>
      <c r="B776" s="112" t="s">
        <v>14</v>
      </c>
      <c r="C776" s="36" t="s">
        <v>454</v>
      </c>
      <c r="D776" s="37">
        <v>46041.077208368057</v>
      </c>
      <c r="E776" s="36" t="s">
        <v>69</v>
      </c>
      <c r="F776" s="36" t="s">
        <v>149</v>
      </c>
      <c r="G776" s="36" t="s">
        <v>455</v>
      </c>
      <c r="H776" s="36" t="s">
        <v>456</v>
      </c>
      <c r="I776" s="36" t="s">
        <v>152</v>
      </c>
      <c r="J776" s="36" t="s">
        <v>457</v>
      </c>
      <c r="K776" s="36" t="s">
        <v>177</v>
      </c>
      <c r="L776" s="74">
        <f>VLOOKUP(E776,Diccionario!C$2:AC$150,22,0)</f>
        <v>1965212706</v>
      </c>
      <c r="M776" s="75">
        <f>VLOOKUP(E776,Diccionario!C$2:AC$150,24,0)</f>
        <v>45971</v>
      </c>
      <c r="N776" s="76">
        <f>VLOOKUP(E776,Diccionario!C$2:AC$150,25,0)</f>
        <v>46022</v>
      </c>
      <c r="O776" s="77">
        <f>VLOOKUP(E776,Diccionario!C$2:AC$150,26,0)</f>
        <v>1.7</v>
      </c>
      <c r="P776" s="77">
        <f t="shared" ca="1" si="237"/>
        <v>6.3</v>
      </c>
      <c r="Q776" s="78">
        <f t="shared" ref="Q776" ca="1" si="248">DATEDIF(M776,TODAY(),"m")</f>
        <v>8</v>
      </c>
      <c r="R776" s="36">
        <v>2</v>
      </c>
      <c r="S776" s="86">
        <v>1</v>
      </c>
      <c r="T776" s="86">
        <v>1</v>
      </c>
      <c r="U776" s="82">
        <v>1888863912</v>
      </c>
      <c r="V776" s="82">
        <v>1888863912</v>
      </c>
      <c r="W776" s="82">
        <f t="shared" si="243"/>
        <v>1965212706</v>
      </c>
      <c r="X776" s="82">
        <f t="shared" ref="X776" si="249">S776*L776</f>
        <v>1965212706</v>
      </c>
      <c r="Y776" s="82">
        <f t="shared" si="244"/>
        <v>76348794</v>
      </c>
      <c r="Z776" s="82">
        <f t="shared" ref="Z776" si="250">W776-X776</f>
        <v>0</v>
      </c>
      <c r="AA776" s="83">
        <f t="shared" si="240"/>
        <v>1.0404204842471467</v>
      </c>
      <c r="AB776" s="84" t="str">
        <f t="shared" ref="AB776" si="251">IFERROR(
  IF(OR(AA776="",AA776=0),
    "No calculado",
    IF(AA776&gt;1,"Costo eficiente: se está gastando menos de lo presupuestado",
      IF(AA776=1,"Costo según lo presupuestado",
        "Costo ineficiente: se está gastando más de lo presupuestado"))),
"No calculado")</f>
        <v>Costo eficiente: se está gastando menos de lo presupuestado</v>
      </c>
      <c r="AC776" s="84">
        <f t="shared" si="245"/>
        <v>1</v>
      </c>
      <c r="AD776" s="84" t="str">
        <f t="shared" ref="AD776" si="252">IF(OR(AC776="",AC776=0),"Sin Línea Base",
IF(AC776&gt;1,"Proyecto adelantado respecto al cronograma",
IF(AC776=1,"Proyecto a tiempo según lo planificado",
IF(AC776&lt;1,"Proyecto atrasado con respecto al cronograma",
"No calculado"))))</f>
        <v>Proyecto a tiempo según lo planificado</v>
      </c>
      <c r="AE776" s="85">
        <f t="shared" si="246"/>
        <v>1888863912</v>
      </c>
      <c r="AF776" s="85">
        <f t="shared" si="247"/>
        <v>-76348794</v>
      </c>
      <c r="AG776" s="40" t="str">
        <f>VLOOKUP(Indicador!E776,Diccionario!C$1:AC$150,27,0)</f>
        <v>https://growdatasas.sharepoint.com/:x:/r/sites/Gestiondocumental/Administrativa/GD/Financiera/_layouts/15/Doc.aspx?sourcedoc=%7B380FDC26-2DE8-4445-A788-2A385F4CCDE1%7D&amp;file=MODELO%20FINANCIERO%20MIN%20INTERIOR%20CIBERSEGURIDAD%20v9%20-%20sin%20IVA%20WAF%20con%20Provisiones.xlsm&amp;action=default&amp;mobileredirect=true</v>
      </c>
      <c r="AH776" s="40">
        <v>1</v>
      </c>
      <c r="AI776" s="40">
        <v>1</v>
      </c>
    </row>
    <row r="777" spans="1:35" ht="18.75" customHeight="1">
      <c r="A777" s="73">
        <v>2025</v>
      </c>
      <c r="B777" s="112" t="s">
        <v>30</v>
      </c>
      <c r="C777" s="36" t="s">
        <v>458</v>
      </c>
      <c r="D777" s="37">
        <v>45979.850120914351</v>
      </c>
      <c r="E777" s="36" t="s">
        <v>90</v>
      </c>
      <c r="F777" s="36" t="s">
        <v>428</v>
      </c>
      <c r="G777" s="36" t="s">
        <v>459</v>
      </c>
      <c r="H777" s="36" t="s">
        <v>460</v>
      </c>
      <c r="I777" s="36" t="s">
        <v>175</v>
      </c>
      <c r="J777" s="36" t="s">
        <v>461</v>
      </c>
      <c r="K777" s="36" t="s">
        <v>339</v>
      </c>
      <c r="L777" s="74">
        <f>VLOOKUP(E777,Diccionario!C$2:AC$150,22,0)</f>
        <v>4749361914</v>
      </c>
      <c r="M777" s="75">
        <f>VLOOKUP(E777,Diccionario!C$2:AC$150,24,0)</f>
        <v>45976</v>
      </c>
      <c r="N777" s="76">
        <f>VLOOKUP(E777,Diccionario!C$2:AC$150,25,0)</f>
        <v>46142</v>
      </c>
      <c r="O777" s="77">
        <f>VLOOKUP(E777,Diccionario!C$2:AC$150,26,0)</f>
        <v>5.5</v>
      </c>
      <c r="P777" s="77">
        <f t="shared" si="237"/>
        <v>-4.5</v>
      </c>
      <c r="Q777" s="78">
        <v>1</v>
      </c>
      <c r="R777" s="36">
        <v>6</v>
      </c>
      <c r="S777" s="86">
        <v>0.01</v>
      </c>
      <c r="T777" s="86">
        <v>0.01</v>
      </c>
      <c r="U777" s="82">
        <v>200646429</v>
      </c>
      <c r="V777" s="82">
        <v>200646429</v>
      </c>
      <c r="W777" s="82">
        <f t="shared" si="243"/>
        <v>47493619.140000001</v>
      </c>
      <c r="X777" s="82">
        <f t="shared" ref="X777:X814" si="253">S777*L777</f>
        <v>47493619.140000001</v>
      </c>
      <c r="Y777" s="82">
        <f t="shared" si="244"/>
        <v>-153152809.86000001</v>
      </c>
      <c r="Z777" s="82">
        <f t="shared" ref="Z777:Z814" si="254">W777-X777</f>
        <v>0</v>
      </c>
      <c r="AA777" s="83">
        <f t="shared" si="240"/>
        <v>0.23670303716195218</v>
      </c>
      <c r="AB777" s="84" t="str">
        <f t="shared" ref="AB777:AB814" si="255">IFERROR(
  IF(OR(AA777="",AA777=0),
    "No calculado",
    IF(AA777&gt;1,"Costo eficiente: se está gastando menos de lo presupuestado",
      IF(AA777=1,"Costo según lo presupuestado",
        "Costo ineficiente: se está gastando más de lo presupuestado"))),
"No calculado")</f>
        <v>Costo ineficiente: se está gastando más de lo presupuestado</v>
      </c>
      <c r="AC777" s="84">
        <f t="shared" si="245"/>
        <v>1</v>
      </c>
      <c r="AD777" s="84" t="str">
        <f t="shared" ref="AD777:AD814" si="256">IF(OR(AC777="",AC777=0),"Sin Línea Base",
IF(AC777&gt;1,"Proyecto adelantado respecto al cronograma",
IF(AC777=1,"Proyecto a tiempo según lo planificado",
IF(AC777&lt;1,"Proyecto atrasado con respecto al cronograma",
"No calculado"))))</f>
        <v>Proyecto a tiempo según lo planificado</v>
      </c>
      <c r="AE777" s="85">
        <f t="shared" si="246"/>
        <v>20064642900</v>
      </c>
      <c r="AF777" s="85">
        <f t="shared" si="247"/>
        <v>15315280986</v>
      </c>
      <c r="AG777" s="40" t="str">
        <f>VLOOKUP(Indicador!E777,Diccionario!C$1:AC$150,27,0)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77" s="40">
        <v>1</v>
      </c>
      <c r="AI777" s="40">
        <v>1</v>
      </c>
    </row>
    <row r="778" spans="1:35" ht="18.75" customHeight="1">
      <c r="A778" s="73">
        <v>2025</v>
      </c>
      <c r="B778" s="112" t="s">
        <v>31</v>
      </c>
      <c r="C778" s="36" t="s">
        <v>458</v>
      </c>
      <c r="D778" s="37">
        <v>45979.850120914351</v>
      </c>
      <c r="E778" s="36" t="s">
        <v>90</v>
      </c>
      <c r="F778" s="36" t="s">
        <v>428</v>
      </c>
      <c r="G778" s="36" t="s">
        <v>459</v>
      </c>
      <c r="H778" s="36" t="s">
        <v>460</v>
      </c>
      <c r="I778" s="36" t="s">
        <v>175</v>
      </c>
      <c r="J778" s="36" t="s">
        <v>461</v>
      </c>
      <c r="K778" s="36" t="s">
        <v>339</v>
      </c>
      <c r="L778" s="74">
        <f>VLOOKUP(E778,Diccionario!C$2:AC$150,22,0)</f>
        <v>4749361914</v>
      </c>
      <c r="M778" s="75">
        <f>VLOOKUP(E778,Diccionario!C$2:AC$150,24,0)</f>
        <v>45976</v>
      </c>
      <c r="N778" s="76">
        <f>VLOOKUP(E778,Diccionario!C$2:AC$150,25,0)</f>
        <v>46142</v>
      </c>
      <c r="O778" s="77">
        <f>VLOOKUP(E778,Diccionario!C$2:AC$150,26,0)</f>
        <v>5.5</v>
      </c>
      <c r="P778" s="77">
        <f t="shared" si="237"/>
        <v>-4.5</v>
      </c>
      <c r="Q778" s="78">
        <v>1</v>
      </c>
      <c r="R778" s="36">
        <v>6</v>
      </c>
      <c r="S778" s="86">
        <v>0.1</v>
      </c>
      <c r="T778" s="86">
        <v>0.1</v>
      </c>
      <c r="U778" s="82">
        <v>463544681</v>
      </c>
      <c r="V778" s="82">
        <v>463544681</v>
      </c>
      <c r="W778" s="82">
        <f t="shared" si="243"/>
        <v>474936191.40000004</v>
      </c>
      <c r="X778" s="82">
        <f t="shared" si="253"/>
        <v>474936191.40000004</v>
      </c>
      <c r="Y778" s="82">
        <f t="shared" si="244"/>
        <v>11391510.400000036</v>
      </c>
      <c r="Z778" s="82">
        <f t="shared" si="254"/>
        <v>0</v>
      </c>
      <c r="AA778" s="83">
        <f t="shared" si="240"/>
        <v>1.0245747839785913</v>
      </c>
      <c r="AB778" s="84" t="str">
        <f t="shared" si="255"/>
        <v>Costo eficiente: se está gastando menos de lo presupuestado</v>
      </c>
      <c r="AC778" s="84">
        <f t="shared" si="245"/>
        <v>1</v>
      </c>
      <c r="AD778" s="84" t="str">
        <f t="shared" si="256"/>
        <v>Proyecto a tiempo según lo planificado</v>
      </c>
      <c r="AE778" s="85">
        <f t="shared" si="246"/>
        <v>4635446810</v>
      </c>
      <c r="AF778" s="85">
        <f t="shared" si="247"/>
        <v>-113915104</v>
      </c>
      <c r="AG778" s="40" t="str">
        <f>VLOOKUP(Indicador!E778,Diccionario!C$1:AC$150,27,0)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78" s="40">
        <v>1</v>
      </c>
      <c r="AI778" s="40">
        <v>1</v>
      </c>
    </row>
    <row r="779" spans="1:35" ht="18.75" customHeight="1">
      <c r="A779" s="73">
        <v>2025</v>
      </c>
      <c r="B779" s="112" t="s">
        <v>32</v>
      </c>
      <c r="C779" s="36" t="s">
        <v>458</v>
      </c>
      <c r="D779" s="37">
        <v>45979.850120914351</v>
      </c>
      <c r="E779" s="36" t="s">
        <v>90</v>
      </c>
      <c r="F779" s="36" t="s">
        <v>428</v>
      </c>
      <c r="G779" s="36" t="s">
        <v>459</v>
      </c>
      <c r="H779" s="36" t="s">
        <v>460</v>
      </c>
      <c r="I779" s="36" t="s">
        <v>175</v>
      </c>
      <c r="J779" s="36" t="s">
        <v>461</v>
      </c>
      <c r="K779" s="36" t="s">
        <v>339</v>
      </c>
      <c r="L779" s="74">
        <f>VLOOKUP(E779,Diccionario!C$2:AC$150,22,0)</f>
        <v>4749361914</v>
      </c>
      <c r="M779" s="75">
        <f>VLOOKUP(E779,Diccionario!C$2:AC$150,24,0)</f>
        <v>45976</v>
      </c>
      <c r="N779" s="76">
        <f>VLOOKUP(E779,Diccionario!C$2:AC$150,25,0)</f>
        <v>46142</v>
      </c>
      <c r="O779" s="77">
        <f>VLOOKUP(E779,Diccionario!C$2:AC$150,26,0)</f>
        <v>5.5</v>
      </c>
      <c r="P779" s="77">
        <f t="shared" si="237"/>
        <v>-3.5</v>
      </c>
      <c r="Q779" s="78">
        <v>2</v>
      </c>
      <c r="R779" s="36">
        <v>6</v>
      </c>
      <c r="S779" s="86">
        <v>0.3</v>
      </c>
      <c r="T779" s="86">
        <v>0.25</v>
      </c>
      <c r="U779" s="82">
        <v>3024666137</v>
      </c>
      <c r="V779" s="82">
        <v>3024666137</v>
      </c>
      <c r="W779" s="82">
        <f t="shared" si="243"/>
        <v>1187340478.5</v>
      </c>
      <c r="X779" s="82">
        <f t="shared" si="253"/>
        <v>1424808574.2</v>
      </c>
      <c r="Y779" s="82">
        <f t="shared" si="244"/>
        <v>-1837325658.5</v>
      </c>
      <c r="Z779" s="82">
        <f t="shared" si="254"/>
        <v>-237468095.70000005</v>
      </c>
      <c r="AA779" s="83">
        <f t="shared" si="240"/>
        <v>0.39255257430747637</v>
      </c>
      <c r="AB779" s="84" t="str">
        <f t="shared" si="255"/>
        <v>Costo ineficiente: se está gastando más de lo presupuestado</v>
      </c>
      <c r="AC779" s="84">
        <f t="shared" si="245"/>
        <v>0.83333333333333326</v>
      </c>
      <c r="AD779" s="84" t="str">
        <f t="shared" si="256"/>
        <v>Proyecto atrasado con respecto al cronograma</v>
      </c>
      <c r="AE779" s="85">
        <f t="shared" si="246"/>
        <v>12098664548</v>
      </c>
      <c r="AF779" s="85">
        <f t="shared" si="247"/>
        <v>7349302634</v>
      </c>
      <c r="AG779" s="40" t="str">
        <f>VLOOKUP(Indicador!E779,Diccionario!C$1:AC$150,27,0)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79" s="40">
        <v>1</v>
      </c>
      <c r="AI779" s="40">
        <v>1</v>
      </c>
    </row>
    <row r="780" spans="1:35" ht="18.75" customHeight="1">
      <c r="A780" s="73">
        <v>2026</v>
      </c>
      <c r="B780" s="112" t="s">
        <v>14</v>
      </c>
      <c r="C780" s="36" t="s">
        <v>458</v>
      </c>
      <c r="D780" s="37">
        <v>45979.850120914351</v>
      </c>
      <c r="E780" s="36" t="s">
        <v>90</v>
      </c>
      <c r="F780" s="36" t="s">
        <v>428</v>
      </c>
      <c r="G780" s="36" t="s">
        <v>459</v>
      </c>
      <c r="H780" s="36" t="s">
        <v>460</v>
      </c>
      <c r="I780" s="36" t="s">
        <v>175</v>
      </c>
      <c r="J780" s="36" t="s">
        <v>461</v>
      </c>
      <c r="K780" s="36" t="s">
        <v>339</v>
      </c>
      <c r="L780" s="74">
        <f>VLOOKUP(E780,Diccionario!C$2:AC$150,22,0)</f>
        <v>4749361914</v>
      </c>
      <c r="M780" s="75">
        <f>VLOOKUP(E780,Diccionario!C$2:AC$150,24,0)</f>
        <v>45976</v>
      </c>
      <c r="N780" s="76">
        <f>VLOOKUP(E780,Diccionario!C$2:AC$150,25,0)</f>
        <v>46142</v>
      </c>
      <c r="O780" s="77">
        <f>VLOOKUP(E780,Diccionario!C$2:AC$150,26,0)</f>
        <v>5.5</v>
      </c>
      <c r="P780" s="77">
        <f t="shared" si="237"/>
        <v>-2.5</v>
      </c>
      <c r="Q780" s="78">
        <v>3</v>
      </c>
      <c r="R780" s="36">
        <v>6</v>
      </c>
      <c r="S780" s="86">
        <v>0.5</v>
      </c>
      <c r="T780" s="86">
        <v>0.45</v>
      </c>
      <c r="U780" s="82">
        <v>408258621</v>
      </c>
      <c r="V780" s="82">
        <v>408258621</v>
      </c>
      <c r="W780" s="82">
        <f t="shared" si="243"/>
        <v>2137212861.3</v>
      </c>
      <c r="X780" s="82">
        <f t="shared" si="253"/>
        <v>2374680957</v>
      </c>
      <c r="Y780" s="82">
        <f t="shared" si="244"/>
        <v>1728954240.3</v>
      </c>
      <c r="Z780" s="82">
        <f t="shared" si="254"/>
        <v>-237468095.70000005</v>
      </c>
      <c r="AA780" s="83">
        <f t="shared" si="240"/>
        <v>5.234948513922502</v>
      </c>
      <c r="AB780" s="84" t="str">
        <f t="shared" si="255"/>
        <v>Costo eficiente: se está gastando menos de lo presupuestado</v>
      </c>
      <c r="AC780" s="84">
        <f t="shared" si="245"/>
        <v>0.9</v>
      </c>
      <c r="AD780" s="84" t="str">
        <f t="shared" si="256"/>
        <v>Proyecto atrasado con respecto al cronograma</v>
      </c>
      <c r="AE780" s="85">
        <f t="shared" si="246"/>
        <v>907241380</v>
      </c>
      <c r="AF780" s="85">
        <f t="shared" si="247"/>
        <v>-3842120534</v>
      </c>
      <c r="AG780" s="40" t="str">
        <f>VLOOKUP(Indicador!E780,Diccionario!C$1:AC$150,27,0)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80" s="40">
        <v>1</v>
      </c>
      <c r="AI780" s="40">
        <v>1</v>
      </c>
    </row>
    <row r="781" spans="1:35" ht="18.75" customHeight="1">
      <c r="A781" s="73">
        <v>2026</v>
      </c>
      <c r="B781" s="112" t="s">
        <v>22</v>
      </c>
      <c r="C781" s="36" t="s">
        <v>458</v>
      </c>
      <c r="D781" s="37">
        <v>45979.850120914351</v>
      </c>
      <c r="E781" s="36" t="s">
        <v>90</v>
      </c>
      <c r="F781" s="36" t="s">
        <v>428</v>
      </c>
      <c r="G781" s="36" t="s">
        <v>459</v>
      </c>
      <c r="H781" s="36" t="s">
        <v>460</v>
      </c>
      <c r="I781" s="36" t="s">
        <v>175</v>
      </c>
      <c r="J781" s="36" t="s">
        <v>461</v>
      </c>
      <c r="K781" s="36" t="s">
        <v>339</v>
      </c>
      <c r="L781" s="74">
        <f>VLOOKUP(E781,Diccionario!C$2:AC$150,22,0)</f>
        <v>4749361914</v>
      </c>
      <c r="M781" s="75">
        <f>VLOOKUP(E781,Diccionario!C$2:AC$150,24,0)</f>
        <v>45976</v>
      </c>
      <c r="N781" s="76">
        <f>VLOOKUP(E781,Diccionario!C$2:AC$150,25,0)</f>
        <v>46142</v>
      </c>
      <c r="O781" s="77">
        <f>VLOOKUP(E781,Diccionario!C$2:AC$150,26,0)</f>
        <v>5.5</v>
      </c>
      <c r="P781" s="77">
        <f t="shared" ref="P781:P809" si="257">Q781-O781</f>
        <v>-1.5</v>
      </c>
      <c r="Q781" s="78">
        <v>4</v>
      </c>
      <c r="R781" s="36">
        <v>6</v>
      </c>
      <c r="S781" s="86">
        <v>0.7</v>
      </c>
      <c r="T781" s="86"/>
      <c r="U781" s="82"/>
      <c r="V781" s="82"/>
      <c r="W781" s="82">
        <f t="shared" si="243"/>
        <v>0</v>
      </c>
      <c r="X781" s="82">
        <f t="shared" si="253"/>
        <v>3324553339.7999997</v>
      </c>
      <c r="Y781" s="82">
        <f t="shared" si="244"/>
        <v>0</v>
      </c>
      <c r="Z781" s="82">
        <f t="shared" si="254"/>
        <v>-3324553339.7999997</v>
      </c>
      <c r="AA781" s="83" t="str">
        <f t="shared" si="240"/>
        <v>No se realizó gasto en este corte</v>
      </c>
      <c r="AB781" s="84" t="str">
        <f t="shared" si="255"/>
        <v>Costo eficiente: se está gastando menos de lo presupuestado</v>
      </c>
      <c r="AC781" s="84">
        <f t="shared" si="245"/>
        <v>0</v>
      </c>
      <c r="AD781" s="84" t="str">
        <f t="shared" si="256"/>
        <v>Sin Línea Base</v>
      </c>
      <c r="AE781" s="85">
        <f t="shared" si="246"/>
        <v>0</v>
      </c>
      <c r="AF781" s="85">
        <f t="shared" si="247"/>
        <v>-4749361914</v>
      </c>
      <c r="AG781" s="40" t="str">
        <f>VLOOKUP(Indicador!E781,Diccionario!C$1:AC$150,27,0)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81" s="40">
        <v>1</v>
      </c>
      <c r="AI781" s="40">
        <v>1</v>
      </c>
    </row>
    <row r="782" spans="1:35" ht="18.75" customHeight="1">
      <c r="A782" s="73">
        <v>2026</v>
      </c>
      <c r="B782" s="112" t="s">
        <v>24</v>
      </c>
      <c r="C782" s="36" t="s">
        <v>458</v>
      </c>
      <c r="D782" s="37">
        <v>45979.850120914351</v>
      </c>
      <c r="E782" s="36" t="s">
        <v>90</v>
      </c>
      <c r="F782" s="36" t="s">
        <v>428</v>
      </c>
      <c r="G782" s="36" t="s">
        <v>459</v>
      </c>
      <c r="H782" s="36" t="s">
        <v>460</v>
      </c>
      <c r="I782" s="36" t="s">
        <v>175</v>
      </c>
      <c r="J782" s="36" t="s">
        <v>461</v>
      </c>
      <c r="K782" s="36" t="s">
        <v>339</v>
      </c>
      <c r="L782" s="74">
        <f>VLOOKUP(E782,Diccionario!C$2:AC$150,22,0)</f>
        <v>4749361914</v>
      </c>
      <c r="M782" s="75">
        <f>VLOOKUP(E782,Diccionario!C$2:AC$150,24,0)</f>
        <v>45976</v>
      </c>
      <c r="N782" s="76">
        <f>VLOOKUP(E782,Diccionario!C$2:AC$150,25,0)</f>
        <v>46142</v>
      </c>
      <c r="O782" s="77">
        <f>VLOOKUP(E782,Diccionario!C$2:AC$150,26,0)</f>
        <v>5.5</v>
      </c>
      <c r="P782" s="77">
        <f t="shared" si="257"/>
        <v>-0.5</v>
      </c>
      <c r="Q782" s="78">
        <v>5</v>
      </c>
      <c r="R782" s="36">
        <v>6</v>
      </c>
      <c r="S782" s="86">
        <v>0.8</v>
      </c>
      <c r="T782" s="86"/>
      <c r="U782" s="82"/>
      <c r="V782" s="82"/>
      <c r="W782" s="82">
        <f t="shared" si="243"/>
        <v>0</v>
      </c>
      <c r="X782" s="82">
        <f t="shared" si="253"/>
        <v>3799489531.2000003</v>
      </c>
      <c r="Y782" s="82">
        <f t="shared" si="244"/>
        <v>0</v>
      </c>
      <c r="Z782" s="82">
        <f t="shared" si="254"/>
        <v>-3799489531.2000003</v>
      </c>
      <c r="AA782" s="83" t="str">
        <f t="shared" si="240"/>
        <v>No se realizó gasto en este corte</v>
      </c>
      <c r="AB782" s="84" t="str">
        <f t="shared" si="255"/>
        <v>Costo eficiente: se está gastando menos de lo presupuestado</v>
      </c>
      <c r="AC782" s="84">
        <f t="shared" si="245"/>
        <v>0</v>
      </c>
      <c r="AD782" s="84" t="str">
        <f t="shared" si="256"/>
        <v>Sin Línea Base</v>
      </c>
      <c r="AE782" s="85">
        <f t="shared" si="246"/>
        <v>0</v>
      </c>
      <c r="AF782" s="85">
        <f t="shared" si="247"/>
        <v>-4749361914</v>
      </c>
      <c r="AG782" s="40" t="str">
        <f>VLOOKUP(Indicador!E782,Diccionario!C$1:AC$150,27,0)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82" s="40">
        <v>1</v>
      </c>
      <c r="AI782" s="40">
        <v>1</v>
      </c>
    </row>
    <row r="783" spans="1:35" ht="18.75" customHeight="1">
      <c r="A783" s="73">
        <v>2026</v>
      </c>
      <c r="B783" s="112" t="s">
        <v>27</v>
      </c>
      <c r="C783" s="36" t="s">
        <v>458</v>
      </c>
      <c r="D783" s="37">
        <v>45979.850120914351</v>
      </c>
      <c r="E783" s="36" t="s">
        <v>90</v>
      </c>
      <c r="F783" s="36" t="s">
        <v>428</v>
      </c>
      <c r="G783" s="36" t="s">
        <v>459</v>
      </c>
      <c r="H783" s="36" t="s">
        <v>460</v>
      </c>
      <c r="I783" s="36" t="s">
        <v>175</v>
      </c>
      <c r="J783" s="36" t="s">
        <v>461</v>
      </c>
      <c r="K783" s="36" t="s">
        <v>339</v>
      </c>
      <c r="L783" s="74">
        <f>VLOOKUP(E783,Diccionario!C$2:AC$150,22,0)</f>
        <v>4749361914</v>
      </c>
      <c r="M783" s="75">
        <f>VLOOKUP(E783,Diccionario!C$2:AC$150,24,0)</f>
        <v>45976</v>
      </c>
      <c r="N783" s="76">
        <f>VLOOKUP(E783,Diccionario!C$2:AC$150,25,0)</f>
        <v>46142</v>
      </c>
      <c r="O783" s="77">
        <f>VLOOKUP(E783,Diccionario!C$2:AC$150,26,0)</f>
        <v>5.5</v>
      </c>
      <c r="P783" s="77">
        <f t="shared" si="257"/>
        <v>0.5</v>
      </c>
      <c r="Q783" s="78">
        <v>6</v>
      </c>
      <c r="R783" s="36">
        <v>6</v>
      </c>
      <c r="S783" s="86">
        <v>1</v>
      </c>
      <c r="T783" s="86"/>
      <c r="U783" s="82"/>
      <c r="V783" s="82"/>
      <c r="W783" s="82">
        <f t="shared" si="243"/>
        <v>0</v>
      </c>
      <c r="X783" s="82">
        <f t="shared" si="253"/>
        <v>4749361914</v>
      </c>
      <c r="Y783" s="82">
        <f t="shared" si="244"/>
        <v>0</v>
      </c>
      <c r="Z783" s="82">
        <f t="shared" si="254"/>
        <v>-4749361914</v>
      </c>
      <c r="AA783" s="83" t="str">
        <f t="shared" si="240"/>
        <v>No se realizó gasto en este corte</v>
      </c>
      <c r="AB783" s="84" t="str">
        <f t="shared" si="255"/>
        <v>Costo eficiente: se está gastando menos de lo presupuestado</v>
      </c>
      <c r="AC783" s="84">
        <f t="shared" si="245"/>
        <v>0</v>
      </c>
      <c r="AD783" s="84" t="str">
        <f t="shared" si="256"/>
        <v>Sin Línea Base</v>
      </c>
      <c r="AE783" s="85">
        <f t="shared" si="246"/>
        <v>0</v>
      </c>
      <c r="AF783" s="85">
        <f t="shared" si="247"/>
        <v>-4749361914</v>
      </c>
      <c r="AG783" s="40" t="str">
        <f>VLOOKUP(Indicador!E783,Diccionario!C$1:AC$150,27,0)</f>
        <v>https://growdatasas.sharepoint.com/:x:/r/sites/Gestiondocumental/Administrativa/GD/Financiera/_layouts/15/Doc.aspx?sourcedoc=%7B5D4A893D-AEF1-4B8E-9B0A-8D07579BCA41%7D&amp;file=MODELO%20FINANCIERO%20-%20CNE%20-%20SOLUCI%C3%93N%20TECNOLOGICA%20(TI%20%2B%20DATOS)%2026012026.xlsm&amp;action=default&amp;mobileredirect=true</v>
      </c>
      <c r="AH783" s="40">
        <v>1</v>
      </c>
      <c r="AI783" s="40">
        <v>1</v>
      </c>
    </row>
    <row r="784" spans="1:35" ht="18.75" customHeight="1">
      <c r="A784" s="73">
        <v>2025</v>
      </c>
      <c r="B784" s="112" t="s">
        <v>31</v>
      </c>
      <c r="C784" s="36" t="s">
        <v>462</v>
      </c>
      <c r="D784" s="37">
        <v>45987.733444907404</v>
      </c>
      <c r="E784" s="36" t="s">
        <v>93</v>
      </c>
      <c r="F784" s="36" t="s">
        <v>270</v>
      </c>
      <c r="G784" s="36" t="s">
        <v>463</v>
      </c>
      <c r="H784" s="36" t="s">
        <v>464</v>
      </c>
      <c r="I784" s="36" t="s">
        <v>175</v>
      </c>
      <c r="J784" s="36" t="s">
        <v>465</v>
      </c>
      <c r="K784" s="36" t="s">
        <v>339</v>
      </c>
      <c r="L784" s="74">
        <f>VLOOKUP(E784,Diccionario!C$2:AC$150,22,0)</f>
        <v>1597913499</v>
      </c>
      <c r="M784" s="75">
        <f>VLOOKUP(E784,Diccionario!C$2:AC$150,24,0)</f>
        <v>45989</v>
      </c>
      <c r="N784" s="76">
        <f>VLOOKUP(E784,Diccionario!C$2:AC$150,25,0)</f>
        <v>46293</v>
      </c>
      <c r="O784" s="77">
        <f>VLOOKUP(E784,Diccionario!C$2:AC$150,26,0)</f>
        <v>10</v>
      </c>
      <c r="P784" s="77">
        <f t="shared" si="257"/>
        <v>-9</v>
      </c>
      <c r="Q784" s="78">
        <v>1</v>
      </c>
      <c r="R784" s="36">
        <v>10</v>
      </c>
      <c r="S784" s="86">
        <v>0.1</v>
      </c>
      <c r="T784" s="86">
        <v>0.1</v>
      </c>
      <c r="U784" s="82">
        <v>100779731</v>
      </c>
      <c r="V784" s="82">
        <v>100779731</v>
      </c>
      <c r="W784" s="82">
        <f t="shared" si="243"/>
        <v>159791349.90000001</v>
      </c>
      <c r="X784" s="82">
        <f t="shared" si="253"/>
        <v>159791349.90000001</v>
      </c>
      <c r="Y784" s="82">
        <f t="shared" si="244"/>
        <v>59011618.900000006</v>
      </c>
      <c r="Z784" s="82">
        <f t="shared" si="254"/>
        <v>0</v>
      </c>
      <c r="AA784" s="83">
        <f t="shared" si="240"/>
        <v>1.5855504704611685</v>
      </c>
      <c r="AB784" s="84" t="str">
        <f t="shared" si="255"/>
        <v>Costo eficiente: se está gastando menos de lo presupuestado</v>
      </c>
      <c r="AC784" s="84">
        <f t="shared" si="245"/>
        <v>1</v>
      </c>
      <c r="AD784" s="84" t="str">
        <f t="shared" si="256"/>
        <v>Proyecto a tiempo según lo planificado</v>
      </c>
      <c r="AE784" s="85">
        <f t="shared" si="246"/>
        <v>1007797310</v>
      </c>
      <c r="AF784" s="85">
        <f t="shared" si="247"/>
        <v>-590116189</v>
      </c>
      <c r="AG784" s="40" t="str">
        <f>VLOOKUP(Indicador!E784,Diccionario!C$1:AC$150,27,0)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84" s="40">
        <v>1</v>
      </c>
      <c r="AI784" s="40">
        <v>1</v>
      </c>
    </row>
    <row r="785" spans="1:35" ht="18.75" customHeight="1">
      <c r="A785" s="73">
        <v>2025</v>
      </c>
      <c r="B785" s="112" t="s">
        <v>32</v>
      </c>
      <c r="C785" s="36" t="s">
        <v>462</v>
      </c>
      <c r="D785" s="37">
        <v>45987.733444907404</v>
      </c>
      <c r="E785" s="36" t="s">
        <v>93</v>
      </c>
      <c r="F785" s="36" t="s">
        <v>270</v>
      </c>
      <c r="G785" s="36" t="s">
        <v>463</v>
      </c>
      <c r="H785" s="36" t="s">
        <v>464</v>
      </c>
      <c r="I785" s="36" t="s">
        <v>175</v>
      </c>
      <c r="J785" s="36" t="s">
        <v>465</v>
      </c>
      <c r="K785" s="36" t="s">
        <v>339</v>
      </c>
      <c r="L785" s="74">
        <f>VLOOKUP(E785,Diccionario!C$2:AC$150,22,0)</f>
        <v>1597913499</v>
      </c>
      <c r="M785" s="75">
        <f>VLOOKUP(E785,Diccionario!C$2:AC$150,24,0)</f>
        <v>45989</v>
      </c>
      <c r="N785" s="76">
        <f>VLOOKUP(E785,Diccionario!C$2:AC$150,25,0)</f>
        <v>46293</v>
      </c>
      <c r="O785" s="77">
        <f>VLOOKUP(E785,Diccionario!C$2:AC$150,26,0)</f>
        <v>10</v>
      </c>
      <c r="P785" s="77">
        <f t="shared" si="257"/>
        <v>-8</v>
      </c>
      <c r="Q785" s="78">
        <v>2</v>
      </c>
      <c r="R785" s="36">
        <v>10</v>
      </c>
      <c r="S785" s="86">
        <v>0.15</v>
      </c>
      <c r="T785" s="86">
        <v>0.15</v>
      </c>
      <c r="U785" s="82">
        <v>156480181</v>
      </c>
      <c r="V785" s="82">
        <v>156480181</v>
      </c>
      <c r="W785" s="82">
        <f t="shared" si="243"/>
        <v>239687024.84999999</v>
      </c>
      <c r="X785" s="82">
        <f t="shared" si="253"/>
        <v>239687024.84999999</v>
      </c>
      <c r="Y785" s="82">
        <f t="shared" si="244"/>
        <v>83206843.849999994</v>
      </c>
      <c r="Z785" s="82">
        <f t="shared" si="254"/>
        <v>0</v>
      </c>
      <c r="AA785" s="83">
        <f t="shared" si="240"/>
        <v>1.5317404627107378</v>
      </c>
      <c r="AB785" s="84" t="str">
        <f t="shared" si="255"/>
        <v>Costo eficiente: se está gastando menos de lo presupuestado</v>
      </c>
      <c r="AC785" s="84">
        <f t="shared" si="245"/>
        <v>1</v>
      </c>
      <c r="AD785" s="84" t="str">
        <f t="shared" si="256"/>
        <v>Proyecto a tiempo según lo planificado</v>
      </c>
      <c r="AE785" s="85">
        <f t="shared" si="246"/>
        <v>1043201206.6666666</v>
      </c>
      <c r="AF785" s="85">
        <f t="shared" si="247"/>
        <v>-554712292.33333337</v>
      </c>
      <c r="AG785" s="40" t="str">
        <f>VLOOKUP(Indicador!E785,Diccionario!C$1:AC$150,27,0)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85" s="40">
        <v>1</v>
      </c>
      <c r="AI785" s="40">
        <v>1</v>
      </c>
    </row>
    <row r="786" spans="1:35" ht="18.75" customHeight="1">
      <c r="A786" s="73">
        <v>2026</v>
      </c>
      <c r="B786" s="112" t="s">
        <v>14</v>
      </c>
      <c r="C786" s="36" t="s">
        <v>462</v>
      </c>
      <c r="D786" s="37">
        <v>45987.733444907404</v>
      </c>
      <c r="E786" s="36" t="s">
        <v>93</v>
      </c>
      <c r="F786" s="36" t="s">
        <v>270</v>
      </c>
      <c r="G786" s="36" t="s">
        <v>463</v>
      </c>
      <c r="H786" s="36" t="s">
        <v>464</v>
      </c>
      <c r="I786" s="36" t="s">
        <v>175</v>
      </c>
      <c r="J786" s="36" t="s">
        <v>465</v>
      </c>
      <c r="K786" s="36" t="s">
        <v>339</v>
      </c>
      <c r="L786" s="74">
        <f>VLOOKUP(E786,Diccionario!C$2:AC$150,22,0)</f>
        <v>1597913499</v>
      </c>
      <c r="M786" s="75">
        <f>VLOOKUP(E786,Diccionario!C$2:AC$150,24,0)</f>
        <v>45989</v>
      </c>
      <c r="N786" s="76">
        <f>VLOOKUP(E786,Diccionario!C$2:AC$150,25,0)</f>
        <v>46293</v>
      </c>
      <c r="O786" s="77">
        <f>VLOOKUP(E786,Diccionario!C$2:AC$150,26,0)</f>
        <v>10</v>
      </c>
      <c r="P786" s="77">
        <f t="shared" si="257"/>
        <v>-7</v>
      </c>
      <c r="Q786" s="78">
        <v>3</v>
      </c>
      <c r="R786" s="36">
        <v>10</v>
      </c>
      <c r="S786" s="86">
        <v>0.2</v>
      </c>
      <c r="T786" s="86">
        <v>0.2</v>
      </c>
      <c r="U786" s="82">
        <v>156480181</v>
      </c>
      <c r="V786" s="82">
        <v>156480181</v>
      </c>
      <c r="W786" s="82">
        <f t="shared" si="243"/>
        <v>319582699.80000001</v>
      </c>
      <c r="X786" s="82">
        <f t="shared" si="253"/>
        <v>319582699.80000001</v>
      </c>
      <c r="Y786" s="82">
        <f t="shared" si="244"/>
        <v>163102518.80000001</v>
      </c>
      <c r="Z786" s="82">
        <f t="shared" si="254"/>
        <v>0</v>
      </c>
      <c r="AA786" s="83">
        <f t="shared" si="240"/>
        <v>2.0423206169476504</v>
      </c>
      <c r="AB786" s="84" t="str">
        <f t="shared" si="255"/>
        <v>Costo eficiente: se está gastando menos de lo presupuestado</v>
      </c>
      <c r="AC786" s="84">
        <f t="shared" si="245"/>
        <v>1</v>
      </c>
      <c r="AD786" s="84" t="str">
        <f t="shared" si="256"/>
        <v>Proyecto a tiempo según lo planificado</v>
      </c>
      <c r="AE786" s="85">
        <f t="shared" si="246"/>
        <v>782400905</v>
      </c>
      <c r="AF786" s="85">
        <f t="shared" si="247"/>
        <v>-815512594</v>
      </c>
      <c r="AG786" s="40" t="str">
        <f>VLOOKUP(Indicador!E786,Diccionario!C$1:AC$150,27,0)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86" s="40">
        <v>1</v>
      </c>
      <c r="AI786" s="40">
        <v>1</v>
      </c>
    </row>
    <row r="787" spans="1:35" ht="18.75" customHeight="1">
      <c r="A787" s="73">
        <v>2026</v>
      </c>
      <c r="B787" s="112" t="s">
        <v>22</v>
      </c>
      <c r="C787" s="36" t="s">
        <v>462</v>
      </c>
      <c r="D787" s="37">
        <v>45987.733444907404</v>
      </c>
      <c r="E787" s="36" t="s">
        <v>93</v>
      </c>
      <c r="F787" s="36" t="s">
        <v>270</v>
      </c>
      <c r="G787" s="36" t="s">
        <v>463</v>
      </c>
      <c r="H787" s="36" t="s">
        <v>464</v>
      </c>
      <c r="I787" s="36" t="s">
        <v>175</v>
      </c>
      <c r="J787" s="36" t="s">
        <v>465</v>
      </c>
      <c r="K787" s="36" t="s">
        <v>339</v>
      </c>
      <c r="L787" s="74">
        <f>VLOOKUP(E787,Diccionario!C$2:AC$150,22,0)</f>
        <v>1597913499</v>
      </c>
      <c r="M787" s="75">
        <f>VLOOKUP(E787,Diccionario!C$2:AC$150,24,0)</f>
        <v>45989</v>
      </c>
      <c r="N787" s="76">
        <f>VLOOKUP(E787,Diccionario!C$2:AC$150,25,0)</f>
        <v>46293</v>
      </c>
      <c r="O787" s="77">
        <f>VLOOKUP(E787,Diccionario!C$2:AC$150,26,0)</f>
        <v>10</v>
      </c>
      <c r="P787" s="77">
        <f t="shared" si="257"/>
        <v>-6</v>
      </c>
      <c r="Q787" s="78">
        <v>4</v>
      </c>
      <c r="R787" s="36">
        <v>10</v>
      </c>
      <c r="S787" s="86">
        <v>0.3</v>
      </c>
      <c r="T787" s="86"/>
      <c r="U787" s="82"/>
      <c r="V787" s="82"/>
      <c r="W787" s="82">
        <f t="shared" si="243"/>
        <v>0</v>
      </c>
      <c r="X787" s="82">
        <f t="shared" si="253"/>
        <v>479374049.69999999</v>
      </c>
      <c r="Y787" s="82">
        <f t="shared" si="244"/>
        <v>0</v>
      </c>
      <c r="Z787" s="82">
        <f t="shared" si="254"/>
        <v>-479374049.69999999</v>
      </c>
      <c r="AA787" s="83" t="str">
        <f t="shared" si="240"/>
        <v>No se realizó gasto en este corte</v>
      </c>
      <c r="AB787" s="84" t="str">
        <f t="shared" si="255"/>
        <v>Costo eficiente: se está gastando menos de lo presupuestado</v>
      </c>
      <c r="AC787" s="84">
        <f t="shared" si="245"/>
        <v>0</v>
      </c>
      <c r="AD787" s="84" t="str">
        <f t="shared" si="256"/>
        <v>Sin Línea Base</v>
      </c>
      <c r="AE787" s="85">
        <f t="shared" si="246"/>
        <v>0</v>
      </c>
      <c r="AF787" s="85">
        <f t="shared" si="247"/>
        <v>-1597913499</v>
      </c>
      <c r="AG787" s="40" t="str">
        <f>VLOOKUP(Indicador!E787,Diccionario!C$1:AC$150,27,0)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87" s="40">
        <v>1</v>
      </c>
      <c r="AI787" s="40">
        <v>1</v>
      </c>
    </row>
    <row r="788" spans="1:35" ht="18.75" customHeight="1">
      <c r="A788" s="73">
        <v>2026</v>
      </c>
      <c r="B788" s="112" t="s">
        <v>24</v>
      </c>
      <c r="C788" s="36" t="s">
        <v>462</v>
      </c>
      <c r="D788" s="37">
        <v>45987.733444907404</v>
      </c>
      <c r="E788" s="36" t="s">
        <v>93</v>
      </c>
      <c r="F788" s="36" t="s">
        <v>270</v>
      </c>
      <c r="G788" s="36" t="s">
        <v>463</v>
      </c>
      <c r="H788" s="36" t="s">
        <v>464</v>
      </c>
      <c r="I788" s="36" t="s">
        <v>175</v>
      </c>
      <c r="J788" s="36" t="s">
        <v>465</v>
      </c>
      <c r="K788" s="36" t="s">
        <v>339</v>
      </c>
      <c r="L788" s="74">
        <f>VLOOKUP(E788,Diccionario!C$2:AC$150,22,0)</f>
        <v>1597913499</v>
      </c>
      <c r="M788" s="75">
        <f>VLOOKUP(E788,Diccionario!C$2:AC$150,24,0)</f>
        <v>45989</v>
      </c>
      <c r="N788" s="76">
        <f>VLOOKUP(E788,Diccionario!C$2:AC$150,25,0)</f>
        <v>46293</v>
      </c>
      <c r="O788" s="77">
        <f>VLOOKUP(E788,Diccionario!C$2:AC$150,26,0)</f>
        <v>10</v>
      </c>
      <c r="P788" s="77">
        <f t="shared" si="257"/>
        <v>-5</v>
      </c>
      <c r="Q788" s="78">
        <v>5</v>
      </c>
      <c r="R788" s="36">
        <v>10</v>
      </c>
      <c r="S788" s="86">
        <v>0.4</v>
      </c>
      <c r="T788" s="86"/>
      <c r="U788" s="82"/>
      <c r="V788" s="82"/>
      <c r="W788" s="82">
        <f t="shared" si="243"/>
        <v>0</v>
      </c>
      <c r="X788" s="82">
        <f t="shared" si="253"/>
        <v>639165399.60000002</v>
      </c>
      <c r="Y788" s="82">
        <f t="shared" si="244"/>
        <v>0</v>
      </c>
      <c r="Z788" s="82">
        <f t="shared" si="254"/>
        <v>-639165399.60000002</v>
      </c>
      <c r="AA788" s="83" t="str">
        <f t="shared" si="240"/>
        <v>No se realizó gasto en este corte</v>
      </c>
      <c r="AB788" s="84" t="str">
        <f t="shared" si="255"/>
        <v>Costo eficiente: se está gastando menos de lo presupuestado</v>
      </c>
      <c r="AC788" s="84">
        <f t="shared" si="245"/>
        <v>0</v>
      </c>
      <c r="AD788" s="84" t="str">
        <f t="shared" si="256"/>
        <v>Sin Línea Base</v>
      </c>
      <c r="AE788" s="85">
        <f t="shared" si="246"/>
        <v>0</v>
      </c>
      <c r="AF788" s="85">
        <f t="shared" si="247"/>
        <v>-1597913499</v>
      </c>
      <c r="AG788" s="40" t="str">
        <f>VLOOKUP(Indicador!E788,Diccionario!C$1:AC$150,27,0)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88" s="40">
        <v>1</v>
      </c>
      <c r="AI788" s="40">
        <v>1</v>
      </c>
    </row>
    <row r="789" spans="1:35" ht="18.75" customHeight="1">
      <c r="A789" s="73">
        <v>2026</v>
      </c>
      <c r="B789" s="112" t="s">
        <v>27</v>
      </c>
      <c r="C789" s="36" t="s">
        <v>462</v>
      </c>
      <c r="D789" s="37">
        <v>45987.733444907404</v>
      </c>
      <c r="E789" s="36" t="s">
        <v>93</v>
      </c>
      <c r="F789" s="36" t="s">
        <v>270</v>
      </c>
      <c r="G789" s="36" t="s">
        <v>463</v>
      </c>
      <c r="H789" s="36" t="s">
        <v>464</v>
      </c>
      <c r="I789" s="36" t="s">
        <v>175</v>
      </c>
      <c r="J789" s="36" t="s">
        <v>465</v>
      </c>
      <c r="K789" s="36" t="s">
        <v>339</v>
      </c>
      <c r="L789" s="74">
        <f>VLOOKUP(E789,Diccionario!C$2:AC$150,22,0)</f>
        <v>1597913499</v>
      </c>
      <c r="M789" s="75">
        <f>VLOOKUP(E789,Diccionario!C$2:AC$150,24,0)</f>
        <v>45989</v>
      </c>
      <c r="N789" s="76">
        <f>VLOOKUP(E789,Diccionario!C$2:AC$150,25,0)</f>
        <v>46293</v>
      </c>
      <c r="O789" s="77">
        <f>VLOOKUP(E789,Diccionario!C$2:AC$150,26,0)</f>
        <v>10</v>
      </c>
      <c r="P789" s="77">
        <f t="shared" si="257"/>
        <v>-4</v>
      </c>
      <c r="Q789" s="78">
        <v>6</v>
      </c>
      <c r="R789" s="36">
        <v>10</v>
      </c>
      <c r="S789" s="86">
        <v>0.5</v>
      </c>
      <c r="T789" s="86"/>
      <c r="U789" s="82"/>
      <c r="V789" s="82"/>
      <c r="W789" s="82">
        <f t="shared" si="243"/>
        <v>0</v>
      </c>
      <c r="X789" s="82">
        <f t="shared" si="253"/>
        <v>798956749.5</v>
      </c>
      <c r="Y789" s="82">
        <f t="shared" si="244"/>
        <v>0</v>
      </c>
      <c r="Z789" s="82">
        <f t="shared" si="254"/>
        <v>-798956749.5</v>
      </c>
      <c r="AA789" s="83" t="str">
        <f t="shared" si="240"/>
        <v>No se realizó gasto en este corte</v>
      </c>
      <c r="AB789" s="84" t="str">
        <f t="shared" si="255"/>
        <v>Costo eficiente: se está gastando menos de lo presupuestado</v>
      </c>
      <c r="AC789" s="84">
        <f t="shared" si="245"/>
        <v>0</v>
      </c>
      <c r="AD789" s="84" t="str">
        <f t="shared" si="256"/>
        <v>Sin Línea Base</v>
      </c>
      <c r="AE789" s="85">
        <f t="shared" si="246"/>
        <v>0</v>
      </c>
      <c r="AF789" s="85">
        <f t="shared" si="247"/>
        <v>-1597913499</v>
      </c>
      <c r="AG789" s="40" t="str">
        <f>VLOOKUP(Indicador!E789,Diccionario!C$1:AC$150,27,0)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89" s="40">
        <v>1</v>
      </c>
      <c r="AI789" s="40">
        <v>1</v>
      </c>
    </row>
    <row r="790" spans="1:35" ht="18.75" customHeight="1">
      <c r="A790" s="73">
        <v>2026</v>
      </c>
      <c r="B790" s="112" t="s">
        <v>13</v>
      </c>
      <c r="C790" s="36" t="s">
        <v>462</v>
      </c>
      <c r="D790" s="37">
        <v>45987.733444907404</v>
      </c>
      <c r="E790" s="36" t="s">
        <v>93</v>
      </c>
      <c r="F790" s="36" t="s">
        <v>270</v>
      </c>
      <c r="G790" s="36" t="s">
        <v>463</v>
      </c>
      <c r="H790" s="36" t="s">
        <v>464</v>
      </c>
      <c r="I790" s="36" t="s">
        <v>175</v>
      </c>
      <c r="J790" s="36" t="s">
        <v>465</v>
      </c>
      <c r="K790" s="36" t="s">
        <v>339</v>
      </c>
      <c r="L790" s="74">
        <f>VLOOKUP(E790,Diccionario!C$2:AC$150,22,0)</f>
        <v>1597913499</v>
      </c>
      <c r="M790" s="75">
        <f>VLOOKUP(E790,Diccionario!C$2:AC$150,24,0)</f>
        <v>45989</v>
      </c>
      <c r="N790" s="76">
        <f>VLOOKUP(E790,Diccionario!C$2:AC$150,25,0)</f>
        <v>46293</v>
      </c>
      <c r="O790" s="77">
        <f>VLOOKUP(E790,Diccionario!C$2:AC$150,26,0)</f>
        <v>10</v>
      </c>
      <c r="P790" s="77">
        <f t="shared" si="257"/>
        <v>-3</v>
      </c>
      <c r="Q790" s="78">
        <v>7</v>
      </c>
      <c r="R790" s="36">
        <v>10</v>
      </c>
      <c r="S790" s="86">
        <v>0.6</v>
      </c>
      <c r="T790" s="86"/>
      <c r="U790" s="82"/>
      <c r="V790" s="82"/>
      <c r="W790" s="82">
        <f t="shared" si="243"/>
        <v>0</v>
      </c>
      <c r="X790" s="82">
        <f t="shared" si="253"/>
        <v>958748099.39999998</v>
      </c>
      <c r="Y790" s="82">
        <f t="shared" si="244"/>
        <v>0</v>
      </c>
      <c r="Z790" s="82">
        <f t="shared" si="254"/>
        <v>-958748099.39999998</v>
      </c>
      <c r="AA790" s="83" t="str">
        <f t="shared" si="240"/>
        <v>No se realizó gasto en este corte</v>
      </c>
      <c r="AB790" s="84" t="str">
        <f t="shared" si="255"/>
        <v>Costo eficiente: se está gastando menos de lo presupuestado</v>
      </c>
      <c r="AC790" s="84">
        <f t="shared" si="245"/>
        <v>0</v>
      </c>
      <c r="AD790" s="84" t="str">
        <f t="shared" si="256"/>
        <v>Sin Línea Base</v>
      </c>
      <c r="AE790" s="85">
        <f t="shared" si="246"/>
        <v>0</v>
      </c>
      <c r="AF790" s="85">
        <f t="shared" si="247"/>
        <v>-1597913499</v>
      </c>
      <c r="AG790" s="40" t="str">
        <f>VLOOKUP(Indicador!E790,Diccionario!C$1:AC$150,27,0)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90" s="40">
        <v>1</v>
      </c>
      <c r="AI790" s="40">
        <v>1</v>
      </c>
    </row>
    <row r="791" spans="1:35" ht="18.75" customHeight="1">
      <c r="A791" s="73">
        <v>2026</v>
      </c>
      <c r="B791" s="112" t="s">
        <v>21</v>
      </c>
      <c r="C791" s="36" t="s">
        <v>462</v>
      </c>
      <c r="D791" s="37">
        <v>45987.733444907404</v>
      </c>
      <c r="E791" s="36" t="s">
        <v>93</v>
      </c>
      <c r="F791" s="36" t="s">
        <v>270</v>
      </c>
      <c r="G791" s="36" t="s">
        <v>463</v>
      </c>
      <c r="H791" s="36" t="s">
        <v>464</v>
      </c>
      <c r="I791" s="36" t="s">
        <v>175</v>
      </c>
      <c r="J791" s="36" t="s">
        <v>465</v>
      </c>
      <c r="K791" s="36" t="s">
        <v>339</v>
      </c>
      <c r="L791" s="74">
        <f>VLOOKUP(E791,Diccionario!C$2:AC$150,22,0)</f>
        <v>1597913499</v>
      </c>
      <c r="M791" s="75">
        <f>VLOOKUP(E791,Diccionario!C$2:AC$150,24,0)</f>
        <v>45989</v>
      </c>
      <c r="N791" s="76">
        <f>VLOOKUP(E791,Diccionario!C$2:AC$150,25,0)</f>
        <v>46293</v>
      </c>
      <c r="O791" s="77">
        <f>VLOOKUP(E791,Diccionario!C$2:AC$150,26,0)</f>
        <v>10</v>
      </c>
      <c r="P791" s="77">
        <f t="shared" si="257"/>
        <v>-2</v>
      </c>
      <c r="Q791" s="78">
        <v>8</v>
      </c>
      <c r="R791" s="36">
        <v>10</v>
      </c>
      <c r="S791" s="86">
        <v>0.7</v>
      </c>
      <c r="T791" s="86"/>
      <c r="U791" s="82"/>
      <c r="V791" s="82"/>
      <c r="W791" s="82">
        <f t="shared" si="243"/>
        <v>0</v>
      </c>
      <c r="X791" s="82">
        <f t="shared" si="253"/>
        <v>1118539449.3</v>
      </c>
      <c r="Y791" s="82">
        <f t="shared" si="244"/>
        <v>0</v>
      </c>
      <c r="Z791" s="82">
        <f t="shared" si="254"/>
        <v>-1118539449.3</v>
      </c>
      <c r="AA791" s="83" t="str">
        <f t="shared" si="240"/>
        <v>No se realizó gasto en este corte</v>
      </c>
      <c r="AB791" s="84" t="str">
        <f t="shared" si="255"/>
        <v>Costo eficiente: se está gastando menos de lo presupuestado</v>
      </c>
      <c r="AC791" s="84">
        <f t="shared" si="245"/>
        <v>0</v>
      </c>
      <c r="AD791" s="84" t="str">
        <f t="shared" si="256"/>
        <v>Sin Línea Base</v>
      </c>
      <c r="AE791" s="85">
        <f t="shared" si="246"/>
        <v>0</v>
      </c>
      <c r="AF791" s="85">
        <f t="shared" si="247"/>
        <v>-1597913499</v>
      </c>
      <c r="AG791" s="40" t="str">
        <f>VLOOKUP(Indicador!E791,Diccionario!C$1:AC$150,27,0)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91" s="40">
        <v>1</v>
      </c>
      <c r="AI791" s="40">
        <v>1</v>
      </c>
    </row>
    <row r="792" spans="1:35" ht="18.75" customHeight="1">
      <c r="A792" s="73">
        <v>2026</v>
      </c>
      <c r="B792" s="112" t="s">
        <v>23</v>
      </c>
      <c r="C792" s="36" t="s">
        <v>462</v>
      </c>
      <c r="D792" s="37">
        <v>45987.733444907404</v>
      </c>
      <c r="E792" s="36" t="s">
        <v>93</v>
      </c>
      <c r="F792" s="36" t="s">
        <v>270</v>
      </c>
      <c r="G792" s="36" t="s">
        <v>463</v>
      </c>
      <c r="H792" s="36" t="s">
        <v>464</v>
      </c>
      <c r="I792" s="36" t="s">
        <v>175</v>
      </c>
      <c r="J792" s="36" t="s">
        <v>465</v>
      </c>
      <c r="K792" s="36" t="s">
        <v>339</v>
      </c>
      <c r="L792" s="74">
        <f>VLOOKUP(E792,Diccionario!C$2:AC$150,22,0)</f>
        <v>1597913499</v>
      </c>
      <c r="M792" s="75">
        <f>VLOOKUP(E792,Diccionario!C$2:AC$150,24,0)</f>
        <v>45989</v>
      </c>
      <c r="N792" s="76">
        <f>VLOOKUP(E792,Diccionario!C$2:AC$150,25,0)</f>
        <v>46293</v>
      </c>
      <c r="O792" s="77">
        <f>VLOOKUP(E792,Diccionario!C$2:AC$150,26,0)</f>
        <v>10</v>
      </c>
      <c r="P792" s="77">
        <f t="shared" si="257"/>
        <v>-1</v>
      </c>
      <c r="Q792" s="78">
        <v>9</v>
      </c>
      <c r="R792" s="36">
        <v>10</v>
      </c>
      <c r="S792" s="86">
        <v>0.8</v>
      </c>
      <c r="T792" s="86"/>
      <c r="U792" s="82"/>
      <c r="V792" s="82"/>
      <c r="W792" s="82">
        <f t="shared" si="243"/>
        <v>0</v>
      </c>
      <c r="X792" s="82">
        <f t="shared" si="253"/>
        <v>1278330799.2</v>
      </c>
      <c r="Y792" s="82">
        <f t="shared" si="244"/>
        <v>0</v>
      </c>
      <c r="Z792" s="82">
        <f t="shared" si="254"/>
        <v>-1278330799.2</v>
      </c>
      <c r="AA792" s="83" t="str">
        <f t="shared" si="240"/>
        <v>No se realizó gasto en este corte</v>
      </c>
      <c r="AB792" s="84" t="str">
        <f t="shared" si="255"/>
        <v>Costo eficiente: se está gastando menos de lo presupuestado</v>
      </c>
      <c r="AC792" s="84">
        <f t="shared" si="245"/>
        <v>0</v>
      </c>
      <c r="AD792" s="84" t="str">
        <f t="shared" si="256"/>
        <v>Sin Línea Base</v>
      </c>
      <c r="AE792" s="85">
        <f t="shared" si="246"/>
        <v>0</v>
      </c>
      <c r="AF792" s="85">
        <f t="shared" si="247"/>
        <v>-1597913499</v>
      </c>
      <c r="AG792" s="40" t="str">
        <f>VLOOKUP(Indicador!E792,Diccionario!C$1:AC$150,27,0)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92" s="40">
        <v>1</v>
      </c>
      <c r="AI792" s="40">
        <v>1</v>
      </c>
    </row>
    <row r="793" spans="1:35" ht="18.75" customHeight="1">
      <c r="A793" s="73">
        <v>2026</v>
      </c>
      <c r="B793" s="112" t="s">
        <v>26</v>
      </c>
      <c r="C793" s="36" t="s">
        <v>462</v>
      </c>
      <c r="D793" s="37">
        <v>45987.733444907404</v>
      </c>
      <c r="E793" s="36" t="s">
        <v>93</v>
      </c>
      <c r="F793" s="36" t="s">
        <v>270</v>
      </c>
      <c r="G793" s="36" t="s">
        <v>463</v>
      </c>
      <c r="H793" s="36" t="s">
        <v>464</v>
      </c>
      <c r="I793" s="36" t="s">
        <v>175</v>
      </c>
      <c r="J793" s="36" t="s">
        <v>465</v>
      </c>
      <c r="K793" s="36" t="s">
        <v>339</v>
      </c>
      <c r="L793" s="74">
        <f>VLOOKUP(E793,Diccionario!C$2:AC$150,22,0)</f>
        <v>1597913499</v>
      </c>
      <c r="M793" s="75">
        <f>VLOOKUP(E793,Diccionario!C$2:AC$150,24,0)</f>
        <v>45989</v>
      </c>
      <c r="N793" s="76">
        <f>VLOOKUP(E793,Diccionario!C$2:AC$150,25,0)</f>
        <v>46293</v>
      </c>
      <c r="O793" s="77">
        <f>VLOOKUP(E793,Diccionario!C$2:AC$150,26,0)</f>
        <v>10</v>
      </c>
      <c r="P793" s="77">
        <f t="shared" si="257"/>
        <v>0</v>
      </c>
      <c r="Q793" s="78">
        <v>10</v>
      </c>
      <c r="R793" s="36">
        <v>10</v>
      </c>
      <c r="S793" s="86">
        <v>0.9</v>
      </c>
      <c r="T793" s="86"/>
      <c r="U793" s="82"/>
      <c r="V793" s="82"/>
      <c r="W793" s="82">
        <f t="shared" si="243"/>
        <v>0</v>
      </c>
      <c r="X793" s="82">
        <f t="shared" si="253"/>
        <v>1438122149.1000001</v>
      </c>
      <c r="Y793" s="82">
        <f t="shared" si="244"/>
        <v>0</v>
      </c>
      <c r="Z793" s="82">
        <f t="shared" si="254"/>
        <v>-1438122149.1000001</v>
      </c>
      <c r="AA793" s="83" t="str">
        <f t="shared" ref="AA793:AA856" si="258">IFERROR(W793/U793,"No se realizó gasto en este corte")</f>
        <v>No se realizó gasto en este corte</v>
      </c>
      <c r="AB793" s="84" t="str">
        <f t="shared" si="255"/>
        <v>Costo eficiente: se está gastando menos de lo presupuestado</v>
      </c>
      <c r="AC793" s="84">
        <f t="shared" si="245"/>
        <v>0</v>
      </c>
      <c r="AD793" s="84" t="str">
        <f t="shared" si="256"/>
        <v>Sin Línea Base</v>
      </c>
      <c r="AE793" s="85">
        <f t="shared" si="246"/>
        <v>0</v>
      </c>
      <c r="AF793" s="85">
        <f t="shared" si="247"/>
        <v>-1597913499</v>
      </c>
      <c r="AG793" s="40" t="str">
        <f>VLOOKUP(Indicador!E793,Diccionario!C$1:AC$150,27,0)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93" s="40">
        <v>1</v>
      </c>
      <c r="AI793" s="40">
        <v>1</v>
      </c>
    </row>
    <row r="794" spans="1:35" ht="18.75" customHeight="1">
      <c r="A794" s="73">
        <v>2026</v>
      </c>
      <c r="B794" s="112" t="s">
        <v>28</v>
      </c>
      <c r="C794" s="36" t="s">
        <v>462</v>
      </c>
      <c r="D794" s="37">
        <v>45987.733444907404</v>
      </c>
      <c r="E794" s="36" t="s">
        <v>93</v>
      </c>
      <c r="F794" s="36" t="s">
        <v>270</v>
      </c>
      <c r="G794" s="36" t="s">
        <v>463</v>
      </c>
      <c r="H794" s="36" t="s">
        <v>464</v>
      </c>
      <c r="I794" s="36" t="s">
        <v>175</v>
      </c>
      <c r="J794" s="36" t="s">
        <v>465</v>
      </c>
      <c r="K794" s="36" t="s">
        <v>339</v>
      </c>
      <c r="L794" s="74">
        <f>VLOOKUP(E794,Diccionario!C$2:AC$150,22,0)</f>
        <v>1597913499</v>
      </c>
      <c r="M794" s="75">
        <f>VLOOKUP(E794,Diccionario!C$2:AC$150,24,0)</f>
        <v>45989</v>
      </c>
      <c r="N794" s="76">
        <f>VLOOKUP(E794,Diccionario!C$2:AC$150,25,0)</f>
        <v>46293</v>
      </c>
      <c r="O794" s="77">
        <f>VLOOKUP(E794,Diccionario!C$2:AC$150,26,0)</f>
        <v>10</v>
      </c>
      <c r="P794" s="77">
        <f t="shared" si="257"/>
        <v>1</v>
      </c>
      <c r="Q794" s="78">
        <v>11</v>
      </c>
      <c r="R794" s="36">
        <v>10</v>
      </c>
      <c r="S794" s="86">
        <v>1</v>
      </c>
      <c r="T794" s="86"/>
      <c r="U794" s="82"/>
      <c r="V794" s="82"/>
      <c r="W794" s="82">
        <f t="shared" si="243"/>
        <v>0</v>
      </c>
      <c r="X794" s="82">
        <f t="shared" si="253"/>
        <v>1597913499</v>
      </c>
      <c r="Y794" s="82">
        <f t="shared" si="244"/>
        <v>0</v>
      </c>
      <c r="Z794" s="82">
        <f t="shared" si="254"/>
        <v>-1597913499</v>
      </c>
      <c r="AA794" s="83" t="str">
        <f t="shared" si="258"/>
        <v>No se realizó gasto en este corte</v>
      </c>
      <c r="AB794" s="84" t="str">
        <f t="shared" si="255"/>
        <v>Costo eficiente: se está gastando menos de lo presupuestado</v>
      </c>
      <c r="AC794" s="84">
        <f t="shared" si="245"/>
        <v>0</v>
      </c>
      <c r="AD794" s="84" t="str">
        <f t="shared" si="256"/>
        <v>Sin Línea Base</v>
      </c>
      <c r="AE794" s="85">
        <f t="shared" si="246"/>
        <v>0</v>
      </c>
      <c r="AF794" s="85">
        <f t="shared" si="247"/>
        <v>-1597913499</v>
      </c>
      <c r="AG794" s="40" t="str">
        <f>VLOOKUP(Indicador!E794,Diccionario!C$1:AC$150,27,0)</f>
        <v>https://growdatasas.sharepoint.com/:x:/r/sites/Gestiondocumental/Administrativa/GD/Financiera/_layouts/15/Doc.aspx?sourcedoc=%7B43DC271C-826E-42A6-8DDC-4B4FA4BB2E01%7D&amp;file=MODELO%20FINANCIERO%20-%20RUNT%20IMPLEMENTACI%C3%93N%20CALE%2024112025%20V5.xlsm&amp;action=default&amp;mobileredirect=true</v>
      </c>
      <c r="AH794" s="40">
        <v>1</v>
      </c>
      <c r="AI794" s="40">
        <v>1</v>
      </c>
    </row>
    <row r="795" spans="1:35" ht="18.75" customHeight="1">
      <c r="A795" s="73">
        <v>2025</v>
      </c>
      <c r="B795" s="112" t="s">
        <v>32</v>
      </c>
      <c r="C795" s="36" t="s">
        <v>466</v>
      </c>
      <c r="D795" s="37">
        <v>46048.831253240744</v>
      </c>
      <c r="E795" s="36" t="s">
        <v>95</v>
      </c>
      <c r="F795" s="36" t="s">
        <v>162</v>
      </c>
      <c r="G795" s="36" t="s">
        <v>467</v>
      </c>
      <c r="H795" s="36" t="s">
        <v>468</v>
      </c>
      <c r="I795" s="36" t="s">
        <v>152</v>
      </c>
      <c r="J795" s="36" t="s">
        <v>469</v>
      </c>
      <c r="K795" s="36" t="s">
        <v>177</v>
      </c>
      <c r="L795" s="74">
        <f>VLOOKUP(E795,Diccionario!C$2:AC$150,22,0)</f>
        <v>164669199</v>
      </c>
      <c r="M795" s="75">
        <f>VLOOKUP(E795,Diccionario!C$2:AC$150,24,0)</f>
        <v>45992</v>
      </c>
      <c r="N795" s="76">
        <f>VLOOKUP(E795,Diccionario!C$2:AC$150,25,0)</f>
        <v>46233</v>
      </c>
      <c r="O795" s="77">
        <f>VLOOKUP(E795,Diccionario!C$2:AC$150,26,0)</f>
        <v>7.97</v>
      </c>
      <c r="P795" s="77">
        <f t="shared" si="257"/>
        <v>-6.97</v>
      </c>
      <c r="Q795" s="78">
        <v>1</v>
      </c>
      <c r="R795" s="36">
        <v>8</v>
      </c>
      <c r="S795" s="86">
        <v>0.1</v>
      </c>
      <c r="T795" s="86">
        <v>0.1</v>
      </c>
      <c r="U795" s="82">
        <v>512538627</v>
      </c>
      <c r="V795" s="82">
        <v>512538627</v>
      </c>
      <c r="W795" s="82">
        <f t="shared" si="243"/>
        <v>16466919.9</v>
      </c>
      <c r="X795" s="82">
        <f t="shared" si="253"/>
        <v>16466919.9</v>
      </c>
      <c r="Y795" s="82">
        <f t="shared" si="244"/>
        <v>-496071707.10000002</v>
      </c>
      <c r="Z795" s="82">
        <f t="shared" si="254"/>
        <v>0</v>
      </c>
      <c r="AA795" s="83">
        <f t="shared" si="258"/>
        <v>3.2128153923509067E-2</v>
      </c>
      <c r="AB795" s="84" t="str">
        <f t="shared" si="255"/>
        <v>Costo ineficiente: se está gastando más de lo presupuestado</v>
      </c>
      <c r="AC795" s="84">
        <f t="shared" si="245"/>
        <v>1</v>
      </c>
      <c r="AD795" s="84" t="str">
        <f t="shared" si="256"/>
        <v>Proyecto a tiempo según lo planificado</v>
      </c>
      <c r="AE795" s="85">
        <f t="shared" si="246"/>
        <v>5125386270</v>
      </c>
      <c r="AF795" s="85">
        <f t="shared" si="247"/>
        <v>4960717071</v>
      </c>
      <c r="AG795" s="40" t="str">
        <f>VLOOKUP(Indicador!E795,Diccionario!C$1:AC$150,27,0)</f>
        <v>https://growdatasas.sharepoint.com/:x:/r/sites/Gestiondocumental/Administrativa/GD/Financiera/_layouts/15/Doc.aspx?sourcedoc=%7B2970928D-0288-4D5D-952F-67732B5D2028%7D&amp;file=251216_MODELO_FINANCIERO_SDH_V.2.0__V7.5%20VF.xlsm&amp;action=default&amp;mobileredirect=true</v>
      </c>
      <c r="AH795" s="40">
        <v>1</v>
      </c>
      <c r="AI795" s="40">
        <v>1</v>
      </c>
    </row>
    <row r="796" spans="1:35" ht="18.75" customHeight="1">
      <c r="A796" s="73">
        <v>2026</v>
      </c>
      <c r="B796" s="112" t="s">
        <v>14</v>
      </c>
      <c r="C796" s="36" t="s">
        <v>466</v>
      </c>
      <c r="D796" s="37">
        <v>46048.831253240744</v>
      </c>
      <c r="E796" s="36" t="s">
        <v>95</v>
      </c>
      <c r="F796" s="36" t="s">
        <v>162</v>
      </c>
      <c r="G796" s="36" t="s">
        <v>467</v>
      </c>
      <c r="H796" s="36" t="s">
        <v>468</v>
      </c>
      <c r="I796" s="36" t="s">
        <v>152</v>
      </c>
      <c r="J796" s="36" t="s">
        <v>469</v>
      </c>
      <c r="K796" s="36" t="s">
        <v>177</v>
      </c>
      <c r="L796" s="74">
        <f>VLOOKUP(E796,Diccionario!C$2:AC$150,22,0)</f>
        <v>164669199</v>
      </c>
      <c r="M796" s="75">
        <f>VLOOKUP(E796,Diccionario!C$2:AC$150,24,0)</f>
        <v>45992</v>
      </c>
      <c r="N796" s="76">
        <f>VLOOKUP(E796,Diccionario!C$2:AC$150,25,0)</f>
        <v>46233</v>
      </c>
      <c r="O796" s="77">
        <f>VLOOKUP(E796,Diccionario!C$2:AC$150,26,0)</f>
        <v>7.97</v>
      </c>
      <c r="P796" s="77">
        <f t="shared" si="257"/>
        <v>-5.97</v>
      </c>
      <c r="Q796" s="78">
        <v>2</v>
      </c>
      <c r="R796" s="36">
        <v>8</v>
      </c>
      <c r="S796" s="86">
        <v>0.2</v>
      </c>
      <c r="T796" s="86">
        <v>0.2</v>
      </c>
      <c r="U796" s="82">
        <v>352963765</v>
      </c>
      <c r="V796" s="82">
        <v>352963765</v>
      </c>
      <c r="W796" s="82">
        <f t="shared" si="243"/>
        <v>32933839.800000001</v>
      </c>
      <c r="X796" s="82">
        <f t="shared" si="253"/>
        <v>32933839.800000001</v>
      </c>
      <c r="Y796" s="82">
        <f t="shared" si="244"/>
        <v>-320029925.19999999</v>
      </c>
      <c r="Z796" s="82">
        <f t="shared" si="254"/>
        <v>0</v>
      </c>
      <c r="AA796" s="83">
        <f t="shared" si="258"/>
        <v>9.3306574401482822E-2</v>
      </c>
      <c r="AB796" s="84" t="str">
        <f t="shared" si="255"/>
        <v>Costo ineficiente: se está gastando más de lo presupuestado</v>
      </c>
      <c r="AC796" s="84">
        <f t="shared" si="245"/>
        <v>1</v>
      </c>
      <c r="AD796" s="84" t="str">
        <f t="shared" si="256"/>
        <v>Proyecto a tiempo según lo planificado</v>
      </c>
      <c r="AE796" s="85">
        <f t="shared" si="246"/>
        <v>1764818825</v>
      </c>
      <c r="AF796" s="85">
        <f t="shared" si="247"/>
        <v>1600149626</v>
      </c>
      <c r="AG796" s="40" t="str">
        <f>VLOOKUP(Indicador!E796,Diccionario!C$1:AC$150,27,0)</f>
        <v>https://growdatasas.sharepoint.com/:x:/r/sites/Gestiondocumental/Administrativa/GD/Financiera/_layouts/15/Doc.aspx?sourcedoc=%7B2970928D-0288-4D5D-952F-67732B5D2028%7D&amp;file=251216_MODELO_FINANCIERO_SDH_V.2.0__V7.5%20VF.xlsm&amp;action=default&amp;mobileredirect=true</v>
      </c>
      <c r="AH796" s="40">
        <v>1</v>
      </c>
      <c r="AI796" s="40">
        <v>1</v>
      </c>
    </row>
    <row r="797" spans="1:35" ht="18.75" customHeight="1">
      <c r="A797" s="73">
        <v>2026</v>
      </c>
      <c r="B797" s="112" t="s">
        <v>22</v>
      </c>
      <c r="C797" s="36" t="s">
        <v>466</v>
      </c>
      <c r="D797" s="37">
        <v>46048.831253240744</v>
      </c>
      <c r="E797" s="36" t="s">
        <v>95</v>
      </c>
      <c r="F797" s="36" t="s">
        <v>162</v>
      </c>
      <c r="G797" s="36" t="s">
        <v>467</v>
      </c>
      <c r="H797" s="36" t="s">
        <v>468</v>
      </c>
      <c r="I797" s="36" t="s">
        <v>152</v>
      </c>
      <c r="J797" s="36" t="s">
        <v>469</v>
      </c>
      <c r="K797" s="36" t="s">
        <v>177</v>
      </c>
      <c r="L797" s="74">
        <f>VLOOKUP(E797,Diccionario!C$2:AC$150,22,0)</f>
        <v>164669199</v>
      </c>
      <c r="M797" s="75">
        <f>VLOOKUP(E797,Diccionario!C$2:AC$150,24,0)</f>
        <v>45992</v>
      </c>
      <c r="N797" s="76">
        <f>VLOOKUP(E797,Diccionario!C$2:AC$150,25,0)</f>
        <v>46233</v>
      </c>
      <c r="O797" s="77">
        <f>VLOOKUP(E797,Diccionario!C$2:AC$150,26,0)</f>
        <v>7.97</v>
      </c>
      <c r="P797" s="77">
        <f t="shared" si="257"/>
        <v>-4.97</v>
      </c>
      <c r="Q797" s="78">
        <v>3</v>
      </c>
      <c r="R797" s="36">
        <v>8</v>
      </c>
      <c r="S797" s="86">
        <v>0.3</v>
      </c>
      <c r="T797" s="86"/>
      <c r="U797" s="82"/>
      <c r="V797" s="82"/>
      <c r="W797" s="82">
        <f t="shared" si="243"/>
        <v>0</v>
      </c>
      <c r="X797" s="82">
        <f t="shared" si="253"/>
        <v>49400759.699999996</v>
      </c>
      <c r="Y797" s="82">
        <f t="shared" si="244"/>
        <v>0</v>
      </c>
      <c r="Z797" s="82">
        <f t="shared" si="254"/>
        <v>-49400759.699999996</v>
      </c>
      <c r="AA797" s="83" t="str">
        <f t="shared" si="258"/>
        <v>No se realizó gasto en este corte</v>
      </c>
      <c r="AB797" s="84" t="str">
        <f t="shared" si="255"/>
        <v>Costo eficiente: se está gastando menos de lo presupuestado</v>
      </c>
      <c r="AC797" s="84">
        <f t="shared" si="245"/>
        <v>0</v>
      </c>
      <c r="AD797" s="84" t="str">
        <f t="shared" si="256"/>
        <v>Sin Línea Base</v>
      </c>
      <c r="AE797" s="85">
        <f t="shared" si="246"/>
        <v>0</v>
      </c>
      <c r="AF797" s="85">
        <f t="shared" si="247"/>
        <v>-164669199</v>
      </c>
      <c r="AG797" s="40" t="str">
        <f>VLOOKUP(Indicador!E797,Diccionario!C$1:AC$150,27,0)</f>
        <v>https://growdatasas.sharepoint.com/:x:/r/sites/Gestiondocumental/Administrativa/GD/Financiera/_layouts/15/Doc.aspx?sourcedoc=%7B2970928D-0288-4D5D-952F-67732B5D2028%7D&amp;file=251216_MODELO_FINANCIERO_SDH_V.2.0__V7.5%20VF.xlsm&amp;action=default&amp;mobileredirect=true</v>
      </c>
      <c r="AH797" s="40">
        <v>1</v>
      </c>
      <c r="AI797" s="40">
        <v>1</v>
      </c>
    </row>
    <row r="798" spans="1:35" ht="18.75" customHeight="1">
      <c r="A798" s="73">
        <v>2026</v>
      </c>
      <c r="B798" s="112" t="s">
        <v>24</v>
      </c>
      <c r="C798" s="36" t="s">
        <v>466</v>
      </c>
      <c r="D798" s="37">
        <v>46048.831253240744</v>
      </c>
      <c r="E798" s="36" t="s">
        <v>95</v>
      </c>
      <c r="F798" s="36" t="s">
        <v>162</v>
      </c>
      <c r="G798" s="36" t="s">
        <v>467</v>
      </c>
      <c r="H798" s="36" t="s">
        <v>468</v>
      </c>
      <c r="I798" s="36" t="s">
        <v>152</v>
      </c>
      <c r="J798" s="36" t="s">
        <v>469</v>
      </c>
      <c r="K798" s="36" t="s">
        <v>177</v>
      </c>
      <c r="L798" s="74">
        <f>VLOOKUP(E798,Diccionario!C$2:AC$150,22,0)</f>
        <v>164669199</v>
      </c>
      <c r="M798" s="75">
        <f>VLOOKUP(E798,Diccionario!C$2:AC$150,24,0)</f>
        <v>45992</v>
      </c>
      <c r="N798" s="76">
        <f>VLOOKUP(E798,Diccionario!C$2:AC$150,25,0)</f>
        <v>46233</v>
      </c>
      <c r="O798" s="77">
        <f>VLOOKUP(E798,Diccionario!C$2:AC$150,26,0)</f>
        <v>7.97</v>
      </c>
      <c r="P798" s="77">
        <f t="shared" si="257"/>
        <v>-3.9699999999999998</v>
      </c>
      <c r="Q798" s="78">
        <v>4</v>
      </c>
      <c r="R798" s="36">
        <v>8</v>
      </c>
      <c r="S798" s="86">
        <v>0.5</v>
      </c>
      <c r="T798" s="86"/>
      <c r="U798" s="82"/>
      <c r="V798" s="82"/>
      <c r="W798" s="82">
        <f t="shared" si="243"/>
        <v>0</v>
      </c>
      <c r="X798" s="82">
        <f t="shared" si="253"/>
        <v>82334599.5</v>
      </c>
      <c r="Y798" s="82">
        <f t="shared" si="244"/>
        <v>0</v>
      </c>
      <c r="Z798" s="82">
        <f t="shared" si="254"/>
        <v>-82334599.5</v>
      </c>
      <c r="AA798" s="83" t="str">
        <f t="shared" si="258"/>
        <v>No se realizó gasto en este corte</v>
      </c>
      <c r="AB798" s="84" t="str">
        <f t="shared" si="255"/>
        <v>Costo eficiente: se está gastando menos de lo presupuestado</v>
      </c>
      <c r="AC798" s="84">
        <f t="shared" si="245"/>
        <v>0</v>
      </c>
      <c r="AD798" s="84" t="str">
        <f t="shared" si="256"/>
        <v>Sin Línea Base</v>
      </c>
      <c r="AE798" s="85">
        <f t="shared" si="246"/>
        <v>0</v>
      </c>
      <c r="AF798" s="85">
        <f t="shared" si="247"/>
        <v>-164669199</v>
      </c>
      <c r="AG798" s="40" t="str">
        <f>VLOOKUP(Indicador!E798,Diccionario!C$1:AC$150,27,0)</f>
        <v>https://growdatasas.sharepoint.com/:x:/r/sites/Gestiondocumental/Administrativa/GD/Financiera/_layouts/15/Doc.aspx?sourcedoc=%7B2970928D-0288-4D5D-952F-67732B5D2028%7D&amp;file=251216_MODELO_FINANCIERO_SDH_V.2.0__V7.5%20VF.xlsm&amp;action=default&amp;mobileredirect=true</v>
      </c>
      <c r="AH798" s="40">
        <v>1</v>
      </c>
      <c r="AI798" s="40">
        <v>1</v>
      </c>
    </row>
    <row r="799" spans="1:35" ht="18.75" customHeight="1">
      <c r="A799" s="73">
        <v>2026</v>
      </c>
      <c r="B799" s="112" t="s">
        <v>27</v>
      </c>
      <c r="C799" s="36" t="s">
        <v>466</v>
      </c>
      <c r="D799" s="37">
        <v>46048.831253240744</v>
      </c>
      <c r="E799" s="36" t="s">
        <v>95</v>
      </c>
      <c r="F799" s="36" t="s">
        <v>162</v>
      </c>
      <c r="G799" s="36" t="s">
        <v>467</v>
      </c>
      <c r="H799" s="36" t="s">
        <v>468</v>
      </c>
      <c r="I799" s="36" t="s">
        <v>152</v>
      </c>
      <c r="J799" s="36" t="s">
        <v>469</v>
      </c>
      <c r="K799" s="36" t="s">
        <v>177</v>
      </c>
      <c r="L799" s="74">
        <f>VLOOKUP(E799,Diccionario!C$2:AC$150,22,0)</f>
        <v>164669199</v>
      </c>
      <c r="M799" s="75">
        <f>VLOOKUP(E799,Diccionario!C$2:AC$150,24,0)</f>
        <v>45992</v>
      </c>
      <c r="N799" s="76">
        <f>VLOOKUP(E799,Diccionario!C$2:AC$150,25,0)</f>
        <v>46233</v>
      </c>
      <c r="O799" s="77">
        <f>VLOOKUP(E799,Diccionario!C$2:AC$150,26,0)</f>
        <v>7.97</v>
      </c>
      <c r="P799" s="77">
        <f t="shared" si="257"/>
        <v>-2.9699999999999998</v>
      </c>
      <c r="Q799" s="78">
        <v>5</v>
      </c>
      <c r="R799" s="36">
        <v>8</v>
      </c>
      <c r="S799" s="86">
        <v>0.7</v>
      </c>
      <c r="T799" s="86"/>
      <c r="U799" s="82"/>
      <c r="V799" s="82"/>
      <c r="W799" s="82">
        <f t="shared" si="243"/>
        <v>0</v>
      </c>
      <c r="X799" s="82">
        <f t="shared" si="253"/>
        <v>115268439.3</v>
      </c>
      <c r="Y799" s="82">
        <f t="shared" si="244"/>
        <v>0</v>
      </c>
      <c r="Z799" s="82">
        <f t="shared" si="254"/>
        <v>-115268439.3</v>
      </c>
      <c r="AA799" s="83" t="str">
        <f t="shared" si="258"/>
        <v>No se realizó gasto en este corte</v>
      </c>
      <c r="AB799" s="84" t="str">
        <f t="shared" si="255"/>
        <v>Costo eficiente: se está gastando menos de lo presupuestado</v>
      </c>
      <c r="AC799" s="84">
        <f t="shared" si="245"/>
        <v>0</v>
      </c>
      <c r="AD799" s="84" t="str">
        <f t="shared" si="256"/>
        <v>Sin Línea Base</v>
      </c>
      <c r="AE799" s="85">
        <f t="shared" si="246"/>
        <v>0</v>
      </c>
      <c r="AF799" s="85">
        <f t="shared" si="247"/>
        <v>-164669199</v>
      </c>
      <c r="AG799" s="40" t="str">
        <f>VLOOKUP(Indicador!E799,Diccionario!C$1:AC$150,27,0)</f>
        <v>https://growdatasas.sharepoint.com/:x:/r/sites/Gestiondocumental/Administrativa/GD/Financiera/_layouts/15/Doc.aspx?sourcedoc=%7B2970928D-0288-4D5D-952F-67732B5D2028%7D&amp;file=251216_MODELO_FINANCIERO_SDH_V.2.0__V7.5%20VF.xlsm&amp;action=default&amp;mobileredirect=true</v>
      </c>
      <c r="AH799" s="40">
        <v>1</v>
      </c>
      <c r="AI799" s="40">
        <v>1</v>
      </c>
    </row>
    <row r="800" spans="1:35" ht="18.75" customHeight="1">
      <c r="A800" s="73">
        <v>2026</v>
      </c>
      <c r="B800" s="112" t="s">
        <v>13</v>
      </c>
      <c r="C800" s="36" t="s">
        <v>466</v>
      </c>
      <c r="D800" s="37">
        <v>46048.831253240744</v>
      </c>
      <c r="E800" s="36" t="s">
        <v>95</v>
      </c>
      <c r="F800" s="36" t="s">
        <v>162</v>
      </c>
      <c r="G800" s="36" t="s">
        <v>467</v>
      </c>
      <c r="H800" s="36" t="s">
        <v>468</v>
      </c>
      <c r="I800" s="36" t="s">
        <v>152</v>
      </c>
      <c r="J800" s="36" t="s">
        <v>469</v>
      </c>
      <c r="K800" s="36" t="s">
        <v>177</v>
      </c>
      <c r="L800" s="74">
        <f>VLOOKUP(E800,Diccionario!C$2:AC$150,22,0)</f>
        <v>164669199</v>
      </c>
      <c r="M800" s="75">
        <f>VLOOKUP(E800,Diccionario!C$2:AC$150,24,0)</f>
        <v>45992</v>
      </c>
      <c r="N800" s="76">
        <f>VLOOKUP(E800,Diccionario!C$2:AC$150,25,0)</f>
        <v>46233</v>
      </c>
      <c r="O800" s="77">
        <f>VLOOKUP(E800,Diccionario!C$2:AC$150,26,0)</f>
        <v>7.97</v>
      </c>
      <c r="P800" s="77">
        <f t="shared" si="257"/>
        <v>-1.9699999999999998</v>
      </c>
      <c r="Q800" s="78">
        <v>6</v>
      </c>
      <c r="R800" s="36">
        <v>8</v>
      </c>
      <c r="S800" s="86">
        <v>0.8</v>
      </c>
      <c r="T800" s="86"/>
      <c r="U800" s="82"/>
      <c r="V800" s="82"/>
      <c r="W800" s="82">
        <f t="shared" si="243"/>
        <v>0</v>
      </c>
      <c r="X800" s="82">
        <f t="shared" si="253"/>
        <v>131735359.2</v>
      </c>
      <c r="Y800" s="82">
        <f t="shared" si="244"/>
        <v>0</v>
      </c>
      <c r="Z800" s="82">
        <f t="shared" si="254"/>
        <v>-131735359.2</v>
      </c>
      <c r="AA800" s="83" t="str">
        <f t="shared" si="258"/>
        <v>No se realizó gasto en este corte</v>
      </c>
      <c r="AB800" s="84" t="str">
        <f t="shared" si="255"/>
        <v>Costo eficiente: se está gastando menos de lo presupuestado</v>
      </c>
      <c r="AC800" s="84">
        <f t="shared" si="245"/>
        <v>0</v>
      </c>
      <c r="AD800" s="84" t="str">
        <f t="shared" si="256"/>
        <v>Sin Línea Base</v>
      </c>
      <c r="AE800" s="85">
        <f t="shared" si="246"/>
        <v>0</v>
      </c>
      <c r="AF800" s="85">
        <f t="shared" si="247"/>
        <v>-164669199</v>
      </c>
      <c r="AG800" s="40" t="str">
        <f>VLOOKUP(Indicador!E800,Diccionario!C$1:AC$150,27,0)</f>
        <v>https://growdatasas.sharepoint.com/:x:/r/sites/Gestiondocumental/Administrativa/GD/Financiera/_layouts/15/Doc.aspx?sourcedoc=%7B2970928D-0288-4D5D-952F-67732B5D2028%7D&amp;file=251216_MODELO_FINANCIERO_SDH_V.2.0__V7.5%20VF.xlsm&amp;action=default&amp;mobileredirect=true</v>
      </c>
      <c r="AH800" s="40">
        <v>1</v>
      </c>
      <c r="AI800" s="40">
        <v>1</v>
      </c>
    </row>
    <row r="801" spans="1:35" ht="18.75" customHeight="1">
      <c r="A801" s="73">
        <v>2026</v>
      </c>
      <c r="B801" s="112" t="s">
        <v>21</v>
      </c>
      <c r="C801" s="36" t="s">
        <v>466</v>
      </c>
      <c r="D801" s="37">
        <v>46048.831253240744</v>
      </c>
      <c r="E801" s="36" t="s">
        <v>95</v>
      </c>
      <c r="F801" s="36" t="s">
        <v>162</v>
      </c>
      <c r="G801" s="36" t="s">
        <v>467</v>
      </c>
      <c r="H801" s="36" t="s">
        <v>468</v>
      </c>
      <c r="I801" s="36" t="s">
        <v>152</v>
      </c>
      <c r="J801" s="36" t="s">
        <v>469</v>
      </c>
      <c r="K801" s="36" t="s">
        <v>177</v>
      </c>
      <c r="L801" s="74">
        <f>VLOOKUP(E801,Diccionario!C$2:AC$150,22,0)</f>
        <v>164669199</v>
      </c>
      <c r="M801" s="75">
        <f>VLOOKUP(E801,Diccionario!C$2:AC$150,24,0)</f>
        <v>45992</v>
      </c>
      <c r="N801" s="76">
        <f>VLOOKUP(E801,Diccionario!C$2:AC$150,25,0)</f>
        <v>46233</v>
      </c>
      <c r="O801" s="77">
        <f>VLOOKUP(E801,Diccionario!C$2:AC$150,26,0)</f>
        <v>7.97</v>
      </c>
      <c r="P801" s="77">
        <f t="shared" si="257"/>
        <v>-0.96999999999999975</v>
      </c>
      <c r="Q801" s="78">
        <v>7</v>
      </c>
      <c r="R801" s="36">
        <v>8</v>
      </c>
      <c r="S801" s="86">
        <v>0.9</v>
      </c>
      <c r="T801" s="86"/>
      <c r="U801" s="82"/>
      <c r="V801" s="82"/>
      <c r="W801" s="82">
        <f t="shared" si="243"/>
        <v>0</v>
      </c>
      <c r="X801" s="82">
        <f t="shared" si="253"/>
        <v>148202279.09999999</v>
      </c>
      <c r="Y801" s="82">
        <f t="shared" si="244"/>
        <v>0</v>
      </c>
      <c r="Z801" s="82">
        <f t="shared" si="254"/>
        <v>-148202279.09999999</v>
      </c>
      <c r="AA801" s="83" t="str">
        <f t="shared" si="258"/>
        <v>No se realizó gasto en este corte</v>
      </c>
      <c r="AB801" s="84" t="str">
        <f t="shared" si="255"/>
        <v>Costo eficiente: se está gastando menos de lo presupuestado</v>
      </c>
      <c r="AC801" s="84">
        <f t="shared" si="245"/>
        <v>0</v>
      </c>
      <c r="AD801" s="84" t="str">
        <f t="shared" si="256"/>
        <v>Sin Línea Base</v>
      </c>
      <c r="AE801" s="85">
        <f t="shared" si="246"/>
        <v>0</v>
      </c>
      <c r="AF801" s="85">
        <f t="shared" si="247"/>
        <v>-164669199</v>
      </c>
      <c r="AG801" s="40" t="str">
        <f>VLOOKUP(Indicador!E801,Diccionario!C$1:AC$150,27,0)</f>
        <v>https://growdatasas.sharepoint.com/:x:/r/sites/Gestiondocumental/Administrativa/GD/Financiera/_layouts/15/Doc.aspx?sourcedoc=%7B2970928D-0288-4D5D-952F-67732B5D2028%7D&amp;file=251216_MODELO_FINANCIERO_SDH_V.2.0__V7.5%20VF.xlsm&amp;action=default&amp;mobileredirect=true</v>
      </c>
      <c r="AH801" s="40">
        <v>1</v>
      </c>
      <c r="AI801" s="40">
        <v>1</v>
      </c>
    </row>
    <row r="802" spans="1:35" ht="18.75" customHeight="1">
      <c r="A802" s="73">
        <v>2026</v>
      </c>
      <c r="B802" s="112" t="s">
        <v>23</v>
      </c>
      <c r="C802" s="36" t="s">
        <v>466</v>
      </c>
      <c r="D802" s="37">
        <v>46048.831253240744</v>
      </c>
      <c r="E802" s="36" t="s">
        <v>95</v>
      </c>
      <c r="F802" s="36" t="s">
        <v>162</v>
      </c>
      <c r="G802" s="36" t="s">
        <v>467</v>
      </c>
      <c r="H802" s="36" t="s">
        <v>468</v>
      </c>
      <c r="I802" s="36" t="s">
        <v>152</v>
      </c>
      <c r="J802" s="36" t="s">
        <v>469</v>
      </c>
      <c r="K802" s="36" t="s">
        <v>177</v>
      </c>
      <c r="L802" s="74">
        <f>VLOOKUP(E802,Diccionario!C$2:AC$150,22,0)</f>
        <v>164669199</v>
      </c>
      <c r="M802" s="75">
        <f>VLOOKUP(E802,Diccionario!C$2:AC$150,24,0)</f>
        <v>45992</v>
      </c>
      <c r="N802" s="76">
        <f>VLOOKUP(E802,Diccionario!C$2:AC$150,25,0)</f>
        <v>46233</v>
      </c>
      <c r="O802" s="77">
        <f>VLOOKUP(E802,Diccionario!C$2:AC$150,26,0)</f>
        <v>7.97</v>
      </c>
      <c r="P802" s="77">
        <f t="shared" si="257"/>
        <v>3.0000000000000249E-2</v>
      </c>
      <c r="Q802" s="78">
        <v>8</v>
      </c>
      <c r="R802" s="36">
        <v>8</v>
      </c>
      <c r="S802" s="86">
        <v>1</v>
      </c>
      <c r="T802" s="86"/>
      <c r="U802" s="82"/>
      <c r="V802" s="82"/>
      <c r="W802" s="82">
        <f t="shared" si="243"/>
        <v>0</v>
      </c>
      <c r="X802" s="82">
        <f t="shared" si="253"/>
        <v>164669199</v>
      </c>
      <c r="Y802" s="82">
        <f t="shared" si="244"/>
        <v>0</v>
      </c>
      <c r="Z802" s="82">
        <f t="shared" si="254"/>
        <v>-164669199</v>
      </c>
      <c r="AA802" s="83" t="str">
        <f t="shared" si="258"/>
        <v>No se realizó gasto en este corte</v>
      </c>
      <c r="AB802" s="84" t="str">
        <f t="shared" si="255"/>
        <v>Costo eficiente: se está gastando menos de lo presupuestado</v>
      </c>
      <c r="AC802" s="84">
        <f t="shared" si="245"/>
        <v>0</v>
      </c>
      <c r="AD802" s="84" t="str">
        <f t="shared" si="256"/>
        <v>Sin Línea Base</v>
      </c>
      <c r="AE802" s="85">
        <f t="shared" si="246"/>
        <v>0</v>
      </c>
      <c r="AF802" s="85">
        <f t="shared" si="247"/>
        <v>-164669199</v>
      </c>
      <c r="AG802" s="40" t="str">
        <f>VLOOKUP(Indicador!E802,Diccionario!C$1:AC$150,27,0)</f>
        <v>https://growdatasas.sharepoint.com/:x:/r/sites/Gestiondocumental/Administrativa/GD/Financiera/_layouts/15/Doc.aspx?sourcedoc=%7B2970928D-0288-4D5D-952F-67732B5D2028%7D&amp;file=251216_MODELO_FINANCIERO_SDH_V.2.0__V7.5%20VF.xlsm&amp;action=default&amp;mobileredirect=true</v>
      </c>
      <c r="AH802" s="40">
        <v>1</v>
      </c>
      <c r="AI802" s="40">
        <v>1</v>
      </c>
    </row>
    <row r="803" spans="1:35" ht="18.75" customHeight="1">
      <c r="A803" s="73">
        <v>2025</v>
      </c>
      <c r="B803" s="112" t="s">
        <v>32</v>
      </c>
      <c r="C803" s="36" t="s">
        <v>470</v>
      </c>
      <c r="D803" s="37">
        <v>45996.649671412037</v>
      </c>
      <c r="E803" s="36" t="s">
        <v>56</v>
      </c>
      <c r="F803" s="36" t="s">
        <v>221</v>
      </c>
      <c r="G803" s="36" t="s">
        <v>471</v>
      </c>
      <c r="H803" s="36" t="s">
        <v>472</v>
      </c>
      <c r="I803" s="36" t="s">
        <v>165</v>
      </c>
      <c r="J803" s="36" t="s">
        <v>473</v>
      </c>
      <c r="K803" s="36" t="s">
        <v>177</v>
      </c>
      <c r="L803" s="74">
        <f>VLOOKUP(E803,Diccionario!C$2:AC$150,22,0)</f>
        <v>247635015</v>
      </c>
      <c r="M803" s="75">
        <f>VLOOKUP(E803,Diccionario!C$2:AC$150,24,0)</f>
        <v>45992</v>
      </c>
      <c r="N803" s="76">
        <f>VLOOKUP(E803,Diccionario!C$2:AC$150,25,0)</f>
        <v>46022</v>
      </c>
      <c r="O803" s="77">
        <f>VLOOKUP(E803,Diccionario!C$2:AC$150,26,0)</f>
        <v>1</v>
      </c>
      <c r="P803" s="77">
        <f t="shared" si="257"/>
        <v>0</v>
      </c>
      <c r="Q803" s="78">
        <v>1</v>
      </c>
      <c r="R803" s="36">
        <v>2</v>
      </c>
      <c r="S803" s="86">
        <v>0.5</v>
      </c>
      <c r="T803" s="86">
        <v>0.5</v>
      </c>
      <c r="U803" s="82">
        <v>14870034</v>
      </c>
      <c r="V803" s="82">
        <v>14870034</v>
      </c>
      <c r="W803" s="82">
        <f t="shared" si="243"/>
        <v>123817507.5</v>
      </c>
      <c r="X803" s="82">
        <f t="shared" si="253"/>
        <v>123817507.5</v>
      </c>
      <c r="Y803" s="82">
        <f t="shared" si="244"/>
        <v>108947473.5</v>
      </c>
      <c r="Z803" s="82">
        <f t="shared" si="254"/>
        <v>0</v>
      </c>
      <c r="AA803" s="83">
        <f t="shared" si="258"/>
        <v>8.3266458906549907</v>
      </c>
      <c r="AB803" s="84" t="str">
        <f t="shared" si="255"/>
        <v>Costo eficiente: se está gastando menos de lo presupuestado</v>
      </c>
      <c r="AC803" s="84">
        <f t="shared" si="245"/>
        <v>1</v>
      </c>
      <c r="AD803" s="84" t="str">
        <f t="shared" si="256"/>
        <v>Proyecto a tiempo según lo planificado</v>
      </c>
      <c r="AE803" s="85">
        <f t="shared" si="246"/>
        <v>29740068</v>
      </c>
      <c r="AF803" s="85">
        <f t="shared" si="247"/>
        <v>-217894947</v>
      </c>
      <c r="AG803" s="40" t="str">
        <f>VLOOKUP(Indicador!E803,Diccionario!C$1:AC$150,27,0)</f>
        <v>https://growdatasas.sharepoint.com/:x:/r/sites/Gestiondocumental/Administrativa/GD/Financiera/_layouts/15/Doc.aspx?sourcedoc=%7B840D2BBF-2534-4DFF-B0DD-C6009F7470CE%7D&amp;file=20251301%20MODELO%20FINANCIERO%20REFERENCIA%20V7.4_583MILL.xlsm&amp;action=default&amp;mobileredirect=true</v>
      </c>
      <c r="AH803" s="40">
        <v>1</v>
      </c>
      <c r="AI803" s="40">
        <v>1</v>
      </c>
    </row>
    <row r="804" spans="1:35" ht="18.75" customHeight="1">
      <c r="A804" s="73">
        <v>2026</v>
      </c>
      <c r="B804" s="112" t="s">
        <v>14</v>
      </c>
      <c r="C804" s="36" t="s">
        <v>470</v>
      </c>
      <c r="D804" s="37">
        <v>45996.649671412037</v>
      </c>
      <c r="E804" s="36" t="s">
        <v>56</v>
      </c>
      <c r="F804" s="36" t="s">
        <v>221</v>
      </c>
      <c r="G804" s="36" t="s">
        <v>471</v>
      </c>
      <c r="H804" s="36" t="s">
        <v>472</v>
      </c>
      <c r="I804" s="36" t="s">
        <v>165</v>
      </c>
      <c r="J804" s="36" t="s">
        <v>473</v>
      </c>
      <c r="K804" s="36" t="s">
        <v>177</v>
      </c>
      <c r="L804" s="74">
        <f>VLOOKUP(E804,Diccionario!C$2:AC$150,22,0)</f>
        <v>247635015</v>
      </c>
      <c r="M804" s="75">
        <f>VLOOKUP(E804,Diccionario!C$2:AC$150,24,0)</f>
        <v>45992</v>
      </c>
      <c r="N804" s="76">
        <f>VLOOKUP(E804,Diccionario!C$2:AC$150,25,0)</f>
        <v>46022</v>
      </c>
      <c r="O804" s="77">
        <f>VLOOKUP(E804,Diccionario!C$2:AC$150,26,0)</f>
        <v>1</v>
      </c>
      <c r="P804" s="77">
        <f t="shared" si="257"/>
        <v>1</v>
      </c>
      <c r="Q804" s="78">
        <v>2</v>
      </c>
      <c r="R804" s="36">
        <v>2</v>
      </c>
      <c r="S804" s="86">
        <v>1</v>
      </c>
      <c r="T804" s="86">
        <v>1</v>
      </c>
      <c r="U804" s="82">
        <v>232764980</v>
      </c>
      <c r="V804" s="82">
        <v>232764980</v>
      </c>
      <c r="W804" s="82">
        <f t="shared" si="243"/>
        <v>247635015</v>
      </c>
      <c r="X804" s="82">
        <f t="shared" si="253"/>
        <v>247635015</v>
      </c>
      <c r="Y804" s="82">
        <f t="shared" si="244"/>
        <v>14870035</v>
      </c>
      <c r="Z804" s="82">
        <f t="shared" si="254"/>
        <v>0</v>
      </c>
      <c r="AA804" s="83">
        <f t="shared" si="258"/>
        <v>1.0638843308817332</v>
      </c>
      <c r="AB804" s="84" t="str">
        <f t="shared" si="255"/>
        <v>Costo eficiente: se está gastando menos de lo presupuestado</v>
      </c>
      <c r="AC804" s="84">
        <f t="shared" si="245"/>
        <v>1</v>
      </c>
      <c r="AD804" s="84" t="str">
        <f t="shared" si="256"/>
        <v>Proyecto a tiempo según lo planificado</v>
      </c>
      <c r="AE804" s="85">
        <f t="shared" si="246"/>
        <v>232764980</v>
      </c>
      <c r="AF804" s="85">
        <f t="shared" si="247"/>
        <v>-14870035</v>
      </c>
      <c r="AG804" s="40" t="str">
        <f>VLOOKUP(Indicador!E804,Diccionario!C$1:AC$150,27,0)</f>
        <v>https://growdatasas.sharepoint.com/:x:/r/sites/Gestiondocumental/Administrativa/GD/Financiera/_layouts/15/Doc.aspx?sourcedoc=%7B840D2BBF-2534-4DFF-B0DD-C6009F7470CE%7D&amp;file=20251301%20MODELO%20FINANCIERO%20REFERENCIA%20V7.4_583MILL.xlsm&amp;action=default&amp;mobileredirect=true</v>
      </c>
      <c r="AH804" s="40">
        <v>1</v>
      </c>
      <c r="AI804" s="40">
        <v>1</v>
      </c>
    </row>
    <row r="805" spans="1:35" ht="18.75" customHeight="1">
      <c r="A805" s="73">
        <v>2025</v>
      </c>
      <c r="B805" s="112" t="s">
        <v>32</v>
      </c>
      <c r="C805" s="36" t="s">
        <v>474</v>
      </c>
      <c r="D805" s="37">
        <v>46021.841486574071</v>
      </c>
      <c r="E805" s="36" t="s">
        <v>110</v>
      </c>
      <c r="F805" s="36" t="s">
        <v>221</v>
      </c>
      <c r="G805" s="36" t="s">
        <v>475</v>
      </c>
      <c r="H805" s="36" t="s">
        <v>476</v>
      </c>
      <c r="I805" s="36" t="s">
        <v>165</v>
      </c>
      <c r="J805" s="36" t="s">
        <v>477</v>
      </c>
      <c r="K805" s="36" t="s">
        <v>177</v>
      </c>
      <c r="L805" s="74">
        <f>VLOOKUP(E805,Diccionario!C$2:AC$150,22,0)</f>
        <v>3013668998</v>
      </c>
      <c r="M805" s="75">
        <f>VLOOKUP(E805,Diccionario!C$2:AC$150,24,0)</f>
        <v>46006</v>
      </c>
      <c r="N805" s="76">
        <f>VLOOKUP(E805,Diccionario!C$2:AC$150,25,0)</f>
        <v>46766</v>
      </c>
      <c r="O805" s="77">
        <f>VLOOKUP(E805,Diccionario!C$2:AC$150,26,0)</f>
        <v>24.97</v>
      </c>
      <c r="P805" s="77">
        <f t="shared" si="257"/>
        <v>-23.97</v>
      </c>
      <c r="Q805" s="78">
        <v>1</v>
      </c>
      <c r="R805" s="36">
        <v>25</v>
      </c>
      <c r="S805" s="86">
        <v>0.05</v>
      </c>
      <c r="T805" s="86"/>
      <c r="U805" s="82">
        <v>512538627</v>
      </c>
      <c r="V805" s="82">
        <v>512538627</v>
      </c>
      <c r="W805" s="82">
        <f t="shared" si="243"/>
        <v>0</v>
      </c>
      <c r="X805" s="82">
        <f t="shared" si="253"/>
        <v>150683449.90000001</v>
      </c>
      <c r="Y805" s="82">
        <f t="shared" si="244"/>
        <v>-512538627</v>
      </c>
      <c r="Z805" s="82">
        <f t="shared" si="254"/>
        <v>-150683449.90000001</v>
      </c>
      <c r="AA805" s="83">
        <f t="shared" si="258"/>
        <v>0</v>
      </c>
      <c r="AB805" s="84" t="str">
        <f t="shared" si="255"/>
        <v>No calculado</v>
      </c>
      <c r="AC805" s="84">
        <f t="shared" si="245"/>
        <v>0</v>
      </c>
      <c r="AD805" s="84" t="str">
        <f t="shared" si="256"/>
        <v>Sin Línea Base</v>
      </c>
      <c r="AE805" s="85">
        <f t="shared" si="246"/>
        <v>0</v>
      </c>
      <c r="AF805" s="85">
        <f t="shared" si="247"/>
        <v>-3013668998</v>
      </c>
      <c r="AG805" s="40" t="str">
        <f>VLOOKUP(Indicador!E805,Diccionario!C$1:AC$150,27,0)</f>
        <v>https://growdatasas.sharepoint.com/:x:/r/sites/Gestiondocumental/Administrativa/GD/Financiera/_layouts/15/Doc.aspx?sourcedoc=%7B2970928D-0288-4D5D-952F-67732B5D2028%7D&amp;file=251216_MODELO_FINANCIERO_SDH_V.2.0__V7.5%20VF.xlsm&amp;action=default&amp;mobileredirect=true</v>
      </c>
      <c r="AH805" s="40">
        <v>1</v>
      </c>
      <c r="AI805" s="40">
        <v>1</v>
      </c>
    </row>
    <row r="806" spans="1:35" ht="18.75" customHeight="1">
      <c r="A806" s="73">
        <v>2026</v>
      </c>
      <c r="B806" s="112" t="s">
        <v>14</v>
      </c>
      <c r="C806" s="36" t="s">
        <v>474</v>
      </c>
      <c r="D806" s="37">
        <v>46021.841486574071</v>
      </c>
      <c r="E806" s="36" t="s">
        <v>110</v>
      </c>
      <c r="F806" s="36" t="s">
        <v>221</v>
      </c>
      <c r="G806" s="36" t="s">
        <v>475</v>
      </c>
      <c r="H806" s="36" t="s">
        <v>476</v>
      </c>
      <c r="I806" s="36" t="s">
        <v>165</v>
      </c>
      <c r="J806" s="36" t="s">
        <v>477</v>
      </c>
      <c r="K806" s="36" t="s">
        <v>177</v>
      </c>
      <c r="L806" s="74">
        <f>VLOOKUP(E806,Diccionario!C$2:AC$150,22,0)</f>
        <v>3013668998</v>
      </c>
      <c r="M806" s="75">
        <f>VLOOKUP(E806,Diccionario!C$2:AC$150,24,0)</f>
        <v>46006</v>
      </c>
      <c r="N806" s="76">
        <f>VLOOKUP(E806,Diccionario!C$2:AC$150,25,0)</f>
        <v>46766</v>
      </c>
      <c r="O806" s="77">
        <f>VLOOKUP(E806,Diccionario!C$2:AC$150,26,0)</f>
        <v>24.97</v>
      </c>
      <c r="P806" s="77">
        <f t="shared" ca="1" si="257"/>
        <v>-17.97</v>
      </c>
      <c r="Q806" s="78">
        <f t="shared" ref="Q806" ca="1" si="259">DATEDIF(M806,TODAY(),"m")</f>
        <v>7</v>
      </c>
      <c r="R806" s="36">
        <v>25</v>
      </c>
      <c r="S806" s="86">
        <v>0.1</v>
      </c>
      <c r="T806" s="86"/>
      <c r="U806" s="82">
        <v>352963765</v>
      </c>
      <c r="V806" s="82">
        <v>352963765</v>
      </c>
      <c r="W806" s="82">
        <f t="shared" si="243"/>
        <v>0</v>
      </c>
      <c r="X806" s="82">
        <f t="shared" si="253"/>
        <v>301366899.80000001</v>
      </c>
      <c r="Y806" s="82">
        <f t="shared" si="244"/>
        <v>-352963765</v>
      </c>
      <c r="Z806" s="82">
        <f t="shared" si="254"/>
        <v>-301366899.80000001</v>
      </c>
      <c r="AA806" s="83">
        <f t="shared" si="258"/>
        <v>0</v>
      </c>
      <c r="AB806" s="84" t="str">
        <f t="shared" si="255"/>
        <v>No calculado</v>
      </c>
      <c r="AC806" s="84">
        <f t="shared" si="245"/>
        <v>0</v>
      </c>
      <c r="AD806" s="84" t="str">
        <f t="shared" si="256"/>
        <v>Sin Línea Base</v>
      </c>
      <c r="AE806" s="85">
        <f t="shared" si="246"/>
        <v>0</v>
      </c>
      <c r="AF806" s="85">
        <f t="shared" si="247"/>
        <v>-3013668998</v>
      </c>
      <c r="AG806" s="40" t="str">
        <f>VLOOKUP(Indicador!E806,Diccionario!C$1:AC$150,27,0)</f>
        <v>https://growdatasas.sharepoint.com/:x:/r/sites/Gestiondocumental/Administrativa/GD/Financiera/_layouts/15/Doc.aspx?sourcedoc=%7B2970928D-0288-4D5D-952F-67732B5D2028%7D&amp;file=251216_MODELO_FINANCIERO_SDH_V.2.0__V7.5%20VF.xlsm&amp;action=default&amp;mobileredirect=true</v>
      </c>
      <c r="AH806" s="40">
        <v>1</v>
      </c>
      <c r="AI806" s="40">
        <v>1</v>
      </c>
    </row>
    <row r="807" spans="1:35" ht="18.75" customHeight="1">
      <c r="A807" s="73">
        <v>2026</v>
      </c>
      <c r="B807" s="112" t="s">
        <v>22</v>
      </c>
      <c r="C807" s="36" t="s">
        <v>474</v>
      </c>
      <c r="D807" s="37">
        <v>46021.841486574071</v>
      </c>
      <c r="E807" s="36" t="s">
        <v>110</v>
      </c>
      <c r="F807" s="36" t="s">
        <v>221</v>
      </c>
      <c r="G807" s="36" t="s">
        <v>475</v>
      </c>
      <c r="H807" s="36" t="s">
        <v>476</v>
      </c>
      <c r="I807" s="36" t="s">
        <v>165</v>
      </c>
      <c r="J807" s="36" t="s">
        <v>477</v>
      </c>
      <c r="K807" s="36" t="s">
        <v>177</v>
      </c>
      <c r="L807" s="74">
        <f>VLOOKUP(E807,Diccionario!C$2:AC$150,22,0)</f>
        <v>3013668998</v>
      </c>
      <c r="M807" s="75">
        <f>VLOOKUP(E807,Diccionario!C$2:AC$150,24,0)</f>
        <v>46006</v>
      </c>
      <c r="N807" s="76">
        <f>VLOOKUP(E807,Diccionario!C$2:AC$150,25,0)</f>
        <v>46766</v>
      </c>
      <c r="O807" s="77">
        <f>VLOOKUP(E807,Diccionario!C$2:AC$150,26,0)</f>
        <v>24.97</v>
      </c>
      <c r="P807" s="77">
        <f t="shared" si="257"/>
        <v>-21.97</v>
      </c>
      <c r="Q807" s="78">
        <v>3</v>
      </c>
      <c r="R807" s="36">
        <v>25</v>
      </c>
      <c r="S807" s="86">
        <v>0.15</v>
      </c>
      <c r="T807" s="86"/>
      <c r="U807" s="82"/>
      <c r="V807" s="82"/>
      <c r="W807" s="82">
        <f t="shared" si="243"/>
        <v>0</v>
      </c>
      <c r="X807" s="82">
        <f t="shared" si="253"/>
        <v>452050349.69999999</v>
      </c>
      <c r="Y807" s="82">
        <f t="shared" si="244"/>
        <v>0</v>
      </c>
      <c r="Z807" s="82">
        <f t="shared" si="254"/>
        <v>-452050349.69999999</v>
      </c>
      <c r="AA807" s="83" t="str">
        <f t="shared" si="258"/>
        <v>No se realizó gasto en este corte</v>
      </c>
      <c r="AB807" s="84" t="str">
        <f t="shared" si="255"/>
        <v>Costo eficiente: se está gastando menos de lo presupuestado</v>
      </c>
      <c r="AC807" s="84">
        <f t="shared" si="245"/>
        <v>0</v>
      </c>
      <c r="AD807" s="84" t="str">
        <f t="shared" si="256"/>
        <v>Sin Línea Base</v>
      </c>
      <c r="AE807" s="85">
        <f t="shared" si="246"/>
        <v>0</v>
      </c>
      <c r="AF807" s="85">
        <f t="shared" si="247"/>
        <v>-3013668998</v>
      </c>
      <c r="AG807" s="40" t="str">
        <f>VLOOKUP(Indicador!E807,Diccionario!C$1:AC$150,27,0)</f>
        <v>https://growdatasas.sharepoint.com/:x:/r/sites/Gestiondocumental/Administrativa/GD/Financiera/_layouts/15/Doc.aspx?sourcedoc=%7B2970928D-0288-4D5D-952F-67732B5D2028%7D&amp;file=251216_MODELO_FINANCIERO_SDH_V.2.0__V7.5%20VF.xlsm&amp;action=default&amp;mobileredirect=true</v>
      </c>
      <c r="AH807" s="40">
        <v>1</v>
      </c>
      <c r="AI807" s="40">
        <v>1</v>
      </c>
    </row>
    <row r="808" spans="1:35" ht="18.75" customHeight="1">
      <c r="A808" s="73">
        <v>2026</v>
      </c>
      <c r="B808" s="112" t="s">
        <v>24</v>
      </c>
      <c r="C808" s="36" t="s">
        <v>474</v>
      </c>
      <c r="D808" s="37">
        <v>46021.841486574071</v>
      </c>
      <c r="E808" s="36" t="s">
        <v>110</v>
      </c>
      <c r="F808" s="36" t="s">
        <v>221</v>
      </c>
      <c r="G808" s="36" t="s">
        <v>475</v>
      </c>
      <c r="H808" s="36" t="s">
        <v>476</v>
      </c>
      <c r="I808" s="36" t="s">
        <v>165</v>
      </c>
      <c r="J808" s="36" t="s">
        <v>477</v>
      </c>
      <c r="K808" s="36" t="s">
        <v>177</v>
      </c>
      <c r="L808" s="74">
        <f>VLOOKUP(E808,Diccionario!C$2:AC$150,22,0)</f>
        <v>3013668998</v>
      </c>
      <c r="M808" s="75">
        <f>VLOOKUP(E808,Diccionario!C$2:AC$150,24,0)</f>
        <v>46006</v>
      </c>
      <c r="N808" s="76">
        <f>VLOOKUP(E808,Diccionario!C$2:AC$150,25,0)</f>
        <v>46766</v>
      </c>
      <c r="O808" s="77">
        <f>VLOOKUP(E808,Diccionario!C$2:AC$150,26,0)</f>
        <v>24.97</v>
      </c>
      <c r="P808" s="77">
        <f t="shared" si="257"/>
        <v>-20.97</v>
      </c>
      <c r="Q808" s="78">
        <v>4</v>
      </c>
      <c r="R808" s="36">
        <v>25</v>
      </c>
      <c r="S808" s="86">
        <v>0.2</v>
      </c>
      <c r="T808" s="86"/>
      <c r="U808" s="82"/>
      <c r="V808" s="82"/>
      <c r="W808" s="82">
        <f t="shared" si="243"/>
        <v>0</v>
      </c>
      <c r="X808" s="82">
        <f t="shared" si="253"/>
        <v>602733799.60000002</v>
      </c>
      <c r="Y808" s="82">
        <f t="shared" si="244"/>
        <v>0</v>
      </c>
      <c r="Z808" s="82">
        <f t="shared" si="254"/>
        <v>-602733799.60000002</v>
      </c>
      <c r="AA808" s="83" t="str">
        <f t="shared" si="258"/>
        <v>No se realizó gasto en este corte</v>
      </c>
      <c r="AB808" s="84" t="str">
        <f t="shared" si="255"/>
        <v>Costo eficiente: se está gastando menos de lo presupuestado</v>
      </c>
      <c r="AC808" s="84">
        <f t="shared" si="245"/>
        <v>0</v>
      </c>
      <c r="AD808" s="84" t="str">
        <f t="shared" si="256"/>
        <v>Sin Línea Base</v>
      </c>
      <c r="AE808" s="85">
        <f t="shared" si="246"/>
        <v>0</v>
      </c>
      <c r="AF808" s="85">
        <f t="shared" si="247"/>
        <v>-3013668998</v>
      </c>
      <c r="AG808" s="40" t="str">
        <f>VLOOKUP(Indicador!E808,Diccionario!C$1:AC$150,27,0)</f>
        <v>https://growdatasas.sharepoint.com/:x:/r/sites/Gestiondocumental/Administrativa/GD/Financiera/_layouts/15/Doc.aspx?sourcedoc=%7B2970928D-0288-4D5D-952F-67732B5D2028%7D&amp;file=251216_MODELO_FINANCIERO_SDH_V.2.0__V7.5%20VF.xlsm&amp;action=default&amp;mobileredirect=true</v>
      </c>
      <c r="AH808" s="40">
        <v>1</v>
      </c>
      <c r="AI808" s="40">
        <v>1</v>
      </c>
    </row>
    <row r="809" spans="1:35" ht="18.75" customHeight="1">
      <c r="A809" s="73">
        <v>2026</v>
      </c>
      <c r="B809" s="112" t="s">
        <v>27</v>
      </c>
      <c r="C809" s="36" t="s">
        <v>474</v>
      </c>
      <c r="D809" s="37">
        <v>46021.841486574071</v>
      </c>
      <c r="E809" s="36" t="s">
        <v>110</v>
      </c>
      <c r="F809" s="36" t="s">
        <v>221</v>
      </c>
      <c r="G809" s="36" t="s">
        <v>475</v>
      </c>
      <c r="H809" s="36" t="s">
        <v>476</v>
      </c>
      <c r="I809" s="36" t="s">
        <v>165</v>
      </c>
      <c r="J809" s="36" t="s">
        <v>477</v>
      </c>
      <c r="K809" s="36" t="s">
        <v>177</v>
      </c>
      <c r="L809" s="74">
        <f>VLOOKUP(E809,Diccionario!C$2:AC$150,22,0)</f>
        <v>3013668998</v>
      </c>
      <c r="M809" s="75">
        <f>VLOOKUP(E809,Diccionario!C$2:AC$150,24,0)</f>
        <v>46006</v>
      </c>
      <c r="N809" s="76">
        <f>VLOOKUP(E809,Diccionario!C$2:AC$150,25,0)</f>
        <v>46766</v>
      </c>
      <c r="O809" s="77">
        <f>VLOOKUP(E809,Diccionario!C$2:AC$150,26,0)</f>
        <v>24.97</v>
      </c>
      <c r="P809" s="77">
        <f t="shared" si="257"/>
        <v>-19.97</v>
      </c>
      <c r="Q809" s="78">
        <v>5</v>
      </c>
      <c r="R809" s="36">
        <v>25</v>
      </c>
      <c r="S809" s="86">
        <v>0.25</v>
      </c>
      <c r="T809" s="86"/>
      <c r="U809" s="82"/>
      <c r="V809" s="82"/>
      <c r="W809" s="82">
        <f t="shared" si="243"/>
        <v>0</v>
      </c>
      <c r="X809" s="82">
        <f t="shared" si="253"/>
        <v>753417249.5</v>
      </c>
      <c r="Y809" s="82">
        <f t="shared" si="244"/>
        <v>0</v>
      </c>
      <c r="Z809" s="82">
        <f t="shared" si="254"/>
        <v>-753417249.5</v>
      </c>
      <c r="AA809" s="83" t="str">
        <f t="shared" si="258"/>
        <v>No se realizó gasto en este corte</v>
      </c>
      <c r="AB809" s="84" t="str">
        <f t="shared" si="255"/>
        <v>Costo eficiente: se está gastando menos de lo presupuestado</v>
      </c>
      <c r="AC809" s="84">
        <f t="shared" si="245"/>
        <v>0</v>
      </c>
      <c r="AD809" s="84" t="str">
        <f t="shared" si="256"/>
        <v>Sin Línea Base</v>
      </c>
      <c r="AE809" s="85">
        <f t="shared" si="246"/>
        <v>0</v>
      </c>
      <c r="AF809" s="85">
        <f t="shared" si="247"/>
        <v>-3013668998</v>
      </c>
      <c r="AG809" s="40" t="str">
        <f>VLOOKUP(Indicador!E809,Diccionario!C$1:AC$150,27,0)</f>
        <v>https://growdatasas.sharepoint.com/:x:/r/sites/Gestiondocumental/Administrativa/GD/Financiera/_layouts/15/Doc.aspx?sourcedoc=%7B2970928D-0288-4D5D-952F-67732B5D2028%7D&amp;file=251216_MODELO_FINANCIERO_SDH_V.2.0__V7.5%20VF.xlsm&amp;action=default&amp;mobileredirect=true</v>
      </c>
      <c r="AH809" s="40">
        <v>1</v>
      </c>
      <c r="AI809" s="40">
        <v>1</v>
      </c>
    </row>
    <row r="810" spans="1:35" ht="18.75" customHeight="1">
      <c r="A810" s="73">
        <v>2026</v>
      </c>
      <c r="B810" s="112" t="s">
        <v>13</v>
      </c>
      <c r="C810" s="36" t="s">
        <v>474</v>
      </c>
      <c r="D810" s="37">
        <v>46021.841486574071</v>
      </c>
      <c r="E810" s="36" t="s">
        <v>110</v>
      </c>
      <c r="F810" s="36" t="s">
        <v>221</v>
      </c>
      <c r="G810" s="36" t="s">
        <v>475</v>
      </c>
      <c r="H810" s="36" t="s">
        <v>476</v>
      </c>
      <c r="I810" s="36" t="s">
        <v>165</v>
      </c>
      <c r="J810" s="36" t="s">
        <v>477</v>
      </c>
      <c r="K810" s="36" t="s">
        <v>177</v>
      </c>
      <c r="L810" s="74">
        <f>VLOOKUP(E810,Diccionario!C$2:AC$150,22,0)</f>
        <v>3013668998</v>
      </c>
      <c r="M810" s="75">
        <f>VLOOKUP(E810,Diccionario!C$2:AC$150,24,0)</f>
        <v>46006</v>
      </c>
      <c r="N810" s="76">
        <f>VLOOKUP(E810,Diccionario!C$2:AC$150,25,0)</f>
        <v>46766</v>
      </c>
      <c r="O810" s="77">
        <f>VLOOKUP(E810,Diccionario!C$2:AC$150,26,0)</f>
        <v>24.97</v>
      </c>
      <c r="P810" s="77">
        <f t="shared" ref="P810:P856" si="260">Q810-O810</f>
        <v>-18.97</v>
      </c>
      <c r="Q810" s="78">
        <v>6</v>
      </c>
      <c r="R810" s="36">
        <v>25</v>
      </c>
      <c r="S810" s="86">
        <v>0.27</v>
      </c>
      <c r="T810" s="86"/>
      <c r="U810" s="82"/>
      <c r="V810" s="82"/>
      <c r="W810" s="82">
        <f t="shared" si="243"/>
        <v>0</v>
      </c>
      <c r="X810" s="82">
        <f t="shared" si="253"/>
        <v>813690629.46000004</v>
      </c>
      <c r="Y810" s="82">
        <f t="shared" si="244"/>
        <v>0</v>
      </c>
      <c r="Z810" s="82">
        <f t="shared" si="254"/>
        <v>-813690629.46000004</v>
      </c>
      <c r="AA810" s="83" t="str">
        <f t="shared" si="258"/>
        <v>No se realizó gasto en este corte</v>
      </c>
      <c r="AB810" s="84" t="str">
        <f t="shared" si="255"/>
        <v>Costo eficiente: se está gastando menos de lo presupuestado</v>
      </c>
      <c r="AC810" s="84">
        <f t="shared" si="245"/>
        <v>0</v>
      </c>
      <c r="AD810" s="84" t="str">
        <f t="shared" si="256"/>
        <v>Sin Línea Base</v>
      </c>
      <c r="AE810" s="85">
        <f t="shared" si="246"/>
        <v>0</v>
      </c>
      <c r="AF810" s="85">
        <f t="shared" si="247"/>
        <v>-3013668998</v>
      </c>
      <c r="AG810" s="40" t="str">
        <f>VLOOKUP(Indicador!E810,Diccionario!C$1:AC$150,27,0)</f>
        <v>https://growdatasas.sharepoint.com/:x:/r/sites/Gestiondocumental/Administrativa/GD/Financiera/_layouts/15/Doc.aspx?sourcedoc=%7B2970928D-0288-4D5D-952F-67732B5D2028%7D&amp;file=251216_MODELO_FINANCIERO_SDH_V.2.0__V7.5%20VF.xlsm&amp;action=default&amp;mobileredirect=true</v>
      </c>
      <c r="AH810" s="40">
        <v>1</v>
      </c>
      <c r="AI810" s="40">
        <v>1</v>
      </c>
    </row>
    <row r="811" spans="1:35" ht="18.75" customHeight="1">
      <c r="A811" s="73">
        <v>2026</v>
      </c>
      <c r="B811" s="112" t="s">
        <v>21</v>
      </c>
      <c r="C811" s="36" t="s">
        <v>474</v>
      </c>
      <c r="D811" s="37">
        <v>46021.841486574071</v>
      </c>
      <c r="E811" s="36" t="s">
        <v>110</v>
      </c>
      <c r="F811" s="36" t="s">
        <v>221</v>
      </c>
      <c r="G811" s="36" t="s">
        <v>475</v>
      </c>
      <c r="H811" s="36" t="s">
        <v>476</v>
      </c>
      <c r="I811" s="36" t="s">
        <v>165</v>
      </c>
      <c r="J811" s="36" t="s">
        <v>477</v>
      </c>
      <c r="K811" s="36" t="s">
        <v>177</v>
      </c>
      <c r="L811" s="74">
        <f>VLOOKUP(E811,Diccionario!C$2:AC$150,22,0)</f>
        <v>3013668998</v>
      </c>
      <c r="M811" s="75">
        <f>VLOOKUP(E811,Diccionario!C$2:AC$150,24,0)</f>
        <v>46006</v>
      </c>
      <c r="N811" s="76">
        <f>VLOOKUP(E811,Diccionario!C$2:AC$150,25,0)</f>
        <v>46766</v>
      </c>
      <c r="O811" s="77">
        <f>VLOOKUP(E811,Diccionario!C$2:AC$150,26,0)</f>
        <v>24.97</v>
      </c>
      <c r="P811" s="77">
        <f t="shared" si="260"/>
        <v>-17.97</v>
      </c>
      <c r="Q811" s="78">
        <v>7</v>
      </c>
      <c r="R811" s="36">
        <v>25</v>
      </c>
      <c r="S811" s="86">
        <v>0.32600000000000001</v>
      </c>
      <c r="T811" s="86"/>
      <c r="U811" s="82"/>
      <c r="V811" s="82"/>
      <c r="W811" s="82">
        <f t="shared" si="243"/>
        <v>0</v>
      </c>
      <c r="X811" s="82">
        <f t="shared" si="253"/>
        <v>982456093.34800005</v>
      </c>
      <c r="Y811" s="82">
        <f t="shared" si="244"/>
        <v>0</v>
      </c>
      <c r="Z811" s="82">
        <f t="shared" si="254"/>
        <v>-982456093.34800005</v>
      </c>
      <c r="AA811" s="83" t="str">
        <f t="shared" si="258"/>
        <v>No se realizó gasto en este corte</v>
      </c>
      <c r="AB811" s="84" t="str">
        <f t="shared" si="255"/>
        <v>Costo eficiente: se está gastando menos de lo presupuestado</v>
      </c>
      <c r="AC811" s="84">
        <f t="shared" si="245"/>
        <v>0</v>
      </c>
      <c r="AD811" s="84" t="str">
        <f t="shared" si="256"/>
        <v>Sin Línea Base</v>
      </c>
      <c r="AE811" s="85">
        <f t="shared" si="246"/>
        <v>0</v>
      </c>
      <c r="AF811" s="85">
        <f t="shared" si="247"/>
        <v>-3013668998</v>
      </c>
      <c r="AG811" s="40" t="str">
        <f>VLOOKUP(Indicador!E811,Diccionario!C$1:AC$150,27,0)</f>
        <v>https://growdatasas.sharepoint.com/:x:/r/sites/Gestiondocumental/Administrativa/GD/Financiera/_layouts/15/Doc.aspx?sourcedoc=%7B2970928D-0288-4D5D-952F-67732B5D2028%7D&amp;file=251216_MODELO_FINANCIERO_SDH_V.2.0__V7.5%20VF.xlsm&amp;action=default&amp;mobileredirect=true</v>
      </c>
      <c r="AH811" s="40">
        <v>1</v>
      </c>
      <c r="AI811" s="40">
        <v>1</v>
      </c>
    </row>
    <row r="812" spans="1:35" ht="18.75" customHeight="1">
      <c r="A812" s="73">
        <v>2026</v>
      </c>
      <c r="B812" s="112" t="s">
        <v>23</v>
      </c>
      <c r="C812" s="36" t="s">
        <v>474</v>
      </c>
      <c r="D812" s="37">
        <v>46021.841486574071</v>
      </c>
      <c r="E812" s="36" t="s">
        <v>110</v>
      </c>
      <c r="F812" s="36" t="s">
        <v>221</v>
      </c>
      <c r="G812" s="36" t="s">
        <v>475</v>
      </c>
      <c r="H812" s="36" t="s">
        <v>476</v>
      </c>
      <c r="I812" s="36" t="s">
        <v>165</v>
      </c>
      <c r="J812" s="36" t="s">
        <v>477</v>
      </c>
      <c r="K812" s="36" t="s">
        <v>177</v>
      </c>
      <c r="L812" s="74">
        <f>VLOOKUP(E812,Diccionario!C$2:AC$150,22,0)</f>
        <v>3013668998</v>
      </c>
      <c r="M812" s="75">
        <f>VLOOKUP(E812,Diccionario!C$2:AC$150,24,0)</f>
        <v>46006</v>
      </c>
      <c r="N812" s="76">
        <f>VLOOKUP(E812,Diccionario!C$2:AC$150,25,0)</f>
        <v>46766</v>
      </c>
      <c r="O812" s="77">
        <f>VLOOKUP(E812,Diccionario!C$2:AC$150,26,0)</f>
        <v>24.97</v>
      </c>
      <c r="P812" s="77">
        <f t="shared" si="260"/>
        <v>-16.97</v>
      </c>
      <c r="Q812" s="78">
        <v>8</v>
      </c>
      <c r="R812" s="36">
        <v>25</v>
      </c>
      <c r="S812" s="86">
        <v>0.37</v>
      </c>
      <c r="T812" s="86"/>
      <c r="U812" s="82"/>
      <c r="V812" s="82"/>
      <c r="W812" s="82">
        <f t="shared" si="243"/>
        <v>0</v>
      </c>
      <c r="X812" s="82">
        <f t="shared" si="253"/>
        <v>1115057529.26</v>
      </c>
      <c r="Y812" s="82">
        <f t="shared" si="244"/>
        <v>0</v>
      </c>
      <c r="Z812" s="82">
        <f t="shared" si="254"/>
        <v>-1115057529.26</v>
      </c>
      <c r="AA812" s="83" t="str">
        <f t="shared" si="258"/>
        <v>No se realizó gasto en este corte</v>
      </c>
      <c r="AB812" s="84" t="str">
        <f t="shared" si="255"/>
        <v>Costo eficiente: se está gastando menos de lo presupuestado</v>
      </c>
      <c r="AC812" s="84">
        <f t="shared" si="245"/>
        <v>0</v>
      </c>
      <c r="AD812" s="84" t="str">
        <f t="shared" si="256"/>
        <v>Sin Línea Base</v>
      </c>
      <c r="AE812" s="85">
        <f t="shared" si="246"/>
        <v>0</v>
      </c>
      <c r="AF812" s="85">
        <f t="shared" si="247"/>
        <v>-3013668998</v>
      </c>
      <c r="AG812" s="40" t="str">
        <f>VLOOKUP(Indicador!E812,Diccionario!C$1:AC$150,27,0)</f>
        <v>https://growdatasas.sharepoint.com/:x:/r/sites/Gestiondocumental/Administrativa/GD/Financiera/_layouts/15/Doc.aspx?sourcedoc=%7B2970928D-0288-4D5D-952F-67732B5D2028%7D&amp;file=251216_MODELO_FINANCIERO_SDH_V.2.0__V7.5%20VF.xlsm&amp;action=default&amp;mobileredirect=true</v>
      </c>
      <c r="AH812" s="40">
        <v>1</v>
      </c>
      <c r="AI812" s="40">
        <v>1</v>
      </c>
    </row>
    <row r="813" spans="1:35" ht="18.75" customHeight="1">
      <c r="A813" s="73">
        <v>2026</v>
      </c>
      <c r="B813" s="112" t="s">
        <v>26</v>
      </c>
      <c r="C813" s="36" t="s">
        <v>474</v>
      </c>
      <c r="D813" s="37">
        <v>46021.841486574071</v>
      </c>
      <c r="E813" s="36" t="s">
        <v>110</v>
      </c>
      <c r="F813" s="36" t="s">
        <v>221</v>
      </c>
      <c r="G813" s="36" t="s">
        <v>475</v>
      </c>
      <c r="H813" s="36" t="s">
        <v>476</v>
      </c>
      <c r="I813" s="36" t="s">
        <v>165</v>
      </c>
      <c r="J813" s="36" t="s">
        <v>477</v>
      </c>
      <c r="K813" s="36" t="s">
        <v>177</v>
      </c>
      <c r="L813" s="74">
        <f>VLOOKUP(E813,Diccionario!C$2:AC$150,22,0)</f>
        <v>3013668998</v>
      </c>
      <c r="M813" s="75">
        <f>VLOOKUP(E813,Diccionario!C$2:AC$150,24,0)</f>
        <v>46006</v>
      </c>
      <c r="N813" s="76">
        <f>VLOOKUP(E813,Diccionario!C$2:AC$150,25,0)</f>
        <v>46766</v>
      </c>
      <c r="O813" s="77">
        <f>VLOOKUP(E813,Diccionario!C$2:AC$150,26,0)</f>
        <v>24.97</v>
      </c>
      <c r="P813" s="77">
        <f t="shared" si="260"/>
        <v>-15.969999999999999</v>
      </c>
      <c r="Q813" s="78">
        <v>9</v>
      </c>
      <c r="R813" s="36">
        <v>25</v>
      </c>
      <c r="S813" s="86">
        <v>0.41399999999999998</v>
      </c>
      <c r="T813" s="86"/>
      <c r="U813" s="82"/>
      <c r="V813" s="82"/>
      <c r="W813" s="82">
        <f t="shared" si="243"/>
        <v>0</v>
      </c>
      <c r="X813" s="82">
        <f t="shared" si="253"/>
        <v>1247658965.1719999</v>
      </c>
      <c r="Y813" s="82">
        <f t="shared" si="244"/>
        <v>0</v>
      </c>
      <c r="Z813" s="82">
        <f t="shared" si="254"/>
        <v>-1247658965.1719999</v>
      </c>
      <c r="AA813" s="83" t="str">
        <f t="shared" si="258"/>
        <v>No se realizó gasto en este corte</v>
      </c>
      <c r="AB813" s="84" t="str">
        <f t="shared" si="255"/>
        <v>Costo eficiente: se está gastando menos de lo presupuestado</v>
      </c>
      <c r="AC813" s="84">
        <f t="shared" si="245"/>
        <v>0</v>
      </c>
      <c r="AD813" s="84" t="str">
        <f t="shared" si="256"/>
        <v>Sin Línea Base</v>
      </c>
      <c r="AE813" s="85">
        <f t="shared" si="246"/>
        <v>0</v>
      </c>
      <c r="AF813" s="85">
        <f t="shared" si="247"/>
        <v>-3013668998</v>
      </c>
      <c r="AG813" s="40" t="str">
        <f>VLOOKUP(Indicador!E813,Diccionario!C$1:AC$150,27,0)</f>
        <v>https://growdatasas.sharepoint.com/:x:/r/sites/Gestiondocumental/Administrativa/GD/Financiera/_layouts/15/Doc.aspx?sourcedoc=%7B2970928D-0288-4D5D-952F-67732B5D2028%7D&amp;file=251216_MODELO_FINANCIERO_SDH_V.2.0__V7.5%20VF.xlsm&amp;action=default&amp;mobileredirect=true</v>
      </c>
      <c r="AH813" s="40">
        <v>1</v>
      </c>
      <c r="AI813" s="40">
        <v>1</v>
      </c>
    </row>
    <row r="814" spans="1:35" ht="18.75" customHeight="1">
      <c r="A814" s="73">
        <v>2026</v>
      </c>
      <c r="B814" s="112" t="s">
        <v>28</v>
      </c>
      <c r="C814" s="36" t="s">
        <v>474</v>
      </c>
      <c r="D814" s="37">
        <v>46021.841486574071</v>
      </c>
      <c r="E814" s="36" t="s">
        <v>110</v>
      </c>
      <c r="F814" s="36" t="s">
        <v>221</v>
      </c>
      <c r="G814" s="36" t="s">
        <v>475</v>
      </c>
      <c r="H814" s="36" t="s">
        <v>476</v>
      </c>
      <c r="I814" s="36" t="s">
        <v>165</v>
      </c>
      <c r="J814" s="36" t="s">
        <v>477</v>
      </c>
      <c r="K814" s="36" t="s">
        <v>177</v>
      </c>
      <c r="L814" s="74">
        <f>VLOOKUP(E814,Diccionario!C$2:AC$150,22,0)</f>
        <v>3013668998</v>
      </c>
      <c r="M814" s="75">
        <f>VLOOKUP(E814,Diccionario!C$2:AC$150,24,0)</f>
        <v>46006</v>
      </c>
      <c r="N814" s="76">
        <f>VLOOKUP(E814,Diccionario!C$2:AC$150,25,0)</f>
        <v>46766</v>
      </c>
      <c r="O814" s="77">
        <f>VLOOKUP(E814,Diccionario!C$2:AC$150,26,0)</f>
        <v>24.97</v>
      </c>
      <c r="P814" s="77">
        <f t="shared" si="260"/>
        <v>-14.969999999999999</v>
      </c>
      <c r="Q814" s="78">
        <v>10</v>
      </c>
      <c r="R814" s="36">
        <v>25</v>
      </c>
      <c r="S814" s="86">
        <v>0.45800000000000002</v>
      </c>
      <c r="T814" s="86"/>
      <c r="U814" s="82"/>
      <c r="V814" s="82"/>
      <c r="W814" s="82">
        <f t="shared" si="243"/>
        <v>0</v>
      </c>
      <c r="X814" s="82">
        <f t="shared" si="253"/>
        <v>1380260401.0840001</v>
      </c>
      <c r="Y814" s="82">
        <f t="shared" si="244"/>
        <v>0</v>
      </c>
      <c r="Z814" s="82">
        <f t="shared" si="254"/>
        <v>-1380260401.0840001</v>
      </c>
      <c r="AA814" s="83" t="str">
        <f t="shared" si="258"/>
        <v>No se realizó gasto en este corte</v>
      </c>
      <c r="AB814" s="84" t="str">
        <f t="shared" si="255"/>
        <v>Costo eficiente: se está gastando menos de lo presupuestado</v>
      </c>
      <c r="AC814" s="84">
        <f t="shared" si="245"/>
        <v>0</v>
      </c>
      <c r="AD814" s="84" t="str">
        <f t="shared" si="256"/>
        <v>Sin Línea Base</v>
      </c>
      <c r="AE814" s="85">
        <f t="shared" si="246"/>
        <v>0</v>
      </c>
      <c r="AF814" s="85">
        <f t="shared" si="247"/>
        <v>-3013668998</v>
      </c>
      <c r="AG814" s="40" t="str">
        <f>VLOOKUP(Indicador!E814,Diccionario!C$1:AC$150,27,0)</f>
        <v>https://growdatasas.sharepoint.com/:x:/r/sites/Gestiondocumental/Administrativa/GD/Financiera/_layouts/15/Doc.aspx?sourcedoc=%7B2970928D-0288-4D5D-952F-67732B5D2028%7D&amp;file=251216_MODELO_FINANCIERO_SDH_V.2.0__V7.5%20VF.xlsm&amp;action=default&amp;mobileredirect=true</v>
      </c>
      <c r="AH814" s="40">
        <v>1</v>
      </c>
      <c r="AI814" s="40">
        <v>1</v>
      </c>
    </row>
    <row r="815" spans="1:35" ht="18.75" customHeight="1">
      <c r="A815" s="73">
        <v>2026</v>
      </c>
      <c r="B815" s="112" t="s">
        <v>30</v>
      </c>
      <c r="C815" s="36" t="s">
        <v>474</v>
      </c>
      <c r="D815" s="37">
        <v>46021.841486574071</v>
      </c>
      <c r="E815" s="36" t="s">
        <v>110</v>
      </c>
      <c r="F815" s="36" t="s">
        <v>221</v>
      </c>
      <c r="G815" s="36" t="s">
        <v>475</v>
      </c>
      <c r="H815" s="36" t="s">
        <v>476</v>
      </c>
      <c r="I815" s="36" t="s">
        <v>165</v>
      </c>
      <c r="J815" s="36" t="s">
        <v>477</v>
      </c>
      <c r="K815" s="36" t="s">
        <v>177</v>
      </c>
      <c r="L815" s="74">
        <f>VLOOKUP(E815,Diccionario!C$2:AC$150,22,0)</f>
        <v>3013668998</v>
      </c>
      <c r="M815" s="75">
        <f>VLOOKUP(E815,Diccionario!C$2:AC$150,24,0)</f>
        <v>46006</v>
      </c>
      <c r="N815" s="76">
        <f>VLOOKUP(E815,Diccionario!C$2:AC$150,25,0)</f>
        <v>46766</v>
      </c>
      <c r="O815" s="77">
        <f>VLOOKUP(E815,Diccionario!C$2:AC$150,26,0)</f>
        <v>24.97</v>
      </c>
      <c r="P815" s="77">
        <f t="shared" si="260"/>
        <v>-13.969999999999999</v>
      </c>
      <c r="Q815" s="78">
        <v>11</v>
      </c>
      <c r="R815" s="36">
        <v>25</v>
      </c>
      <c r="S815" s="86">
        <v>0.502</v>
      </c>
      <c r="T815" s="86"/>
      <c r="U815" s="82"/>
      <c r="V815" s="82"/>
      <c r="W815" s="82">
        <f t="shared" si="243"/>
        <v>0</v>
      </c>
      <c r="X815" s="82">
        <f t="shared" ref="X815:X856" si="261">S815*L815</f>
        <v>1512861836.9960001</v>
      </c>
      <c r="Y815" s="82">
        <f t="shared" si="244"/>
        <v>0</v>
      </c>
      <c r="Z815" s="82">
        <f t="shared" ref="Z815:Z856" si="262">W815-X815</f>
        <v>-1512861836.9960001</v>
      </c>
      <c r="AA815" s="83" t="str">
        <f t="shared" si="258"/>
        <v>No se realizó gasto en este corte</v>
      </c>
      <c r="AB815" s="84" t="str">
        <f t="shared" ref="AB815:AB856" si="263">IFERROR(
  IF(OR(AA815="",AA815=0),
    "No calculado",
    IF(AA815&gt;1,"Costo eficiente: se está gastando menos de lo presupuestado",
      IF(AA815=1,"Costo según lo presupuestado",
        "Costo ineficiente: se está gastando más de lo presupuestado"))),
"No calculado")</f>
        <v>Costo eficiente: se está gastando menos de lo presupuestado</v>
      </c>
      <c r="AC815" s="84">
        <f t="shared" si="245"/>
        <v>0</v>
      </c>
      <c r="AD815" s="84" t="str">
        <f t="shared" ref="AD815:AD856" si="264">IF(OR(AC815="",AC815=0),"Sin Línea Base",
IF(AC815&gt;1,"Proyecto adelantado respecto al cronograma",
IF(AC815=1,"Proyecto a tiempo según lo planificado",
IF(AC815&lt;1,"Proyecto atrasado con respecto al cronograma",
"No calculado"))))</f>
        <v>Sin Línea Base</v>
      </c>
      <c r="AE815" s="85">
        <f t="shared" si="246"/>
        <v>0</v>
      </c>
      <c r="AF815" s="85">
        <f t="shared" si="247"/>
        <v>-3013668998</v>
      </c>
      <c r="AG815" s="40" t="str">
        <f>VLOOKUP(Indicador!E815,Diccionario!C$1:AC$150,27,0)</f>
        <v>https://growdatasas.sharepoint.com/:x:/r/sites/Gestiondocumental/Administrativa/GD/Financiera/_layouts/15/Doc.aspx?sourcedoc=%7B2970928D-0288-4D5D-952F-67732B5D2028%7D&amp;file=251216_MODELO_FINANCIERO_SDH_V.2.0__V7.5%20VF.xlsm&amp;action=default&amp;mobileredirect=true</v>
      </c>
      <c r="AH815" s="40">
        <v>1</v>
      </c>
      <c r="AI815" s="40">
        <v>1</v>
      </c>
    </row>
    <row r="816" spans="1:35" ht="18.75" customHeight="1">
      <c r="A816" s="73">
        <v>2026</v>
      </c>
      <c r="B816" s="112" t="s">
        <v>31</v>
      </c>
      <c r="C816" s="36" t="s">
        <v>474</v>
      </c>
      <c r="D816" s="37">
        <v>46021.841486574071</v>
      </c>
      <c r="E816" s="36" t="s">
        <v>110</v>
      </c>
      <c r="F816" s="36" t="s">
        <v>221</v>
      </c>
      <c r="G816" s="36" t="s">
        <v>475</v>
      </c>
      <c r="H816" s="36" t="s">
        <v>476</v>
      </c>
      <c r="I816" s="36" t="s">
        <v>165</v>
      </c>
      <c r="J816" s="36" t="s">
        <v>477</v>
      </c>
      <c r="K816" s="36" t="s">
        <v>177</v>
      </c>
      <c r="L816" s="74">
        <f>VLOOKUP(E816,Diccionario!C$2:AC$150,22,0)</f>
        <v>3013668998</v>
      </c>
      <c r="M816" s="75">
        <f>VLOOKUP(E816,Diccionario!C$2:AC$150,24,0)</f>
        <v>46006</v>
      </c>
      <c r="N816" s="76">
        <f>VLOOKUP(E816,Diccionario!C$2:AC$150,25,0)</f>
        <v>46766</v>
      </c>
      <c r="O816" s="77">
        <f>VLOOKUP(E816,Diccionario!C$2:AC$150,26,0)</f>
        <v>24.97</v>
      </c>
      <c r="P816" s="77">
        <f t="shared" si="260"/>
        <v>-12.969999999999999</v>
      </c>
      <c r="Q816" s="78">
        <v>12</v>
      </c>
      <c r="R816" s="36">
        <v>25</v>
      </c>
      <c r="S816" s="86">
        <v>0.54600000000000004</v>
      </c>
      <c r="T816" s="86"/>
      <c r="U816" s="82"/>
      <c r="V816" s="82"/>
      <c r="W816" s="82">
        <f t="shared" si="243"/>
        <v>0</v>
      </c>
      <c r="X816" s="82">
        <f t="shared" si="261"/>
        <v>1645463272.9080002</v>
      </c>
      <c r="Y816" s="82">
        <f t="shared" si="244"/>
        <v>0</v>
      </c>
      <c r="Z816" s="82">
        <f t="shared" si="262"/>
        <v>-1645463272.9080002</v>
      </c>
      <c r="AA816" s="83" t="str">
        <f t="shared" si="258"/>
        <v>No se realizó gasto en este corte</v>
      </c>
      <c r="AB816" s="84" t="str">
        <f t="shared" si="263"/>
        <v>Costo eficiente: se está gastando menos de lo presupuestado</v>
      </c>
      <c r="AC816" s="84">
        <f t="shared" si="245"/>
        <v>0</v>
      </c>
      <c r="AD816" s="84" t="str">
        <f t="shared" si="264"/>
        <v>Sin Línea Base</v>
      </c>
      <c r="AE816" s="85">
        <f t="shared" si="246"/>
        <v>0</v>
      </c>
      <c r="AF816" s="85">
        <f t="shared" si="247"/>
        <v>-3013668998</v>
      </c>
      <c r="AG816" s="40" t="str">
        <f>VLOOKUP(Indicador!E816,Diccionario!C$1:AC$150,27,0)</f>
        <v>https://growdatasas.sharepoint.com/:x:/r/sites/Gestiondocumental/Administrativa/GD/Financiera/_layouts/15/Doc.aspx?sourcedoc=%7B2970928D-0288-4D5D-952F-67732B5D2028%7D&amp;file=251216_MODELO_FINANCIERO_SDH_V.2.0__V7.5%20VF.xlsm&amp;action=default&amp;mobileredirect=true</v>
      </c>
      <c r="AH816" s="40">
        <v>1</v>
      </c>
      <c r="AI816" s="40">
        <v>1</v>
      </c>
    </row>
    <row r="817" spans="1:35" ht="18.75" customHeight="1">
      <c r="A817" s="73">
        <v>2026</v>
      </c>
      <c r="B817" s="112" t="s">
        <v>32</v>
      </c>
      <c r="C817" s="36" t="s">
        <v>474</v>
      </c>
      <c r="D817" s="37">
        <v>46021.841486574071</v>
      </c>
      <c r="E817" s="36" t="s">
        <v>110</v>
      </c>
      <c r="F817" s="36" t="s">
        <v>221</v>
      </c>
      <c r="G817" s="36" t="s">
        <v>475</v>
      </c>
      <c r="H817" s="36" t="s">
        <v>476</v>
      </c>
      <c r="I817" s="36" t="s">
        <v>165</v>
      </c>
      <c r="J817" s="36" t="s">
        <v>477</v>
      </c>
      <c r="K817" s="36" t="s">
        <v>177</v>
      </c>
      <c r="L817" s="74">
        <f>VLOOKUP(E817,Diccionario!C$2:AC$150,22,0)</f>
        <v>3013668998</v>
      </c>
      <c r="M817" s="75">
        <f>VLOOKUP(E817,Diccionario!C$2:AC$150,24,0)</f>
        <v>46006</v>
      </c>
      <c r="N817" s="76">
        <f>VLOOKUP(E817,Diccionario!C$2:AC$150,25,0)</f>
        <v>46766</v>
      </c>
      <c r="O817" s="77">
        <f>VLOOKUP(E817,Diccionario!C$2:AC$150,26,0)</f>
        <v>24.97</v>
      </c>
      <c r="P817" s="77">
        <f t="shared" si="260"/>
        <v>-11.969999999999999</v>
      </c>
      <c r="Q817" s="78">
        <v>13</v>
      </c>
      <c r="R817" s="36">
        <v>25</v>
      </c>
      <c r="S817" s="86">
        <v>0.59</v>
      </c>
      <c r="T817" s="86"/>
      <c r="U817" s="82"/>
      <c r="V817" s="82"/>
      <c r="W817" s="82">
        <f t="shared" si="243"/>
        <v>0</v>
      </c>
      <c r="X817" s="82">
        <f t="shared" si="261"/>
        <v>1778064708.8199999</v>
      </c>
      <c r="Y817" s="82">
        <f t="shared" si="244"/>
        <v>0</v>
      </c>
      <c r="Z817" s="82">
        <f t="shared" si="262"/>
        <v>-1778064708.8199999</v>
      </c>
      <c r="AA817" s="83" t="str">
        <f t="shared" si="258"/>
        <v>No se realizó gasto en este corte</v>
      </c>
      <c r="AB817" s="84" t="str">
        <f t="shared" si="263"/>
        <v>Costo eficiente: se está gastando menos de lo presupuestado</v>
      </c>
      <c r="AC817" s="84">
        <f t="shared" si="245"/>
        <v>0</v>
      </c>
      <c r="AD817" s="84" t="str">
        <f t="shared" si="264"/>
        <v>Sin Línea Base</v>
      </c>
      <c r="AE817" s="85">
        <f t="shared" si="246"/>
        <v>0</v>
      </c>
      <c r="AF817" s="85">
        <f t="shared" si="247"/>
        <v>-3013668998</v>
      </c>
      <c r="AG817" s="40" t="str">
        <f>VLOOKUP(Indicador!E817,Diccionario!C$1:AC$150,27,0)</f>
        <v>https://growdatasas.sharepoint.com/:x:/r/sites/Gestiondocumental/Administrativa/GD/Financiera/_layouts/15/Doc.aspx?sourcedoc=%7B2970928D-0288-4D5D-952F-67732B5D2028%7D&amp;file=251216_MODELO_FINANCIERO_SDH_V.2.0__V7.5%20VF.xlsm&amp;action=default&amp;mobileredirect=true</v>
      </c>
      <c r="AH817" s="40">
        <v>1</v>
      </c>
      <c r="AI817" s="40">
        <v>1</v>
      </c>
    </row>
    <row r="818" spans="1:35" ht="18.75" customHeight="1">
      <c r="A818" s="73">
        <v>2027</v>
      </c>
      <c r="B818" s="112" t="s">
        <v>14</v>
      </c>
      <c r="C818" s="36" t="s">
        <v>474</v>
      </c>
      <c r="D818" s="37">
        <v>46021.841486574071</v>
      </c>
      <c r="E818" s="36" t="s">
        <v>110</v>
      </c>
      <c r="F818" s="36" t="s">
        <v>221</v>
      </c>
      <c r="G818" s="36" t="s">
        <v>475</v>
      </c>
      <c r="H818" s="36" t="s">
        <v>476</v>
      </c>
      <c r="I818" s="36" t="s">
        <v>165</v>
      </c>
      <c r="J818" s="36" t="s">
        <v>477</v>
      </c>
      <c r="K818" s="36" t="s">
        <v>177</v>
      </c>
      <c r="L818" s="74">
        <f>VLOOKUP(E818,Diccionario!C$2:AC$150,22,0)</f>
        <v>3013668998</v>
      </c>
      <c r="M818" s="75">
        <f>VLOOKUP(E818,Diccionario!C$2:AC$150,24,0)</f>
        <v>46006</v>
      </c>
      <c r="N818" s="76">
        <f>VLOOKUP(E818,Diccionario!C$2:AC$150,25,0)</f>
        <v>46766</v>
      </c>
      <c r="O818" s="77">
        <f>VLOOKUP(E818,Diccionario!C$2:AC$150,26,0)</f>
        <v>24.97</v>
      </c>
      <c r="P818" s="77">
        <f t="shared" si="260"/>
        <v>-10.969999999999999</v>
      </c>
      <c r="Q818" s="78">
        <v>14</v>
      </c>
      <c r="R818" s="36">
        <v>25</v>
      </c>
      <c r="S818" s="86">
        <v>0.63400000000000001</v>
      </c>
      <c r="T818" s="86"/>
      <c r="U818" s="82"/>
      <c r="V818" s="82"/>
      <c r="W818" s="82">
        <f t="shared" si="243"/>
        <v>0</v>
      </c>
      <c r="X818" s="82">
        <f t="shared" si="261"/>
        <v>1910666144.7320001</v>
      </c>
      <c r="Y818" s="82">
        <f t="shared" si="244"/>
        <v>0</v>
      </c>
      <c r="Z818" s="82">
        <f t="shared" si="262"/>
        <v>-1910666144.7320001</v>
      </c>
      <c r="AA818" s="83" t="str">
        <f t="shared" si="258"/>
        <v>No se realizó gasto en este corte</v>
      </c>
      <c r="AB818" s="84" t="str">
        <f t="shared" si="263"/>
        <v>Costo eficiente: se está gastando menos de lo presupuestado</v>
      </c>
      <c r="AC818" s="84">
        <f t="shared" si="245"/>
        <v>0</v>
      </c>
      <c r="AD818" s="84" t="str">
        <f t="shared" si="264"/>
        <v>Sin Línea Base</v>
      </c>
      <c r="AE818" s="85">
        <f t="shared" si="246"/>
        <v>0</v>
      </c>
      <c r="AF818" s="85">
        <f t="shared" si="247"/>
        <v>-3013668998</v>
      </c>
      <c r="AG818" s="40" t="str">
        <f>VLOOKUP(Indicador!E818,Diccionario!C$1:AC$150,27,0)</f>
        <v>https://growdatasas.sharepoint.com/:x:/r/sites/Gestiondocumental/Administrativa/GD/Financiera/_layouts/15/Doc.aspx?sourcedoc=%7B2970928D-0288-4D5D-952F-67732B5D2028%7D&amp;file=251216_MODELO_FINANCIERO_SDH_V.2.0__V7.5%20VF.xlsm&amp;action=default&amp;mobileredirect=true</v>
      </c>
      <c r="AH818" s="40">
        <v>1</v>
      </c>
      <c r="AI818" s="40">
        <v>1</v>
      </c>
    </row>
    <row r="819" spans="1:35" ht="18.75" customHeight="1">
      <c r="A819" s="73">
        <v>2027</v>
      </c>
      <c r="B819" s="112" t="s">
        <v>22</v>
      </c>
      <c r="C819" s="36" t="s">
        <v>474</v>
      </c>
      <c r="D819" s="37">
        <v>46021.841486574071</v>
      </c>
      <c r="E819" s="36" t="s">
        <v>110</v>
      </c>
      <c r="F819" s="36" t="s">
        <v>221</v>
      </c>
      <c r="G819" s="36" t="s">
        <v>475</v>
      </c>
      <c r="H819" s="36" t="s">
        <v>476</v>
      </c>
      <c r="I819" s="36" t="s">
        <v>165</v>
      </c>
      <c r="J819" s="36" t="s">
        <v>477</v>
      </c>
      <c r="K819" s="36" t="s">
        <v>177</v>
      </c>
      <c r="L819" s="74">
        <f>VLOOKUP(E819,Diccionario!C$2:AC$150,22,0)</f>
        <v>3013668998</v>
      </c>
      <c r="M819" s="75">
        <f>VLOOKUP(E819,Diccionario!C$2:AC$150,24,0)</f>
        <v>46006</v>
      </c>
      <c r="N819" s="76">
        <f>VLOOKUP(E819,Diccionario!C$2:AC$150,25,0)</f>
        <v>46766</v>
      </c>
      <c r="O819" s="77">
        <f>VLOOKUP(E819,Diccionario!C$2:AC$150,26,0)</f>
        <v>24.97</v>
      </c>
      <c r="P819" s="77">
        <f t="shared" si="260"/>
        <v>-9.9699999999999989</v>
      </c>
      <c r="Q819" s="78">
        <v>15</v>
      </c>
      <c r="R819" s="36">
        <v>25</v>
      </c>
      <c r="S819" s="86">
        <v>0.67800000000000005</v>
      </c>
      <c r="T819" s="86"/>
      <c r="U819" s="82"/>
      <c r="V819" s="82"/>
      <c r="W819" s="82">
        <f t="shared" si="243"/>
        <v>0</v>
      </c>
      <c r="X819" s="82">
        <f t="shared" si="261"/>
        <v>2043267580.6440001</v>
      </c>
      <c r="Y819" s="82">
        <f t="shared" si="244"/>
        <v>0</v>
      </c>
      <c r="Z819" s="82">
        <f t="shared" si="262"/>
        <v>-2043267580.6440001</v>
      </c>
      <c r="AA819" s="83" t="str">
        <f t="shared" si="258"/>
        <v>No se realizó gasto en este corte</v>
      </c>
      <c r="AB819" s="84" t="str">
        <f t="shared" si="263"/>
        <v>Costo eficiente: se está gastando menos de lo presupuestado</v>
      </c>
      <c r="AC819" s="84">
        <f t="shared" si="245"/>
        <v>0</v>
      </c>
      <c r="AD819" s="84" t="str">
        <f t="shared" si="264"/>
        <v>Sin Línea Base</v>
      </c>
      <c r="AE819" s="85">
        <f t="shared" si="246"/>
        <v>0</v>
      </c>
      <c r="AF819" s="85">
        <f t="shared" si="247"/>
        <v>-3013668998</v>
      </c>
      <c r="AG819" s="40" t="str">
        <f>VLOOKUP(Indicador!E819,Diccionario!C$1:AC$150,27,0)</f>
        <v>https://growdatasas.sharepoint.com/:x:/r/sites/Gestiondocumental/Administrativa/GD/Financiera/_layouts/15/Doc.aspx?sourcedoc=%7B2970928D-0288-4D5D-952F-67732B5D2028%7D&amp;file=251216_MODELO_FINANCIERO_SDH_V.2.0__V7.5%20VF.xlsm&amp;action=default&amp;mobileredirect=true</v>
      </c>
      <c r="AH819" s="40">
        <v>1</v>
      </c>
      <c r="AI819" s="40">
        <v>1</v>
      </c>
    </row>
    <row r="820" spans="1:35" ht="18.75" customHeight="1">
      <c r="A820" s="73">
        <v>2027</v>
      </c>
      <c r="B820" s="112" t="s">
        <v>24</v>
      </c>
      <c r="C820" s="36" t="s">
        <v>474</v>
      </c>
      <c r="D820" s="37">
        <v>46021.841486574071</v>
      </c>
      <c r="E820" s="36" t="s">
        <v>110</v>
      </c>
      <c r="F820" s="36" t="s">
        <v>221</v>
      </c>
      <c r="G820" s="36" t="s">
        <v>475</v>
      </c>
      <c r="H820" s="36" t="s">
        <v>476</v>
      </c>
      <c r="I820" s="36" t="s">
        <v>165</v>
      </c>
      <c r="J820" s="36" t="s">
        <v>477</v>
      </c>
      <c r="K820" s="36" t="s">
        <v>177</v>
      </c>
      <c r="L820" s="74">
        <f>VLOOKUP(E820,Diccionario!C$2:AC$150,22,0)</f>
        <v>3013668998</v>
      </c>
      <c r="M820" s="75">
        <f>VLOOKUP(E820,Diccionario!C$2:AC$150,24,0)</f>
        <v>46006</v>
      </c>
      <c r="N820" s="76">
        <f>VLOOKUP(E820,Diccionario!C$2:AC$150,25,0)</f>
        <v>46766</v>
      </c>
      <c r="O820" s="77">
        <f>VLOOKUP(E820,Diccionario!C$2:AC$150,26,0)</f>
        <v>24.97</v>
      </c>
      <c r="P820" s="77">
        <f t="shared" si="260"/>
        <v>-8.9699999999999989</v>
      </c>
      <c r="Q820" s="78">
        <v>16</v>
      </c>
      <c r="R820" s="36">
        <v>25</v>
      </c>
      <c r="S820" s="86">
        <v>0.72199999999999998</v>
      </c>
      <c r="T820" s="86"/>
      <c r="U820" s="82"/>
      <c r="V820" s="82"/>
      <c r="W820" s="82">
        <f t="shared" si="243"/>
        <v>0</v>
      </c>
      <c r="X820" s="82">
        <f t="shared" si="261"/>
        <v>2175869016.5559998</v>
      </c>
      <c r="Y820" s="82">
        <f t="shared" si="244"/>
        <v>0</v>
      </c>
      <c r="Z820" s="82">
        <f t="shared" si="262"/>
        <v>-2175869016.5559998</v>
      </c>
      <c r="AA820" s="83" t="str">
        <f t="shared" si="258"/>
        <v>No se realizó gasto en este corte</v>
      </c>
      <c r="AB820" s="84" t="str">
        <f t="shared" si="263"/>
        <v>Costo eficiente: se está gastando menos de lo presupuestado</v>
      </c>
      <c r="AC820" s="84">
        <f t="shared" si="245"/>
        <v>0</v>
      </c>
      <c r="AD820" s="84" t="str">
        <f t="shared" si="264"/>
        <v>Sin Línea Base</v>
      </c>
      <c r="AE820" s="85">
        <f t="shared" si="246"/>
        <v>0</v>
      </c>
      <c r="AF820" s="85">
        <f t="shared" si="247"/>
        <v>-3013668998</v>
      </c>
      <c r="AG820" s="40" t="str">
        <f>VLOOKUP(Indicador!E820,Diccionario!C$1:AC$150,27,0)</f>
        <v>https://growdatasas.sharepoint.com/:x:/r/sites/Gestiondocumental/Administrativa/GD/Financiera/_layouts/15/Doc.aspx?sourcedoc=%7B2970928D-0288-4D5D-952F-67732B5D2028%7D&amp;file=251216_MODELO_FINANCIERO_SDH_V.2.0__V7.5%20VF.xlsm&amp;action=default&amp;mobileredirect=true</v>
      </c>
      <c r="AH820" s="40">
        <v>1</v>
      </c>
      <c r="AI820" s="40">
        <v>1</v>
      </c>
    </row>
    <row r="821" spans="1:35" ht="18.75" customHeight="1">
      <c r="A821" s="73">
        <v>2027</v>
      </c>
      <c r="B821" s="112" t="s">
        <v>27</v>
      </c>
      <c r="C821" s="36" t="s">
        <v>474</v>
      </c>
      <c r="D821" s="37">
        <v>46021.841486574071</v>
      </c>
      <c r="E821" s="36" t="s">
        <v>110</v>
      </c>
      <c r="F821" s="36" t="s">
        <v>221</v>
      </c>
      <c r="G821" s="36" t="s">
        <v>475</v>
      </c>
      <c r="H821" s="36" t="s">
        <v>476</v>
      </c>
      <c r="I821" s="36" t="s">
        <v>165</v>
      </c>
      <c r="J821" s="36" t="s">
        <v>477</v>
      </c>
      <c r="K821" s="36" t="s">
        <v>177</v>
      </c>
      <c r="L821" s="74">
        <f>VLOOKUP(E821,Diccionario!C$2:AC$150,22,0)</f>
        <v>3013668998</v>
      </c>
      <c r="M821" s="75">
        <f>VLOOKUP(E821,Diccionario!C$2:AC$150,24,0)</f>
        <v>46006</v>
      </c>
      <c r="N821" s="76">
        <f>VLOOKUP(E821,Diccionario!C$2:AC$150,25,0)</f>
        <v>46766</v>
      </c>
      <c r="O821" s="77">
        <f>VLOOKUP(E821,Diccionario!C$2:AC$150,26,0)</f>
        <v>24.97</v>
      </c>
      <c r="P821" s="77">
        <f t="shared" si="260"/>
        <v>-7.9699999999999989</v>
      </c>
      <c r="Q821" s="78">
        <v>17</v>
      </c>
      <c r="R821" s="36">
        <v>25</v>
      </c>
      <c r="S821" s="86">
        <v>0.75</v>
      </c>
      <c r="T821" s="86"/>
      <c r="U821" s="82"/>
      <c r="V821" s="82"/>
      <c r="W821" s="82">
        <f t="shared" si="243"/>
        <v>0</v>
      </c>
      <c r="X821" s="82">
        <f t="shared" si="261"/>
        <v>2260251748.5</v>
      </c>
      <c r="Y821" s="82">
        <f t="shared" si="244"/>
        <v>0</v>
      </c>
      <c r="Z821" s="82">
        <f t="shared" si="262"/>
        <v>-2260251748.5</v>
      </c>
      <c r="AA821" s="83" t="str">
        <f t="shared" si="258"/>
        <v>No se realizó gasto en este corte</v>
      </c>
      <c r="AB821" s="84" t="str">
        <f t="shared" si="263"/>
        <v>Costo eficiente: se está gastando menos de lo presupuestado</v>
      </c>
      <c r="AC821" s="84">
        <f t="shared" si="245"/>
        <v>0</v>
      </c>
      <c r="AD821" s="84" t="str">
        <f t="shared" si="264"/>
        <v>Sin Línea Base</v>
      </c>
      <c r="AE821" s="85">
        <f t="shared" si="246"/>
        <v>0</v>
      </c>
      <c r="AF821" s="85">
        <f t="shared" si="247"/>
        <v>-3013668998</v>
      </c>
      <c r="AG821" s="40" t="str">
        <f>VLOOKUP(Indicador!E821,Diccionario!C$1:AC$150,27,0)</f>
        <v>https://growdatasas.sharepoint.com/:x:/r/sites/Gestiondocumental/Administrativa/GD/Financiera/_layouts/15/Doc.aspx?sourcedoc=%7B2970928D-0288-4D5D-952F-67732B5D2028%7D&amp;file=251216_MODELO_FINANCIERO_SDH_V.2.0__V7.5%20VF.xlsm&amp;action=default&amp;mobileredirect=true</v>
      </c>
      <c r="AH821" s="40">
        <v>1</v>
      </c>
      <c r="AI821" s="40">
        <v>1</v>
      </c>
    </row>
    <row r="822" spans="1:35" ht="18.75" customHeight="1">
      <c r="A822" s="73">
        <v>2027</v>
      </c>
      <c r="B822" s="112" t="s">
        <v>13</v>
      </c>
      <c r="C822" s="36" t="s">
        <v>474</v>
      </c>
      <c r="D822" s="37">
        <v>46021.841486574071</v>
      </c>
      <c r="E822" s="36" t="s">
        <v>110</v>
      </c>
      <c r="F822" s="36" t="s">
        <v>221</v>
      </c>
      <c r="G822" s="36" t="s">
        <v>475</v>
      </c>
      <c r="H822" s="36" t="s">
        <v>476</v>
      </c>
      <c r="I822" s="36" t="s">
        <v>165</v>
      </c>
      <c r="J822" s="36" t="s">
        <v>477</v>
      </c>
      <c r="K822" s="36" t="s">
        <v>177</v>
      </c>
      <c r="L822" s="74">
        <f>VLOOKUP(E822,Diccionario!C$2:AC$150,22,0)</f>
        <v>3013668998</v>
      </c>
      <c r="M822" s="75">
        <f>VLOOKUP(E822,Diccionario!C$2:AC$150,24,0)</f>
        <v>46006</v>
      </c>
      <c r="N822" s="76">
        <f>VLOOKUP(E822,Diccionario!C$2:AC$150,25,0)</f>
        <v>46766</v>
      </c>
      <c r="O822" s="77">
        <f>VLOOKUP(E822,Diccionario!C$2:AC$150,26,0)</f>
        <v>24.97</v>
      </c>
      <c r="P822" s="77">
        <f t="shared" si="260"/>
        <v>-6.9699999999999989</v>
      </c>
      <c r="Q822" s="78">
        <v>18</v>
      </c>
      <c r="R822" s="36">
        <v>25</v>
      </c>
      <c r="S822" s="86">
        <v>0.77</v>
      </c>
      <c r="T822" s="86"/>
      <c r="U822" s="82"/>
      <c r="V822" s="82"/>
      <c r="W822" s="82">
        <f t="shared" si="243"/>
        <v>0</v>
      </c>
      <c r="X822" s="82">
        <f t="shared" si="261"/>
        <v>2320525128.46</v>
      </c>
      <c r="Y822" s="82">
        <f t="shared" si="244"/>
        <v>0</v>
      </c>
      <c r="Z822" s="82">
        <f t="shared" si="262"/>
        <v>-2320525128.46</v>
      </c>
      <c r="AA822" s="83" t="str">
        <f t="shared" si="258"/>
        <v>No se realizó gasto en este corte</v>
      </c>
      <c r="AB822" s="84" t="str">
        <f t="shared" si="263"/>
        <v>Costo eficiente: se está gastando menos de lo presupuestado</v>
      </c>
      <c r="AC822" s="84">
        <f t="shared" si="245"/>
        <v>0</v>
      </c>
      <c r="AD822" s="84" t="str">
        <f t="shared" si="264"/>
        <v>Sin Línea Base</v>
      </c>
      <c r="AE822" s="85">
        <f t="shared" si="246"/>
        <v>0</v>
      </c>
      <c r="AF822" s="85">
        <f t="shared" si="247"/>
        <v>-3013668998</v>
      </c>
      <c r="AG822" s="40" t="str">
        <f>VLOOKUP(Indicador!E822,Diccionario!C$1:AC$150,27,0)</f>
        <v>https://growdatasas.sharepoint.com/:x:/r/sites/Gestiondocumental/Administrativa/GD/Financiera/_layouts/15/Doc.aspx?sourcedoc=%7B2970928D-0288-4D5D-952F-67732B5D2028%7D&amp;file=251216_MODELO_FINANCIERO_SDH_V.2.0__V7.5%20VF.xlsm&amp;action=default&amp;mobileredirect=true</v>
      </c>
      <c r="AH822" s="40">
        <v>1</v>
      </c>
      <c r="AI822" s="40">
        <v>1</v>
      </c>
    </row>
    <row r="823" spans="1:35" ht="18.75" customHeight="1">
      <c r="A823" s="73">
        <v>2027</v>
      </c>
      <c r="B823" s="112" t="s">
        <v>21</v>
      </c>
      <c r="C823" s="36" t="s">
        <v>474</v>
      </c>
      <c r="D823" s="37">
        <v>46021.841486574071</v>
      </c>
      <c r="E823" s="36" t="s">
        <v>110</v>
      </c>
      <c r="F823" s="36" t="s">
        <v>221</v>
      </c>
      <c r="G823" s="36" t="s">
        <v>475</v>
      </c>
      <c r="H823" s="36" t="s">
        <v>476</v>
      </c>
      <c r="I823" s="36" t="s">
        <v>165</v>
      </c>
      <c r="J823" s="36" t="s">
        <v>477</v>
      </c>
      <c r="K823" s="36" t="s">
        <v>177</v>
      </c>
      <c r="L823" s="74">
        <f>VLOOKUP(E823,Diccionario!C$2:AC$150,22,0)</f>
        <v>3013668998</v>
      </c>
      <c r="M823" s="75">
        <f>VLOOKUP(E823,Diccionario!C$2:AC$150,24,0)</f>
        <v>46006</v>
      </c>
      <c r="N823" s="76">
        <f>VLOOKUP(E823,Diccionario!C$2:AC$150,25,0)</f>
        <v>46766</v>
      </c>
      <c r="O823" s="77">
        <f>VLOOKUP(E823,Diccionario!C$2:AC$150,26,0)</f>
        <v>24.97</v>
      </c>
      <c r="P823" s="77">
        <f t="shared" si="260"/>
        <v>-5.9699999999999989</v>
      </c>
      <c r="Q823" s="78">
        <v>19</v>
      </c>
      <c r="R823" s="36">
        <v>25</v>
      </c>
      <c r="S823" s="86">
        <v>0.8</v>
      </c>
      <c r="T823" s="86"/>
      <c r="U823" s="82"/>
      <c r="V823" s="82"/>
      <c r="W823" s="82">
        <f t="shared" si="243"/>
        <v>0</v>
      </c>
      <c r="X823" s="82">
        <f t="shared" si="261"/>
        <v>2410935198.4000001</v>
      </c>
      <c r="Y823" s="82">
        <f t="shared" si="244"/>
        <v>0</v>
      </c>
      <c r="Z823" s="82">
        <f t="shared" si="262"/>
        <v>-2410935198.4000001</v>
      </c>
      <c r="AA823" s="83" t="str">
        <f t="shared" si="258"/>
        <v>No se realizó gasto en este corte</v>
      </c>
      <c r="AB823" s="84" t="str">
        <f t="shared" si="263"/>
        <v>Costo eficiente: se está gastando menos de lo presupuestado</v>
      </c>
      <c r="AC823" s="84">
        <f t="shared" si="245"/>
        <v>0</v>
      </c>
      <c r="AD823" s="84" t="str">
        <f t="shared" si="264"/>
        <v>Sin Línea Base</v>
      </c>
      <c r="AE823" s="85">
        <f t="shared" si="246"/>
        <v>0</v>
      </c>
      <c r="AF823" s="85">
        <f t="shared" si="247"/>
        <v>-3013668998</v>
      </c>
      <c r="AG823" s="40" t="str">
        <f>VLOOKUP(Indicador!E823,Diccionario!C$1:AC$150,27,0)</f>
        <v>https://growdatasas.sharepoint.com/:x:/r/sites/Gestiondocumental/Administrativa/GD/Financiera/_layouts/15/Doc.aspx?sourcedoc=%7B2970928D-0288-4D5D-952F-67732B5D2028%7D&amp;file=251216_MODELO_FINANCIERO_SDH_V.2.0__V7.5%20VF.xlsm&amp;action=default&amp;mobileredirect=true</v>
      </c>
      <c r="AH823" s="40">
        <v>1</v>
      </c>
      <c r="AI823" s="40">
        <v>1</v>
      </c>
    </row>
    <row r="824" spans="1:35" ht="18.75" customHeight="1">
      <c r="A824" s="73">
        <v>2027</v>
      </c>
      <c r="B824" s="112" t="s">
        <v>23</v>
      </c>
      <c r="C824" s="36" t="s">
        <v>474</v>
      </c>
      <c r="D824" s="37">
        <v>46021.841486574071</v>
      </c>
      <c r="E824" s="36" t="s">
        <v>110</v>
      </c>
      <c r="F824" s="36" t="s">
        <v>221</v>
      </c>
      <c r="G824" s="36" t="s">
        <v>475</v>
      </c>
      <c r="H824" s="36" t="s">
        <v>476</v>
      </c>
      <c r="I824" s="36" t="s">
        <v>165</v>
      </c>
      <c r="J824" s="36" t="s">
        <v>477</v>
      </c>
      <c r="K824" s="36" t="s">
        <v>177</v>
      </c>
      <c r="L824" s="74">
        <f>VLOOKUP(E824,Diccionario!C$2:AC$150,22,0)</f>
        <v>3013668998</v>
      </c>
      <c r="M824" s="75">
        <f>VLOOKUP(E824,Diccionario!C$2:AC$150,24,0)</f>
        <v>46006</v>
      </c>
      <c r="N824" s="76">
        <f>VLOOKUP(E824,Diccionario!C$2:AC$150,25,0)</f>
        <v>46766</v>
      </c>
      <c r="O824" s="77">
        <f>VLOOKUP(E824,Diccionario!C$2:AC$150,26,0)</f>
        <v>24.97</v>
      </c>
      <c r="P824" s="77">
        <f t="shared" si="260"/>
        <v>-4.9699999999999989</v>
      </c>
      <c r="Q824" s="78">
        <v>20</v>
      </c>
      <c r="R824" s="36">
        <v>25</v>
      </c>
      <c r="S824" s="86">
        <v>0.82</v>
      </c>
      <c r="T824" s="86"/>
      <c r="U824" s="82"/>
      <c r="V824" s="82"/>
      <c r="W824" s="82">
        <f t="shared" si="243"/>
        <v>0</v>
      </c>
      <c r="X824" s="82">
        <f t="shared" si="261"/>
        <v>2471208578.3599997</v>
      </c>
      <c r="Y824" s="82">
        <f t="shared" si="244"/>
        <v>0</v>
      </c>
      <c r="Z824" s="82">
        <f t="shared" si="262"/>
        <v>-2471208578.3599997</v>
      </c>
      <c r="AA824" s="83" t="str">
        <f t="shared" si="258"/>
        <v>No se realizó gasto en este corte</v>
      </c>
      <c r="AB824" s="84" t="str">
        <f t="shared" si="263"/>
        <v>Costo eficiente: se está gastando menos de lo presupuestado</v>
      </c>
      <c r="AC824" s="84">
        <f t="shared" si="245"/>
        <v>0</v>
      </c>
      <c r="AD824" s="84" t="str">
        <f t="shared" si="264"/>
        <v>Sin Línea Base</v>
      </c>
      <c r="AE824" s="85">
        <f t="shared" si="246"/>
        <v>0</v>
      </c>
      <c r="AF824" s="85">
        <f t="shared" si="247"/>
        <v>-3013668998</v>
      </c>
      <c r="AG824" s="40" t="str">
        <f>VLOOKUP(Indicador!E824,Diccionario!C$1:AC$150,27,0)</f>
        <v>https://growdatasas.sharepoint.com/:x:/r/sites/Gestiondocumental/Administrativa/GD/Financiera/_layouts/15/Doc.aspx?sourcedoc=%7B2970928D-0288-4D5D-952F-67732B5D2028%7D&amp;file=251216_MODELO_FINANCIERO_SDH_V.2.0__V7.5%20VF.xlsm&amp;action=default&amp;mobileredirect=true</v>
      </c>
      <c r="AH824" s="40">
        <v>1</v>
      </c>
      <c r="AI824" s="40">
        <v>1</v>
      </c>
    </row>
    <row r="825" spans="1:35" ht="18.75" customHeight="1">
      <c r="A825" s="73">
        <v>2027</v>
      </c>
      <c r="B825" s="112" t="s">
        <v>26</v>
      </c>
      <c r="C825" s="36" t="s">
        <v>474</v>
      </c>
      <c r="D825" s="37">
        <v>46021.841486574071</v>
      </c>
      <c r="E825" s="36" t="s">
        <v>110</v>
      </c>
      <c r="F825" s="36" t="s">
        <v>221</v>
      </c>
      <c r="G825" s="36" t="s">
        <v>475</v>
      </c>
      <c r="H825" s="36" t="s">
        <v>476</v>
      </c>
      <c r="I825" s="36" t="s">
        <v>165</v>
      </c>
      <c r="J825" s="36" t="s">
        <v>477</v>
      </c>
      <c r="K825" s="36" t="s">
        <v>177</v>
      </c>
      <c r="L825" s="74">
        <f>VLOOKUP(E825,Diccionario!C$2:AC$150,22,0)</f>
        <v>3013668998</v>
      </c>
      <c r="M825" s="75">
        <f>VLOOKUP(E825,Diccionario!C$2:AC$150,24,0)</f>
        <v>46006</v>
      </c>
      <c r="N825" s="76">
        <f>VLOOKUP(E825,Diccionario!C$2:AC$150,25,0)</f>
        <v>46766</v>
      </c>
      <c r="O825" s="77">
        <f>VLOOKUP(E825,Diccionario!C$2:AC$150,26,0)</f>
        <v>24.97</v>
      </c>
      <c r="P825" s="77">
        <f t="shared" si="260"/>
        <v>-3.9699999999999989</v>
      </c>
      <c r="Q825" s="78">
        <v>21</v>
      </c>
      <c r="R825" s="36">
        <v>25</v>
      </c>
      <c r="S825" s="86">
        <v>0.87</v>
      </c>
      <c r="T825" s="86"/>
      <c r="U825" s="82"/>
      <c r="V825" s="82"/>
      <c r="W825" s="82">
        <f t="shared" si="243"/>
        <v>0</v>
      </c>
      <c r="X825" s="82">
        <f t="shared" si="261"/>
        <v>2621892028.2599998</v>
      </c>
      <c r="Y825" s="82">
        <f t="shared" si="244"/>
        <v>0</v>
      </c>
      <c r="Z825" s="82">
        <f t="shared" si="262"/>
        <v>-2621892028.2599998</v>
      </c>
      <c r="AA825" s="83" t="str">
        <f t="shared" si="258"/>
        <v>No se realizó gasto en este corte</v>
      </c>
      <c r="AB825" s="84" t="str">
        <f t="shared" si="263"/>
        <v>Costo eficiente: se está gastando menos de lo presupuestado</v>
      </c>
      <c r="AC825" s="84">
        <f t="shared" si="245"/>
        <v>0</v>
      </c>
      <c r="AD825" s="84" t="str">
        <f t="shared" si="264"/>
        <v>Sin Línea Base</v>
      </c>
      <c r="AE825" s="85">
        <f t="shared" si="246"/>
        <v>0</v>
      </c>
      <c r="AF825" s="85">
        <f t="shared" si="247"/>
        <v>-3013668998</v>
      </c>
      <c r="AG825" s="40" t="str">
        <f>VLOOKUP(Indicador!E825,Diccionario!C$1:AC$150,27,0)</f>
        <v>https://growdatasas.sharepoint.com/:x:/r/sites/Gestiondocumental/Administrativa/GD/Financiera/_layouts/15/Doc.aspx?sourcedoc=%7B2970928D-0288-4D5D-952F-67732B5D2028%7D&amp;file=251216_MODELO_FINANCIERO_SDH_V.2.0__V7.5%20VF.xlsm&amp;action=default&amp;mobileredirect=true</v>
      </c>
      <c r="AH825" s="40">
        <v>1</v>
      </c>
      <c r="AI825" s="40">
        <v>1</v>
      </c>
    </row>
    <row r="826" spans="1:35" ht="18.75" customHeight="1">
      <c r="A826" s="73">
        <v>2027</v>
      </c>
      <c r="B826" s="112" t="s">
        <v>28</v>
      </c>
      <c r="C826" s="36" t="s">
        <v>474</v>
      </c>
      <c r="D826" s="37">
        <v>46021.841486574071</v>
      </c>
      <c r="E826" s="36" t="s">
        <v>110</v>
      </c>
      <c r="F826" s="36" t="s">
        <v>221</v>
      </c>
      <c r="G826" s="36" t="s">
        <v>475</v>
      </c>
      <c r="H826" s="36" t="s">
        <v>476</v>
      </c>
      <c r="I826" s="36" t="s">
        <v>165</v>
      </c>
      <c r="J826" s="36" t="s">
        <v>477</v>
      </c>
      <c r="K826" s="36" t="s">
        <v>177</v>
      </c>
      <c r="L826" s="74">
        <f>VLOOKUP(E826,Diccionario!C$2:AC$150,22,0)</f>
        <v>3013668998</v>
      </c>
      <c r="M826" s="75">
        <f>VLOOKUP(E826,Diccionario!C$2:AC$150,24,0)</f>
        <v>46006</v>
      </c>
      <c r="N826" s="76">
        <f>VLOOKUP(E826,Diccionario!C$2:AC$150,25,0)</f>
        <v>46766</v>
      </c>
      <c r="O826" s="77">
        <f>VLOOKUP(E826,Diccionario!C$2:AC$150,26,0)</f>
        <v>24.97</v>
      </c>
      <c r="P826" s="77">
        <f t="shared" si="260"/>
        <v>-2.9699999999999989</v>
      </c>
      <c r="Q826" s="78">
        <v>22</v>
      </c>
      <c r="R826" s="36">
        <v>25</v>
      </c>
      <c r="S826" s="86">
        <v>0.89800000000000002</v>
      </c>
      <c r="T826" s="86"/>
      <c r="U826" s="82"/>
      <c r="V826" s="82"/>
      <c r="W826" s="82">
        <f t="shared" si="243"/>
        <v>0</v>
      </c>
      <c r="X826" s="82">
        <f t="shared" si="261"/>
        <v>2706274760.204</v>
      </c>
      <c r="Y826" s="82">
        <f t="shared" si="244"/>
        <v>0</v>
      </c>
      <c r="Z826" s="82">
        <f t="shared" si="262"/>
        <v>-2706274760.204</v>
      </c>
      <c r="AA826" s="83" t="str">
        <f t="shared" si="258"/>
        <v>No se realizó gasto en este corte</v>
      </c>
      <c r="AB826" s="84" t="str">
        <f t="shared" si="263"/>
        <v>Costo eficiente: se está gastando menos de lo presupuestado</v>
      </c>
      <c r="AC826" s="84">
        <f t="shared" si="245"/>
        <v>0</v>
      </c>
      <c r="AD826" s="84" t="str">
        <f t="shared" si="264"/>
        <v>Sin Línea Base</v>
      </c>
      <c r="AE826" s="85">
        <f t="shared" si="246"/>
        <v>0</v>
      </c>
      <c r="AF826" s="85">
        <f t="shared" si="247"/>
        <v>-3013668998</v>
      </c>
      <c r="AG826" s="40" t="str">
        <f>VLOOKUP(Indicador!E826,Diccionario!C$1:AC$150,27,0)</f>
        <v>https://growdatasas.sharepoint.com/:x:/r/sites/Gestiondocumental/Administrativa/GD/Financiera/_layouts/15/Doc.aspx?sourcedoc=%7B2970928D-0288-4D5D-952F-67732B5D2028%7D&amp;file=251216_MODELO_FINANCIERO_SDH_V.2.0__V7.5%20VF.xlsm&amp;action=default&amp;mobileredirect=true</v>
      </c>
      <c r="AH826" s="40">
        <v>1</v>
      </c>
      <c r="AI826" s="40">
        <v>1</v>
      </c>
    </row>
    <row r="827" spans="1:35" ht="18.75" customHeight="1">
      <c r="A827" s="73">
        <v>2027</v>
      </c>
      <c r="B827" s="112" t="s">
        <v>30</v>
      </c>
      <c r="C827" s="36" t="s">
        <v>474</v>
      </c>
      <c r="D827" s="37">
        <v>46021.841486574071</v>
      </c>
      <c r="E827" s="36" t="s">
        <v>110</v>
      </c>
      <c r="F827" s="36" t="s">
        <v>221</v>
      </c>
      <c r="G827" s="36" t="s">
        <v>475</v>
      </c>
      <c r="H827" s="36" t="s">
        <v>476</v>
      </c>
      <c r="I827" s="36" t="s">
        <v>165</v>
      </c>
      <c r="J827" s="36" t="s">
        <v>477</v>
      </c>
      <c r="K827" s="36" t="s">
        <v>177</v>
      </c>
      <c r="L827" s="74">
        <f>VLOOKUP(E827,Diccionario!C$2:AC$150,22,0)</f>
        <v>3013668998</v>
      </c>
      <c r="M827" s="75">
        <f>VLOOKUP(E827,Diccionario!C$2:AC$150,24,0)</f>
        <v>46006</v>
      </c>
      <c r="N827" s="76">
        <f>VLOOKUP(E827,Diccionario!C$2:AC$150,25,0)</f>
        <v>46766</v>
      </c>
      <c r="O827" s="77">
        <f>VLOOKUP(E827,Diccionario!C$2:AC$150,26,0)</f>
        <v>24.97</v>
      </c>
      <c r="P827" s="77">
        <f t="shared" si="260"/>
        <v>-1.9699999999999989</v>
      </c>
      <c r="Q827" s="78">
        <v>23</v>
      </c>
      <c r="R827" s="36">
        <v>25</v>
      </c>
      <c r="S827" s="86">
        <v>0.92</v>
      </c>
      <c r="T827" s="86"/>
      <c r="U827" s="82"/>
      <c r="V827" s="82"/>
      <c r="W827" s="82">
        <f t="shared" si="243"/>
        <v>0</v>
      </c>
      <c r="X827" s="82">
        <f t="shared" si="261"/>
        <v>2772575478.1600003</v>
      </c>
      <c r="Y827" s="82">
        <f t="shared" si="244"/>
        <v>0</v>
      </c>
      <c r="Z827" s="82">
        <f t="shared" si="262"/>
        <v>-2772575478.1600003</v>
      </c>
      <c r="AA827" s="83" t="str">
        <f t="shared" si="258"/>
        <v>No se realizó gasto en este corte</v>
      </c>
      <c r="AB827" s="84" t="str">
        <f t="shared" si="263"/>
        <v>Costo eficiente: se está gastando menos de lo presupuestado</v>
      </c>
      <c r="AC827" s="84">
        <f t="shared" si="245"/>
        <v>0</v>
      </c>
      <c r="AD827" s="84" t="str">
        <f t="shared" si="264"/>
        <v>Sin Línea Base</v>
      </c>
      <c r="AE827" s="85">
        <f t="shared" si="246"/>
        <v>0</v>
      </c>
      <c r="AF827" s="85">
        <f t="shared" si="247"/>
        <v>-3013668998</v>
      </c>
      <c r="AG827" s="40" t="str">
        <f>VLOOKUP(Indicador!E827,Diccionario!C$1:AC$150,27,0)</f>
        <v>https://growdatasas.sharepoint.com/:x:/r/sites/Gestiondocumental/Administrativa/GD/Financiera/_layouts/15/Doc.aspx?sourcedoc=%7B2970928D-0288-4D5D-952F-67732B5D2028%7D&amp;file=251216_MODELO_FINANCIERO_SDH_V.2.0__V7.5%20VF.xlsm&amp;action=default&amp;mobileredirect=true</v>
      </c>
      <c r="AH827" s="40">
        <v>1</v>
      </c>
      <c r="AI827" s="40">
        <v>1</v>
      </c>
    </row>
    <row r="828" spans="1:35" ht="18.75" customHeight="1">
      <c r="A828" s="73">
        <v>2027</v>
      </c>
      <c r="B828" s="112" t="s">
        <v>31</v>
      </c>
      <c r="C828" s="36" t="s">
        <v>474</v>
      </c>
      <c r="D828" s="37">
        <v>46021.841486574071</v>
      </c>
      <c r="E828" s="36" t="s">
        <v>110</v>
      </c>
      <c r="F828" s="36" t="s">
        <v>221</v>
      </c>
      <c r="G828" s="36" t="s">
        <v>475</v>
      </c>
      <c r="H828" s="36" t="s">
        <v>476</v>
      </c>
      <c r="I828" s="36" t="s">
        <v>165</v>
      </c>
      <c r="J828" s="36" t="s">
        <v>477</v>
      </c>
      <c r="K828" s="36" t="s">
        <v>177</v>
      </c>
      <c r="L828" s="74">
        <f>VLOOKUP(E828,Diccionario!C$2:AC$150,22,0)</f>
        <v>3013668998</v>
      </c>
      <c r="M828" s="75">
        <f>VLOOKUP(E828,Diccionario!C$2:AC$150,24,0)</f>
        <v>46006</v>
      </c>
      <c r="N828" s="76">
        <f>VLOOKUP(E828,Diccionario!C$2:AC$150,25,0)</f>
        <v>46766</v>
      </c>
      <c r="O828" s="77">
        <f>VLOOKUP(E828,Diccionario!C$2:AC$150,26,0)</f>
        <v>24.97</v>
      </c>
      <c r="P828" s="77">
        <f t="shared" si="260"/>
        <v>-0.96999999999999886</v>
      </c>
      <c r="Q828" s="78">
        <v>24</v>
      </c>
      <c r="R828" s="36">
        <v>25</v>
      </c>
      <c r="S828" s="86">
        <v>0.94</v>
      </c>
      <c r="T828" s="86"/>
      <c r="U828" s="82"/>
      <c r="V828" s="82"/>
      <c r="W828" s="82">
        <f t="shared" si="243"/>
        <v>0</v>
      </c>
      <c r="X828" s="82">
        <f t="shared" si="261"/>
        <v>2832848858.1199999</v>
      </c>
      <c r="Y828" s="82">
        <f t="shared" si="244"/>
        <v>0</v>
      </c>
      <c r="Z828" s="82">
        <f t="shared" si="262"/>
        <v>-2832848858.1199999</v>
      </c>
      <c r="AA828" s="83" t="str">
        <f t="shared" si="258"/>
        <v>No se realizó gasto en este corte</v>
      </c>
      <c r="AB828" s="84" t="str">
        <f t="shared" si="263"/>
        <v>Costo eficiente: se está gastando menos de lo presupuestado</v>
      </c>
      <c r="AC828" s="84">
        <f t="shared" si="245"/>
        <v>0</v>
      </c>
      <c r="AD828" s="84" t="str">
        <f t="shared" si="264"/>
        <v>Sin Línea Base</v>
      </c>
      <c r="AE828" s="85">
        <f t="shared" si="246"/>
        <v>0</v>
      </c>
      <c r="AF828" s="85">
        <f t="shared" si="247"/>
        <v>-3013668998</v>
      </c>
      <c r="AG828" s="40" t="str">
        <f>VLOOKUP(Indicador!E828,Diccionario!C$1:AC$150,27,0)</f>
        <v>https://growdatasas.sharepoint.com/:x:/r/sites/Gestiondocumental/Administrativa/GD/Financiera/_layouts/15/Doc.aspx?sourcedoc=%7B2970928D-0288-4D5D-952F-67732B5D2028%7D&amp;file=251216_MODELO_FINANCIERO_SDH_V.2.0__V7.5%20VF.xlsm&amp;action=default&amp;mobileredirect=true</v>
      </c>
      <c r="AH828" s="40">
        <v>1</v>
      </c>
      <c r="AI828" s="40">
        <v>1</v>
      </c>
    </row>
    <row r="829" spans="1:35" ht="18.75" customHeight="1">
      <c r="A829" s="73">
        <v>2027</v>
      </c>
      <c r="B829" s="112" t="s">
        <v>32</v>
      </c>
      <c r="C829" s="36" t="s">
        <v>474</v>
      </c>
      <c r="D829" s="37">
        <v>46021.841486574071</v>
      </c>
      <c r="E829" s="36" t="s">
        <v>110</v>
      </c>
      <c r="F829" s="36" t="s">
        <v>221</v>
      </c>
      <c r="G829" s="36" t="s">
        <v>475</v>
      </c>
      <c r="H829" s="36" t="s">
        <v>476</v>
      </c>
      <c r="I829" s="36" t="s">
        <v>165</v>
      </c>
      <c r="J829" s="36" t="s">
        <v>477</v>
      </c>
      <c r="K829" s="36" t="s">
        <v>177</v>
      </c>
      <c r="L829" s="74">
        <f>VLOOKUP(E829,Diccionario!C$2:AC$150,22,0)</f>
        <v>3013668998</v>
      </c>
      <c r="M829" s="75">
        <f>VLOOKUP(E829,Diccionario!C$2:AC$150,24,0)</f>
        <v>46006</v>
      </c>
      <c r="N829" s="76">
        <f>VLOOKUP(E829,Diccionario!C$2:AC$150,25,0)</f>
        <v>46766</v>
      </c>
      <c r="O829" s="77">
        <f>VLOOKUP(E829,Diccionario!C$2:AC$150,26,0)</f>
        <v>24.97</v>
      </c>
      <c r="P829" s="77">
        <f t="shared" si="260"/>
        <v>3.0000000000001137E-2</v>
      </c>
      <c r="Q829" s="78">
        <v>25</v>
      </c>
      <c r="R829" s="36">
        <v>25</v>
      </c>
      <c r="S829" s="86">
        <v>0.98</v>
      </c>
      <c r="T829" s="86"/>
      <c r="U829" s="82"/>
      <c r="V829" s="82"/>
      <c r="W829" s="82">
        <f t="shared" si="243"/>
        <v>0</v>
      </c>
      <c r="X829" s="82">
        <f t="shared" si="261"/>
        <v>2953395618.04</v>
      </c>
      <c r="Y829" s="82">
        <f t="shared" si="244"/>
        <v>0</v>
      </c>
      <c r="Z829" s="82">
        <f t="shared" si="262"/>
        <v>-2953395618.04</v>
      </c>
      <c r="AA829" s="83" t="str">
        <f t="shared" si="258"/>
        <v>No se realizó gasto en este corte</v>
      </c>
      <c r="AB829" s="84" t="str">
        <f t="shared" si="263"/>
        <v>Costo eficiente: se está gastando menos de lo presupuestado</v>
      </c>
      <c r="AC829" s="84">
        <f t="shared" si="245"/>
        <v>0</v>
      </c>
      <c r="AD829" s="84" t="str">
        <f t="shared" si="264"/>
        <v>Sin Línea Base</v>
      </c>
      <c r="AE829" s="85">
        <f t="shared" si="246"/>
        <v>0</v>
      </c>
      <c r="AF829" s="85">
        <f t="shared" si="247"/>
        <v>-3013668998</v>
      </c>
      <c r="AG829" s="40" t="str">
        <f>VLOOKUP(Indicador!E829,Diccionario!C$1:AC$150,27,0)</f>
        <v>https://growdatasas.sharepoint.com/:x:/r/sites/Gestiondocumental/Administrativa/GD/Financiera/_layouts/15/Doc.aspx?sourcedoc=%7B2970928D-0288-4D5D-952F-67732B5D2028%7D&amp;file=251216_MODELO_FINANCIERO_SDH_V.2.0__V7.5%20VF.xlsm&amp;action=default&amp;mobileredirect=true</v>
      </c>
      <c r="AH829" s="40">
        <v>1</v>
      </c>
      <c r="AI829" s="40">
        <v>1</v>
      </c>
    </row>
    <row r="830" spans="1:35" ht="18.75" customHeight="1">
      <c r="A830" s="73">
        <v>2028</v>
      </c>
      <c r="B830" s="112" t="s">
        <v>14</v>
      </c>
      <c r="C830" s="36" t="s">
        <v>474</v>
      </c>
      <c r="D830" s="37">
        <v>46021.841486574071</v>
      </c>
      <c r="E830" s="36" t="s">
        <v>110</v>
      </c>
      <c r="F830" s="36" t="s">
        <v>221</v>
      </c>
      <c r="G830" s="36" t="s">
        <v>475</v>
      </c>
      <c r="H830" s="36" t="s">
        <v>476</v>
      </c>
      <c r="I830" s="36" t="s">
        <v>165</v>
      </c>
      <c r="J830" s="36" t="s">
        <v>477</v>
      </c>
      <c r="K830" s="36" t="s">
        <v>177</v>
      </c>
      <c r="L830" s="74">
        <f>VLOOKUP(E830,Diccionario!C$2:AC$150,22,0)</f>
        <v>3013668998</v>
      </c>
      <c r="M830" s="75">
        <f>VLOOKUP(E830,Diccionario!C$2:AC$150,24,0)</f>
        <v>46006</v>
      </c>
      <c r="N830" s="76">
        <f>VLOOKUP(E830,Diccionario!C$2:AC$150,25,0)</f>
        <v>46766</v>
      </c>
      <c r="O830" s="77">
        <f>VLOOKUP(E830,Diccionario!C$2:AC$150,26,0)</f>
        <v>24.97</v>
      </c>
      <c r="P830" s="77">
        <f t="shared" si="260"/>
        <v>1.0300000000000011</v>
      </c>
      <c r="Q830" s="78">
        <v>26</v>
      </c>
      <c r="R830" s="36">
        <v>25</v>
      </c>
      <c r="S830" s="86">
        <v>1</v>
      </c>
      <c r="T830" s="86"/>
      <c r="U830" s="82"/>
      <c r="V830" s="82"/>
      <c r="W830" s="82">
        <f t="shared" si="243"/>
        <v>0</v>
      </c>
      <c r="X830" s="82">
        <f t="shared" si="261"/>
        <v>3013668998</v>
      </c>
      <c r="Y830" s="82">
        <f t="shared" si="244"/>
        <v>0</v>
      </c>
      <c r="Z830" s="82">
        <f t="shared" si="262"/>
        <v>-3013668998</v>
      </c>
      <c r="AA830" s="83" t="str">
        <f t="shared" si="258"/>
        <v>No se realizó gasto en este corte</v>
      </c>
      <c r="AB830" s="84" t="str">
        <f t="shared" si="263"/>
        <v>Costo eficiente: se está gastando menos de lo presupuestado</v>
      </c>
      <c r="AC830" s="84">
        <f t="shared" si="245"/>
        <v>0</v>
      </c>
      <c r="AD830" s="84" t="str">
        <f t="shared" si="264"/>
        <v>Sin Línea Base</v>
      </c>
      <c r="AE830" s="85">
        <f t="shared" si="246"/>
        <v>0</v>
      </c>
      <c r="AF830" s="85">
        <f t="shared" si="247"/>
        <v>-3013668998</v>
      </c>
      <c r="AG830" s="40" t="str">
        <f>VLOOKUP(Indicador!E830,Diccionario!C$1:AC$150,27,0)</f>
        <v>https://growdatasas.sharepoint.com/:x:/r/sites/Gestiondocumental/Administrativa/GD/Financiera/_layouts/15/Doc.aspx?sourcedoc=%7B2970928D-0288-4D5D-952F-67732B5D2028%7D&amp;file=251216_MODELO_FINANCIERO_SDH_V.2.0__V7.5%20VF.xlsm&amp;action=default&amp;mobileredirect=true</v>
      </c>
      <c r="AH830" s="40">
        <v>1</v>
      </c>
      <c r="AI830" s="40">
        <v>1</v>
      </c>
    </row>
    <row r="831" spans="1:35" ht="18.75" customHeight="1">
      <c r="A831" s="73">
        <v>2025</v>
      </c>
      <c r="B831" s="112" t="s">
        <v>32</v>
      </c>
      <c r="C831" s="36" t="s">
        <v>478</v>
      </c>
      <c r="D831" s="37">
        <v>46014.647200694446</v>
      </c>
      <c r="E831" s="36" t="s">
        <v>66</v>
      </c>
      <c r="F831" s="36" t="s">
        <v>221</v>
      </c>
      <c r="G831" s="36" t="s">
        <v>479</v>
      </c>
      <c r="H831" s="36" t="s">
        <v>480</v>
      </c>
      <c r="I831" s="36" t="s">
        <v>165</v>
      </c>
      <c r="J831" s="36" t="s">
        <v>477</v>
      </c>
      <c r="K831" s="36" t="s">
        <v>339</v>
      </c>
      <c r="L831" s="74">
        <f>VLOOKUP(E831,Diccionario!C$2:AC$150,22,0)</f>
        <v>232025819</v>
      </c>
      <c r="M831" s="75">
        <f>VLOOKUP(E831,Diccionario!C$2:AC$150,24,0)</f>
        <v>46006</v>
      </c>
      <c r="N831" s="76">
        <f>VLOOKUP(E831,Diccionario!C$2:AC$150,25,0)</f>
        <v>46022</v>
      </c>
      <c r="O831" s="77">
        <f>VLOOKUP(E831,Diccionario!C$2:AC$150,26,0)</f>
        <v>0.53</v>
      </c>
      <c r="P831" s="77">
        <f t="shared" si="260"/>
        <v>0.47</v>
      </c>
      <c r="Q831" s="78">
        <v>1</v>
      </c>
      <c r="R831" s="36">
        <v>2</v>
      </c>
      <c r="S831" s="86">
        <v>0.5</v>
      </c>
      <c r="T831" s="86">
        <v>0.45</v>
      </c>
      <c r="U831" s="82">
        <v>6929166</v>
      </c>
      <c r="V831" s="82">
        <v>6929166</v>
      </c>
      <c r="W831" s="82">
        <f t="shared" si="243"/>
        <v>104411618.55</v>
      </c>
      <c r="X831" s="82">
        <f t="shared" si="261"/>
        <v>116012909.5</v>
      </c>
      <c r="Y831" s="82">
        <f t="shared" si="244"/>
        <v>97482452.549999997</v>
      </c>
      <c r="Z831" s="82">
        <f t="shared" si="262"/>
        <v>-11601290.950000003</v>
      </c>
      <c r="AA831" s="83">
        <f t="shared" si="258"/>
        <v>15.068425052885152</v>
      </c>
      <c r="AB831" s="84" t="str">
        <f t="shared" si="263"/>
        <v>Costo eficiente: se está gastando menos de lo presupuestado</v>
      </c>
      <c r="AC831" s="84">
        <f t="shared" si="245"/>
        <v>0.9</v>
      </c>
      <c r="AD831" s="84" t="str">
        <f t="shared" si="264"/>
        <v>Proyecto atrasado con respecto al cronograma</v>
      </c>
      <c r="AE831" s="85">
        <f t="shared" si="246"/>
        <v>15398146.666666668</v>
      </c>
      <c r="AF831" s="85">
        <f t="shared" si="247"/>
        <v>-216627672.33333334</v>
      </c>
      <c r="AG831" s="40" t="str">
        <f>VLOOKUP(Indicador!E831,Diccionario!C$1:AC$150,27,0)</f>
        <v>https://growdatasas.sharepoint.com/:x:/r/sites/Gestiondocumental/Administrativa/GD/Financiera/_layouts/15/Doc.aspx?sourcedoc=%7BEA9029CE-8DE9-486F-84A4-ED3C150AEAC4%7D&amp;file=20251301%20MODELO%20FINANCIERO%20REFERENCIA%20V7.5_DNP.xlsm&amp;action=default&amp;mobileredirect=true</v>
      </c>
      <c r="AH831" s="40">
        <v>1</v>
      </c>
      <c r="AI831" s="40">
        <v>1</v>
      </c>
    </row>
    <row r="832" spans="1:35" ht="18.75" customHeight="1">
      <c r="A832" s="73">
        <v>2026</v>
      </c>
      <c r="B832" s="112" t="s">
        <v>14</v>
      </c>
      <c r="C832" s="36" t="s">
        <v>478</v>
      </c>
      <c r="D832" s="37">
        <v>46014.647200694446</v>
      </c>
      <c r="E832" s="36" t="s">
        <v>66</v>
      </c>
      <c r="F832" s="36" t="s">
        <v>221</v>
      </c>
      <c r="G832" s="36" t="s">
        <v>479</v>
      </c>
      <c r="H832" s="36" t="s">
        <v>480</v>
      </c>
      <c r="I832" s="36" t="s">
        <v>165</v>
      </c>
      <c r="J832" s="36" t="s">
        <v>477</v>
      </c>
      <c r="K832" s="36" t="s">
        <v>339</v>
      </c>
      <c r="L832" s="74">
        <f>VLOOKUP(E832,Diccionario!C$2:AC$150,22,0)</f>
        <v>232025819</v>
      </c>
      <c r="M832" s="75">
        <f>VLOOKUP(E832,Diccionario!C$2:AC$150,24,0)</f>
        <v>46006</v>
      </c>
      <c r="N832" s="76">
        <f>VLOOKUP(E832,Diccionario!C$2:AC$150,25,0)</f>
        <v>46022</v>
      </c>
      <c r="O832" s="77">
        <f>VLOOKUP(E832,Diccionario!C$2:AC$150,26,0)</f>
        <v>0.53</v>
      </c>
      <c r="P832" s="77">
        <f t="shared" si="260"/>
        <v>1.47</v>
      </c>
      <c r="Q832" s="78">
        <v>2</v>
      </c>
      <c r="R832" s="36">
        <v>2</v>
      </c>
      <c r="S832" s="86">
        <v>1</v>
      </c>
      <c r="T832" s="86">
        <v>1</v>
      </c>
      <c r="U832" s="82">
        <v>112306405</v>
      </c>
      <c r="V832" s="82">
        <v>112306405</v>
      </c>
      <c r="W832" s="82">
        <f t="shared" si="243"/>
        <v>232025819</v>
      </c>
      <c r="X832" s="82">
        <f t="shared" si="261"/>
        <v>232025819</v>
      </c>
      <c r="Y832" s="82">
        <f t="shared" si="244"/>
        <v>119719414</v>
      </c>
      <c r="Z832" s="82">
        <f t="shared" si="262"/>
        <v>0</v>
      </c>
      <c r="AA832" s="83">
        <f t="shared" si="258"/>
        <v>2.0660070011144955</v>
      </c>
      <c r="AB832" s="84" t="str">
        <f t="shared" si="263"/>
        <v>Costo eficiente: se está gastando menos de lo presupuestado</v>
      </c>
      <c r="AC832" s="84">
        <f t="shared" si="245"/>
        <v>1</v>
      </c>
      <c r="AD832" s="84" t="str">
        <f t="shared" si="264"/>
        <v>Proyecto a tiempo según lo planificado</v>
      </c>
      <c r="AE832" s="85">
        <f t="shared" si="246"/>
        <v>112306405</v>
      </c>
      <c r="AF832" s="85">
        <f t="shared" si="247"/>
        <v>-119719414</v>
      </c>
      <c r="AG832" s="40" t="str">
        <f>VLOOKUP(Indicador!E832,Diccionario!C$1:AC$150,27,0)</f>
        <v>https://growdatasas.sharepoint.com/:x:/r/sites/Gestiondocumental/Administrativa/GD/Financiera/_layouts/15/Doc.aspx?sourcedoc=%7BEA9029CE-8DE9-486F-84A4-ED3C150AEAC4%7D&amp;file=20251301%20MODELO%20FINANCIERO%20REFERENCIA%20V7.5_DNP.xlsm&amp;action=default&amp;mobileredirect=true</v>
      </c>
      <c r="AH832" s="40">
        <v>1</v>
      </c>
      <c r="AI832" s="40">
        <v>1</v>
      </c>
    </row>
    <row r="833" spans="1:35" ht="18.75" customHeight="1">
      <c r="A833" s="73">
        <v>2026</v>
      </c>
      <c r="B833" s="112" t="s">
        <v>14</v>
      </c>
      <c r="C833" s="36" t="s">
        <v>481</v>
      </c>
      <c r="D833" s="37">
        <v>46014.698107638891</v>
      </c>
      <c r="E833" s="36" t="s">
        <v>99</v>
      </c>
      <c r="F833" s="36" t="s">
        <v>162</v>
      </c>
      <c r="G833" s="36" t="s">
        <v>482</v>
      </c>
      <c r="H833" s="36" t="s">
        <v>483</v>
      </c>
      <c r="I833" s="36" t="s">
        <v>152</v>
      </c>
      <c r="J833" s="36" t="s">
        <v>477</v>
      </c>
      <c r="K833" s="36" t="s">
        <v>203</v>
      </c>
      <c r="L833" s="74">
        <f>VLOOKUP(E833,Diccionario!C$2:AC$150,22,0)</f>
        <v>273950155</v>
      </c>
      <c r="M833" s="75">
        <f>VLOOKUP(E833,Diccionario!C$2:AC$150,24,0)</f>
        <v>46023</v>
      </c>
      <c r="N833" s="76">
        <f>VLOOKUP(E833,Diccionario!C$2:AC$150,25,0)</f>
        <v>46387</v>
      </c>
      <c r="O833" s="77">
        <f>VLOOKUP(E833,Diccionario!C$2:AC$150,26,0)</f>
        <v>12</v>
      </c>
      <c r="P833" s="77">
        <f t="shared" si="260"/>
        <v>-11</v>
      </c>
      <c r="Q833" s="78">
        <v>1</v>
      </c>
      <c r="R833" s="36">
        <v>12</v>
      </c>
      <c r="S833" s="86">
        <v>0.1</v>
      </c>
      <c r="T833" s="86">
        <v>0.1</v>
      </c>
      <c r="U833" s="82">
        <v>7064284</v>
      </c>
      <c r="V833" s="82">
        <v>7064284</v>
      </c>
      <c r="W833" s="82">
        <f t="shared" si="243"/>
        <v>27395015.5</v>
      </c>
      <c r="X833" s="82">
        <f t="shared" si="261"/>
        <v>27395015.5</v>
      </c>
      <c r="Y833" s="82">
        <f t="shared" si="244"/>
        <v>20330731.5</v>
      </c>
      <c r="Z833" s="82">
        <f t="shared" si="262"/>
        <v>0</v>
      </c>
      <c r="AA833" s="83">
        <f t="shared" si="258"/>
        <v>3.8779606680592118</v>
      </c>
      <c r="AB833" s="84" t="str">
        <f t="shared" si="263"/>
        <v>Costo eficiente: se está gastando menos de lo presupuestado</v>
      </c>
      <c r="AC833" s="84">
        <f t="shared" si="245"/>
        <v>1</v>
      </c>
      <c r="AD833" s="84" t="str">
        <f t="shared" si="264"/>
        <v>Proyecto a tiempo según lo planificado</v>
      </c>
      <c r="AE833" s="85">
        <f t="shared" si="246"/>
        <v>70642840</v>
      </c>
      <c r="AF833" s="85">
        <f t="shared" si="247"/>
        <v>-203307315</v>
      </c>
      <c r="AG833" s="40" t="str">
        <f>VLOOKUP(Indicador!E833,Diccionario!C$1:AC$150,27,0)</f>
        <v>https://growdatasas.sharepoint.com/:x:/r/sites/Gestiondocumental/Administrativa/GD/Financiera/_layouts/15/Doc.aspx?sourcedoc=%7BD8C5B8CC-D9E3-4D31-8BCE-513A1CE313F5%7D&amp;file=20251301%20MODELO%20FINANCIERO%20FUNCION%20PUBLICA%20V4.xlsm&amp;action=default&amp;mobileredirect=true</v>
      </c>
      <c r="AH833" s="40">
        <v>1</v>
      </c>
      <c r="AI833" s="40">
        <v>1</v>
      </c>
    </row>
    <row r="834" spans="1:35" ht="18.75" customHeight="1">
      <c r="A834" s="73">
        <v>2026</v>
      </c>
      <c r="B834" s="112" t="s">
        <v>22</v>
      </c>
      <c r="C834" s="36" t="s">
        <v>481</v>
      </c>
      <c r="D834" s="37">
        <v>46014.698107638891</v>
      </c>
      <c r="E834" s="36" t="s">
        <v>99</v>
      </c>
      <c r="F834" s="36" t="s">
        <v>162</v>
      </c>
      <c r="G834" s="36" t="s">
        <v>482</v>
      </c>
      <c r="H834" s="36" t="s">
        <v>483</v>
      </c>
      <c r="I834" s="36" t="s">
        <v>152</v>
      </c>
      <c r="J834" s="36" t="s">
        <v>477</v>
      </c>
      <c r="K834" s="36" t="s">
        <v>203</v>
      </c>
      <c r="L834" s="74">
        <f>VLOOKUP(E834,Diccionario!C$2:AC$150,22,0)</f>
        <v>273950155</v>
      </c>
      <c r="M834" s="75">
        <f>VLOOKUP(E834,Diccionario!C$2:AC$150,24,0)</f>
        <v>46023</v>
      </c>
      <c r="N834" s="76">
        <f>VLOOKUP(E834,Diccionario!C$2:AC$150,25,0)</f>
        <v>46387</v>
      </c>
      <c r="O834" s="77">
        <f>VLOOKUP(E834,Diccionario!C$2:AC$150,26,0)</f>
        <v>12</v>
      </c>
      <c r="P834" s="77">
        <f t="shared" si="260"/>
        <v>-10</v>
      </c>
      <c r="Q834" s="78">
        <v>2</v>
      </c>
      <c r="R834" s="36">
        <v>12</v>
      </c>
      <c r="S834" s="86">
        <v>0.15</v>
      </c>
      <c r="T834" s="86">
        <v>0.11</v>
      </c>
      <c r="U834" s="82">
        <v>208897227</v>
      </c>
      <c r="V834" s="82">
        <v>208897227</v>
      </c>
      <c r="W834" s="82">
        <f t="shared" ref="W834:W897" si="265">IFERROR(T834*L834,0)</f>
        <v>30134517.050000001</v>
      </c>
      <c r="X834" s="82">
        <f t="shared" si="261"/>
        <v>41092523.25</v>
      </c>
      <c r="Y834" s="82">
        <f t="shared" ref="Y834:Y897" si="266">IFERROR(W834-U834,0)</f>
        <v>-178762709.94999999</v>
      </c>
      <c r="Z834" s="82">
        <f t="shared" si="262"/>
        <v>-10958006.199999999</v>
      </c>
      <c r="AA834" s="83">
        <f t="shared" si="258"/>
        <v>0.14425522771539712</v>
      </c>
      <c r="AB834" s="84" t="str">
        <f t="shared" si="263"/>
        <v>Costo ineficiente: se está gastando más de lo presupuestado</v>
      </c>
      <c r="AC834" s="84">
        <f t="shared" ref="AC834:AC897" si="267">IFERROR(W834/X834,0)</f>
        <v>0.73333333333333339</v>
      </c>
      <c r="AD834" s="84" t="str">
        <f t="shared" si="264"/>
        <v>Proyecto atrasado con respecto al cronograma</v>
      </c>
      <c r="AE834" s="85">
        <f t="shared" ref="AE834:AE897" si="268">IFERROR(L834/AA834,0)</f>
        <v>1899065699.9999998</v>
      </c>
      <c r="AF834" s="85">
        <f t="shared" ref="AF834:AF897" si="269">IFERROR(AE834-L834,0)</f>
        <v>1625115544.9999998</v>
      </c>
      <c r="AG834" s="40" t="str">
        <f>VLOOKUP(Indicador!E834,Diccionario!C$1:AC$150,27,0)</f>
        <v>https://growdatasas.sharepoint.com/:x:/r/sites/Gestiondocumental/Administrativa/GD/Financiera/_layouts/15/Doc.aspx?sourcedoc=%7BD8C5B8CC-D9E3-4D31-8BCE-513A1CE313F5%7D&amp;file=20251301%20MODELO%20FINANCIERO%20FUNCION%20PUBLICA%20V4.xlsm&amp;action=default&amp;mobileredirect=true</v>
      </c>
      <c r="AH834" s="40">
        <v>1</v>
      </c>
      <c r="AI834" s="40">
        <v>1</v>
      </c>
    </row>
    <row r="835" spans="1:35" ht="18.75" customHeight="1">
      <c r="A835" s="73">
        <v>2026</v>
      </c>
      <c r="B835" s="112" t="s">
        <v>24</v>
      </c>
      <c r="C835" s="36" t="s">
        <v>481</v>
      </c>
      <c r="D835" s="37">
        <v>46014.698107638891</v>
      </c>
      <c r="E835" s="36" t="s">
        <v>99</v>
      </c>
      <c r="F835" s="36" t="s">
        <v>162</v>
      </c>
      <c r="G835" s="36" t="s">
        <v>482</v>
      </c>
      <c r="H835" s="36" t="s">
        <v>483</v>
      </c>
      <c r="I835" s="36" t="s">
        <v>152</v>
      </c>
      <c r="J835" s="36" t="s">
        <v>477</v>
      </c>
      <c r="K835" s="36" t="s">
        <v>203</v>
      </c>
      <c r="L835" s="74">
        <f>VLOOKUP(E835,Diccionario!C$2:AC$150,22,0)</f>
        <v>273950155</v>
      </c>
      <c r="M835" s="75">
        <f>VLOOKUP(E835,Diccionario!C$2:AC$150,24,0)</f>
        <v>46023</v>
      </c>
      <c r="N835" s="76">
        <f>VLOOKUP(E835,Diccionario!C$2:AC$150,25,0)</f>
        <v>46387</v>
      </c>
      <c r="O835" s="77">
        <f>VLOOKUP(E835,Diccionario!C$2:AC$150,26,0)</f>
        <v>12</v>
      </c>
      <c r="P835" s="77">
        <f t="shared" si="260"/>
        <v>-9</v>
      </c>
      <c r="Q835" s="78">
        <v>3</v>
      </c>
      <c r="R835" s="36">
        <v>12</v>
      </c>
      <c r="S835" s="86">
        <v>0.2</v>
      </c>
      <c r="T835" s="86"/>
      <c r="U835" s="82"/>
      <c r="V835" s="82"/>
      <c r="W835" s="82">
        <f t="shared" si="265"/>
        <v>0</v>
      </c>
      <c r="X835" s="82">
        <f t="shared" si="261"/>
        <v>54790031</v>
      </c>
      <c r="Y835" s="82">
        <f t="shared" si="266"/>
        <v>0</v>
      </c>
      <c r="Z835" s="82">
        <f t="shared" si="262"/>
        <v>-54790031</v>
      </c>
      <c r="AA835" s="83" t="str">
        <f t="shared" si="258"/>
        <v>No se realizó gasto en este corte</v>
      </c>
      <c r="AB835" s="84" t="str">
        <f t="shared" si="263"/>
        <v>Costo eficiente: se está gastando menos de lo presupuestado</v>
      </c>
      <c r="AC835" s="84">
        <f t="shared" si="267"/>
        <v>0</v>
      </c>
      <c r="AD835" s="84" t="str">
        <f t="shared" si="264"/>
        <v>Sin Línea Base</v>
      </c>
      <c r="AE835" s="85">
        <f t="shared" si="268"/>
        <v>0</v>
      </c>
      <c r="AF835" s="85">
        <f t="shared" si="269"/>
        <v>-273950155</v>
      </c>
      <c r="AG835" s="40" t="str">
        <f>VLOOKUP(Indicador!E835,Diccionario!C$1:AC$150,27,0)</f>
        <v>https://growdatasas.sharepoint.com/:x:/r/sites/Gestiondocumental/Administrativa/GD/Financiera/_layouts/15/Doc.aspx?sourcedoc=%7BD8C5B8CC-D9E3-4D31-8BCE-513A1CE313F5%7D&amp;file=20251301%20MODELO%20FINANCIERO%20FUNCION%20PUBLICA%20V4.xlsm&amp;action=default&amp;mobileredirect=true</v>
      </c>
      <c r="AH835" s="40">
        <v>1</v>
      </c>
      <c r="AI835" s="40">
        <v>1</v>
      </c>
    </row>
    <row r="836" spans="1:35" ht="18.75" customHeight="1">
      <c r="A836" s="73">
        <v>2026</v>
      </c>
      <c r="B836" s="112" t="s">
        <v>27</v>
      </c>
      <c r="C836" s="36" t="s">
        <v>481</v>
      </c>
      <c r="D836" s="37">
        <v>46014.698107638891</v>
      </c>
      <c r="E836" s="36" t="s">
        <v>99</v>
      </c>
      <c r="F836" s="36" t="s">
        <v>162</v>
      </c>
      <c r="G836" s="36" t="s">
        <v>482</v>
      </c>
      <c r="H836" s="36" t="s">
        <v>483</v>
      </c>
      <c r="I836" s="36" t="s">
        <v>152</v>
      </c>
      <c r="J836" s="36" t="s">
        <v>477</v>
      </c>
      <c r="K836" s="36" t="s">
        <v>203</v>
      </c>
      <c r="L836" s="74">
        <f>VLOOKUP(E836,Diccionario!C$2:AC$150,22,0)</f>
        <v>273950155</v>
      </c>
      <c r="M836" s="75">
        <f>VLOOKUP(E836,Diccionario!C$2:AC$150,24,0)</f>
        <v>46023</v>
      </c>
      <c r="N836" s="76">
        <f>VLOOKUP(E836,Diccionario!C$2:AC$150,25,0)</f>
        <v>46387</v>
      </c>
      <c r="O836" s="77">
        <f>VLOOKUP(E836,Diccionario!C$2:AC$150,26,0)</f>
        <v>12</v>
      </c>
      <c r="P836" s="77">
        <f t="shared" si="260"/>
        <v>-8</v>
      </c>
      <c r="Q836" s="78">
        <v>4</v>
      </c>
      <c r="R836" s="36">
        <v>12</v>
      </c>
      <c r="S836" s="86">
        <v>0.25</v>
      </c>
      <c r="T836" s="86"/>
      <c r="U836" s="82"/>
      <c r="V836" s="82"/>
      <c r="W836" s="82">
        <f t="shared" si="265"/>
        <v>0</v>
      </c>
      <c r="X836" s="82">
        <f t="shared" si="261"/>
        <v>68487538.75</v>
      </c>
      <c r="Y836" s="82">
        <f t="shared" si="266"/>
        <v>0</v>
      </c>
      <c r="Z836" s="82">
        <f t="shared" si="262"/>
        <v>-68487538.75</v>
      </c>
      <c r="AA836" s="83" t="str">
        <f t="shared" si="258"/>
        <v>No se realizó gasto en este corte</v>
      </c>
      <c r="AB836" s="84" t="str">
        <f t="shared" si="263"/>
        <v>Costo eficiente: se está gastando menos de lo presupuestado</v>
      </c>
      <c r="AC836" s="84">
        <f t="shared" si="267"/>
        <v>0</v>
      </c>
      <c r="AD836" s="84" t="str">
        <f t="shared" si="264"/>
        <v>Sin Línea Base</v>
      </c>
      <c r="AE836" s="85">
        <f t="shared" si="268"/>
        <v>0</v>
      </c>
      <c r="AF836" s="85">
        <f t="shared" si="269"/>
        <v>-273950155</v>
      </c>
      <c r="AG836" s="40" t="str">
        <f>VLOOKUP(Indicador!E836,Diccionario!C$1:AC$150,27,0)</f>
        <v>https://growdatasas.sharepoint.com/:x:/r/sites/Gestiondocumental/Administrativa/GD/Financiera/_layouts/15/Doc.aspx?sourcedoc=%7BD8C5B8CC-D9E3-4D31-8BCE-513A1CE313F5%7D&amp;file=20251301%20MODELO%20FINANCIERO%20FUNCION%20PUBLICA%20V4.xlsm&amp;action=default&amp;mobileredirect=true</v>
      </c>
      <c r="AH836" s="40">
        <v>1</v>
      </c>
      <c r="AI836" s="40">
        <v>1</v>
      </c>
    </row>
    <row r="837" spans="1:35" ht="18.75" customHeight="1">
      <c r="A837" s="73">
        <v>2026</v>
      </c>
      <c r="B837" s="112" t="s">
        <v>13</v>
      </c>
      <c r="C837" s="36" t="s">
        <v>481</v>
      </c>
      <c r="D837" s="37">
        <v>46014.698107638891</v>
      </c>
      <c r="E837" s="36" t="s">
        <v>99</v>
      </c>
      <c r="F837" s="36" t="s">
        <v>162</v>
      </c>
      <c r="G837" s="36" t="s">
        <v>482</v>
      </c>
      <c r="H837" s="36" t="s">
        <v>483</v>
      </c>
      <c r="I837" s="36" t="s">
        <v>152</v>
      </c>
      <c r="J837" s="36" t="s">
        <v>477</v>
      </c>
      <c r="K837" s="36" t="s">
        <v>203</v>
      </c>
      <c r="L837" s="74">
        <f>VLOOKUP(E837,Diccionario!C$2:AC$150,22,0)</f>
        <v>273950155</v>
      </c>
      <c r="M837" s="75">
        <f>VLOOKUP(E837,Diccionario!C$2:AC$150,24,0)</f>
        <v>46023</v>
      </c>
      <c r="N837" s="76">
        <f>VLOOKUP(E837,Diccionario!C$2:AC$150,25,0)</f>
        <v>46387</v>
      </c>
      <c r="O837" s="77">
        <f>VLOOKUP(E837,Diccionario!C$2:AC$150,26,0)</f>
        <v>12</v>
      </c>
      <c r="P837" s="77">
        <f t="shared" si="260"/>
        <v>-7</v>
      </c>
      <c r="Q837" s="78">
        <v>5</v>
      </c>
      <c r="R837" s="36">
        <v>12</v>
      </c>
      <c r="S837" s="86">
        <v>0.3</v>
      </c>
      <c r="T837" s="86"/>
      <c r="U837" s="82"/>
      <c r="V837" s="82"/>
      <c r="W837" s="82">
        <f t="shared" si="265"/>
        <v>0</v>
      </c>
      <c r="X837" s="82">
        <f t="shared" si="261"/>
        <v>82185046.5</v>
      </c>
      <c r="Y837" s="82">
        <f t="shared" si="266"/>
        <v>0</v>
      </c>
      <c r="Z837" s="82">
        <f t="shared" si="262"/>
        <v>-82185046.5</v>
      </c>
      <c r="AA837" s="83" t="str">
        <f t="shared" si="258"/>
        <v>No se realizó gasto en este corte</v>
      </c>
      <c r="AB837" s="84" t="str">
        <f t="shared" si="263"/>
        <v>Costo eficiente: se está gastando menos de lo presupuestado</v>
      </c>
      <c r="AC837" s="84">
        <f t="shared" si="267"/>
        <v>0</v>
      </c>
      <c r="AD837" s="84" t="str">
        <f t="shared" si="264"/>
        <v>Sin Línea Base</v>
      </c>
      <c r="AE837" s="85">
        <f t="shared" si="268"/>
        <v>0</v>
      </c>
      <c r="AF837" s="85">
        <f t="shared" si="269"/>
        <v>-273950155</v>
      </c>
      <c r="AG837" s="40" t="str">
        <f>VLOOKUP(Indicador!E837,Diccionario!C$1:AC$150,27,0)</f>
        <v>https://growdatasas.sharepoint.com/:x:/r/sites/Gestiondocumental/Administrativa/GD/Financiera/_layouts/15/Doc.aspx?sourcedoc=%7BD8C5B8CC-D9E3-4D31-8BCE-513A1CE313F5%7D&amp;file=20251301%20MODELO%20FINANCIERO%20FUNCION%20PUBLICA%20V4.xlsm&amp;action=default&amp;mobileredirect=true</v>
      </c>
      <c r="AH837" s="40">
        <v>1</v>
      </c>
      <c r="AI837" s="40">
        <v>1</v>
      </c>
    </row>
    <row r="838" spans="1:35" ht="18.75" customHeight="1">
      <c r="A838" s="73">
        <v>2026</v>
      </c>
      <c r="B838" s="112" t="s">
        <v>21</v>
      </c>
      <c r="C838" s="36" t="s">
        <v>481</v>
      </c>
      <c r="D838" s="37">
        <v>46014.698107638891</v>
      </c>
      <c r="E838" s="36" t="s">
        <v>99</v>
      </c>
      <c r="F838" s="36" t="s">
        <v>162</v>
      </c>
      <c r="G838" s="36" t="s">
        <v>482</v>
      </c>
      <c r="H838" s="36" t="s">
        <v>483</v>
      </c>
      <c r="I838" s="36" t="s">
        <v>152</v>
      </c>
      <c r="J838" s="36" t="s">
        <v>477</v>
      </c>
      <c r="K838" s="36" t="s">
        <v>203</v>
      </c>
      <c r="L838" s="74">
        <f>VLOOKUP(E838,Diccionario!C$2:AC$150,22,0)</f>
        <v>273950155</v>
      </c>
      <c r="M838" s="75">
        <f>VLOOKUP(E838,Diccionario!C$2:AC$150,24,0)</f>
        <v>46023</v>
      </c>
      <c r="N838" s="76">
        <f>VLOOKUP(E838,Diccionario!C$2:AC$150,25,0)</f>
        <v>46387</v>
      </c>
      <c r="O838" s="77">
        <f>VLOOKUP(E838,Diccionario!C$2:AC$150,26,0)</f>
        <v>12</v>
      </c>
      <c r="P838" s="77">
        <f t="shared" si="260"/>
        <v>-6</v>
      </c>
      <c r="Q838" s="78">
        <v>6</v>
      </c>
      <c r="R838" s="36">
        <v>12</v>
      </c>
      <c r="S838" s="86">
        <v>0.4</v>
      </c>
      <c r="T838" s="86"/>
      <c r="U838" s="82"/>
      <c r="V838" s="82"/>
      <c r="W838" s="82">
        <f t="shared" si="265"/>
        <v>0</v>
      </c>
      <c r="X838" s="82">
        <f t="shared" si="261"/>
        <v>109580062</v>
      </c>
      <c r="Y838" s="82">
        <f t="shared" si="266"/>
        <v>0</v>
      </c>
      <c r="Z838" s="82">
        <f t="shared" si="262"/>
        <v>-109580062</v>
      </c>
      <c r="AA838" s="83" t="str">
        <f t="shared" si="258"/>
        <v>No se realizó gasto en este corte</v>
      </c>
      <c r="AB838" s="84" t="str">
        <f t="shared" si="263"/>
        <v>Costo eficiente: se está gastando menos de lo presupuestado</v>
      </c>
      <c r="AC838" s="84">
        <f t="shared" si="267"/>
        <v>0</v>
      </c>
      <c r="AD838" s="84" t="str">
        <f t="shared" si="264"/>
        <v>Sin Línea Base</v>
      </c>
      <c r="AE838" s="85">
        <f t="shared" si="268"/>
        <v>0</v>
      </c>
      <c r="AF838" s="85">
        <f t="shared" si="269"/>
        <v>-273950155</v>
      </c>
      <c r="AG838" s="40" t="str">
        <f>VLOOKUP(Indicador!E838,Diccionario!C$1:AC$150,27,0)</f>
        <v>https://growdatasas.sharepoint.com/:x:/r/sites/Gestiondocumental/Administrativa/GD/Financiera/_layouts/15/Doc.aspx?sourcedoc=%7BD8C5B8CC-D9E3-4D31-8BCE-513A1CE313F5%7D&amp;file=20251301%20MODELO%20FINANCIERO%20FUNCION%20PUBLICA%20V4.xlsm&amp;action=default&amp;mobileredirect=true</v>
      </c>
      <c r="AH838" s="40">
        <v>1</v>
      </c>
      <c r="AI838" s="40">
        <v>1</v>
      </c>
    </row>
    <row r="839" spans="1:35" ht="18.75" customHeight="1">
      <c r="A839" s="73">
        <v>2026</v>
      </c>
      <c r="B839" s="112" t="s">
        <v>23</v>
      </c>
      <c r="C839" s="36" t="s">
        <v>481</v>
      </c>
      <c r="D839" s="37">
        <v>46014.698107638891</v>
      </c>
      <c r="E839" s="36" t="s">
        <v>99</v>
      </c>
      <c r="F839" s="36" t="s">
        <v>162</v>
      </c>
      <c r="G839" s="36" t="s">
        <v>482</v>
      </c>
      <c r="H839" s="36" t="s">
        <v>483</v>
      </c>
      <c r="I839" s="36" t="s">
        <v>152</v>
      </c>
      <c r="J839" s="36" t="s">
        <v>477</v>
      </c>
      <c r="K839" s="36" t="s">
        <v>203</v>
      </c>
      <c r="L839" s="74">
        <f>VLOOKUP(E839,Diccionario!C$2:AC$150,22,0)</f>
        <v>273950155</v>
      </c>
      <c r="M839" s="75">
        <f>VLOOKUP(E839,Diccionario!C$2:AC$150,24,0)</f>
        <v>46023</v>
      </c>
      <c r="N839" s="76">
        <f>VLOOKUP(E839,Diccionario!C$2:AC$150,25,0)</f>
        <v>46387</v>
      </c>
      <c r="O839" s="77">
        <f>VLOOKUP(E839,Diccionario!C$2:AC$150,26,0)</f>
        <v>12</v>
      </c>
      <c r="P839" s="77">
        <f t="shared" si="260"/>
        <v>-5</v>
      </c>
      <c r="Q839" s="78">
        <v>7</v>
      </c>
      <c r="R839" s="36">
        <v>12</v>
      </c>
      <c r="S839" s="86">
        <v>0.5</v>
      </c>
      <c r="T839" s="86"/>
      <c r="U839" s="82"/>
      <c r="V839" s="82"/>
      <c r="W839" s="82">
        <f t="shared" si="265"/>
        <v>0</v>
      </c>
      <c r="X839" s="82">
        <f t="shared" si="261"/>
        <v>136975077.5</v>
      </c>
      <c r="Y839" s="82">
        <f t="shared" si="266"/>
        <v>0</v>
      </c>
      <c r="Z839" s="82">
        <f t="shared" si="262"/>
        <v>-136975077.5</v>
      </c>
      <c r="AA839" s="83" t="str">
        <f t="shared" si="258"/>
        <v>No se realizó gasto en este corte</v>
      </c>
      <c r="AB839" s="84" t="str">
        <f t="shared" si="263"/>
        <v>Costo eficiente: se está gastando menos de lo presupuestado</v>
      </c>
      <c r="AC839" s="84">
        <f t="shared" si="267"/>
        <v>0</v>
      </c>
      <c r="AD839" s="84" t="str">
        <f t="shared" si="264"/>
        <v>Sin Línea Base</v>
      </c>
      <c r="AE839" s="85">
        <f t="shared" si="268"/>
        <v>0</v>
      </c>
      <c r="AF839" s="85">
        <f t="shared" si="269"/>
        <v>-273950155</v>
      </c>
      <c r="AG839" s="40" t="str">
        <f>VLOOKUP(Indicador!E839,Diccionario!C$1:AC$150,27,0)</f>
        <v>https://growdatasas.sharepoint.com/:x:/r/sites/Gestiondocumental/Administrativa/GD/Financiera/_layouts/15/Doc.aspx?sourcedoc=%7BD8C5B8CC-D9E3-4D31-8BCE-513A1CE313F5%7D&amp;file=20251301%20MODELO%20FINANCIERO%20FUNCION%20PUBLICA%20V4.xlsm&amp;action=default&amp;mobileredirect=true</v>
      </c>
      <c r="AH839" s="40">
        <v>1</v>
      </c>
      <c r="AI839" s="40">
        <v>1</v>
      </c>
    </row>
    <row r="840" spans="1:35" ht="18.75" customHeight="1">
      <c r="A840" s="73">
        <v>2026</v>
      </c>
      <c r="B840" s="112" t="s">
        <v>26</v>
      </c>
      <c r="C840" s="36" t="s">
        <v>481</v>
      </c>
      <c r="D840" s="37">
        <v>46014.698107638891</v>
      </c>
      <c r="E840" s="36" t="s">
        <v>99</v>
      </c>
      <c r="F840" s="36" t="s">
        <v>162</v>
      </c>
      <c r="G840" s="36" t="s">
        <v>482</v>
      </c>
      <c r="H840" s="36" t="s">
        <v>483</v>
      </c>
      <c r="I840" s="36" t="s">
        <v>152</v>
      </c>
      <c r="J840" s="36" t="s">
        <v>477</v>
      </c>
      <c r="K840" s="36" t="s">
        <v>203</v>
      </c>
      <c r="L840" s="74">
        <f>VLOOKUP(E840,Diccionario!C$2:AC$150,22,0)</f>
        <v>273950155</v>
      </c>
      <c r="M840" s="75">
        <f>VLOOKUP(E840,Diccionario!C$2:AC$150,24,0)</f>
        <v>46023</v>
      </c>
      <c r="N840" s="76">
        <f>VLOOKUP(E840,Diccionario!C$2:AC$150,25,0)</f>
        <v>46387</v>
      </c>
      <c r="O840" s="77">
        <f>VLOOKUP(E840,Diccionario!C$2:AC$150,26,0)</f>
        <v>12</v>
      </c>
      <c r="P840" s="77">
        <f t="shared" si="260"/>
        <v>-4</v>
      </c>
      <c r="Q840" s="78">
        <v>8</v>
      </c>
      <c r="R840" s="36">
        <v>12</v>
      </c>
      <c r="S840" s="86">
        <v>0.6</v>
      </c>
      <c r="T840" s="86"/>
      <c r="U840" s="82"/>
      <c r="V840" s="82"/>
      <c r="W840" s="82">
        <f t="shared" si="265"/>
        <v>0</v>
      </c>
      <c r="X840" s="82">
        <f t="shared" si="261"/>
        <v>164370093</v>
      </c>
      <c r="Y840" s="82">
        <f t="shared" si="266"/>
        <v>0</v>
      </c>
      <c r="Z840" s="82">
        <f t="shared" si="262"/>
        <v>-164370093</v>
      </c>
      <c r="AA840" s="83" t="str">
        <f t="shared" si="258"/>
        <v>No se realizó gasto en este corte</v>
      </c>
      <c r="AB840" s="84" t="str">
        <f t="shared" si="263"/>
        <v>Costo eficiente: se está gastando menos de lo presupuestado</v>
      </c>
      <c r="AC840" s="84">
        <f t="shared" si="267"/>
        <v>0</v>
      </c>
      <c r="AD840" s="84" t="str">
        <f t="shared" si="264"/>
        <v>Sin Línea Base</v>
      </c>
      <c r="AE840" s="85">
        <f t="shared" si="268"/>
        <v>0</v>
      </c>
      <c r="AF840" s="85">
        <f t="shared" si="269"/>
        <v>-273950155</v>
      </c>
      <c r="AG840" s="40" t="str">
        <f>VLOOKUP(Indicador!E840,Diccionario!C$1:AC$150,27,0)</f>
        <v>https://growdatasas.sharepoint.com/:x:/r/sites/Gestiondocumental/Administrativa/GD/Financiera/_layouts/15/Doc.aspx?sourcedoc=%7BD8C5B8CC-D9E3-4D31-8BCE-513A1CE313F5%7D&amp;file=20251301%20MODELO%20FINANCIERO%20FUNCION%20PUBLICA%20V4.xlsm&amp;action=default&amp;mobileredirect=true</v>
      </c>
      <c r="AH840" s="40">
        <v>1</v>
      </c>
      <c r="AI840" s="40">
        <v>1</v>
      </c>
    </row>
    <row r="841" spans="1:35" ht="18.75" customHeight="1">
      <c r="A841" s="73">
        <v>2026</v>
      </c>
      <c r="B841" s="112" t="s">
        <v>28</v>
      </c>
      <c r="C841" s="36" t="s">
        <v>481</v>
      </c>
      <c r="D841" s="37">
        <v>46014.698107638891</v>
      </c>
      <c r="E841" s="36" t="s">
        <v>99</v>
      </c>
      <c r="F841" s="36" t="s">
        <v>162</v>
      </c>
      <c r="G841" s="36" t="s">
        <v>482</v>
      </c>
      <c r="H841" s="36" t="s">
        <v>483</v>
      </c>
      <c r="I841" s="36" t="s">
        <v>152</v>
      </c>
      <c r="J841" s="36" t="s">
        <v>477</v>
      </c>
      <c r="K841" s="36" t="s">
        <v>203</v>
      </c>
      <c r="L841" s="74">
        <f>VLOOKUP(E841,Diccionario!C$2:AC$150,22,0)</f>
        <v>273950155</v>
      </c>
      <c r="M841" s="75">
        <f>VLOOKUP(E841,Diccionario!C$2:AC$150,24,0)</f>
        <v>46023</v>
      </c>
      <c r="N841" s="76">
        <f>VLOOKUP(E841,Diccionario!C$2:AC$150,25,0)</f>
        <v>46387</v>
      </c>
      <c r="O841" s="77">
        <f>VLOOKUP(E841,Diccionario!C$2:AC$150,26,0)</f>
        <v>12</v>
      </c>
      <c r="P841" s="77">
        <f t="shared" si="260"/>
        <v>-3</v>
      </c>
      <c r="Q841" s="78">
        <v>9</v>
      </c>
      <c r="R841" s="36">
        <v>12</v>
      </c>
      <c r="S841" s="86">
        <v>0.7</v>
      </c>
      <c r="T841" s="86"/>
      <c r="U841" s="82"/>
      <c r="V841" s="82"/>
      <c r="W841" s="82">
        <f t="shared" si="265"/>
        <v>0</v>
      </c>
      <c r="X841" s="82">
        <f t="shared" si="261"/>
        <v>191765108.5</v>
      </c>
      <c r="Y841" s="82">
        <f t="shared" si="266"/>
        <v>0</v>
      </c>
      <c r="Z841" s="82">
        <f t="shared" si="262"/>
        <v>-191765108.5</v>
      </c>
      <c r="AA841" s="83" t="str">
        <f t="shared" si="258"/>
        <v>No se realizó gasto en este corte</v>
      </c>
      <c r="AB841" s="84" t="str">
        <f t="shared" si="263"/>
        <v>Costo eficiente: se está gastando menos de lo presupuestado</v>
      </c>
      <c r="AC841" s="84">
        <f t="shared" si="267"/>
        <v>0</v>
      </c>
      <c r="AD841" s="84" t="str">
        <f t="shared" si="264"/>
        <v>Sin Línea Base</v>
      </c>
      <c r="AE841" s="85">
        <f t="shared" si="268"/>
        <v>0</v>
      </c>
      <c r="AF841" s="85">
        <f t="shared" si="269"/>
        <v>-273950155</v>
      </c>
      <c r="AG841" s="40" t="str">
        <f>VLOOKUP(Indicador!E841,Diccionario!C$1:AC$150,27,0)</f>
        <v>https://growdatasas.sharepoint.com/:x:/r/sites/Gestiondocumental/Administrativa/GD/Financiera/_layouts/15/Doc.aspx?sourcedoc=%7BD8C5B8CC-D9E3-4D31-8BCE-513A1CE313F5%7D&amp;file=20251301%20MODELO%20FINANCIERO%20FUNCION%20PUBLICA%20V4.xlsm&amp;action=default&amp;mobileredirect=true</v>
      </c>
      <c r="AH841" s="40">
        <v>1</v>
      </c>
      <c r="AI841" s="40">
        <v>1</v>
      </c>
    </row>
    <row r="842" spans="1:35" ht="18.75" customHeight="1">
      <c r="A842" s="73">
        <v>2026</v>
      </c>
      <c r="B842" s="112" t="s">
        <v>30</v>
      </c>
      <c r="C842" s="36" t="s">
        <v>481</v>
      </c>
      <c r="D842" s="37">
        <v>46014.698107638891</v>
      </c>
      <c r="E842" s="36" t="s">
        <v>99</v>
      </c>
      <c r="F842" s="36" t="s">
        <v>162</v>
      </c>
      <c r="G842" s="36" t="s">
        <v>482</v>
      </c>
      <c r="H842" s="36" t="s">
        <v>483</v>
      </c>
      <c r="I842" s="36" t="s">
        <v>152</v>
      </c>
      <c r="J842" s="36" t="s">
        <v>477</v>
      </c>
      <c r="K842" s="36" t="s">
        <v>203</v>
      </c>
      <c r="L842" s="74">
        <f>VLOOKUP(E842,Diccionario!C$2:AC$150,22,0)</f>
        <v>273950155</v>
      </c>
      <c r="M842" s="75">
        <f>VLOOKUP(E842,Diccionario!C$2:AC$150,24,0)</f>
        <v>46023</v>
      </c>
      <c r="N842" s="76">
        <f>VLOOKUP(E842,Diccionario!C$2:AC$150,25,0)</f>
        <v>46387</v>
      </c>
      <c r="O842" s="77">
        <f>VLOOKUP(E842,Diccionario!C$2:AC$150,26,0)</f>
        <v>12</v>
      </c>
      <c r="P842" s="77">
        <f t="shared" si="260"/>
        <v>-2</v>
      </c>
      <c r="Q842" s="78">
        <v>10</v>
      </c>
      <c r="R842" s="36">
        <v>12</v>
      </c>
      <c r="S842" s="86">
        <v>0.8</v>
      </c>
      <c r="T842" s="86"/>
      <c r="U842" s="82"/>
      <c r="V842" s="82"/>
      <c r="W842" s="82">
        <f t="shared" si="265"/>
        <v>0</v>
      </c>
      <c r="X842" s="82">
        <f t="shared" si="261"/>
        <v>219160124</v>
      </c>
      <c r="Y842" s="82">
        <f t="shared" si="266"/>
        <v>0</v>
      </c>
      <c r="Z842" s="82">
        <f t="shared" si="262"/>
        <v>-219160124</v>
      </c>
      <c r="AA842" s="83" t="str">
        <f t="shared" si="258"/>
        <v>No se realizó gasto en este corte</v>
      </c>
      <c r="AB842" s="84" t="str">
        <f t="shared" si="263"/>
        <v>Costo eficiente: se está gastando menos de lo presupuestado</v>
      </c>
      <c r="AC842" s="84">
        <f t="shared" si="267"/>
        <v>0</v>
      </c>
      <c r="AD842" s="84" t="str">
        <f t="shared" si="264"/>
        <v>Sin Línea Base</v>
      </c>
      <c r="AE842" s="85">
        <f t="shared" si="268"/>
        <v>0</v>
      </c>
      <c r="AF842" s="85">
        <f t="shared" si="269"/>
        <v>-273950155</v>
      </c>
      <c r="AG842" s="40" t="str">
        <f>VLOOKUP(Indicador!E842,Diccionario!C$1:AC$150,27,0)</f>
        <v>https://growdatasas.sharepoint.com/:x:/r/sites/Gestiondocumental/Administrativa/GD/Financiera/_layouts/15/Doc.aspx?sourcedoc=%7BD8C5B8CC-D9E3-4D31-8BCE-513A1CE313F5%7D&amp;file=20251301%20MODELO%20FINANCIERO%20FUNCION%20PUBLICA%20V4.xlsm&amp;action=default&amp;mobileredirect=true</v>
      </c>
      <c r="AH842" s="40">
        <v>1</v>
      </c>
      <c r="AI842" s="40">
        <v>1</v>
      </c>
    </row>
    <row r="843" spans="1:35" ht="18.75" customHeight="1">
      <c r="A843" s="73">
        <v>2026</v>
      </c>
      <c r="B843" s="112" t="s">
        <v>31</v>
      </c>
      <c r="C843" s="36" t="s">
        <v>481</v>
      </c>
      <c r="D843" s="37">
        <v>46014.698107638891</v>
      </c>
      <c r="E843" s="36" t="s">
        <v>99</v>
      </c>
      <c r="F843" s="36" t="s">
        <v>162</v>
      </c>
      <c r="G843" s="36" t="s">
        <v>482</v>
      </c>
      <c r="H843" s="36" t="s">
        <v>483</v>
      </c>
      <c r="I843" s="36" t="s">
        <v>152</v>
      </c>
      <c r="J843" s="36" t="s">
        <v>477</v>
      </c>
      <c r="K843" s="36" t="s">
        <v>203</v>
      </c>
      <c r="L843" s="74">
        <f>VLOOKUP(E843,Diccionario!C$2:AC$150,22,0)</f>
        <v>273950155</v>
      </c>
      <c r="M843" s="75">
        <f>VLOOKUP(E843,Diccionario!C$2:AC$150,24,0)</f>
        <v>46023</v>
      </c>
      <c r="N843" s="76">
        <f>VLOOKUP(E843,Diccionario!C$2:AC$150,25,0)</f>
        <v>46387</v>
      </c>
      <c r="O843" s="77">
        <f>VLOOKUP(E843,Diccionario!C$2:AC$150,26,0)</f>
        <v>12</v>
      </c>
      <c r="P843" s="77">
        <f t="shared" si="260"/>
        <v>-1</v>
      </c>
      <c r="Q843" s="78">
        <v>11</v>
      </c>
      <c r="R843" s="36">
        <v>12</v>
      </c>
      <c r="S843" s="86">
        <v>0.9</v>
      </c>
      <c r="T843" s="86"/>
      <c r="U843" s="82"/>
      <c r="V843" s="82"/>
      <c r="W843" s="82">
        <f t="shared" si="265"/>
        <v>0</v>
      </c>
      <c r="X843" s="82">
        <f t="shared" si="261"/>
        <v>246555139.5</v>
      </c>
      <c r="Y843" s="82">
        <f t="shared" si="266"/>
        <v>0</v>
      </c>
      <c r="Z843" s="82">
        <f t="shared" si="262"/>
        <v>-246555139.5</v>
      </c>
      <c r="AA843" s="83" t="str">
        <f t="shared" si="258"/>
        <v>No se realizó gasto en este corte</v>
      </c>
      <c r="AB843" s="84" t="str">
        <f t="shared" si="263"/>
        <v>Costo eficiente: se está gastando menos de lo presupuestado</v>
      </c>
      <c r="AC843" s="84">
        <f t="shared" si="267"/>
        <v>0</v>
      </c>
      <c r="AD843" s="84" t="str">
        <f t="shared" si="264"/>
        <v>Sin Línea Base</v>
      </c>
      <c r="AE843" s="85">
        <f t="shared" si="268"/>
        <v>0</v>
      </c>
      <c r="AF843" s="85">
        <f t="shared" si="269"/>
        <v>-273950155</v>
      </c>
      <c r="AG843" s="40" t="str">
        <f>VLOOKUP(Indicador!E843,Diccionario!C$1:AC$150,27,0)</f>
        <v>https://growdatasas.sharepoint.com/:x:/r/sites/Gestiondocumental/Administrativa/GD/Financiera/_layouts/15/Doc.aspx?sourcedoc=%7BD8C5B8CC-D9E3-4D31-8BCE-513A1CE313F5%7D&amp;file=20251301%20MODELO%20FINANCIERO%20FUNCION%20PUBLICA%20V4.xlsm&amp;action=default&amp;mobileredirect=true</v>
      </c>
      <c r="AH843" s="40">
        <v>1</v>
      </c>
      <c r="AI843" s="40">
        <v>1</v>
      </c>
    </row>
    <row r="844" spans="1:35" ht="18.75" customHeight="1">
      <c r="A844" s="73">
        <v>2026</v>
      </c>
      <c r="B844" s="112" t="s">
        <v>32</v>
      </c>
      <c r="C844" s="36" t="s">
        <v>481</v>
      </c>
      <c r="D844" s="37">
        <v>46014.698107638891</v>
      </c>
      <c r="E844" s="36" t="s">
        <v>99</v>
      </c>
      <c r="F844" s="36" t="s">
        <v>162</v>
      </c>
      <c r="G844" s="36" t="s">
        <v>482</v>
      </c>
      <c r="H844" s="36" t="s">
        <v>483</v>
      </c>
      <c r="I844" s="36" t="s">
        <v>152</v>
      </c>
      <c r="J844" s="36" t="s">
        <v>477</v>
      </c>
      <c r="K844" s="36" t="s">
        <v>203</v>
      </c>
      <c r="L844" s="74">
        <f>VLOOKUP(E844,Diccionario!C$2:AC$150,22,0)</f>
        <v>273950155</v>
      </c>
      <c r="M844" s="75">
        <f>VLOOKUP(E844,Diccionario!C$2:AC$150,24,0)</f>
        <v>46023</v>
      </c>
      <c r="N844" s="76">
        <f>VLOOKUP(E844,Diccionario!C$2:AC$150,25,0)</f>
        <v>46387</v>
      </c>
      <c r="O844" s="77">
        <f>VLOOKUP(E844,Diccionario!C$2:AC$150,26,0)</f>
        <v>12</v>
      </c>
      <c r="P844" s="77">
        <f t="shared" si="260"/>
        <v>0</v>
      </c>
      <c r="Q844" s="78">
        <v>12</v>
      </c>
      <c r="R844" s="36">
        <v>12</v>
      </c>
      <c r="S844" s="86">
        <v>1</v>
      </c>
      <c r="T844" s="86"/>
      <c r="U844" s="82"/>
      <c r="V844" s="82"/>
      <c r="W844" s="82">
        <f t="shared" si="265"/>
        <v>0</v>
      </c>
      <c r="X844" s="82">
        <f t="shared" si="261"/>
        <v>273950155</v>
      </c>
      <c r="Y844" s="82">
        <f t="shared" si="266"/>
        <v>0</v>
      </c>
      <c r="Z844" s="82">
        <f t="shared" si="262"/>
        <v>-273950155</v>
      </c>
      <c r="AA844" s="83" t="str">
        <f t="shared" si="258"/>
        <v>No se realizó gasto en este corte</v>
      </c>
      <c r="AB844" s="84" t="str">
        <f t="shared" si="263"/>
        <v>Costo eficiente: se está gastando menos de lo presupuestado</v>
      </c>
      <c r="AC844" s="84">
        <f t="shared" si="267"/>
        <v>0</v>
      </c>
      <c r="AD844" s="84" t="str">
        <f t="shared" si="264"/>
        <v>Sin Línea Base</v>
      </c>
      <c r="AE844" s="85">
        <f t="shared" si="268"/>
        <v>0</v>
      </c>
      <c r="AF844" s="85">
        <f t="shared" si="269"/>
        <v>-273950155</v>
      </c>
      <c r="AG844" s="40" t="str">
        <f>VLOOKUP(Indicador!E844,Diccionario!C$1:AC$150,27,0)</f>
        <v>https://growdatasas.sharepoint.com/:x:/r/sites/Gestiondocumental/Administrativa/GD/Financiera/_layouts/15/Doc.aspx?sourcedoc=%7BD8C5B8CC-D9E3-4D31-8BCE-513A1CE313F5%7D&amp;file=20251301%20MODELO%20FINANCIERO%20FUNCION%20PUBLICA%20V4.xlsm&amp;action=default&amp;mobileredirect=true</v>
      </c>
      <c r="AH844" s="40">
        <v>1</v>
      </c>
      <c r="AI844" s="40">
        <v>1</v>
      </c>
    </row>
    <row r="845" spans="1:35" ht="18.75" customHeight="1">
      <c r="A845" s="73">
        <v>2026</v>
      </c>
      <c r="B845" s="112" t="s">
        <v>14</v>
      </c>
      <c r="C845" s="36" t="s">
        <v>484</v>
      </c>
      <c r="D845" s="37">
        <v>45995.592523460647</v>
      </c>
      <c r="E845" s="36" t="s">
        <v>109</v>
      </c>
      <c r="F845" s="36" t="s">
        <v>485</v>
      </c>
      <c r="G845" s="36" t="s">
        <v>486</v>
      </c>
      <c r="H845" s="36" t="s">
        <v>487</v>
      </c>
      <c r="I845" s="36" t="s">
        <v>152</v>
      </c>
      <c r="J845" s="36" t="s">
        <v>477</v>
      </c>
      <c r="K845" s="36" t="s">
        <v>339</v>
      </c>
      <c r="L845" s="74">
        <f>VLOOKUP(E845,Diccionario!C$2:AC$150,22,0)</f>
        <v>6633609996</v>
      </c>
      <c r="M845" s="75">
        <f>VLOOKUP(E845,Diccionario!C$2:AC$150,24,0)</f>
        <v>46023</v>
      </c>
      <c r="N845" s="76">
        <f>VLOOKUP(E845,Diccionario!C$2:AC$150,25,0)</f>
        <v>46387</v>
      </c>
      <c r="O845" s="77">
        <f>VLOOKUP(E845,Diccionario!C$2:AC$150,26,0)</f>
        <v>12</v>
      </c>
      <c r="P845" s="77">
        <f t="shared" ca="1" si="260"/>
        <v>-6</v>
      </c>
      <c r="Q845" s="78">
        <f t="shared" ref="Q845" ca="1" si="270">DATEDIF(M845,TODAY(),"m")</f>
        <v>6</v>
      </c>
      <c r="R845" s="36">
        <v>12</v>
      </c>
      <c r="S845" s="86">
        <v>0.1</v>
      </c>
      <c r="T845" s="86"/>
      <c r="U845" s="82">
        <v>1190864655</v>
      </c>
      <c r="V845" s="82">
        <v>1190864655</v>
      </c>
      <c r="W845" s="82">
        <f t="shared" si="265"/>
        <v>0</v>
      </c>
      <c r="X845" s="82">
        <f t="shared" si="261"/>
        <v>663360999.60000002</v>
      </c>
      <c r="Y845" s="82">
        <f t="shared" si="266"/>
        <v>-1190864655</v>
      </c>
      <c r="Z845" s="82">
        <f t="shared" si="262"/>
        <v>-663360999.60000002</v>
      </c>
      <c r="AA845" s="83">
        <f t="shared" si="258"/>
        <v>0</v>
      </c>
      <c r="AB845" s="84" t="str">
        <f t="shared" si="263"/>
        <v>No calculado</v>
      </c>
      <c r="AC845" s="84">
        <f t="shared" si="267"/>
        <v>0</v>
      </c>
      <c r="AD845" s="84" t="str">
        <f t="shared" si="264"/>
        <v>Sin Línea Base</v>
      </c>
      <c r="AE845" s="85">
        <f t="shared" si="268"/>
        <v>0</v>
      </c>
      <c r="AF845" s="85">
        <f t="shared" si="269"/>
        <v>-6633609996</v>
      </c>
      <c r="AG845" s="40" t="str">
        <f>VLOOKUP(Indicador!E845,Diccionario!C$1:AC$150,27,0)</f>
        <v>https://growdatasas.sharepoint.com/:x:/r/sites/Gestiondocumental/Administrativa/GD/Financiera/_layouts/15/Doc.aspx?sourcedoc=%7BEE2DBDF3-CCDC-4051-9840-1FAD6578D68D%7D&amp;file=MODELO%20MINVIVIENDA%20V1.4.%20(aprobado).xlsm&amp;action=default&amp;mobileredirect=true</v>
      </c>
      <c r="AH845" s="40">
        <v>1</v>
      </c>
      <c r="AI845" s="40">
        <v>1</v>
      </c>
    </row>
    <row r="846" spans="1:35" ht="18.75" customHeight="1">
      <c r="A846" s="73">
        <v>2026</v>
      </c>
      <c r="B846" s="112" t="s">
        <v>22</v>
      </c>
      <c r="C846" s="36" t="s">
        <v>484</v>
      </c>
      <c r="D846" s="37">
        <v>45995.592523460647</v>
      </c>
      <c r="E846" s="36" t="s">
        <v>109</v>
      </c>
      <c r="F846" s="36" t="s">
        <v>485</v>
      </c>
      <c r="G846" s="36" t="s">
        <v>486</v>
      </c>
      <c r="H846" s="36" t="s">
        <v>487</v>
      </c>
      <c r="I846" s="36" t="s">
        <v>152</v>
      </c>
      <c r="J846" s="36" t="s">
        <v>477</v>
      </c>
      <c r="K846" s="36" t="s">
        <v>339</v>
      </c>
      <c r="L846" s="74">
        <f>VLOOKUP(E846,Diccionario!C$2:AC$150,22,0)</f>
        <v>6633609996</v>
      </c>
      <c r="M846" s="75">
        <f>VLOOKUP(E846,Diccionario!C$2:AC$150,24,0)</f>
        <v>46023</v>
      </c>
      <c r="N846" s="76">
        <f>VLOOKUP(E846,Diccionario!C$2:AC$150,25,0)</f>
        <v>46387</v>
      </c>
      <c r="O846" s="77">
        <f>VLOOKUP(E846,Diccionario!C$2:AC$150,26,0)</f>
        <v>12</v>
      </c>
      <c r="P846" s="77">
        <f t="shared" si="260"/>
        <v>-10</v>
      </c>
      <c r="Q846" s="78">
        <v>2</v>
      </c>
      <c r="R846" s="36">
        <v>12</v>
      </c>
      <c r="S846" s="86">
        <v>0.2</v>
      </c>
      <c r="T846" s="86"/>
      <c r="U846" s="82">
        <v>514607794</v>
      </c>
      <c r="V846" s="82">
        <v>514607794</v>
      </c>
      <c r="W846" s="82">
        <f t="shared" si="265"/>
        <v>0</v>
      </c>
      <c r="X846" s="82">
        <f t="shared" si="261"/>
        <v>1326721999.2</v>
      </c>
      <c r="Y846" s="82">
        <f t="shared" si="266"/>
        <v>-514607794</v>
      </c>
      <c r="Z846" s="82">
        <f t="shared" si="262"/>
        <v>-1326721999.2</v>
      </c>
      <c r="AA846" s="83">
        <f t="shared" si="258"/>
        <v>0</v>
      </c>
      <c r="AB846" s="84" t="str">
        <f t="shared" si="263"/>
        <v>No calculado</v>
      </c>
      <c r="AC846" s="84">
        <f t="shared" si="267"/>
        <v>0</v>
      </c>
      <c r="AD846" s="84" t="str">
        <f t="shared" si="264"/>
        <v>Sin Línea Base</v>
      </c>
      <c r="AE846" s="85">
        <f t="shared" si="268"/>
        <v>0</v>
      </c>
      <c r="AF846" s="85">
        <f t="shared" si="269"/>
        <v>-6633609996</v>
      </c>
      <c r="AG846" s="40" t="str">
        <f>VLOOKUP(Indicador!E846,Diccionario!C$1:AC$150,27,0)</f>
        <v>https://growdatasas.sharepoint.com/:x:/r/sites/Gestiondocumental/Administrativa/GD/Financiera/_layouts/15/Doc.aspx?sourcedoc=%7BEE2DBDF3-CCDC-4051-9840-1FAD6578D68D%7D&amp;file=MODELO%20MINVIVIENDA%20V1.4.%20(aprobado).xlsm&amp;action=default&amp;mobileredirect=true</v>
      </c>
      <c r="AH846" s="40">
        <v>1</v>
      </c>
      <c r="AI846" s="40">
        <v>1</v>
      </c>
    </row>
    <row r="847" spans="1:35" ht="18.75" customHeight="1">
      <c r="A847" s="73">
        <v>2026</v>
      </c>
      <c r="B847" s="112" t="s">
        <v>24</v>
      </c>
      <c r="C847" s="36" t="s">
        <v>484</v>
      </c>
      <c r="D847" s="37">
        <v>45995.592523460647</v>
      </c>
      <c r="E847" s="36" t="s">
        <v>109</v>
      </c>
      <c r="F847" s="36" t="s">
        <v>485</v>
      </c>
      <c r="G847" s="36" t="s">
        <v>486</v>
      </c>
      <c r="H847" s="36" t="s">
        <v>487</v>
      </c>
      <c r="I847" s="36" t="s">
        <v>152</v>
      </c>
      <c r="J847" s="36" t="s">
        <v>477</v>
      </c>
      <c r="K847" s="36" t="s">
        <v>339</v>
      </c>
      <c r="L847" s="74">
        <f>VLOOKUP(E847,Diccionario!C$2:AC$150,22,0)</f>
        <v>6633609996</v>
      </c>
      <c r="M847" s="75">
        <f>VLOOKUP(E847,Diccionario!C$2:AC$150,24,0)</f>
        <v>46023</v>
      </c>
      <c r="N847" s="76">
        <f>VLOOKUP(E847,Diccionario!C$2:AC$150,25,0)</f>
        <v>46387</v>
      </c>
      <c r="O847" s="77">
        <f>VLOOKUP(E847,Diccionario!C$2:AC$150,26,0)</f>
        <v>12</v>
      </c>
      <c r="P847" s="77">
        <f t="shared" si="260"/>
        <v>-9</v>
      </c>
      <c r="Q847" s="78">
        <v>3</v>
      </c>
      <c r="R847" s="36">
        <v>12</v>
      </c>
      <c r="S847" s="86">
        <v>0.25</v>
      </c>
      <c r="T847" s="86"/>
      <c r="U847" s="82"/>
      <c r="V847" s="82"/>
      <c r="W847" s="82">
        <f t="shared" si="265"/>
        <v>0</v>
      </c>
      <c r="X847" s="82">
        <f t="shared" si="261"/>
        <v>1658402499</v>
      </c>
      <c r="Y847" s="82">
        <f t="shared" si="266"/>
        <v>0</v>
      </c>
      <c r="Z847" s="82">
        <f t="shared" si="262"/>
        <v>-1658402499</v>
      </c>
      <c r="AA847" s="83" t="str">
        <f t="shared" si="258"/>
        <v>No se realizó gasto en este corte</v>
      </c>
      <c r="AB847" s="84" t="str">
        <f t="shared" si="263"/>
        <v>Costo eficiente: se está gastando menos de lo presupuestado</v>
      </c>
      <c r="AC847" s="84">
        <f t="shared" si="267"/>
        <v>0</v>
      </c>
      <c r="AD847" s="84" t="str">
        <f t="shared" si="264"/>
        <v>Sin Línea Base</v>
      </c>
      <c r="AE847" s="85">
        <f t="shared" si="268"/>
        <v>0</v>
      </c>
      <c r="AF847" s="85">
        <f t="shared" si="269"/>
        <v>-6633609996</v>
      </c>
      <c r="AG847" s="40" t="str">
        <f>VLOOKUP(Indicador!E847,Diccionario!C$1:AC$150,27,0)</f>
        <v>https://growdatasas.sharepoint.com/:x:/r/sites/Gestiondocumental/Administrativa/GD/Financiera/_layouts/15/Doc.aspx?sourcedoc=%7BEE2DBDF3-CCDC-4051-9840-1FAD6578D68D%7D&amp;file=MODELO%20MINVIVIENDA%20V1.4.%20(aprobado).xlsm&amp;action=default&amp;mobileredirect=true</v>
      </c>
      <c r="AH847" s="40">
        <v>1</v>
      </c>
      <c r="AI847" s="40">
        <v>1</v>
      </c>
    </row>
    <row r="848" spans="1:35" ht="18.75" customHeight="1">
      <c r="A848" s="73">
        <v>2026</v>
      </c>
      <c r="B848" s="112" t="s">
        <v>27</v>
      </c>
      <c r="C848" s="36" t="s">
        <v>484</v>
      </c>
      <c r="D848" s="37">
        <v>45995.592523460647</v>
      </c>
      <c r="E848" s="36" t="s">
        <v>109</v>
      </c>
      <c r="F848" s="36" t="s">
        <v>485</v>
      </c>
      <c r="G848" s="36" t="s">
        <v>486</v>
      </c>
      <c r="H848" s="36" t="s">
        <v>487</v>
      </c>
      <c r="I848" s="36" t="s">
        <v>152</v>
      </c>
      <c r="J848" s="36" t="s">
        <v>477</v>
      </c>
      <c r="K848" s="36" t="s">
        <v>339</v>
      </c>
      <c r="L848" s="74">
        <f>VLOOKUP(E848,Diccionario!C$2:AC$150,22,0)</f>
        <v>6633609996</v>
      </c>
      <c r="M848" s="75">
        <f>VLOOKUP(E848,Diccionario!C$2:AC$150,24,0)</f>
        <v>46023</v>
      </c>
      <c r="N848" s="76">
        <f>VLOOKUP(E848,Diccionario!C$2:AC$150,25,0)</f>
        <v>46387</v>
      </c>
      <c r="O848" s="77">
        <f>VLOOKUP(E848,Diccionario!C$2:AC$150,26,0)</f>
        <v>12</v>
      </c>
      <c r="P848" s="77">
        <f t="shared" si="260"/>
        <v>-8</v>
      </c>
      <c r="Q848" s="78">
        <v>4</v>
      </c>
      <c r="R848" s="36">
        <v>12</v>
      </c>
      <c r="S848" s="86">
        <v>0.3</v>
      </c>
      <c r="T848" s="86"/>
      <c r="U848" s="82"/>
      <c r="V848" s="82"/>
      <c r="W848" s="82">
        <f t="shared" si="265"/>
        <v>0</v>
      </c>
      <c r="X848" s="82">
        <f t="shared" si="261"/>
        <v>1990082998.8</v>
      </c>
      <c r="Y848" s="82">
        <f t="shared" si="266"/>
        <v>0</v>
      </c>
      <c r="Z848" s="82">
        <f t="shared" si="262"/>
        <v>-1990082998.8</v>
      </c>
      <c r="AA848" s="83" t="str">
        <f t="shared" si="258"/>
        <v>No se realizó gasto en este corte</v>
      </c>
      <c r="AB848" s="84" t="str">
        <f t="shared" si="263"/>
        <v>Costo eficiente: se está gastando menos de lo presupuestado</v>
      </c>
      <c r="AC848" s="84">
        <f t="shared" si="267"/>
        <v>0</v>
      </c>
      <c r="AD848" s="84" t="str">
        <f t="shared" si="264"/>
        <v>Sin Línea Base</v>
      </c>
      <c r="AE848" s="85">
        <f t="shared" si="268"/>
        <v>0</v>
      </c>
      <c r="AF848" s="85">
        <f t="shared" si="269"/>
        <v>-6633609996</v>
      </c>
      <c r="AG848" s="40" t="str">
        <f>VLOOKUP(Indicador!E848,Diccionario!C$1:AC$150,27,0)</f>
        <v>https://growdatasas.sharepoint.com/:x:/r/sites/Gestiondocumental/Administrativa/GD/Financiera/_layouts/15/Doc.aspx?sourcedoc=%7BEE2DBDF3-CCDC-4051-9840-1FAD6578D68D%7D&amp;file=MODELO%20MINVIVIENDA%20V1.4.%20(aprobado).xlsm&amp;action=default&amp;mobileredirect=true</v>
      </c>
      <c r="AH848" s="40">
        <v>1</v>
      </c>
      <c r="AI848" s="40">
        <v>1</v>
      </c>
    </row>
    <row r="849" spans="1:35" ht="18.75" customHeight="1">
      <c r="A849" s="73">
        <v>2026</v>
      </c>
      <c r="B849" s="112" t="s">
        <v>13</v>
      </c>
      <c r="C849" s="36" t="s">
        <v>484</v>
      </c>
      <c r="D849" s="37">
        <v>45995.592523460647</v>
      </c>
      <c r="E849" s="36" t="s">
        <v>109</v>
      </c>
      <c r="F849" s="36" t="s">
        <v>485</v>
      </c>
      <c r="G849" s="36" t="s">
        <v>486</v>
      </c>
      <c r="H849" s="36" t="s">
        <v>487</v>
      </c>
      <c r="I849" s="36" t="s">
        <v>152</v>
      </c>
      <c r="J849" s="36" t="s">
        <v>477</v>
      </c>
      <c r="K849" s="36" t="s">
        <v>339</v>
      </c>
      <c r="L849" s="74">
        <f>VLOOKUP(E849,Diccionario!C$2:AC$150,22,0)</f>
        <v>6633609996</v>
      </c>
      <c r="M849" s="75">
        <f>VLOOKUP(E849,Diccionario!C$2:AC$150,24,0)</f>
        <v>46023</v>
      </c>
      <c r="N849" s="76">
        <f>VLOOKUP(E849,Diccionario!C$2:AC$150,25,0)</f>
        <v>46387</v>
      </c>
      <c r="O849" s="77">
        <f>VLOOKUP(E849,Diccionario!C$2:AC$150,26,0)</f>
        <v>12</v>
      </c>
      <c r="P849" s="77">
        <f t="shared" si="260"/>
        <v>-7</v>
      </c>
      <c r="Q849" s="78">
        <v>5</v>
      </c>
      <c r="R849" s="36">
        <v>12</v>
      </c>
      <c r="S849" s="86">
        <v>0.35</v>
      </c>
      <c r="T849" s="86"/>
      <c r="U849" s="82"/>
      <c r="V849" s="82"/>
      <c r="W849" s="82">
        <f t="shared" si="265"/>
        <v>0</v>
      </c>
      <c r="X849" s="82">
        <f t="shared" si="261"/>
        <v>2321763498.5999999</v>
      </c>
      <c r="Y849" s="82">
        <f t="shared" si="266"/>
        <v>0</v>
      </c>
      <c r="Z849" s="82">
        <f t="shared" si="262"/>
        <v>-2321763498.5999999</v>
      </c>
      <c r="AA849" s="83" t="str">
        <f t="shared" si="258"/>
        <v>No se realizó gasto en este corte</v>
      </c>
      <c r="AB849" s="84" t="str">
        <f t="shared" si="263"/>
        <v>Costo eficiente: se está gastando menos de lo presupuestado</v>
      </c>
      <c r="AC849" s="84">
        <f t="shared" si="267"/>
        <v>0</v>
      </c>
      <c r="AD849" s="84" t="str">
        <f t="shared" si="264"/>
        <v>Sin Línea Base</v>
      </c>
      <c r="AE849" s="85">
        <f t="shared" si="268"/>
        <v>0</v>
      </c>
      <c r="AF849" s="85">
        <f t="shared" si="269"/>
        <v>-6633609996</v>
      </c>
      <c r="AG849" s="40" t="str">
        <f>VLOOKUP(Indicador!E849,Diccionario!C$1:AC$150,27,0)</f>
        <v>https://growdatasas.sharepoint.com/:x:/r/sites/Gestiondocumental/Administrativa/GD/Financiera/_layouts/15/Doc.aspx?sourcedoc=%7BEE2DBDF3-CCDC-4051-9840-1FAD6578D68D%7D&amp;file=MODELO%20MINVIVIENDA%20V1.4.%20(aprobado).xlsm&amp;action=default&amp;mobileredirect=true</v>
      </c>
      <c r="AH849" s="40">
        <v>1</v>
      </c>
      <c r="AI849" s="40">
        <v>1</v>
      </c>
    </row>
    <row r="850" spans="1:35" ht="18.75" customHeight="1">
      <c r="A850" s="73">
        <v>2026</v>
      </c>
      <c r="B850" s="112" t="s">
        <v>21</v>
      </c>
      <c r="C850" s="36" t="s">
        <v>484</v>
      </c>
      <c r="D850" s="37">
        <v>45995.592523460647</v>
      </c>
      <c r="E850" s="36" t="s">
        <v>109</v>
      </c>
      <c r="F850" s="36" t="s">
        <v>485</v>
      </c>
      <c r="G850" s="36" t="s">
        <v>486</v>
      </c>
      <c r="H850" s="36" t="s">
        <v>487</v>
      </c>
      <c r="I850" s="36" t="s">
        <v>152</v>
      </c>
      <c r="J850" s="36" t="s">
        <v>477</v>
      </c>
      <c r="K850" s="36" t="s">
        <v>339</v>
      </c>
      <c r="L850" s="74">
        <f>VLOOKUP(E850,Diccionario!C$2:AC$150,22,0)</f>
        <v>6633609996</v>
      </c>
      <c r="M850" s="75">
        <f>VLOOKUP(E850,Diccionario!C$2:AC$150,24,0)</f>
        <v>46023</v>
      </c>
      <c r="N850" s="76">
        <f>VLOOKUP(E850,Diccionario!C$2:AC$150,25,0)</f>
        <v>46387</v>
      </c>
      <c r="O850" s="77">
        <f>VLOOKUP(E850,Diccionario!C$2:AC$150,26,0)</f>
        <v>12</v>
      </c>
      <c r="P850" s="77">
        <f t="shared" si="260"/>
        <v>-6</v>
      </c>
      <c r="Q850" s="78">
        <v>6</v>
      </c>
      <c r="R850" s="36">
        <v>12</v>
      </c>
      <c r="S850" s="86">
        <v>0.4</v>
      </c>
      <c r="T850" s="86"/>
      <c r="U850" s="82"/>
      <c r="V850" s="82"/>
      <c r="W850" s="82">
        <f t="shared" si="265"/>
        <v>0</v>
      </c>
      <c r="X850" s="82">
        <f t="shared" si="261"/>
        <v>2653443998.4000001</v>
      </c>
      <c r="Y850" s="82">
        <f t="shared" si="266"/>
        <v>0</v>
      </c>
      <c r="Z850" s="82">
        <f t="shared" si="262"/>
        <v>-2653443998.4000001</v>
      </c>
      <c r="AA850" s="83" t="str">
        <f t="shared" si="258"/>
        <v>No se realizó gasto en este corte</v>
      </c>
      <c r="AB850" s="84" t="str">
        <f t="shared" si="263"/>
        <v>Costo eficiente: se está gastando menos de lo presupuestado</v>
      </c>
      <c r="AC850" s="84">
        <f t="shared" si="267"/>
        <v>0</v>
      </c>
      <c r="AD850" s="84" t="str">
        <f t="shared" si="264"/>
        <v>Sin Línea Base</v>
      </c>
      <c r="AE850" s="85">
        <f t="shared" si="268"/>
        <v>0</v>
      </c>
      <c r="AF850" s="85">
        <f t="shared" si="269"/>
        <v>-6633609996</v>
      </c>
      <c r="AG850" s="40" t="str">
        <f>VLOOKUP(Indicador!E850,Diccionario!C$1:AC$150,27,0)</f>
        <v>https://growdatasas.sharepoint.com/:x:/r/sites/Gestiondocumental/Administrativa/GD/Financiera/_layouts/15/Doc.aspx?sourcedoc=%7BEE2DBDF3-CCDC-4051-9840-1FAD6578D68D%7D&amp;file=MODELO%20MINVIVIENDA%20V1.4.%20(aprobado).xlsm&amp;action=default&amp;mobileredirect=true</v>
      </c>
      <c r="AH850" s="40">
        <v>1</v>
      </c>
      <c r="AI850" s="40">
        <v>1</v>
      </c>
    </row>
    <row r="851" spans="1:35" ht="18.75" customHeight="1">
      <c r="A851" s="73">
        <v>2026</v>
      </c>
      <c r="B851" s="112" t="s">
        <v>23</v>
      </c>
      <c r="C851" s="36" t="s">
        <v>484</v>
      </c>
      <c r="D851" s="37">
        <v>45995.592523460647</v>
      </c>
      <c r="E851" s="36" t="s">
        <v>109</v>
      </c>
      <c r="F851" s="36" t="s">
        <v>485</v>
      </c>
      <c r="G851" s="36" t="s">
        <v>486</v>
      </c>
      <c r="H851" s="36" t="s">
        <v>487</v>
      </c>
      <c r="I851" s="36" t="s">
        <v>152</v>
      </c>
      <c r="J851" s="36" t="s">
        <v>477</v>
      </c>
      <c r="K851" s="36" t="s">
        <v>339</v>
      </c>
      <c r="L851" s="74">
        <f>VLOOKUP(E851,Diccionario!C$2:AC$150,22,0)</f>
        <v>6633609996</v>
      </c>
      <c r="M851" s="75">
        <f>VLOOKUP(E851,Diccionario!C$2:AC$150,24,0)</f>
        <v>46023</v>
      </c>
      <c r="N851" s="76">
        <f>VLOOKUP(E851,Diccionario!C$2:AC$150,25,0)</f>
        <v>46387</v>
      </c>
      <c r="O851" s="77">
        <f>VLOOKUP(E851,Diccionario!C$2:AC$150,26,0)</f>
        <v>12</v>
      </c>
      <c r="P851" s="77">
        <f t="shared" si="260"/>
        <v>-5</v>
      </c>
      <c r="Q851" s="78">
        <v>7</v>
      </c>
      <c r="R851" s="36">
        <v>12</v>
      </c>
      <c r="S851" s="86">
        <v>0.5</v>
      </c>
      <c r="T851" s="86"/>
      <c r="U851" s="82"/>
      <c r="V851" s="82"/>
      <c r="W851" s="82">
        <f t="shared" si="265"/>
        <v>0</v>
      </c>
      <c r="X851" s="82">
        <f t="shared" si="261"/>
        <v>3316804998</v>
      </c>
      <c r="Y851" s="82">
        <f t="shared" si="266"/>
        <v>0</v>
      </c>
      <c r="Z851" s="82">
        <f t="shared" si="262"/>
        <v>-3316804998</v>
      </c>
      <c r="AA851" s="83" t="str">
        <f t="shared" si="258"/>
        <v>No se realizó gasto en este corte</v>
      </c>
      <c r="AB851" s="84" t="str">
        <f t="shared" si="263"/>
        <v>Costo eficiente: se está gastando menos de lo presupuestado</v>
      </c>
      <c r="AC851" s="84">
        <f t="shared" si="267"/>
        <v>0</v>
      </c>
      <c r="AD851" s="84" t="str">
        <f t="shared" si="264"/>
        <v>Sin Línea Base</v>
      </c>
      <c r="AE851" s="85">
        <f t="shared" si="268"/>
        <v>0</v>
      </c>
      <c r="AF851" s="85">
        <f t="shared" si="269"/>
        <v>-6633609996</v>
      </c>
      <c r="AG851" s="40" t="str">
        <f>VLOOKUP(Indicador!E851,Diccionario!C$1:AC$150,27,0)</f>
        <v>https://growdatasas.sharepoint.com/:x:/r/sites/Gestiondocumental/Administrativa/GD/Financiera/_layouts/15/Doc.aspx?sourcedoc=%7BEE2DBDF3-CCDC-4051-9840-1FAD6578D68D%7D&amp;file=MODELO%20MINVIVIENDA%20V1.4.%20(aprobado).xlsm&amp;action=default&amp;mobileredirect=true</v>
      </c>
      <c r="AH851" s="40">
        <v>1</v>
      </c>
      <c r="AI851" s="40">
        <v>1</v>
      </c>
    </row>
    <row r="852" spans="1:35" ht="18.75" customHeight="1">
      <c r="A852" s="73">
        <v>2026</v>
      </c>
      <c r="B852" s="112" t="s">
        <v>26</v>
      </c>
      <c r="C852" s="36" t="s">
        <v>484</v>
      </c>
      <c r="D852" s="37">
        <v>45995.592523460647</v>
      </c>
      <c r="E852" s="36" t="s">
        <v>109</v>
      </c>
      <c r="F852" s="36" t="s">
        <v>485</v>
      </c>
      <c r="G852" s="36" t="s">
        <v>486</v>
      </c>
      <c r="H852" s="36" t="s">
        <v>487</v>
      </c>
      <c r="I852" s="36" t="s">
        <v>152</v>
      </c>
      <c r="J852" s="36" t="s">
        <v>477</v>
      </c>
      <c r="K852" s="36" t="s">
        <v>339</v>
      </c>
      <c r="L852" s="74">
        <f>VLOOKUP(E852,Diccionario!C$2:AC$150,22,0)</f>
        <v>6633609996</v>
      </c>
      <c r="M852" s="75">
        <f>VLOOKUP(E852,Diccionario!C$2:AC$150,24,0)</f>
        <v>46023</v>
      </c>
      <c r="N852" s="76">
        <f>VLOOKUP(E852,Diccionario!C$2:AC$150,25,0)</f>
        <v>46387</v>
      </c>
      <c r="O852" s="77">
        <f>VLOOKUP(E852,Diccionario!C$2:AC$150,26,0)</f>
        <v>12</v>
      </c>
      <c r="P852" s="77">
        <f t="shared" si="260"/>
        <v>-4</v>
      </c>
      <c r="Q852" s="78">
        <v>8</v>
      </c>
      <c r="R852" s="36">
        <v>12</v>
      </c>
      <c r="S852" s="86">
        <v>0.6</v>
      </c>
      <c r="T852" s="86"/>
      <c r="U852" s="82"/>
      <c r="V852" s="82"/>
      <c r="W852" s="82">
        <f t="shared" si="265"/>
        <v>0</v>
      </c>
      <c r="X852" s="82">
        <f t="shared" si="261"/>
        <v>3980165997.5999999</v>
      </c>
      <c r="Y852" s="82">
        <f t="shared" si="266"/>
        <v>0</v>
      </c>
      <c r="Z852" s="82">
        <f t="shared" si="262"/>
        <v>-3980165997.5999999</v>
      </c>
      <c r="AA852" s="83" t="str">
        <f t="shared" si="258"/>
        <v>No se realizó gasto en este corte</v>
      </c>
      <c r="AB852" s="84" t="str">
        <f t="shared" si="263"/>
        <v>Costo eficiente: se está gastando menos de lo presupuestado</v>
      </c>
      <c r="AC852" s="84">
        <f t="shared" si="267"/>
        <v>0</v>
      </c>
      <c r="AD852" s="84" t="str">
        <f t="shared" si="264"/>
        <v>Sin Línea Base</v>
      </c>
      <c r="AE852" s="85">
        <f t="shared" si="268"/>
        <v>0</v>
      </c>
      <c r="AF852" s="85">
        <f t="shared" si="269"/>
        <v>-6633609996</v>
      </c>
      <c r="AG852" s="40" t="str">
        <f>VLOOKUP(Indicador!E852,Diccionario!C$1:AC$150,27,0)</f>
        <v>https://growdatasas.sharepoint.com/:x:/r/sites/Gestiondocumental/Administrativa/GD/Financiera/_layouts/15/Doc.aspx?sourcedoc=%7BEE2DBDF3-CCDC-4051-9840-1FAD6578D68D%7D&amp;file=MODELO%20MINVIVIENDA%20V1.4.%20(aprobado).xlsm&amp;action=default&amp;mobileredirect=true</v>
      </c>
      <c r="AH852" s="40">
        <v>1</v>
      </c>
      <c r="AI852" s="40">
        <v>1</v>
      </c>
    </row>
    <row r="853" spans="1:35" ht="18.75" customHeight="1">
      <c r="A853" s="73">
        <v>2026</v>
      </c>
      <c r="B853" s="112" t="s">
        <v>28</v>
      </c>
      <c r="C853" s="36" t="s">
        <v>484</v>
      </c>
      <c r="D853" s="37">
        <v>45995.592523460647</v>
      </c>
      <c r="E853" s="36" t="s">
        <v>109</v>
      </c>
      <c r="F853" s="36" t="s">
        <v>485</v>
      </c>
      <c r="G853" s="36" t="s">
        <v>486</v>
      </c>
      <c r="H853" s="36" t="s">
        <v>487</v>
      </c>
      <c r="I853" s="36" t="s">
        <v>152</v>
      </c>
      <c r="J853" s="36" t="s">
        <v>477</v>
      </c>
      <c r="K853" s="36" t="s">
        <v>339</v>
      </c>
      <c r="L853" s="74">
        <f>VLOOKUP(E853,Diccionario!C$2:AC$150,22,0)</f>
        <v>6633609996</v>
      </c>
      <c r="M853" s="75">
        <f>VLOOKUP(E853,Diccionario!C$2:AC$150,24,0)</f>
        <v>46023</v>
      </c>
      <c r="N853" s="76">
        <f>VLOOKUP(E853,Diccionario!C$2:AC$150,25,0)</f>
        <v>46387</v>
      </c>
      <c r="O853" s="77">
        <f>VLOOKUP(E853,Diccionario!C$2:AC$150,26,0)</f>
        <v>12</v>
      </c>
      <c r="P853" s="77">
        <f t="shared" si="260"/>
        <v>-3</v>
      </c>
      <c r="Q853" s="78">
        <v>9</v>
      </c>
      <c r="R853" s="36">
        <v>12</v>
      </c>
      <c r="S853" s="86">
        <v>0.7</v>
      </c>
      <c r="T853" s="86"/>
      <c r="U853" s="82"/>
      <c r="V853" s="82"/>
      <c r="W853" s="82">
        <f t="shared" si="265"/>
        <v>0</v>
      </c>
      <c r="X853" s="82">
        <f t="shared" si="261"/>
        <v>4643526997.1999998</v>
      </c>
      <c r="Y853" s="82">
        <f t="shared" si="266"/>
        <v>0</v>
      </c>
      <c r="Z853" s="82">
        <f t="shared" si="262"/>
        <v>-4643526997.1999998</v>
      </c>
      <c r="AA853" s="83" t="str">
        <f t="shared" si="258"/>
        <v>No se realizó gasto en este corte</v>
      </c>
      <c r="AB853" s="84" t="str">
        <f t="shared" si="263"/>
        <v>Costo eficiente: se está gastando menos de lo presupuestado</v>
      </c>
      <c r="AC853" s="84">
        <f t="shared" si="267"/>
        <v>0</v>
      </c>
      <c r="AD853" s="84" t="str">
        <f t="shared" si="264"/>
        <v>Sin Línea Base</v>
      </c>
      <c r="AE853" s="85">
        <f t="shared" si="268"/>
        <v>0</v>
      </c>
      <c r="AF853" s="85">
        <f t="shared" si="269"/>
        <v>-6633609996</v>
      </c>
      <c r="AG853" s="40" t="str">
        <f>VLOOKUP(Indicador!E853,Diccionario!C$1:AC$150,27,0)</f>
        <v>https://growdatasas.sharepoint.com/:x:/r/sites/Gestiondocumental/Administrativa/GD/Financiera/_layouts/15/Doc.aspx?sourcedoc=%7BEE2DBDF3-CCDC-4051-9840-1FAD6578D68D%7D&amp;file=MODELO%20MINVIVIENDA%20V1.4.%20(aprobado).xlsm&amp;action=default&amp;mobileredirect=true</v>
      </c>
      <c r="AH853" s="40">
        <v>1</v>
      </c>
      <c r="AI853" s="40">
        <v>1</v>
      </c>
    </row>
    <row r="854" spans="1:35" ht="18.75" customHeight="1">
      <c r="A854" s="73">
        <v>2026</v>
      </c>
      <c r="B854" s="112" t="s">
        <v>30</v>
      </c>
      <c r="C854" s="36" t="s">
        <v>484</v>
      </c>
      <c r="D854" s="37">
        <v>45995.592523460647</v>
      </c>
      <c r="E854" s="36" t="s">
        <v>109</v>
      </c>
      <c r="F854" s="36" t="s">
        <v>485</v>
      </c>
      <c r="G854" s="36" t="s">
        <v>486</v>
      </c>
      <c r="H854" s="36" t="s">
        <v>487</v>
      </c>
      <c r="I854" s="36" t="s">
        <v>152</v>
      </c>
      <c r="J854" s="36" t="s">
        <v>477</v>
      </c>
      <c r="K854" s="36" t="s">
        <v>339</v>
      </c>
      <c r="L854" s="74">
        <f>VLOOKUP(E854,Diccionario!C$2:AC$150,22,0)</f>
        <v>6633609996</v>
      </c>
      <c r="M854" s="75">
        <f>VLOOKUP(E854,Diccionario!C$2:AC$150,24,0)</f>
        <v>46023</v>
      </c>
      <c r="N854" s="76">
        <f>VLOOKUP(E854,Diccionario!C$2:AC$150,25,0)</f>
        <v>46387</v>
      </c>
      <c r="O854" s="77">
        <f>VLOOKUP(E854,Diccionario!C$2:AC$150,26,0)</f>
        <v>12</v>
      </c>
      <c r="P854" s="77">
        <f t="shared" si="260"/>
        <v>-2</v>
      </c>
      <c r="Q854" s="78">
        <v>10</v>
      </c>
      <c r="R854" s="36">
        <v>12</v>
      </c>
      <c r="S854" s="86">
        <v>0.8</v>
      </c>
      <c r="T854" s="86"/>
      <c r="U854" s="82"/>
      <c r="V854" s="82"/>
      <c r="W854" s="82">
        <f t="shared" si="265"/>
        <v>0</v>
      </c>
      <c r="X854" s="82">
        <f t="shared" si="261"/>
        <v>5306887996.8000002</v>
      </c>
      <c r="Y854" s="82">
        <f t="shared" si="266"/>
        <v>0</v>
      </c>
      <c r="Z854" s="82">
        <f t="shared" si="262"/>
        <v>-5306887996.8000002</v>
      </c>
      <c r="AA854" s="83" t="str">
        <f t="shared" si="258"/>
        <v>No se realizó gasto en este corte</v>
      </c>
      <c r="AB854" s="84" t="str">
        <f t="shared" si="263"/>
        <v>Costo eficiente: se está gastando menos de lo presupuestado</v>
      </c>
      <c r="AC854" s="84">
        <f t="shared" si="267"/>
        <v>0</v>
      </c>
      <c r="AD854" s="84" t="str">
        <f t="shared" si="264"/>
        <v>Sin Línea Base</v>
      </c>
      <c r="AE854" s="85">
        <f t="shared" si="268"/>
        <v>0</v>
      </c>
      <c r="AF854" s="85">
        <f t="shared" si="269"/>
        <v>-6633609996</v>
      </c>
      <c r="AG854" s="40" t="str">
        <f>VLOOKUP(Indicador!E854,Diccionario!C$1:AC$150,27,0)</f>
        <v>https://growdatasas.sharepoint.com/:x:/r/sites/Gestiondocumental/Administrativa/GD/Financiera/_layouts/15/Doc.aspx?sourcedoc=%7BEE2DBDF3-CCDC-4051-9840-1FAD6578D68D%7D&amp;file=MODELO%20MINVIVIENDA%20V1.4.%20(aprobado).xlsm&amp;action=default&amp;mobileredirect=true</v>
      </c>
      <c r="AH854" s="40">
        <v>1</v>
      </c>
      <c r="AI854" s="40">
        <v>1</v>
      </c>
    </row>
    <row r="855" spans="1:35" ht="18.75" customHeight="1">
      <c r="A855" s="73">
        <v>2026</v>
      </c>
      <c r="B855" s="112" t="s">
        <v>31</v>
      </c>
      <c r="C855" s="36" t="s">
        <v>484</v>
      </c>
      <c r="D855" s="37">
        <v>45995.592523460647</v>
      </c>
      <c r="E855" s="36" t="s">
        <v>109</v>
      </c>
      <c r="F855" s="36" t="s">
        <v>485</v>
      </c>
      <c r="G855" s="36" t="s">
        <v>486</v>
      </c>
      <c r="H855" s="36" t="s">
        <v>487</v>
      </c>
      <c r="I855" s="36" t="s">
        <v>152</v>
      </c>
      <c r="J855" s="36" t="s">
        <v>477</v>
      </c>
      <c r="K855" s="36" t="s">
        <v>339</v>
      </c>
      <c r="L855" s="74">
        <f>VLOOKUP(E855,Diccionario!C$2:AC$150,22,0)</f>
        <v>6633609996</v>
      </c>
      <c r="M855" s="75">
        <f>VLOOKUP(E855,Diccionario!C$2:AC$150,24,0)</f>
        <v>46023</v>
      </c>
      <c r="N855" s="76">
        <f>VLOOKUP(E855,Diccionario!C$2:AC$150,25,0)</f>
        <v>46387</v>
      </c>
      <c r="O855" s="77">
        <f>VLOOKUP(E855,Diccionario!C$2:AC$150,26,0)</f>
        <v>12</v>
      </c>
      <c r="P855" s="77">
        <f t="shared" si="260"/>
        <v>-1</v>
      </c>
      <c r="Q855" s="78">
        <v>11</v>
      </c>
      <c r="R855" s="36">
        <v>12</v>
      </c>
      <c r="S855" s="86">
        <v>0.9</v>
      </c>
      <c r="T855" s="86"/>
      <c r="U855" s="82"/>
      <c r="V855" s="82"/>
      <c r="W855" s="82">
        <f t="shared" si="265"/>
        <v>0</v>
      </c>
      <c r="X855" s="82">
        <f t="shared" si="261"/>
        <v>5970248996.4000006</v>
      </c>
      <c r="Y855" s="82">
        <f t="shared" si="266"/>
        <v>0</v>
      </c>
      <c r="Z855" s="82">
        <f t="shared" si="262"/>
        <v>-5970248996.4000006</v>
      </c>
      <c r="AA855" s="83" t="str">
        <f t="shared" si="258"/>
        <v>No se realizó gasto en este corte</v>
      </c>
      <c r="AB855" s="84" t="str">
        <f t="shared" si="263"/>
        <v>Costo eficiente: se está gastando menos de lo presupuestado</v>
      </c>
      <c r="AC855" s="84">
        <f t="shared" si="267"/>
        <v>0</v>
      </c>
      <c r="AD855" s="84" t="str">
        <f t="shared" si="264"/>
        <v>Sin Línea Base</v>
      </c>
      <c r="AE855" s="85">
        <f t="shared" si="268"/>
        <v>0</v>
      </c>
      <c r="AF855" s="85">
        <f t="shared" si="269"/>
        <v>-6633609996</v>
      </c>
      <c r="AG855" s="40" t="str">
        <f>VLOOKUP(Indicador!E855,Diccionario!C$1:AC$150,27,0)</f>
        <v>https://growdatasas.sharepoint.com/:x:/r/sites/Gestiondocumental/Administrativa/GD/Financiera/_layouts/15/Doc.aspx?sourcedoc=%7BEE2DBDF3-CCDC-4051-9840-1FAD6578D68D%7D&amp;file=MODELO%20MINVIVIENDA%20V1.4.%20(aprobado).xlsm&amp;action=default&amp;mobileredirect=true</v>
      </c>
      <c r="AH855" s="40">
        <v>1</v>
      </c>
      <c r="AI855" s="40">
        <v>1</v>
      </c>
    </row>
    <row r="856" spans="1:35" ht="18.75" customHeight="1">
      <c r="A856" s="73">
        <v>2026</v>
      </c>
      <c r="B856" s="112" t="s">
        <v>32</v>
      </c>
      <c r="C856" s="36" t="s">
        <v>484</v>
      </c>
      <c r="D856" s="37">
        <v>45995.592523460647</v>
      </c>
      <c r="E856" s="36" t="s">
        <v>109</v>
      </c>
      <c r="F856" s="36" t="s">
        <v>485</v>
      </c>
      <c r="G856" s="36" t="s">
        <v>486</v>
      </c>
      <c r="H856" s="36" t="s">
        <v>487</v>
      </c>
      <c r="I856" s="36" t="s">
        <v>152</v>
      </c>
      <c r="J856" s="36" t="s">
        <v>477</v>
      </c>
      <c r="K856" s="36" t="s">
        <v>339</v>
      </c>
      <c r="L856" s="74">
        <f>VLOOKUP(E856,Diccionario!C$2:AC$150,22,0)</f>
        <v>6633609996</v>
      </c>
      <c r="M856" s="75">
        <f>VLOOKUP(E856,Diccionario!C$2:AC$150,24,0)</f>
        <v>46023</v>
      </c>
      <c r="N856" s="76">
        <f>VLOOKUP(E856,Diccionario!C$2:AC$150,25,0)</f>
        <v>46387</v>
      </c>
      <c r="O856" s="77">
        <f>VLOOKUP(E856,Diccionario!C$2:AC$150,26,0)</f>
        <v>12</v>
      </c>
      <c r="P856" s="77">
        <f t="shared" si="260"/>
        <v>0</v>
      </c>
      <c r="Q856" s="78">
        <v>12</v>
      </c>
      <c r="R856" s="36">
        <v>12</v>
      </c>
      <c r="S856" s="86">
        <v>1</v>
      </c>
      <c r="T856" s="86"/>
      <c r="U856" s="82"/>
      <c r="V856" s="82"/>
      <c r="W856" s="82">
        <f t="shared" si="265"/>
        <v>0</v>
      </c>
      <c r="X856" s="82">
        <f t="shared" si="261"/>
        <v>6633609996</v>
      </c>
      <c r="Y856" s="82">
        <f t="shared" si="266"/>
        <v>0</v>
      </c>
      <c r="Z856" s="82">
        <f t="shared" si="262"/>
        <v>-6633609996</v>
      </c>
      <c r="AA856" s="83" t="str">
        <f t="shared" si="258"/>
        <v>No se realizó gasto en este corte</v>
      </c>
      <c r="AB856" s="84" t="str">
        <f t="shared" si="263"/>
        <v>Costo eficiente: se está gastando menos de lo presupuestado</v>
      </c>
      <c r="AC856" s="84">
        <f t="shared" si="267"/>
        <v>0</v>
      </c>
      <c r="AD856" s="84" t="str">
        <f t="shared" si="264"/>
        <v>Sin Línea Base</v>
      </c>
      <c r="AE856" s="85">
        <f t="shared" si="268"/>
        <v>0</v>
      </c>
      <c r="AF856" s="85">
        <f t="shared" si="269"/>
        <v>-6633609996</v>
      </c>
      <c r="AG856" s="40" t="str">
        <f>VLOOKUP(Indicador!E856,Diccionario!C$1:AC$150,27,0)</f>
        <v>https://growdatasas.sharepoint.com/:x:/r/sites/Gestiondocumental/Administrativa/GD/Financiera/_layouts/15/Doc.aspx?sourcedoc=%7BEE2DBDF3-CCDC-4051-9840-1FAD6578D68D%7D&amp;file=MODELO%20MINVIVIENDA%20V1.4.%20(aprobado).xlsm&amp;action=default&amp;mobileredirect=true</v>
      </c>
      <c r="AH856" s="40">
        <v>1</v>
      </c>
      <c r="AI856" s="40">
        <v>1</v>
      </c>
    </row>
    <row r="857" spans="1:35" ht="18.75" customHeight="1">
      <c r="A857" s="73">
        <v>2025</v>
      </c>
      <c r="B857" s="112" t="s">
        <v>31</v>
      </c>
      <c r="C857" s="36" t="s">
        <v>488</v>
      </c>
      <c r="D857" s="37">
        <v>45971.887886886572</v>
      </c>
      <c r="E857" s="36" t="s">
        <v>98</v>
      </c>
      <c r="F857" s="36" t="s">
        <v>358</v>
      </c>
      <c r="G857" s="88" t="s">
        <v>489</v>
      </c>
      <c r="H857" s="36" t="s">
        <v>490</v>
      </c>
      <c r="I857" s="36" t="s">
        <v>152</v>
      </c>
      <c r="J857" s="36" t="s">
        <v>491</v>
      </c>
      <c r="K857" s="36" t="s">
        <v>177</v>
      </c>
      <c r="L857" s="74">
        <f>VLOOKUP(E857,Diccionario!C$2:AC$150,22,0)</f>
        <v>6123938211</v>
      </c>
      <c r="M857" s="75">
        <f>VLOOKUP(E857,Diccionario!C$2:AC$150,24,0)</f>
        <v>46023</v>
      </c>
      <c r="N857" s="76">
        <f>VLOOKUP(E857,Diccionario!C$2:AC$150,25,0)</f>
        <v>46113</v>
      </c>
      <c r="O857" s="77">
        <f>VLOOKUP(E857,Diccionario!C$2:AC$150,26,0)</f>
        <v>3</v>
      </c>
      <c r="P857" s="77">
        <f t="shared" ref="P857:P875" si="271">Q857-O857</f>
        <v>-2</v>
      </c>
      <c r="Q857" s="78">
        <v>1</v>
      </c>
      <c r="R857" s="36">
        <v>3</v>
      </c>
      <c r="S857" s="86">
        <v>0</v>
      </c>
      <c r="T857" s="86">
        <v>0.3</v>
      </c>
      <c r="U857" s="82">
        <v>642077207</v>
      </c>
      <c r="V857" s="82">
        <v>642077207</v>
      </c>
      <c r="W857" s="82">
        <f t="shared" si="265"/>
        <v>1837181463.3</v>
      </c>
      <c r="X857" s="82">
        <f t="shared" ref="X857:X880" si="272">S857*L857</f>
        <v>0</v>
      </c>
      <c r="Y857" s="82">
        <f t="shared" si="266"/>
        <v>1195104256.3</v>
      </c>
      <c r="Z857" s="82">
        <f t="shared" ref="Z857:Z880" si="273">W857-X857</f>
        <v>1837181463.3</v>
      </c>
      <c r="AA857" s="83">
        <f t="shared" ref="AA857:AA858" si="274">IFERROR(W857/U857,"No se realizó gasto en este corte")</f>
        <v>2.8613092682170231</v>
      </c>
      <c r="AB857" s="84" t="str">
        <f t="shared" ref="AB857:AB880" si="275">IFERROR(
  IF(OR(AA857="",AA857=0),
    "No calculado",
    IF(AA857&gt;1,"Costo eficiente: se está gastando menos de lo presupuestado",
      IF(AA857=1,"Costo según lo presupuestado",
        "Costo ineficiente: se está gastando más de lo presupuestado"))),
"No calculado")</f>
        <v>Costo eficiente: se está gastando menos de lo presupuestado</v>
      </c>
      <c r="AC857" s="84">
        <f t="shared" si="267"/>
        <v>0</v>
      </c>
      <c r="AD857" s="84" t="str">
        <f t="shared" ref="AD857:AD880" si="276">IF(OR(AC857="",AC857=0),"Sin Línea Base",
IF(AC857&gt;1,"Proyecto adelantado respecto al cronograma",
IF(AC857=1,"Proyecto a tiempo según lo planificado",
IF(AC857&lt;1,"Proyecto atrasado con respecto al cronograma",
"No calculado"))))</f>
        <v>Sin Línea Base</v>
      </c>
      <c r="AE857" s="85">
        <f t="shared" si="268"/>
        <v>2140257356.6666665</v>
      </c>
      <c r="AF857" s="85">
        <f t="shared" si="269"/>
        <v>-3983680854.3333335</v>
      </c>
      <c r="AG857" s="40" t="str">
        <f>VLOOKUP(Indicador!E857,Diccionario!C$1:AC$150,27,0)</f>
        <v>https://growdatasas.sharepoint.com/:x:/r/sites/Gestiondocumental/Administrativa/GD/Financiera/_layouts/15/Doc.aspx?sourcedoc=%7BA2729A87-3B6F-45F5-B35B-1B6F95CA8221%7D&amp;file=MODELO%20FINANCIERO%20FGN%20GrowData.xlsm&amp;action=default&amp;mobileredirect=true</v>
      </c>
      <c r="AH857" s="40">
        <v>1</v>
      </c>
      <c r="AI857" s="40">
        <v>1</v>
      </c>
    </row>
    <row r="858" spans="1:35" ht="18.75" customHeight="1">
      <c r="A858" s="73">
        <v>2025</v>
      </c>
      <c r="B858" s="112" t="s">
        <v>32</v>
      </c>
      <c r="C858" s="36" t="s">
        <v>488</v>
      </c>
      <c r="D858" s="37">
        <v>45971.887886886572</v>
      </c>
      <c r="E858" s="36" t="s">
        <v>98</v>
      </c>
      <c r="F858" s="36" t="s">
        <v>358</v>
      </c>
      <c r="G858" s="88" t="s">
        <v>489</v>
      </c>
      <c r="H858" s="36" t="s">
        <v>490</v>
      </c>
      <c r="I858" s="36" t="s">
        <v>152</v>
      </c>
      <c r="J858" s="36" t="s">
        <v>491</v>
      </c>
      <c r="K858" s="36" t="s">
        <v>177</v>
      </c>
      <c r="L858" s="74">
        <f>VLOOKUP(E858,Diccionario!C$2:AC$150,22,0)</f>
        <v>6123938211</v>
      </c>
      <c r="M858" s="75">
        <f>VLOOKUP(E858,Diccionario!C$2:AC$150,24,0)</f>
        <v>46023</v>
      </c>
      <c r="N858" s="76">
        <f>VLOOKUP(E858,Diccionario!C$2:AC$150,25,0)</f>
        <v>46113</v>
      </c>
      <c r="O858" s="77">
        <f>VLOOKUP(E858,Diccionario!C$2:AC$150,26,0)</f>
        <v>3</v>
      </c>
      <c r="P858" s="77">
        <f t="shared" si="271"/>
        <v>-1</v>
      </c>
      <c r="Q858" s="78">
        <v>2</v>
      </c>
      <c r="R858" s="36">
        <v>3</v>
      </c>
      <c r="S858" s="86">
        <v>0</v>
      </c>
      <c r="T858" s="86">
        <v>0.4</v>
      </c>
      <c r="U858" s="82">
        <v>3649049977</v>
      </c>
      <c r="V858" s="82">
        <v>3649049977</v>
      </c>
      <c r="W858" s="82">
        <f t="shared" si="265"/>
        <v>2449575284.4000001</v>
      </c>
      <c r="X858" s="82">
        <f t="shared" si="272"/>
        <v>0</v>
      </c>
      <c r="Y858" s="82">
        <f t="shared" si="266"/>
        <v>-1199474692.5999999</v>
      </c>
      <c r="Z858" s="82">
        <f t="shared" si="273"/>
        <v>2449575284.4000001</v>
      </c>
      <c r="AA858" s="83">
        <f t="shared" si="274"/>
        <v>0.67129124014187214</v>
      </c>
      <c r="AB858" s="84" t="str">
        <f t="shared" si="275"/>
        <v>Costo ineficiente: se está gastando más de lo presupuestado</v>
      </c>
      <c r="AC858" s="84">
        <f t="shared" si="267"/>
        <v>0</v>
      </c>
      <c r="AD858" s="84" t="str">
        <f t="shared" si="276"/>
        <v>Sin Línea Base</v>
      </c>
      <c r="AE858" s="85">
        <f t="shared" si="268"/>
        <v>9122624942.5</v>
      </c>
      <c r="AF858" s="85">
        <f t="shared" si="269"/>
        <v>2998686731.5</v>
      </c>
      <c r="AG858" s="40" t="str">
        <f>VLOOKUP(Indicador!E858,Diccionario!C$1:AC$150,27,0)</f>
        <v>https://growdatasas.sharepoint.com/:x:/r/sites/Gestiondocumental/Administrativa/GD/Financiera/_layouts/15/Doc.aspx?sourcedoc=%7BA2729A87-3B6F-45F5-B35B-1B6F95CA8221%7D&amp;file=MODELO%20FINANCIERO%20FGN%20GrowData.xlsm&amp;action=default&amp;mobileredirect=true</v>
      </c>
      <c r="AH858" s="40">
        <v>1</v>
      </c>
      <c r="AI858" s="40">
        <v>1</v>
      </c>
    </row>
    <row r="859" spans="1:35" ht="18.75" customHeight="1">
      <c r="A859" s="73">
        <v>2026</v>
      </c>
      <c r="B859" s="112" t="s">
        <v>14</v>
      </c>
      <c r="C859" s="36" t="s">
        <v>488</v>
      </c>
      <c r="D859" s="37">
        <v>45971.887886886572</v>
      </c>
      <c r="E859" s="36" t="s">
        <v>98</v>
      </c>
      <c r="F859" s="36" t="s">
        <v>358</v>
      </c>
      <c r="G859" s="88" t="s">
        <v>489</v>
      </c>
      <c r="H859" s="36" t="s">
        <v>490</v>
      </c>
      <c r="I859" s="36" t="s">
        <v>152</v>
      </c>
      <c r="J859" s="36" t="s">
        <v>491</v>
      </c>
      <c r="K859" s="36" t="s">
        <v>177</v>
      </c>
      <c r="L859" s="74">
        <f>VLOOKUP(E859,Diccionario!C$2:AC$150,22,0)</f>
        <v>6123938211</v>
      </c>
      <c r="M859" s="75">
        <f>VLOOKUP(E859,Diccionario!C$2:AC$150,24,0)</f>
        <v>46023</v>
      </c>
      <c r="N859" s="76">
        <f>VLOOKUP(E859,Diccionario!C$2:AC$150,25,0)</f>
        <v>46113</v>
      </c>
      <c r="O859" s="77">
        <f>VLOOKUP(E859,Diccionario!C$2:AC$150,26,0)</f>
        <v>3</v>
      </c>
      <c r="P859" s="77">
        <f t="shared" si="271"/>
        <v>0</v>
      </c>
      <c r="Q859" s="78">
        <v>3</v>
      </c>
      <c r="R859" s="36">
        <v>3</v>
      </c>
      <c r="S859" s="86">
        <v>0.5</v>
      </c>
      <c r="T859" s="86">
        <v>0.5</v>
      </c>
      <c r="U859" s="82">
        <v>0</v>
      </c>
      <c r="V859" s="82">
        <v>0</v>
      </c>
      <c r="W859" s="82">
        <f t="shared" si="265"/>
        <v>3061969105.5</v>
      </c>
      <c r="X859" s="82">
        <f t="shared" si="272"/>
        <v>3061969105.5</v>
      </c>
      <c r="Y859" s="82">
        <f t="shared" si="266"/>
        <v>3061969105.5</v>
      </c>
      <c r="Z859" s="82">
        <f t="shared" si="273"/>
        <v>0</v>
      </c>
      <c r="AA859" s="83" t="str">
        <f t="shared" ref="AA859:AA915" si="277">IFERROR(W859/U859,"No se realizó gasto en este corte")</f>
        <v>No se realizó gasto en este corte</v>
      </c>
      <c r="AB859" s="84" t="str">
        <f t="shared" si="275"/>
        <v>Costo eficiente: se está gastando menos de lo presupuestado</v>
      </c>
      <c r="AC859" s="84">
        <f t="shared" si="267"/>
        <v>1</v>
      </c>
      <c r="AD859" s="84" t="str">
        <f t="shared" si="276"/>
        <v>Proyecto a tiempo según lo planificado</v>
      </c>
      <c r="AE859" s="85">
        <f t="shared" si="268"/>
        <v>0</v>
      </c>
      <c r="AF859" s="85">
        <f t="shared" si="269"/>
        <v>-6123938211</v>
      </c>
      <c r="AG859" s="40" t="str">
        <f>VLOOKUP(Indicador!E859,Diccionario!C$1:AC$150,27,0)</f>
        <v>https://growdatasas.sharepoint.com/:x:/r/sites/Gestiondocumental/Administrativa/GD/Financiera/_layouts/15/Doc.aspx?sourcedoc=%7BA2729A87-3B6F-45F5-B35B-1B6F95CA8221%7D&amp;file=MODELO%20FINANCIERO%20FGN%20GrowData.xlsm&amp;action=default&amp;mobileredirect=true</v>
      </c>
      <c r="AH859" s="40">
        <v>1</v>
      </c>
      <c r="AI859" s="40">
        <v>1</v>
      </c>
    </row>
    <row r="860" spans="1:35" ht="18.75" customHeight="1">
      <c r="A860" s="73">
        <v>2026</v>
      </c>
      <c r="B860" s="112" t="s">
        <v>22</v>
      </c>
      <c r="C860" s="36" t="s">
        <v>488</v>
      </c>
      <c r="D860" s="37">
        <v>45971.887886886572</v>
      </c>
      <c r="E860" s="36" t="s">
        <v>98</v>
      </c>
      <c r="F860" s="36" t="s">
        <v>358</v>
      </c>
      <c r="G860" s="88" t="s">
        <v>489</v>
      </c>
      <c r="H860" s="36" t="s">
        <v>490</v>
      </c>
      <c r="I860" s="36" t="s">
        <v>152</v>
      </c>
      <c r="J860" s="36" t="s">
        <v>491</v>
      </c>
      <c r="K860" s="36" t="s">
        <v>177</v>
      </c>
      <c r="L860" s="74">
        <f>VLOOKUP(E860,Diccionario!C$2:AC$150,22,0)</f>
        <v>6123938211</v>
      </c>
      <c r="M860" s="75">
        <f>VLOOKUP(E860,Diccionario!C$2:AC$150,24,0)</f>
        <v>46023</v>
      </c>
      <c r="N860" s="76">
        <f>VLOOKUP(E860,Diccionario!C$2:AC$150,25,0)</f>
        <v>46113</v>
      </c>
      <c r="O860" s="77">
        <f>VLOOKUP(E860,Diccionario!C$2:AC$150,26,0)</f>
        <v>3</v>
      </c>
      <c r="P860" s="77">
        <f t="shared" si="271"/>
        <v>1</v>
      </c>
      <c r="Q860" s="78">
        <v>4</v>
      </c>
      <c r="R860" s="36">
        <v>3</v>
      </c>
      <c r="S860" s="86">
        <v>0.9</v>
      </c>
      <c r="T860" s="86"/>
      <c r="U860" s="82"/>
      <c r="V860" s="82"/>
      <c r="W860" s="82">
        <f t="shared" si="265"/>
        <v>0</v>
      </c>
      <c r="X860" s="82">
        <f t="shared" si="272"/>
        <v>5511544389.9000006</v>
      </c>
      <c r="Y860" s="82">
        <f t="shared" si="266"/>
        <v>0</v>
      </c>
      <c r="Z860" s="82">
        <f t="shared" si="273"/>
        <v>-5511544389.9000006</v>
      </c>
      <c r="AA860" s="83" t="str">
        <f t="shared" si="277"/>
        <v>No se realizó gasto en este corte</v>
      </c>
      <c r="AB860" s="84" t="str">
        <f t="shared" si="275"/>
        <v>Costo eficiente: se está gastando menos de lo presupuestado</v>
      </c>
      <c r="AC860" s="84">
        <f t="shared" si="267"/>
        <v>0</v>
      </c>
      <c r="AD860" s="84" t="str">
        <f t="shared" si="276"/>
        <v>Sin Línea Base</v>
      </c>
      <c r="AE860" s="85">
        <f t="shared" si="268"/>
        <v>0</v>
      </c>
      <c r="AF860" s="85">
        <f t="shared" si="269"/>
        <v>-6123938211</v>
      </c>
      <c r="AG860" s="40" t="str">
        <f>VLOOKUP(Indicador!E860,Diccionario!C$1:AC$150,27,0)</f>
        <v>https://growdatasas.sharepoint.com/:x:/r/sites/Gestiondocumental/Administrativa/GD/Financiera/_layouts/15/Doc.aspx?sourcedoc=%7BA2729A87-3B6F-45F5-B35B-1B6F95CA8221%7D&amp;file=MODELO%20FINANCIERO%20FGN%20GrowData.xlsm&amp;action=default&amp;mobileredirect=true</v>
      </c>
      <c r="AH860" s="40">
        <v>1</v>
      </c>
      <c r="AI860" s="40">
        <v>1</v>
      </c>
    </row>
    <row r="861" spans="1:35" ht="18.75" customHeight="1">
      <c r="A861" s="73">
        <v>2026</v>
      </c>
      <c r="B861" s="112" t="s">
        <v>24</v>
      </c>
      <c r="C861" s="36" t="s">
        <v>488</v>
      </c>
      <c r="D861" s="37">
        <v>45971.887886886572</v>
      </c>
      <c r="E861" s="36" t="s">
        <v>98</v>
      </c>
      <c r="F861" s="36" t="s">
        <v>358</v>
      </c>
      <c r="G861" s="88" t="s">
        <v>489</v>
      </c>
      <c r="H861" s="36" t="s">
        <v>490</v>
      </c>
      <c r="I861" s="36" t="s">
        <v>152</v>
      </c>
      <c r="J861" s="36" t="s">
        <v>491</v>
      </c>
      <c r="K861" s="36" t="s">
        <v>177</v>
      </c>
      <c r="L861" s="74">
        <f>VLOOKUP(E861,Diccionario!C$2:AC$150,22,0)</f>
        <v>6123938211</v>
      </c>
      <c r="M861" s="75">
        <f>VLOOKUP(E861,Diccionario!C$2:AC$150,24,0)</f>
        <v>46023</v>
      </c>
      <c r="N861" s="76">
        <f>VLOOKUP(E861,Diccionario!C$2:AC$150,25,0)</f>
        <v>46113</v>
      </c>
      <c r="O861" s="77">
        <f>VLOOKUP(E861,Diccionario!C$2:AC$150,26,0)</f>
        <v>3</v>
      </c>
      <c r="P861" s="77">
        <f t="shared" si="271"/>
        <v>2</v>
      </c>
      <c r="Q861" s="78">
        <v>5</v>
      </c>
      <c r="R861" s="36">
        <v>3</v>
      </c>
      <c r="S861" s="86">
        <v>0.95</v>
      </c>
      <c r="T861" s="86"/>
      <c r="U861" s="82"/>
      <c r="V861" s="82"/>
      <c r="W861" s="82">
        <f t="shared" si="265"/>
        <v>0</v>
      </c>
      <c r="X861" s="82">
        <f t="shared" si="272"/>
        <v>5817741300.4499998</v>
      </c>
      <c r="Y861" s="82">
        <f t="shared" si="266"/>
        <v>0</v>
      </c>
      <c r="Z861" s="82">
        <f t="shared" si="273"/>
        <v>-5817741300.4499998</v>
      </c>
      <c r="AA861" s="83" t="str">
        <f t="shared" si="277"/>
        <v>No se realizó gasto en este corte</v>
      </c>
      <c r="AB861" s="84" t="str">
        <f t="shared" si="275"/>
        <v>Costo eficiente: se está gastando menos de lo presupuestado</v>
      </c>
      <c r="AC861" s="84">
        <f t="shared" si="267"/>
        <v>0</v>
      </c>
      <c r="AD861" s="84" t="str">
        <f t="shared" si="276"/>
        <v>Sin Línea Base</v>
      </c>
      <c r="AE861" s="85">
        <f t="shared" si="268"/>
        <v>0</v>
      </c>
      <c r="AF861" s="85">
        <f t="shared" si="269"/>
        <v>-6123938211</v>
      </c>
      <c r="AG861" s="40" t="str">
        <f>VLOOKUP(Indicador!E861,Diccionario!C$1:AC$150,27,0)</f>
        <v>https://growdatasas.sharepoint.com/:x:/r/sites/Gestiondocumental/Administrativa/GD/Financiera/_layouts/15/Doc.aspx?sourcedoc=%7BA2729A87-3B6F-45F5-B35B-1B6F95CA8221%7D&amp;file=MODELO%20FINANCIERO%20FGN%20GrowData.xlsm&amp;action=default&amp;mobileredirect=true</v>
      </c>
      <c r="AH861" s="40">
        <v>1</v>
      </c>
      <c r="AI861" s="40">
        <v>1</v>
      </c>
    </row>
    <row r="862" spans="1:35" ht="18.75" customHeight="1">
      <c r="A862" s="73">
        <v>2026</v>
      </c>
      <c r="B862" s="112" t="s">
        <v>27</v>
      </c>
      <c r="C862" s="36" t="s">
        <v>488</v>
      </c>
      <c r="D862" s="37">
        <v>45971.887886886572</v>
      </c>
      <c r="E862" s="36" t="s">
        <v>98</v>
      </c>
      <c r="F862" s="36" t="s">
        <v>358</v>
      </c>
      <c r="G862" s="88" t="s">
        <v>489</v>
      </c>
      <c r="H862" s="36" t="s">
        <v>490</v>
      </c>
      <c r="I862" s="36" t="s">
        <v>152</v>
      </c>
      <c r="J862" s="36" t="s">
        <v>491</v>
      </c>
      <c r="K862" s="36" t="s">
        <v>177</v>
      </c>
      <c r="L862" s="74">
        <f>VLOOKUP(E862,Diccionario!C$2:AC$150,22,0)</f>
        <v>6123938211</v>
      </c>
      <c r="M862" s="75">
        <f>VLOOKUP(E862,Diccionario!C$2:AC$150,24,0)</f>
        <v>46023</v>
      </c>
      <c r="N862" s="76">
        <f>VLOOKUP(E862,Diccionario!C$2:AC$150,25,0)</f>
        <v>46113</v>
      </c>
      <c r="O862" s="77">
        <f>VLOOKUP(E862,Diccionario!C$2:AC$150,26,0)</f>
        <v>3</v>
      </c>
      <c r="P862" s="77">
        <f t="shared" si="271"/>
        <v>3</v>
      </c>
      <c r="Q862" s="78">
        <v>6</v>
      </c>
      <c r="R862" s="36">
        <v>3</v>
      </c>
      <c r="S862" s="86">
        <v>1</v>
      </c>
      <c r="T862" s="86"/>
      <c r="U862" s="82"/>
      <c r="V862" s="82"/>
      <c r="W862" s="82">
        <f t="shared" si="265"/>
        <v>0</v>
      </c>
      <c r="X862" s="82">
        <f t="shared" si="272"/>
        <v>6123938211</v>
      </c>
      <c r="Y862" s="82">
        <f t="shared" si="266"/>
        <v>0</v>
      </c>
      <c r="Z862" s="82">
        <f t="shared" si="273"/>
        <v>-6123938211</v>
      </c>
      <c r="AA862" s="83" t="str">
        <f t="shared" si="277"/>
        <v>No se realizó gasto en este corte</v>
      </c>
      <c r="AB862" s="84" t="str">
        <f t="shared" si="275"/>
        <v>Costo eficiente: se está gastando menos de lo presupuestado</v>
      </c>
      <c r="AC862" s="84">
        <f t="shared" si="267"/>
        <v>0</v>
      </c>
      <c r="AD862" s="84" t="str">
        <f t="shared" si="276"/>
        <v>Sin Línea Base</v>
      </c>
      <c r="AE862" s="85">
        <f t="shared" si="268"/>
        <v>0</v>
      </c>
      <c r="AF862" s="85">
        <f t="shared" si="269"/>
        <v>-6123938211</v>
      </c>
      <c r="AG862" s="40" t="str">
        <f>VLOOKUP(Indicador!E862,Diccionario!C$1:AC$150,27,0)</f>
        <v>https://growdatasas.sharepoint.com/:x:/r/sites/Gestiondocumental/Administrativa/GD/Financiera/_layouts/15/Doc.aspx?sourcedoc=%7BA2729A87-3B6F-45F5-B35B-1B6F95CA8221%7D&amp;file=MODELO%20FINANCIERO%20FGN%20GrowData.xlsm&amp;action=default&amp;mobileredirect=true</v>
      </c>
      <c r="AH862" s="40">
        <v>1</v>
      </c>
      <c r="AI862" s="40">
        <v>1</v>
      </c>
    </row>
    <row r="863" spans="1:35" ht="18.75" customHeight="1">
      <c r="A863" s="73">
        <v>2026</v>
      </c>
      <c r="B863" s="112" t="s">
        <v>14</v>
      </c>
      <c r="C863" s="36" t="s">
        <v>492</v>
      </c>
      <c r="D863" s="37">
        <v>46051.084417627317</v>
      </c>
      <c r="E863" s="36" t="s">
        <v>103</v>
      </c>
      <c r="F863" s="36" t="s">
        <v>162</v>
      </c>
      <c r="G863" s="36" t="s">
        <v>493</v>
      </c>
      <c r="H863" s="36" t="s">
        <v>494</v>
      </c>
      <c r="I863" s="36" t="s">
        <v>175</v>
      </c>
      <c r="J863" s="36" t="s">
        <v>477</v>
      </c>
      <c r="K863" s="36" t="s">
        <v>177</v>
      </c>
      <c r="L863" s="74">
        <f>VLOOKUP(E863,Diccionario!C$2:AC$150,22,0)</f>
        <v>950366338</v>
      </c>
      <c r="M863" s="75">
        <f>VLOOKUP(E863,Diccionario!C$2:AC$150,24,0)</f>
        <v>46045</v>
      </c>
      <c r="N863" s="76">
        <f>VLOOKUP(E863,Diccionario!C$2:AC$150,25,0)</f>
        <v>46591</v>
      </c>
      <c r="O863" s="77">
        <f>VLOOKUP(E863,Diccionario!C$2:AC$150,26,0)</f>
        <v>18</v>
      </c>
      <c r="P863" s="77">
        <f t="shared" si="271"/>
        <v>-17</v>
      </c>
      <c r="Q863" s="78">
        <v>1</v>
      </c>
      <c r="R863" s="36">
        <v>18</v>
      </c>
      <c r="S863" s="86">
        <v>0.1</v>
      </c>
      <c r="T863" s="86">
        <v>0.1</v>
      </c>
      <c r="U863" s="82">
        <v>66538626</v>
      </c>
      <c r="V863" s="82">
        <v>66538626</v>
      </c>
      <c r="W863" s="82">
        <f t="shared" si="265"/>
        <v>95036633.800000012</v>
      </c>
      <c r="X863" s="82">
        <f t="shared" si="272"/>
        <v>95036633.800000012</v>
      </c>
      <c r="Y863" s="82">
        <f t="shared" si="266"/>
        <v>28498007.800000012</v>
      </c>
      <c r="Z863" s="82">
        <f t="shared" si="273"/>
        <v>0</v>
      </c>
      <c r="AA863" s="83">
        <f t="shared" si="277"/>
        <v>1.4282927002430139</v>
      </c>
      <c r="AB863" s="84" t="str">
        <f t="shared" si="275"/>
        <v>Costo eficiente: se está gastando menos de lo presupuestado</v>
      </c>
      <c r="AC863" s="84">
        <f t="shared" si="267"/>
        <v>1</v>
      </c>
      <c r="AD863" s="84" t="str">
        <f t="shared" si="276"/>
        <v>Proyecto a tiempo según lo planificado</v>
      </c>
      <c r="AE863" s="85">
        <f t="shared" si="268"/>
        <v>665386259.99999988</v>
      </c>
      <c r="AF863" s="85">
        <f t="shared" si="269"/>
        <v>-284980078.00000012</v>
      </c>
      <c r="AG863" s="40" t="str">
        <f>VLOOKUP(Indicador!E863,Diccionario!C$1:AC$150,27,0)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3" s="40">
        <v>1</v>
      </c>
      <c r="AI863" s="40">
        <v>1</v>
      </c>
    </row>
    <row r="864" spans="1:35" ht="18.75" customHeight="1">
      <c r="A864" s="73">
        <v>2026</v>
      </c>
      <c r="B864" s="112" t="s">
        <v>22</v>
      </c>
      <c r="C864" s="36" t="s">
        <v>492</v>
      </c>
      <c r="D864" s="37">
        <v>46051.084417627317</v>
      </c>
      <c r="E864" s="36" t="s">
        <v>103</v>
      </c>
      <c r="F864" s="36" t="s">
        <v>162</v>
      </c>
      <c r="G864" s="36" t="s">
        <v>493</v>
      </c>
      <c r="H864" s="36" t="s">
        <v>494</v>
      </c>
      <c r="I864" s="36" t="s">
        <v>175</v>
      </c>
      <c r="J864" s="36" t="s">
        <v>477</v>
      </c>
      <c r="K864" s="36" t="s">
        <v>177</v>
      </c>
      <c r="L864" s="74">
        <f>VLOOKUP(E864,Diccionario!C$2:AC$150,22,0)</f>
        <v>950366338</v>
      </c>
      <c r="M864" s="75">
        <f>VLOOKUP(E864,Diccionario!C$2:AC$150,24,0)</f>
        <v>46045</v>
      </c>
      <c r="N864" s="76">
        <f>VLOOKUP(E864,Diccionario!C$2:AC$150,25,0)</f>
        <v>46591</v>
      </c>
      <c r="O864" s="77">
        <f>VLOOKUP(E864,Diccionario!C$2:AC$150,26,0)</f>
        <v>18</v>
      </c>
      <c r="P864" s="77">
        <f t="shared" ca="1" si="271"/>
        <v>-13</v>
      </c>
      <c r="Q864" s="78">
        <f t="shared" ref="Q864:Q880" ca="1" si="278">DATEDIF(M864,TODAY(),"m")</f>
        <v>5</v>
      </c>
      <c r="R864" s="36">
        <v>18</v>
      </c>
      <c r="S864" s="86">
        <v>0.15</v>
      </c>
      <c r="T864" s="86"/>
      <c r="U864" s="82"/>
      <c r="V864" s="82"/>
      <c r="W864" s="82">
        <f t="shared" si="265"/>
        <v>0</v>
      </c>
      <c r="X864" s="82">
        <f t="shared" si="272"/>
        <v>142554950.69999999</v>
      </c>
      <c r="Y864" s="82">
        <f t="shared" si="266"/>
        <v>0</v>
      </c>
      <c r="Z864" s="82">
        <f t="shared" si="273"/>
        <v>-142554950.69999999</v>
      </c>
      <c r="AA864" s="83" t="str">
        <f t="shared" si="277"/>
        <v>No se realizó gasto en este corte</v>
      </c>
      <c r="AB864" s="84" t="str">
        <f t="shared" si="275"/>
        <v>Costo eficiente: se está gastando menos de lo presupuestado</v>
      </c>
      <c r="AC864" s="84">
        <f t="shared" si="267"/>
        <v>0</v>
      </c>
      <c r="AD864" s="84" t="str">
        <f t="shared" si="276"/>
        <v>Sin Línea Base</v>
      </c>
      <c r="AE864" s="85">
        <f t="shared" si="268"/>
        <v>0</v>
      </c>
      <c r="AF864" s="85">
        <f t="shared" si="269"/>
        <v>-950366338</v>
      </c>
      <c r="AG864" s="40" t="str">
        <f>VLOOKUP(Indicador!E864,Diccionario!C$1:AC$150,27,0)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4" s="40">
        <v>1</v>
      </c>
      <c r="AI864" s="40">
        <v>1</v>
      </c>
    </row>
    <row r="865" spans="1:35" ht="18.75" customHeight="1">
      <c r="A865" s="73">
        <v>2026</v>
      </c>
      <c r="B865" s="112" t="s">
        <v>24</v>
      </c>
      <c r="C865" s="36" t="s">
        <v>492</v>
      </c>
      <c r="D865" s="37">
        <v>46051.084417627317</v>
      </c>
      <c r="E865" s="36" t="s">
        <v>103</v>
      </c>
      <c r="F865" s="36" t="s">
        <v>162</v>
      </c>
      <c r="G865" s="36" t="s">
        <v>493</v>
      </c>
      <c r="H865" s="36" t="s">
        <v>494</v>
      </c>
      <c r="I865" s="36" t="s">
        <v>175</v>
      </c>
      <c r="J865" s="36" t="s">
        <v>477</v>
      </c>
      <c r="K865" s="36" t="s">
        <v>177</v>
      </c>
      <c r="L865" s="74">
        <f>VLOOKUP(E865,Diccionario!C$2:AC$150,22,0)</f>
        <v>950366338</v>
      </c>
      <c r="M865" s="75">
        <f>VLOOKUP(E865,Diccionario!C$2:AC$150,24,0)</f>
        <v>46045</v>
      </c>
      <c r="N865" s="76">
        <f>VLOOKUP(E865,Diccionario!C$2:AC$150,25,0)</f>
        <v>46591</v>
      </c>
      <c r="O865" s="77">
        <f>VLOOKUP(E865,Diccionario!C$2:AC$150,26,0)</f>
        <v>18</v>
      </c>
      <c r="P865" s="77">
        <f t="shared" ca="1" si="271"/>
        <v>-13</v>
      </c>
      <c r="Q865" s="78">
        <f t="shared" ca="1" si="278"/>
        <v>5</v>
      </c>
      <c r="R865" s="36">
        <v>18</v>
      </c>
      <c r="S865" s="86">
        <v>0.2</v>
      </c>
      <c r="T865" s="86"/>
      <c r="U865" s="82"/>
      <c r="V865" s="82"/>
      <c r="W865" s="82">
        <f t="shared" si="265"/>
        <v>0</v>
      </c>
      <c r="X865" s="82">
        <f t="shared" si="272"/>
        <v>190073267.60000002</v>
      </c>
      <c r="Y865" s="82">
        <f t="shared" si="266"/>
        <v>0</v>
      </c>
      <c r="Z865" s="82">
        <f t="shared" si="273"/>
        <v>-190073267.60000002</v>
      </c>
      <c r="AA865" s="83" t="str">
        <f t="shared" si="277"/>
        <v>No se realizó gasto en este corte</v>
      </c>
      <c r="AB865" s="84" t="str">
        <f t="shared" si="275"/>
        <v>Costo eficiente: se está gastando menos de lo presupuestado</v>
      </c>
      <c r="AC865" s="84">
        <f t="shared" si="267"/>
        <v>0</v>
      </c>
      <c r="AD865" s="84" t="str">
        <f t="shared" si="276"/>
        <v>Sin Línea Base</v>
      </c>
      <c r="AE865" s="85">
        <f t="shared" si="268"/>
        <v>0</v>
      </c>
      <c r="AF865" s="85">
        <f t="shared" si="269"/>
        <v>-950366338</v>
      </c>
      <c r="AG865" s="40" t="str">
        <f>VLOOKUP(Indicador!E865,Diccionario!C$1:AC$150,27,0)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5" s="40">
        <v>1</v>
      </c>
      <c r="AI865" s="40">
        <v>1</v>
      </c>
    </row>
    <row r="866" spans="1:35" ht="18.75" customHeight="1">
      <c r="A866" s="73">
        <v>2026</v>
      </c>
      <c r="B866" s="112" t="s">
        <v>27</v>
      </c>
      <c r="C866" s="36" t="s">
        <v>492</v>
      </c>
      <c r="D866" s="37">
        <v>46051.084417627317</v>
      </c>
      <c r="E866" s="36" t="s">
        <v>103</v>
      </c>
      <c r="F866" s="36" t="s">
        <v>162</v>
      </c>
      <c r="G866" s="36" t="s">
        <v>493</v>
      </c>
      <c r="H866" s="36" t="s">
        <v>494</v>
      </c>
      <c r="I866" s="36" t="s">
        <v>175</v>
      </c>
      <c r="J866" s="36" t="s">
        <v>477</v>
      </c>
      <c r="K866" s="36" t="s">
        <v>177</v>
      </c>
      <c r="L866" s="74">
        <f>VLOOKUP(E866,Diccionario!C$2:AC$150,22,0)</f>
        <v>950366338</v>
      </c>
      <c r="M866" s="75">
        <f>VLOOKUP(E866,Diccionario!C$2:AC$150,24,0)</f>
        <v>46045</v>
      </c>
      <c r="N866" s="76">
        <f>VLOOKUP(E866,Diccionario!C$2:AC$150,25,0)</f>
        <v>46591</v>
      </c>
      <c r="O866" s="77">
        <f>VLOOKUP(E866,Diccionario!C$2:AC$150,26,0)</f>
        <v>18</v>
      </c>
      <c r="P866" s="77">
        <f t="shared" ca="1" si="271"/>
        <v>-13</v>
      </c>
      <c r="Q866" s="78">
        <f t="shared" ca="1" si="278"/>
        <v>5</v>
      </c>
      <c r="R866" s="36">
        <v>18</v>
      </c>
      <c r="S866" s="86">
        <v>0.25</v>
      </c>
      <c r="T866" s="86"/>
      <c r="U866" s="82"/>
      <c r="V866" s="82"/>
      <c r="W866" s="82">
        <f t="shared" si="265"/>
        <v>0</v>
      </c>
      <c r="X866" s="82">
        <f t="shared" si="272"/>
        <v>237591584.5</v>
      </c>
      <c r="Y866" s="82">
        <f t="shared" si="266"/>
        <v>0</v>
      </c>
      <c r="Z866" s="82">
        <f t="shared" si="273"/>
        <v>-237591584.5</v>
      </c>
      <c r="AA866" s="83" t="str">
        <f t="shared" si="277"/>
        <v>No se realizó gasto en este corte</v>
      </c>
      <c r="AB866" s="84" t="str">
        <f t="shared" si="275"/>
        <v>Costo eficiente: se está gastando menos de lo presupuestado</v>
      </c>
      <c r="AC866" s="84">
        <f t="shared" si="267"/>
        <v>0</v>
      </c>
      <c r="AD866" s="84" t="str">
        <f t="shared" si="276"/>
        <v>Sin Línea Base</v>
      </c>
      <c r="AE866" s="85">
        <f t="shared" si="268"/>
        <v>0</v>
      </c>
      <c r="AF866" s="85">
        <f t="shared" si="269"/>
        <v>-950366338</v>
      </c>
      <c r="AG866" s="40" t="str">
        <f>VLOOKUP(Indicador!E866,Diccionario!C$1:AC$150,27,0)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6" s="40">
        <v>1</v>
      </c>
      <c r="AI866" s="40">
        <v>1</v>
      </c>
    </row>
    <row r="867" spans="1:35" ht="18.75" customHeight="1">
      <c r="A867" s="73">
        <v>2026</v>
      </c>
      <c r="B867" s="112" t="s">
        <v>13</v>
      </c>
      <c r="C867" s="36" t="s">
        <v>492</v>
      </c>
      <c r="D867" s="37">
        <v>46051.084417627317</v>
      </c>
      <c r="E867" s="36" t="s">
        <v>103</v>
      </c>
      <c r="F867" s="36" t="s">
        <v>162</v>
      </c>
      <c r="G867" s="36" t="s">
        <v>493</v>
      </c>
      <c r="H867" s="36" t="s">
        <v>494</v>
      </c>
      <c r="I867" s="36" t="s">
        <v>175</v>
      </c>
      <c r="J867" s="36" t="s">
        <v>477</v>
      </c>
      <c r="K867" s="36" t="s">
        <v>177</v>
      </c>
      <c r="L867" s="74">
        <f>VLOOKUP(E867,Diccionario!C$2:AC$150,22,0)</f>
        <v>950366338</v>
      </c>
      <c r="M867" s="75">
        <f>VLOOKUP(E867,Diccionario!C$2:AC$150,24,0)</f>
        <v>46045</v>
      </c>
      <c r="N867" s="76">
        <f>VLOOKUP(E867,Diccionario!C$2:AC$150,25,0)</f>
        <v>46591</v>
      </c>
      <c r="O867" s="77">
        <f>VLOOKUP(E867,Diccionario!C$2:AC$150,26,0)</f>
        <v>18</v>
      </c>
      <c r="P867" s="77">
        <f t="shared" ca="1" si="271"/>
        <v>-13</v>
      </c>
      <c r="Q867" s="78">
        <f t="shared" ca="1" si="278"/>
        <v>5</v>
      </c>
      <c r="R867" s="36">
        <v>18</v>
      </c>
      <c r="S867" s="86">
        <v>0.3</v>
      </c>
      <c r="T867" s="86"/>
      <c r="U867" s="82"/>
      <c r="V867" s="82"/>
      <c r="W867" s="82">
        <f t="shared" si="265"/>
        <v>0</v>
      </c>
      <c r="X867" s="82">
        <f t="shared" si="272"/>
        <v>285109901.39999998</v>
      </c>
      <c r="Y867" s="82">
        <f t="shared" si="266"/>
        <v>0</v>
      </c>
      <c r="Z867" s="82">
        <f t="shared" si="273"/>
        <v>-285109901.39999998</v>
      </c>
      <c r="AA867" s="83" t="str">
        <f t="shared" si="277"/>
        <v>No se realizó gasto en este corte</v>
      </c>
      <c r="AB867" s="84" t="str">
        <f t="shared" si="275"/>
        <v>Costo eficiente: se está gastando menos de lo presupuestado</v>
      </c>
      <c r="AC867" s="84">
        <f t="shared" si="267"/>
        <v>0</v>
      </c>
      <c r="AD867" s="84" t="str">
        <f t="shared" si="276"/>
        <v>Sin Línea Base</v>
      </c>
      <c r="AE867" s="85">
        <f t="shared" si="268"/>
        <v>0</v>
      </c>
      <c r="AF867" s="85">
        <f t="shared" si="269"/>
        <v>-950366338</v>
      </c>
      <c r="AG867" s="40" t="str">
        <f>VLOOKUP(Indicador!E867,Diccionario!C$1:AC$150,27,0)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7" s="40">
        <v>1</v>
      </c>
      <c r="AI867" s="40">
        <v>1</v>
      </c>
    </row>
    <row r="868" spans="1:35" ht="18.75" customHeight="1">
      <c r="A868" s="73">
        <v>2026</v>
      </c>
      <c r="B868" s="112" t="s">
        <v>21</v>
      </c>
      <c r="C868" s="36" t="s">
        <v>492</v>
      </c>
      <c r="D868" s="37">
        <v>46051.084417627317</v>
      </c>
      <c r="E868" s="36" t="s">
        <v>103</v>
      </c>
      <c r="F868" s="36" t="s">
        <v>162</v>
      </c>
      <c r="G868" s="36" t="s">
        <v>493</v>
      </c>
      <c r="H868" s="36" t="s">
        <v>494</v>
      </c>
      <c r="I868" s="36" t="s">
        <v>175</v>
      </c>
      <c r="J868" s="36" t="s">
        <v>477</v>
      </c>
      <c r="K868" s="36" t="s">
        <v>177</v>
      </c>
      <c r="L868" s="74">
        <f>VLOOKUP(E868,Diccionario!C$2:AC$150,22,0)</f>
        <v>950366338</v>
      </c>
      <c r="M868" s="75">
        <f>VLOOKUP(E868,Diccionario!C$2:AC$150,24,0)</f>
        <v>46045</v>
      </c>
      <c r="N868" s="76">
        <f>VLOOKUP(E868,Diccionario!C$2:AC$150,25,0)</f>
        <v>46591</v>
      </c>
      <c r="O868" s="77">
        <f>VLOOKUP(E868,Diccionario!C$2:AC$150,26,0)</f>
        <v>18</v>
      </c>
      <c r="P868" s="77">
        <f t="shared" ca="1" si="271"/>
        <v>-13</v>
      </c>
      <c r="Q868" s="78">
        <f t="shared" ca="1" si="278"/>
        <v>5</v>
      </c>
      <c r="R868" s="36">
        <v>18</v>
      </c>
      <c r="S868" s="86">
        <v>0.35</v>
      </c>
      <c r="T868" s="86"/>
      <c r="U868" s="82"/>
      <c r="V868" s="82"/>
      <c r="W868" s="82">
        <f t="shared" si="265"/>
        <v>0</v>
      </c>
      <c r="X868" s="82">
        <f t="shared" si="272"/>
        <v>332628218.29999995</v>
      </c>
      <c r="Y868" s="82">
        <f t="shared" si="266"/>
        <v>0</v>
      </c>
      <c r="Z868" s="82">
        <f t="shared" si="273"/>
        <v>-332628218.29999995</v>
      </c>
      <c r="AA868" s="83" t="str">
        <f t="shared" si="277"/>
        <v>No se realizó gasto en este corte</v>
      </c>
      <c r="AB868" s="84" t="str">
        <f t="shared" si="275"/>
        <v>Costo eficiente: se está gastando menos de lo presupuestado</v>
      </c>
      <c r="AC868" s="84">
        <f t="shared" si="267"/>
        <v>0</v>
      </c>
      <c r="AD868" s="84" t="str">
        <f t="shared" si="276"/>
        <v>Sin Línea Base</v>
      </c>
      <c r="AE868" s="85">
        <f t="shared" si="268"/>
        <v>0</v>
      </c>
      <c r="AF868" s="85">
        <f t="shared" si="269"/>
        <v>-950366338</v>
      </c>
      <c r="AG868" s="40" t="str">
        <f>VLOOKUP(Indicador!E868,Diccionario!C$1:AC$150,27,0)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8" s="40">
        <v>1</v>
      </c>
      <c r="AI868" s="40">
        <v>1</v>
      </c>
    </row>
    <row r="869" spans="1:35" ht="18.75" customHeight="1">
      <c r="A869" s="73">
        <v>2026</v>
      </c>
      <c r="B869" s="112" t="s">
        <v>23</v>
      </c>
      <c r="C869" s="36" t="s">
        <v>492</v>
      </c>
      <c r="D869" s="37">
        <v>46051.084417627317</v>
      </c>
      <c r="E869" s="36" t="s">
        <v>103</v>
      </c>
      <c r="F869" s="36" t="s">
        <v>162</v>
      </c>
      <c r="G869" s="36" t="s">
        <v>493</v>
      </c>
      <c r="H869" s="36" t="s">
        <v>494</v>
      </c>
      <c r="I869" s="36" t="s">
        <v>175</v>
      </c>
      <c r="J869" s="36" t="s">
        <v>477</v>
      </c>
      <c r="K869" s="36" t="s">
        <v>177</v>
      </c>
      <c r="L869" s="74">
        <f>VLOOKUP(E869,Diccionario!C$2:AC$150,22,0)</f>
        <v>950366338</v>
      </c>
      <c r="M869" s="75">
        <f>VLOOKUP(E869,Diccionario!C$2:AC$150,24,0)</f>
        <v>46045</v>
      </c>
      <c r="N869" s="76">
        <f>VLOOKUP(E869,Diccionario!C$2:AC$150,25,0)</f>
        <v>46591</v>
      </c>
      <c r="O869" s="77">
        <f>VLOOKUP(E869,Diccionario!C$2:AC$150,26,0)</f>
        <v>18</v>
      </c>
      <c r="P869" s="77">
        <f t="shared" ca="1" si="271"/>
        <v>-13</v>
      </c>
      <c r="Q869" s="78">
        <f t="shared" ca="1" si="278"/>
        <v>5</v>
      </c>
      <c r="R869" s="36">
        <v>18</v>
      </c>
      <c r="S869" s="86">
        <v>0.4</v>
      </c>
      <c r="T869" s="86"/>
      <c r="U869" s="82"/>
      <c r="V869" s="82"/>
      <c r="W869" s="82">
        <f t="shared" si="265"/>
        <v>0</v>
      </c>
      <c r="X869" s="82">
        <f t="shared" si="272"/>
        <v>380146535.20000005</v>
      </c>
      <c r="Y869" s="82">
        <f t="shared" si="266"/>
        <v>0</v>
      </c>
      <c r="Z869" s="82">
        <f t="shared" si="273"/>
        <v>-380146535.20000005</v>
      </c>
      <c r="AA869" s="83" t="str">
        <f t="shared" si="277"/>
        <v>No se realizó gasto en este corte</v>
      </c>
      <c r="AB869" s="84" t="str">
        <f t="shared" si="275"/>
        <v>Costo eficiente: se está gastando menos de lo presupuestado</v>
      </c>
      <c r="AC869" s="84">
        <f t="shared" si="267"/>
        <v>0</v>
      </c>
      <c r="AD869" s="84" t="str">
        <f t="shared" si="276"/>
        <v>Sin Línea Base</v>
      </c>
      <c r="AE869" s="85">
        <f t="shared" si="268"/>
        <v>0</v>
      </c>
      <c r="AF869" s="85">
        <f t="shared" si="269"/>
        <v>-950366338</v>
      </c>
      <c r="AG869" s="40" t="str">
        <f>VLOOKUP(Indicador!E869,Diccionario!C$1:AC$150,27,0)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69" s="40">
        <v>1</v>
      </c>
      <c r="AI869" s="40">
        <v>1</v>
      </c>
    </row>
    <row r="870" spans="1:35" ht="18.75" customHeight="1">
      <c r="A870" s="73">
        <v>2026</v>
      </c>
      <c r="B870" s="112" t="s">
        <v>26</v>
      </c>
      <c r="C870" s="36" t="s">
        <v>492</v>
      </c>
      <c r="D870" s="37">
        <v>46051.084417627317</v>
      </c>
      <c r="E870" s="36" t="s">
        <v>103</v>
      </c>
      <c r="F870" s="36" t="s">
        <v>162</v>
      </c>
      <c r="G870" s="36" t="s">
        <v>493</v>
      </c>
      <c r="H870" s="36" t="s">
        <v>494</v>
      </c>
      <c r="I870" s="36" t="s">
        <v>175</v>
      </c>
      <c r="J870" s="36" t="s">
        <v>477</v>
      </c>
      <c r="K870" s="36" t="s">
        <v>177</v>
      </c>
      <c r="L870" s="74">
        <f>VLOOKUP(E870,Diccionario!C$2:AC$150,22,0)</f>
        <v>950366338</v>
      </c>
      <c r="M870" s="75">
        <f>VLOOKUP(E870,Diccionario!C$2:AC$150,24,0)</f>
        <v>46045</v>
      </c>
      <c r="N870" s="76">
        <f>VLOOKUP(E870,Diccionario!C$2:AC$150,25,0)</f>
        <v>46591</v>
      </c>
      <c r="O870" s="77">
        <f>VLOOKUP(E870,Diccionario!C$2:AC$150,26,0)</f>
        <v>18</v>
      </c>
      <c r="P870" s="77">
        <f t="shared" ca="1" si="271"/>
        <v>-13</v>
      </c>
      <c r="Q870" s="78">
        <f t="shared" ca="1" si="278"/>
        <v>5</v>
      </c>
      <c r="R870" s="36">
        <v>18</v>
      </c>
      <c r="S870" s="86">
        <v>0.45</v>
      </c>
      <c r="T870" s="86"/>
      <c r="U870" s="82"/>
      <c r="V870" s="82"/>
      <c r="W870" s="82">
        <f t="shared" si="265"/>
        <v>0</v>
      </c>
      <c r="X870" s="82">
        <f t="shared" si="272"/>
        <v>427664852.10000002</v>
      </c>
      <c r="Y870" s="82">
        <f t="shared" si="266"/>
        <v>0</v>
      </c>
      <c r="Z870" s="82">
        <f t="shared" si="273"/>
        <v>-427664852.10000002</v>
      </c>
      <c r="AA870" s="83" t="str">
        <f t="shared" si="277"/>
        <v>No se realizó gasto en este corte</v>
      </c>
      <c r="AB870" s="84" t="str">
        <f t="shared" si="275"/>
        <v>Costo eficiente: se está gastando menos de lo presupuestado</v>
      </c>
      <c r="AC870" s="84">
        <f t="shared" si="267"/>
        <v>0</v>
      </c>
      <c r="AD870" s="84" t="str">
        <f t="shared" si="276"/>
        <v>Sin Línea Base</v>
      </c>
      <c r="AE870" s="85">
        <f t="shared" si="268"/>
        <v>0</v>
      </c>
      <c r="AF870" s="85">
        <f t="shared" si="269"/>
        <v>-950366338</v>
      </c>
      <c r="AG870" s="40" t="str">
        <f>VLOOKUP(Indicador!E870,Diccionario!C$1:AC$150,27,0)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0" s="40">
        <v>1</v>
      </c>
      <c r="AI870" s="40">
        <v>1</v>
      </c>
    </row>
    <row r="871" spans="1:35" ht="18.75" customHeight="1">
      <c r="A871" s="73">
        <v>2026</v>
      </c>
      <c r="B871" s="112" t="s">
        <v>28</v>
      </c>
      <c r="C871" s="36" t="s">
        <v>492</v>
      </c>
      <c r="D871" s="37">
        <v>46051.084417627317</v>
      </c>
      <c r="E871" s="36" t="s">
        <v>103</v>
      </c>
      <c r="F871" s="36" t="s">
        <v>162</v>
      </c>
      <c r="G871" s="36" t="s">
        <v>493</v>
      </c>
      <c r="H871" s="36" t="s">
        <v>494</v>
      </c>
      <c r="I871" s="36" t="s">
        <v>175</v>
      </c>
      <c r="J871" s="36" t="s">
        <v>477</v>
      </c>
      <c r="K871" s="36" t="s">
        <v>177</v>
      </c>
      <c r="L871" s="74">
        <f>VLOOKUP(E871,Diccionario!C$2:AC$150,22,0)</f>
        <v>950366338</v>
      </c>
      <c r="M871" s="75">
        <f>VLOOKUP(E871,Diccionario!C$2:AC$150,24,0)</f>
        <v>46045</v>
      </c>
      <c r="N871" s="76">
        <f>VLOOKUP(E871,Diccionario!C$2:AC$150,25,0)</f>
        <v>46591</v>
      </c>
      <c r="O871" s="77">
        <f>VLOOKUP(E871,Diccionario!C$2:AC$150,26,0)</f>
        <v>18</v>
      </c>
      <c r="P871" s="77">
        <f t="shared" ca="1" si="271"/>
        <v>-13</v>
      </c>
      <c r="Q871" s="78">
        <f t="shared" ca="1" si="278"/>
        <v>5</v>
      </c>
      <c r="R871" s="36">
        <v>18</v>
      </c>
      <c r="S871" s="86">
        <v>0.5</v>
      </c>
      <c r="T871" s="86"/>
      <c r="U871" s="82"/>
      <c r="V871" s="82"/>
      <c r="W871" s="82">
        <f t="shared" si="265"/>
        <v>0</v>
      </c>
      <c r="X871" s="82">
        <f t="shared" si="272"/>
        <v>475183169</v>
      </c>
      <c r="Y871" s="82">
        <f t="shared" si="266"/>
        <v>0</v>
      </c>
      <c r="Z871" s="82">
        <f t="shared" si="273"/>
        <v>-475183169</v>
      </c>
      <c r="AA871" s="83" t="str">
        <f t="shared" si="277"/>
        <v>No se realizó gasto en este corte</v>
      </c>
      <c r="AB871" s="84" t="str">
        <f t="shared" si="275"/>
        <v>Costo eficiente: se está gastando menos de lo presupuestado</v>
      </c>
      <c r="AC871" s="84">
        <f t="shared" si="267"/>
        <v>0</v>
      </c>
      <c r="AD871" s="84" t="str">
        <f t="shared" si="276"/>
        <v>Sin Línea Base</v>
      </c>
      <c r="AE871" s="85">
        <f t="shared" si="268"/>
        <v>0</v>
      </c>
      <c r="AF871" s="85">
        <f t="shared" si="269"/>
        <v>-950366338</v>
      </c>
      <c r="AG871" s="40" t="str">
        <f>VLOOKUP(Indicador!E871,Diccionario!C$1:AC$150,27,0)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1" s="40">
        <v>1</v>
      </c>
      <c r="AI871" s="40">
        <v>1</v>
      </c>
    </row>
    <row r="872" spans="1:35" ht="18.75" customHeight="1">
      <c r="A872" s="73">
        <v>2026</v>
      </c>
      <c r="B872" s="112" t="s">
        <v>30</v>
      </c>
      <c r="C872" s="36" t="s">
        <v>492</v>
      </c>
      <c r="D872" s="37">
        <v>46051.084417627317</v>
      </c>
      <c r="E872" s="36" t="s">
        <v>103</v>
      </c>
      <c r="F872" s="36" t="s">
        <v>162</v>
      </c>
      <c r="G872" s="36" t="s">
        <v>493</v>
      </c>
      <c r="H872" s="36" t="s">
        <v>494</v>
      </c>
      <c r="I872" s="36" t="s">
        <v>175</v>
      </c>
      <c r="J872" s="36" t="s">
        <v>477</v>
      </c>
      <c r="K872" s="36" t="s">
        <v>177</v>
      </c>
      <c r="L872" s="74">
        <f>VLOOKUP(E872,Diccionario!C$2:AC$150,22,0)</f>
        <v>950366338</v>
      </c>
      <c r="M872" s="75">
        <f>VLOOKUP(E872,Diccionario!C$2:AC$150,24,0)</f>
        <v>46045</v>
      </c>
      <c r="N872" s="76">
        <f>VLOOKUP(E872,Diccionario!C$2:AC$150,25,0)</f>
        <v>46591</v>
      </c>
      <c r="O872" s="77">
        <f>VLOOKUP(E872,Diccionario!C$2:AC$150,26,0)</f>
        <v>18</v>
      </c>
      <c r="P872" s="77">
        <f t="shared" ca="1" si="271"/>
        <v>-13</v>
      </c>
      <c r="Q872" s="78">
        <f t="shared" ca="1" si="278"/>
        <v>5</v>
      </c>
      <c r="R872" s="36">
        <v>18</v>
      </c>
      <c r="S872" s="86">
        <v>0.55000000000000004</v>
      </c>
      <c r="T872" s="86"/>
      <c r="U872" s="82"/>
      <c r="V872" s="82"/>
      <c r="W872" s="82">
        <f t="shared" si="265"/>
        <v>0</v>
      </c>
      <c r="X872" s="82">
        <f t="shared" si="272"/>
        <v>522701485.90000004</v>
      </c>
      <c r="Y872" s="82">
        <f t="shared" si="266"/>
        <v>0</v>
      </c>
      <c r="Z872" s="82">
        <f t="shared" si="273"/>
        <v>-522701485.90000004</v>
      </c>
      <c r="AA872" s="83" t="str">
        <f t="shared" si="277"/>
        <v>No se realizó gasto en este corte</v>
      </c>
      <c r="AB872" s="84" t="str">
        <f t="shared" si="275"/>
        <v>Costo eficiente: se está gastando menos de lo presupuestado</v>
      </c>
      <c r="AC872" s="84">
        <f t="shared" si="267"/>
        <v>0</v>
      </c>
      <c r="AD872" s="84" t="str">
        <f t="shared" si="276"/>
        <v>Sin Línea Base</v>
      </c>
      <c r="AE872" s="85">
        <f t="shared" si="268"/>
        <v>0</v>
      </c>
      <c r="AF872" s="85">
        <f t="shared" si="269"/>
        <v>-950366338</v>
      </c>
      <c r="AG872" s="40" t="str">
        <f>VLOOKUP(Indicador!E872,Diccionario!C$1:AC$150,27,0)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2" s="40">
        <v>1</v>
      </c>
      <c r="AI872" s="40">
        <v>1</v>
      </c>
    </row>
    <row r="873" spans="1:35" ht="18.75" customHeight="1">
      <c r="A873" s="73">
        <v>2026</v>
      </c>
      <c r="B873" s="112" t="s">
        <v>31</v>
      </c>
      <c r="C873" s="36" t="s">
        <v>492</v>
      </c>
      <c r="D873" s="37">
        <v>46051.084417627317</v>
      </c>
      <c r="E873" s="36" t="s">
        <v>103</v>
      </c>
      <c r="F873" s="36" t="s">
        <v>162</v>
      </c>
      <c r="G873" s="36" t="s">
        <v>493</v>
      </c>
      <c r="H873" s="36" t="s">
        <v>494</v>
      </c>
      <c r="I873" s="36" t="s">
        <v>175</v>
      </c>
      <c r="J873" s="36" t="s">
        <v>477</v>
      </c>
      <c r="K873" s="36" t="s">
        <v>177</v>
      </c>
      <c r="L873" s="74">
        <f>VLOOKUP(E873,Diccionario!C$2:AC$150,22,0)</f>
        <v>950366338</v>
      </c>
      <c r="M873" s="75">
        <f>VLOOKUP(E873,Diccionario!C$2:AC$150,24,0)</f>
        <v>46045</v>
      </c>
      <c r="N873" s="76">
        <f>VLOOKUP(E873,Diccionario!C$2:AC$150,25,0)</f>
        <v>46591</v>
      </c>
      <c r="O873" s="77">
        <f>VLOOKUP(E873,Diccionario!C$2:AC$150,26,0)</f>
        <v>18</v>
      </c>
      <c r="P873" s="77">
        <f t="shared" ca="1" si="271"/>
        <v>-13</v>
      </c>
      <c r="Q873" s="78">
        <f t="shared" ca="1" si="278"/>
        <v>5</v>
      </c>
      <c r="R873" s="36">
        <v>18</v>
      </c>
      <c r="S873" s="86">
        <v>0.6</v>
      </c>
      <c r="T873" s="86"/>
      <c r="U873" s="82"/>
      <c r="V873" s="82"/>
      <c r="W873" s="82">
        <f t="shared" si="265"/>
        <v>0</v>
      </c>
      <c r="X873" s="82">
        <f t="shared" si="272"/>
        <v>570219802.79999995</v>
      </c>
      <c r="Y873" s="82">
        <f t="shared" si="266"/>
        <v>0</v>
      </c>
      <c r="Z873" s="82">
        <f t="shared" si="273"/>
        <v>-570219802.79999995</v>
      </c>
      <c r="AA873" s="83" t="str">
        <f t="shared" si="277"/>
        <v>No se realizó gasto en este corte</v>
      </c>
      <c r="AB873" s="84" t="str">
        <f t="shared" si="275"/>
        <v>Costo eficiente: se está gastando menos de lo presupuestado</v>
      </c>
      <c r="AC873" s="84">
        <f t="shared" si="267"/>
        <v>0</v>
      </c>
      <c r="AD873" s="84" t="str">
        <f t="shared" si="276"/>
        <v>Sin Línea Base</v>
      </c>
      <c r="AE873" s="85">
        <f t="shared" si="268"/>
        <v>0</v>
      </c>
      <c r="AF873" s="85">
        <f t="shared" si="269"/>
        <v>-950366338</v>
      </c>
      <c r="AG873" s="40" t="str">
        <f>VLOOKUP(Indicador!E873,Diccionario!C$1:AC$150,27,0)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3" s="40">
        <v>1</v>
      </c>
      <c r="AI873" s="40">
        <v>1</v>
      </c>
    </row>
    <row r="874" spans="1:35" ht="18.75" customHeight="1">
      <c r="A874" s="73">
        <v>2026</v>
      </c>
      <c r="B874" s="112" t="s">
        <v>32</v>
      </c>
      <c r="C874" s="36" t="s">
        <v>492</v>
      </c>
      <c r="D874" s="37">
        <v>46051.084417627317</v>
      </c>
      <c r="E874" s="36" t="s">
        <v>103</v>
      </c>
      <c r="F874" s="36" t="s">
        <v>162</v>
      </c>
      <c r="G874" s="36" t="s">
        <v>493</v>
      </c>
      <c r="H874" s="36" t="s">
        <v>494</v>
      </c>
      <c r="I874" s="36" t="s">
        <v>175</v>
      </c>
      <c r="J874" s="36" t="s">
        <v>477</v>
      </c>
      <c r="K874" s="36" t="s">
        <v>177</v>
      </c>
      <c r="L874" s="74">
        <f>VLOOKUP(E874,Diccionario!C$2:AC$150,22,0)</f>
        <v>950366338</v>
      </c>
      <c r="M874" s="75">
        <f>VLOOKUP(E874,Diccionario!C$2:AC$150,24,0)</f>
        <v>46045</v>
      </c>
      <c r="N874" s="76">
        <f>VLOOKUP(E874,Diccionario!C$2:AC$150,25,0)</f>
        <v>46591</v>
      </c>
      <c r="O874" s="77">
        <f>VLOOKUP(E874,Diccionario!C$2:AC$150,26,0)</f>
        <v>18</v>
      </c>
      <c r="P874" s="77">
        <f t="shared" ca="1" si="271"/>
        <v>-13</v>
      </c>
      <c r="Q874" s="78">
        <f t="shared" ca="1" si="278"/>
        <v>5</v>
      </c>
      <c r="R874" s="36">
        <v>18</v>
      </c>
      <c r="S874" s="86">
        <v>0.65</v>
      </c>
      <c r="T874" s="86"/>
      <c r="U874" s="82"/>
      <c r="V874" s="82"/>
      <c r="W874" s="82">
        <f t="shared" si="265"/>
        <v>0</v>
      </c>
      <c r="X874" s="82">
        <f t="shared" si="272"/>
        <v>617738119.70000005</v>
      </c>
      <c r="Y874" s="82">
        <f t="shared" si="266"/>
        <v>0</v>
      </c>
      <c r="Z874" s="82">
        <f t="shared" si="273"/>
        <v>-617738119.70000005</v>
      </c>
      <c r="AA874" s="83" t="str">
        <f t="shared" si="277"/>
        <v>No se realizó gasto en este corte</v>
      </c>
      <c r="AB874" s="84" t="str">
        <f t="shared" si="275"/>
        <v>Costo eficiente: se está gastando menos de lo presupuestado</v>
      </c>
      <c r="AC874" s="84">
        <f t="shared" si="267"/>
        <v>0</v>
      </c>
      <c r="AD874" s="84" t="str">
        <f t="shared" si="276"/>
        <v>Sin Línea Base</v>
      </c>
      <c r="AE874" s="85">
        <f t="shared" si="268"/>
        <v>0</v>
      </c>
      <c r="AF874" s="85">
        <f t="shared" si="269"/>
        <v>-950366338</v>
      </c>
      <c r="AG874" s="40" t="str">
        <f>VLOOKUP(Indicador!E874,Diccionario!C$1:AC$150,27,0)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4" s="40">
        <v>1</v>
      </c>
      <c r="AI874" s="40">
        <v>1</v>
      </c>
    </row>
    <row r="875" spans="1:35" ht="18.75" customHeight="1">
      <c r="A875" s="73">
        <v>2027</v>
      </c>
      <c r="B875" s="112" t="s">
        <v>14</v>
      </c>
      <c r="C875" s="36" t="s">
        <v>492</v>
      </c>
      <c r="D875" s="37">
        <v>46051.084417627317</v>
      </c>
      <c r="E875" s="36" t="s">
        <v>103</v>
      </c>
      <c r="F875" s="36" t="s">
        <v>162</v>
      </c>
      <c r="G875" s="36" t="s">
        <v>493</v>
      </c>
      <c r="H875" s="36" t="s">
        <v>494</v>
      </c>
      <c r="I875" s="36" t="s">
        <v>175</v>
      </c>
      <c r="J875" s="36" t="s">
        <v>477</v>
      </c>
      <c r="K875" s="36" t="s">
        <v>177</v>
      </c>
      <c r="L875" s="74">
        <f>VLOOKUP(E875,Diccionario!C$2:AC$150,22,0)</f>
        <v>950366338</v>
      </c>
      <c r="M875" s="75">
        <f>VLOOKUP(E875,Diccionario!C$2:AC$150,24,0)</f>
        <v>46045</v>
      </c>
      <c r="N875" s="76">
        <f>VLOOKUP(E875,Diccionario!C$2:AC$150,25,0)</f>
        <v>46591</v>
      </c>
      <c r="O875" s="77">
        <f>VLOOKUP(E875,Diccionario!C$2:AC$150,26,0)</f>
        <v>18</v>
      </c>
      <c r="P875" s="77">
        <f t="shared" ca="1" si="271"/>
        <v>-13</v>
      </c>
      <c r="Q875" s="78">
        <f t="shared" ca="1" si="278"/>
        <v>5</v>
      </c>
      <c r="R875" s="36">
        <v>18</v>
      </c>
      <c r="S875" s="86">
        <v>0.7</v>
      </c>
      <c r="T875" s="86"/>
      <c r="U875" s="82"/>
      <c r="V875" s="82"/>
      <c r="W875" s="82">
        <f t="shared" si="265"/>
        <v>0</v>
      </c>
      <c r="X875" s="82">
        <f t="shared" si="272"/>
        <v>665256436.5999999</v>
      </c>
      <c r="Y875" s="82">
        <f t="shared" si="266"/>
        <v>0</v>
      </c>
      <c r="Z875" s="82">
        <f t="shared" si="273"/>
        <v>-665256436.5999999</v>
      </c>
      <c r="AA875" s="83" t="str">
        <f t="shared" si="277"/>
        <v>No se realizó gasto en este corte</v>
      </c>
      <c r="AB875" s="84" t="str">
        <f t="shared" si="275"/>
        <v>Costo eficiente: se está gastando menos de lo presupuestado</v>
      </c>
      <c r="AC875" s="84">
        <f t="shared" si="267"/>
        <v>0</v>
      </c>
      <c r="AD875" s="84" t="str">
        <f t="shared" si="276"/>
        <v>Sin Línea Base</v>
      </c>
      <c r="AE875" s="85">
        <f t="shared" si="268"/>
        <v>0</v>
      </c>
      <c r="AF875" s="85">
        <f t="shared" si="269"/>
        <v>-950366338</v>
      </c>
      <c r="AG875" s="40" t="str">
        <f>VLOOKUP(Indicador!E875,Diccionario!C$1:AC$150,27,0)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5" s="40">
        <v>1</v>
      </c>
      <c r="AI875" s="40">
        <v>1</v>
      </c>
    </row>
    <row r="876" spans="1:35" ht="18.75" customHeight="1">
      <c r="A876" s="73">
        <v>2027</v>
      </c>
      <c r="B876" s="112" t="s">
        <v>22</v>
      </c>
      <c r="C876" s="36" t="s">
        <v>492</v>
      </c>
      <c r="D876" s="37">
        <v>46051.084417627317</v>
      </c>
      <c r="E876" s="36" t="s">
        <v>103</v>
      </c>
      <c r="F876" s="36" t="s">
        <v>162</v>
      </c>
      <c r="G876" s="36" t="s">
        <v>493</v>
      </c>
      <c r="H876" s="36" t="s">
        <v>494</v>
      </c>
      <c r="I876" s="36" t="s">
        <v>175</v>
      </c>
      <c r="J876" s="36" t="s">
        <v>477</v>
      </c>
      <c r="K876" s="36" t="s">
        <v>177</v>
      </c>
      <c r="L876" s="74">
        <f>VLOOKUP(E876,Diccionario!C$2:AC$150,22,0)</f>
        <v>950366338</v>
      </c>
      <c r="M876" s="75">
        <f>VLOOKUP(E876,Diccionario!C$2:AC$150,24,0)</f>
        <v>46045</v>
      </c>
      <c r="N876" s="76">
        <f>VLOOKUP(E876,Diccionario!C$2:AC$150,25,0)</f>
        <v>46591</v>
      </c>
      <c r="O876" s="77">
        <f>VLOOKUP(E876,Diccionario!C$2:AC$150,26,0)</f>
        <v>18</v>
      </c>
      <c r="P876" s="77">
        <f t="shared" ref="P876:P915" ca="1" si="279">Q876-O876</f>
        <v>-13</v>
      </c>
      <c r="Q876" s="78">
        <f t="shared" ca="1" si="278"/>
        <v>5</v>
      </c>
      <c r="R876" s="36">
        <v>18</v>
      </c>
      <c r="S876" s="86">
        <v>0.75</v>
      </c>
      <c r="T876" s="86"/>
      <c r="U876" s="82"/>
      <c r="V876" s="82"/>
      <c r="W876" s="82">
        <f t="shared" si="265"/>
        <v>0</v>
      </c>
      <c r="X876" s="82">
        <f t="shared" si="272"/>
        <v>712774753.5</v>
      </c>
      <c r="Y876" s="82">
        <f t="shared" si="266"/>
        <v>0</v>
      </c>
      <c r="Z876" s="82">
        <f t="shared" si="273"/>
        <v>-712774753.5</v>
      </c>
      <c r="AA876" s="83" t="str">
        <f t="shared" si="277"/>
        <v>No se realizó gasto en este corte</v>
      </c>
      <c r="AB876" s="84" t="str">
        <f t="shared" si="275"/>
        <v>Costo eficiente: se está gastando menos de lo presupuestado</v>
      </c>
      <c r="AC876" s="84">
        <f t="shared" si="267"/>
        <v>0</v>
      </c>
      <c r="AD876" s="84" t="str">
        <f t="shared" si="276"/>
        <v>Sin Línea Base</v>
      </c>
      <c r="AE876" s="85">
        <f t="shared" si="268"/>
        <v>0</v>
      </c>
      <c r="AF876" s="85">
        <f t="shared" si="269"/>
        <v>-950366338</v>
      </c>
      <c r="AG876" s="40" t="str">
        <f>VLOOKUP(Indicador!E876,Diccionario!C$1:AC$150,27,0)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6" s="40">
        <v>1</v>
      </c>
      <c r="AI876" s="40">
        <v>1</v>
      </c>
    </row>
    <row r="877" spans="1:35" ht="18.75" customHeight="1">
      <c r="A877" s="73">
        <v>2027</v>
      </c>
      <c r="B877" s="112" t="s">
        <v>24</v>
      </c>
      <c r="C877" s="36" t="s">
        <v>492</v>
      </c>
      <c r="D877" s="37">
        <v>46051.084417627317</v>
      </c>
      <c r="E877" s="36" t="s">
        <v>103</v>
      </c>
      <c r="F877" s="36" t="s">
        <v>162</v>
      </c>
      <c r="G877" s="36" t="s">
        <v>493</v>
      </c>
      <c r="H877" s="36" t="s">
        <v>494</v>
      </c>
      <c r="I877" s="36" t="s">
        <v>175</v>
      </c>
      <c r="J877" s="36" t="s">
        <v>477</v>
      </c>
      <c r="K877" s="36" t="s">
        <v>177</v>
      </c>
      <c r="L877" s="74">
        <f>VLOOKUP(E877,Diccionario!C$2:AC$150,22,0)</f>
        <v>950366338</v>
      </c>
      <c r="M877" s="75">
        <f>VLOOKUP(E877,Diccionario!C$2:AC$150,24,0)</f>
        <v>46045</v>
      </c>
      <c r="N877" s="76">
        <f>VLOOKUP(E877,Diccionario!C$2:AC$150,25,0)</f>
        <v>46591</v>
      </c>
      <c r="O877" s="77">
        <f>VLOOKUP(E877,Diccionario!C$2:AC$150,26,0)</f>
        <v>18</v>
      </c>
      <c r="P877" s="77">
        <f t="shared" ca="1" si="279"/>
        <v>-13</v>
      </c>
      <c r="Q877" s="78">
        <f t="shared" ca="1" si="278"/>
        <v>5</v>
      </c>
      <c r="R877" s="36">
        <v>18</v>
      </c>
      <c r="S877" s="86">
        <v>0.8</v>
      </c>
      <c r="T877" s="86"/>
      <c r="U877" s="82"/>
      <c r="V877" s="82"/>
      <c r="W877" s="82">
        <f t="shared" si="265"/>
        <v>0</v>
      </c>
      <c r="X877" s="82">
        <f t="shared" si="272"/>
        <v>760293070.4000001</v>
      </c>
      <c r="Y877" s="82">
        <f t="shared" si="266"/>
        <v>0</v>
      </c>
      <c r="Z877" s="82">
        <f t="shared" si="273"/>
        <v>-760293070.4000001</v>
      </c>
      <c r="AA877" s="83" t="str">
        <f t="shared" si="277"/>
        <v>No se realizó gasto en este corte</v>
      </c>
      <c r="AB877" s="84" t="str">
        <f t="shared" si="275"/>
        <v>Costo eficiente: se está gastando menos de lo presupuestado</v>
      </c>
      <c r="AC877" s="84">
        <f t="shared" si="267"/>
        <v>0</v>
      </c>
      <c r="AD877" s="84" t="str">
        <f t="shared" si="276"/>
        <v>Sin Línea Base</v>
      </c>
      <c r="AE877" s="85">
        <f t="shared" si="268"/>
        <v>0</v>
      </c>
      <c r="AF877" s="85">
        <f t="shared" si="269"/>
        <v>-950366338</v>
      </c>
      <c r="AG877" s="40" t="str">
        <f>VLOOKUP(Indicador!E877,Diccionario!C$1:AC$150,27,0)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7" s="40">
        <v>1</v>
      </c>
      <c r="AI877" s="40">
        <v>1</v>
      </c>
    </row>
    <row r="878" spans="1:35" ht="18.75" customHeight="1">
      <c r="A878" s="73">
        <v>2027</v>
      </c>
      <c r="B878" s="112" t="s">
        <v>27</v>
      </c>
      <c r="C878" s="36" t="s">
        <v>492</v>
      </c>
      <c r="D878" s="37">
        <v>46051.084417627317</v>
      </c>
      <c r="E878" s="36" t="s">
        <v>103</v>
      </c>
      <c r="F878" s="36" t="s">
        <v>162</v>
      </c>
      <c r="G878" s="36" t="s">
        <v>493</v>
      </c>
      <c r="H878" s="36" t="s">
        <v>494</v>
      </c>
      <c r="I878" s="36" t="s">
        <v>175</v>
      </c>
      <c r="J878" s="36" t="s">
        <v>477</v>
      </c>
      <c r="K878" s="36" t="s">
        <v>177</v>
      </c>
      <c r="L878" s="74">
        <f>VLOOKUP(E878,Diccionario!C$2:AC$150,22,0)</f>
        <v>950366338</v>
      </c>
      <c r="M878" s="75">
        <f>VLOOKUP(E878,Diccionario!C$2:AC$150,24,0)</f>
        <v>46045</v>
      </c>
      <c r="N878" s="76">
        <f>VLOOKUP(E878,Diccionario!C$2:AC$150,25,0)</f>
        <v>46591</v>
      </c>
      <c r="O878" s="77">
        <f>VLOOKUP(E878,Diccionario!C$2:AC$150,26,0)</f>
        <v>18</v>
      </c>
      <c r="P878" s="77">
        <f t="shared" ca="1" si="279"/>
        <v>-13</v>
      </c>
      <c r="Q878" s="78">
        <f t="shared" ca="1" si="278"/>
        <v>5</v>
      </c>
      <c r="R878" s="36">
        <v>18</v>
      </c>
      <c r="S878" s="86">
        <v>0.85</v>
      </c>
      <c r="T878" s="86"/>
      <c r="U878" s="82"/>
      <c r="V878" s="82"/>
      <c r="W878" s="82">
        <f t="shared" si="265"/>
        <v>0</v>
      </c>
      <c r="X878" s="82">
        <f t="shared" si="272"/>
        <v>807811387.29999995</v>
      </c>
      <c r="Y878" s="82">
        <f t="shared" si="266"/>
        <v>0</v>
      </c>
      <c r="Z878" s="82">
        <f t="shared" si="273"/>
        <v>-807811387.29999995</v>
      </c>
      <c r="AA878" s="83" t="str">
        <f t="shared" si="277"/>
        <v>No se realizó gasto en este corte</v>
      </c>
      <c r="AB878" s="84" t="str">
        <f t="shared" si="275"/>
        <v>Costo eficiente: se está gastando menos de lo presupuestado</v>
      </c>
      <c r="AC878" s="84">
        <f t="shared" si="267"/>
        <v>0</v>
      </c>
      <c r="AD878" s="84" t="str">
        <f t="shared" si="276"/>
        <v>Sin Línea Base</v>
      </c>
      <c r="AE878" s="85">
        <f t="shared" si="268"/>
        <v>0</v>
      </c>
      <c r="AF878" s="85">
        <f t="shared" si="269"/>
        <v>-950366338</v>
      </c>
      <c r="AG878" s="40" t="str">
        <f>VLOOKUP(Indicador!E878,Diccionario!C$1:AC$150,27,0)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8" s="40">
        <v>1</v>
      </c>
      <c r="AI878" s="40">
        <v>1</v>
      </c>
    </row>
    <row r="879" spans="1:35" ht="18.75" customHeight="1">
      <c r="A879" s="73">
        <v>2027</v>
      </c>
      <c r="B879" s="112" t="s">
        <v>13</v>
      </c>
      <c r="C879" s="36" t="s">
        <v>492</v>
      </c>
      <c r="D879" s="37">
        <v>46051.084417627317</v>
      </c>
      <c r="E879" s="36" t="s">
        <v>103</v>
      </c>
      <c r="F879" s="36" t="s">
        <v>162</v>
      </c>
      <c r="G879" s="36" t="s">
        <v>493</v>
      </c>
      <c r="H879" s="36" t="s">
        <v>494</v>
      </c>
      <c r="I879" s="36" t="s">
        <v>175</v>
      </c>
      <c r="J879" s="36" t="s">
        <v>477</v>
      </c>
      <c r="K879" s="36" t="s">
        <v>177</v>
      </c>
      <c r="L879" s="74">
        <f>VLOOKUP(E879,Diccionario!C$2:AC$150,22,0)</f>
        <v>950366338</v>
      </c>
      <c r="M879" s="75">
        <f>VLOOKUP(E879,Diccionario!C$2:AC$150,24,0)</f>
        <v>46045</v>
      </c>
      <c r="N879" s="76">
        <f>VLOOKUP(E879,Diccionario!C$2:AC$150,25,0)</f>
        <v>46591</v>
      </c>
      <c r="O879" s="77">
        <f>VLOOKUP(E879,Diccionario!C$2:AC$150,26,0)</f>
        <v>18</v>
      </c>
      <c r="P879" s="77">
        <f t="shared" ca="1" si="279"/>
        <v>-13</v>
      </c>
      <c r="Q879" s="78">
        <f t="shared" ca="1" si="278"/>
        <v>5</v>
      </c>
      <c r="R879" s="36">
        <v>18</v>
      </c>
      <c r="S879" s="86">
        <v>0.9</v>
      </c>
      <c r="T879" s="86"/>
      <c r="U879" s="82"/>
      <c r="V879" s="82"/>
      <c r="W879" s="82">
        <f t="shared" si="265"/>
        <v>0</v>
      </c>
      <c r="X879" s="82">
        <f t="shared" si="272"/>
        <v>855329704.20000005</v>
      </c>
      <c r="Y879" s="82">
        <f t="shared" si="266"/>
        <v>0</v>
      </c>
      <c r="Z879" s="82">
        <f t="shared" si="273"/>
        <v>-855329704.20000005</v>
      </c>
      <c r="AA879" s="83" t="str">
        <f t="shared" si="277"/>
        <v>No se realizó gasto en este corte</v>
      </c>
      <c r="AB879" s="84" t="str">
        <f t="shared" si="275"/>
        <v>Costo eficiente: se está gastando menos de lo presupuestado</v>
      </c>
      <c r="AC879" s="84">
        <f t="shared" si="267"/>
        <v>0</v>
      </c>
      <c r="AD879" s="84" t="str">
        <f t="shared" si="276"/>
        <v>Sin Línea Base</v>
      </c>
      <c r="AE879" s="85">
        <f t="shared" si="268"/>
        <v>0</v>
      </c>
      <c r="AF879" s="85">
        <f t="shared" si="269"/>
        <v>-950366338</v>
      </c>
      <c r="AG879" s="40" t="str">
        <f>VLOOKUP(Indicador!E879,Diccionario!C$1:AC$150,27,0)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79" s="40">
        <v>1</v>
      </c>
      <c r="AI879" s="40">
        <v>1</v>
      </c>
    </row>
    <row r="880" spans="1:35" ht="18.75" customHeight="1">
      <c r="A880" s="73">
        <v>2027</v>
      </c>
      <c r="B880" s="112" t="s">
        <v>21</v>
      </c>
      <c r="C880" s="36" t="s">
        <v>492</v>
      </c>
      <c r="D880" s="37">
        <v>46051.084417627317</v>
      </c>
      <c r="E880" s="36" t="s">
        <v>103</v>
      </c>
      <c r="F880" s="36" t="s">
        <v>162</v>
      </c>
      <c r="G880" s="36" t="s">
        <v>493</v>
      </c>
      <c r="H880" s="36" t="s">
        <v>494</v>
      </c>
      <c r="I880" s="36" t="s">
        <v>175</v>
      </c>
      <c r="J880" s="36" t="s">
        <v>477</v>
      </c>
      <c r="K880" s="36" t="s">
        <v>177</v>
      </c>
      <c r="L880" s="74">
        <f>VLOOKUP(E880,Diccionario!C$2:AC$150,22,0)</f>
        <v>950366338</v>
      </c>
      <c r="M880" s="75">
        <f>VLOOKUP(E880,Diccionario!C$2:AC$150,24,0)</f>
        <v>46045</v>
      </c>
      <c r="N880" s="76">
        <f>VLOOKUP(E880,Diccionario!C$2:AC$150,25,0)</f>
        <v>46591</v>
      </c>
      <c r="O880" s="77">
        <f>VLOOKUP(E880,Diccionario!C$2:AC$150,26,0)</f>
        <v>18</v>
      </c>
      <c r="P880" s="77">
        <f t="shared" ca="1" si="279"/>
        <v>-13</v>
      </c>
      <c r="Q880" s="78">
        <f t="shared" ca="1" si="278"/>
        <v>5</v>
      </c>
      <c r="R880" s="36">
        <v>18</v>
      </c>
      <c r="S880" s="86">
        <v>0.95</v>
      </c>
      <c r="T880" s="86"/>
      <c r="U880" s="82"/>
      <c r="V880" s="82"/>
      <c r="W880" s="82">
        <f t="shared" si="265"/>
        <v>0</v>
      </c>
      <c r="X880" s="82">
        <f t="shared" si="272"/>
        <v>902848021.0999999</v>
      </c>
      <c r="Y880" s="82">
        <f t="shared" si="266"/>
        <v>0</v>
      </c>
      <c r="Z880" s="82">
        <f t="shared" si="273"/>
        <v>-902848021.0999999</v>
      </c>
      <c r="AA880" s="83" t="str">
        <f t="shared" si="277"/>
        <v>No se realizó gasto en este corte</v>
      </c>
      <c r="AB880" s="84" t="str">
        <f t="shared" si="275"/>
        <v>Costo eficiente: se está gastando menos de lo presupuestado</v>
      </c>
      <c r="AC880" s="84">
        <f t="shared" si="267"/>
        <v>0</v>
      </c>
      <c r="AD880" s="84" t="str">
        <f t="shared" si="276"/>
        <v>Sin Línea Base</v>
      </c>
      <c r="AE880" s="85">
        <f t="shared" si="268"/>
        <v>0</v>
      </c>
      <c r="AF880" s="85">
        <f t="shared" si="269"/>
        <v>-950366338</v>
      </c>
      <c r="AG880" s="40" t="str">
        <f>VLOOKUP(Indicador!E880,Diccionario!C$1:AC$150,27,0)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80" s="40">
        <v>1</v>
      </c>
      <c r="AI880" s="40">
        <v>1</v>
      </c>
    </row>
    <row r="881" spans="1:35" ht="18.75" customHeight="1">
      <c r="A881" s="73">
        <v>2027</v>
      </c>
      <c r="B881" s="112" t="s">
        <v>23</v>
      </c>
      <c r="C881" s="36" t="s">
        <v>492</v>
      </c>
      <c r="D881" s="37">
        <v>46051.084417627317</v>
      </c>
      <c r="E881" s="36" t="s">
        <v>103</v>
      </c>
      <c r="F881" s="36" t="s">
        <v>162</v>
      </c>
      <c r="G881" s="36" t="s">
        <v>493</v>
      </c>
      <c r="H881" s="36" t="s">
        <v>494</v>
      </c>
      <c r="I881" s="36" t="s">
        <v>175</v>
      </c>
      <c r="J881" s="36" t="s">
        <v>477</v>
      </c>
      <c r="K881" s="36" t="s">
        <v>177</v>
      </c>
      <c r="L881" s="74">
        <f>VLOOKUP(E881,Diccionario!C$2:AC$150,22,0)</f>
        <v>950366338</v>
      </c>
      <c r="M881" s="75">
        <f>VLOOKUP(E881,Diccionario!C$2:AC$150,24,0)</f>
        <v>46045</v>
      </c>
      <c r="N881" s="76">
        <f>VLOOKUP(E881,Diccionario!C$2:AC$150,25,0)</f>
        <v>46591</v>
      </c>
      <c r="O881" s="77">
        <f>VLOOKUP(E881,Diccionario!C$2:AC$150,26,0)</f>
        <v>18</v>
      </c>
      <c r="P881" s="77">
        <f t="shared" ca="1" si="279"/>
        <v>-13</v>
      </c>
      <c r="Q881" s="78">
        <f t="shared" ref="Q881:Q915" ca="1" si="280">DATEDIF(M881,TODAY(),"m")</f>
        <v>5</v>
      </c>
      <c r="R881" s="36">
        <v>18</v>
      </c>
      <c r="S881" s="86">
        <v>1</v>
      </c>
      <c r="T881" s="86"/>
      <c r="U881" s="82"/>
      <c r="V881" s="82"/>
      <c r="W881" s="82">
        <f t="shared" si="265"/>
        <v>0</v>
      </c>
      <c r="X881" s="82">
        <f t="shared" ref="X881:X915" si="281">S881*L881</f>
        <v>950366338</v>
      </c>
      <c r="Y881" s="82">
        <f t="shared" si="266"/>
        <v>0</v>
      </c>
      <c r="Z881" s="82">
        <f t="shared" ref="Z881:Z915" si="282">W881-X881</f>
        <v>-950366338</v>
      </c>
      <c r="AA881" s="83" t="str">
        <f t="shared" si="277"/>
        <v>No se realizó gasto en este corte</v>
      </c>
      <c r="AB881" s="84" t="str">
        <f t="shared" ref="AB881:AB915" si="283">IFERROR(
  IF(OR(AA881="",AA881=0),
    "No calculado",
    IF(AA881&gt;1,"Costo eficiente: se está gastando menos de lo presupuestado",
      IF(AA881=1,"Costo según lo presupuestado",
        "Costo ineficiente: se está gastando más de lo presupuestado"))),
"No calculado")</f>
        <v>Costo eficiente: se está gastando menos de lo presupuestado</v>
      </c>
      <c r="AC881" s="84">
        <f t="shared" si="267"/>
        <v>0</v>
      </c>
      <c r="AD881" s="84" t="str">
        <f t="shared" ref="AD881:AD915" si="284">IF(OR(AC881="",AC881=0),"Sin Línea Base",
IF(AC881&gt;1,"Proyecto adelantado respecto al cronograma",
IF(AC881=1,"Proyecto a tiempo según lo planificado",
IF(AC881&lt;1,"Proyecto atrasado con respecto al cronograma",
"No calculado"))))</f>
        <v>Sin Línea Base</v>
      </c>
      <c r="AE881" s="85">
        <f t="shared" si="268"/>
        <v>0</v>
      </c>
      <c r="AF881" s="85">
        <f t="shared" si="269"/>
        <v>-950366338</v>
      </c>
      <c r="AG881" s="40" t="str">
        <f>VLOOKUP(Indicador!E881,Diccionario!C$1:AC$150,27,0)</f>
        <v>https://growdatasas.sharepoint.com/:x:/r/sites/Gestiondocumental/Administrativa/GD/Financiera/_layouts/15/Doc.aspx?sourcedoc=%7B16E4E98F-3E73-4CD2-9FF8-7A90CA7DF968%7D&amp;file=MODELO%20FINANCIERO%20PUERTO%20DE%20SANTA%20MARTA%2018%20meses%2019.01.26%20V10.xlsm&amp;action=default&amp;mobileredirect=true</v>
      </c>
      <c r="AH881" s="40">
        <v>1</v>
      </c>
      <c r="AI881" s="40">
        <v>1</v>
      </c>
    </row>
    <row r="882" spans="1:35" ht="18.75" customHeight="1">
      <c r="A882" s="73">
        <v>2026</v>
      </c>
      <c r="B882" s="112" t="s">
        <v>22</v>
      </c>
      <c r="C882" s="36" t="s">
        <v>495</v>
      </c>
      <c r="D882" s="37">
        <v>46051.102793749997</v>
      </c>
      <c r="E882" s="36" t="s">
        <v>106</v>
      </c>
      <c r="F882" s="36" t="s">
        <v>276</v>
      </c>
      <c r="G882" s="36" t="s">
        <v>496</v>
      </c>
      <c r="H882" s="36" t="s">
        <v>497</v>
      </c>
      <c r="I882" s="36" t="s">
        <v>175</v>
      </c>
      <c r="J882" s="36" t="s">
        <v>498</v>
      </c>
      <c r="K882" s="36" t="s">
        <v>339</v>
      </c>
      <c r="L882" s="74">
        <f>VLOOKUP(E882,Diccionario!C$2:AC$150,22,0)</f>
        <v>820808275</v>
      </c>
      <c r="M882" s="75">
        <f>VLOOKUP(E882,Diccionario!C$2:AC$150,24,0)</f>
        <v>46054</v>
      </c>
      <c r="N882" s="76">
        <f>VLOOKUP(E882,Diccionario!C$2:AC$150,25,0)</f>
        <v>46843</v>
      </c>
      <c r="O882" s="77">
        <f>VLOOKUP(E882,Diccionario!C$2:AC$150,26,0)</f>
        <v>26</v>
      </c>
      <c r="P882" s="77">
        <f t="shared" si="279"/>
        <v>-25</v>
      </c>
      <c r="Q882" s="78">
        <v>1</v>
      </c>
      <c r="R882" s="36">
        <v>26</v>
      </c>
      <c r="S882" s="86">
        <v>0.05</v>
      </c>
      <c r="T882" s="86">
        <v>0.05</v>
      </c>
      <c r="U882" s="82">
        <v>766255093</v>
      </c>
      <c r="V882" s="82">
        <v>766255093</v>
      </c>
      <c r="W882" s="82">
        <f t="shared" si="265"/>
        <v>41040413.75</v>
      </c>
      <c r="X882" s="82">
        <f t="shared" si="281"/>
        <v>41040413.75</v>
      </c>
      <c r="Y882" s="82">
        <f t="shared" si="266"/>
        <v>-725214679.25</v>
      </c>
      <c r="Z882" s="82">
        <f t="shared" si="282"/>
        <v>0</v>
      </c>
      <c r="AA882" s="83">
        <f t="shared" si="277"/>
        <v>5.355972720431889E-2</v>
      </c>
      <c r="AB882" s="84" t="str">
        <f t="shared" si="283"/>
        <v>Costo ineficiente: se está gastando más de lo presupuestado</v>
      </c>
      <c r="AC882" s="84">
        <f t="shared" si="267"/>
        <v>1</v>
      </c>
      <c r="AD882" s="84" t="str">
        <f t="shared" si="284"/>
        <v>Proyecto a tiempo según lo planificado</v>
      </c>
      <c r="AE882" s="85">
        <f t="shared" si="268"/>
        <v>15325101860</v>
      </c>
      <c r="AF882" s="85">
        <f t="shared" si="269"/>
        <v>14504293585</v>
      </c>
      <c r="AG882" s="40" t="str">
        <f>VLOOKUP(Indicador!E882,Diccionario!C$1:AC$150,27,0)</f>
        <v>https://growdatasas.sharepoint.com/:x:/r/sites/Gestiondocumental/Administrativa/GD/Financiera/_layouts/15/Doc.aspx?sourcedoc=%7B69FFBD03-5B13-48F9-8F84-54729A673BE7%7D&amp;file=MODELO%20FINANCIERO%20PREVISORA.xlsm&amp;action=default&amp;mobileredirect=true</v>
      </c>
      <c r="AH882" s="40">
        <v>1</v>
      </c>
      <c r="AI882" s="40">
        <v>1</v>
      </c>
    </row>
    <row r="883" spans="1:35" ht="18.75" customHeight="1">
      <c r="A883" s="73">
        <v>2026</v>
      </c>
      <c r="B883" s="112" t="s">
        <v>24</v>
      </c>
      <c r="C883" s="36" t="s">
        <v>495</v>
      </c>
      <c r="D883" s="37">
        <v>46051.102793749997</v>
      </c>
      <c r="E883" s="36" t="s">
        <v>106</v>
      </c>
      <c r="F883" s="36" t="s">
        <v>276</v>
      </c>
      <c r="G883" s="36" t="s">
        <v>496</v>
      </c>
      <c r="H883" s="36" t="s">
        <v>497</v>
      </c>
      <c r="I883" s="36" t="s">
        <v>175</v>
      </c>
      <c r="J883" s="36" t="s">
        <v>498</v>
      </c>
      <c r="K883" s="36" t="s">
        <v>339</v>
      </c>
      <c r="L883" s="74">
        <f>VLOOKUP(E883,Diccionario!C$2:AC$150,22,0)</f>
        <v>820808275</v>
      </c>
      <c r="M883" s="75">
        <f>VLOOKUP(E883,Diccionario!C$2:AC$150,24,0)</f>
        <v>46054</v>
      </c>
      <c r="N883" s="76">
        <f>VLOOKUP(E883,Diccionario!C$2:AC$150,25,0)</f>
        <v>46843</v>
      </c>
      <c r="O883" s="77">
        <f>VLOOKUP(E883,Diccionario!C$2:AC$150,26,0)</f>
        <v>26</v>
      </c>
      <c r="P883" s="77">
        <f t="shared" si="279"/>
        <v>-24</v>
      </c>
      <c r="Q883" s="78">
        <v>2</v>
      </c>
      <c r="R883" s="36">
        <v>26</v>
      </c>
      <c r="S883" s="86">
        <v>7.0000000000000007E-2</v>
      </c>
      <c r="T883" s="86"/>
      <c r="U883" s="82"/>
      <c r="V883" s="82"/>
      <c r="W883" s="82">
        <f t="shared" si="265"/>
        <v>0</v>
      </c>
      <c r="X883" s="82">
        <f t="shared" si="281"/>
        <v>57456579.250000007</v>
      </c>
      <c r="Y883" s="82">
        <f t="shared" si="266"/>
        <v>0</v>
      </c>
      <c r="Z883" s="82">
        <f t="shared" si="282"/>
        <v>-57456579.250000007</v>
      </c>
      <c r="AA883" s="83" t="str">
        <f t="shared" si="277"/>
        <v>No se realizó gasto en este corte</v>
      </c>
      <c r="AB883" s="84" t="str">
        <f t="shared" si="283"/>
        <v>Costo eficiente: se está gastando menos de lo presupuestado</v>
      </c>
      <c r="AC883" s="84">
        <f t="shared" si="267"/>
        <v>0</v>
      </c>
      <c r="AD883" s="84" t="str">
        <f t="shared" si="284"/>
        <v>Sin Línea Base</v>
      </c>
      <c r="AE883" s="85">
        <f t="shared" si="268"/>
        <v>0</v>
      </c>
      <c r="AF883" s="85">
        <f t="shared" si="269"/>
        <v>-820808275</v>
      </c>
      <c r="AG883" s="40" t="str">
        <f>VLOOKUP(Indicador!E883,Diccionario!C$1:AC$150,27,0)</f>
        <v>https://growdatasas.sharepoint.com/:x:/r/sites/Gestiondocumental/Administrativa/GD/Financiera/_layouts/15/Doc.aspx?sourcedoc=%7B69FFBD03-5B13-48F9-8F84-54729A673BE7%7D&amp;file=MODELO%20FINANCIERO%20PREVISORA.xlsm&amp;action=default&amp;mobileredirect=true</v>
      </c>
      <c r="AH883" s="40">
        <v>1</v>
      </c>
      <c r="AI883" s="40">
        <v>1</v>
      </c>
    </row>
    <row r="884" spans="1:35" ht="18.75" customHeight="1">
      <c r="A884" s="73">
        <v>2026</v>
      </c>
      <c r="B884" s="112" t="s">
        <v>27</v>
      </c>
      <c r="C884" s="36" t="s">
        <v>495</v>
      </c>
      <c r="D884" s="37">
        <v>46051.102793749997</v>
      </c>
      <c r="E884" s="36" t="s">
        <v>106</v>
      </c>
      <c r="F884" s="36" t="s">
        <v>276</v>
      </c>
      <c r="G884" s="36" t="s">
        <v>496</v>
      </c>
      <c r="H884" s="36" t="s">
        <v>497</v>
      </c>
      <c r="I884" s="36" t="s">
        <v>175</v>
      </c>
      <c r="J884" s="36" t="s">
        <v>498</v>
      </c>
      <c r="K884" s="36" t="s">
        <v>339</v>
      </c>
      <c r="L884" s="74">
        <f>VLOOKUP(E884,Diccionario!C$2:AC$150,22,0)</f>
        <v>820808275</v>
      </c>
      <c r="M884" s="75">
        <f>VLOOKUP(E884,Diccionario!C$2:AC$150,24,0)</f>
        <v>46054</v>
      </c>
      <c r="N884" s="76">
        <f>VLOOKUP(E884,Diccionario!C$2:AC$150,25,0)</f>
        <v>46843</v>
      </c>
      <c r="O884" s="77">
        <f>VLOOKUP(E884,Diccionario!C$2:AC$150,26,0)</f>
        <v>26</v>
      </c>
      <c r="P884" s="77">
        <f t="shared" si="279"/>
        <v>-23</v>
      </c>
      <c r="Q884" s="78">
        <v>3</v>
      </c>
      <c r="R884" s="36">
        <v>26</v>
      </c>
      <c r="S884" s="86">
        <v>0.1</v>
      </c>
      <c r="T884" s="86"/>
      <c r="U884" s="82"/>
      <c r="V884" s="82"/>
      <c r="W884" s="82">
        <f t="shared" si="265"/>
        <v>0</v>
      </c>
      <c r="X884" s="82">
        <f t="shared" si="281"/>
        <v>82080827.5</v>
      </c>
      <c r="Y884" s="82">
        <f t="shared" si="266"/>
        <v>0</v>
      </c>
      <c r="Z884" s="82">
        <f t="shared" si="282"/>
        <v>-82080827.5</v>
      </c>
      <c r="AA884" s="83" t="str">
        <f t="shared" si="277"/>
        <v>No se realizó gasto en este corte</v>
      </c>
      <c r="AB884" s="84" t="str">
        <f t="shared" si="283"/>
        <v>Costo eficiente: se está gastando menos de lo presupuestado</v>
      </c>
      <c r="AC884" s="84">
        <f t="shared" si="267"/>
        <v>0</v>
      </c>
      <c r="AD884" s="84" t="str">
        <f t="shared" si="284"/>
        <v>Sin Línea Base</v>
      </c>
      <c r="AE884" s="85">
        <f t="shared" si="268"/>
        <v>0</v>
      </c>
      <c r="AF884" s="85">
        <f t="shared" si="269"/>
        <v>-820808275</v>
      </c>
      <c r="AG884" s="40" t="str">
        <f>VLOOKUP(Indicador!E884,Diccionario!C$1:AC$150,27,0)</f>
        <v>https://growdatasas.sharepoint.com/:x:/r/sites/Gestiondocumental/Administrativa/GD/Financiera/_layouts/15/Doc.aspx?sourcedoc=%7B69FFBD03-5B13-48F9-8F84-54729A673BE7%7D&amp;file=MODELO%20FINANCIERO%20PREVISORA.xlsm&amp;action=default&amp;mobileredirect=true</v>
      </c>
      <c r="AH884" s="40">
        <v>1</v>
      </c>
      <c r="AI884" s="40">
        <v>1</v>
      </c>
    </row>
    <row r="885" spans="1:35" ht="18.75" customHeight="1">
      <c r="A885" s="73">
        <v>2026</v>
      </c>
      <c r="B885" s="112" t="s">
        <v>13</v>
      </c>
      <c r="C885" s="36" t="s">
        <v>495</v>
      </c>
      <c r="D885" s="37">
        <v>46051.102793749997</v>
      </c>
      <c r="E885" s="36" t="s">
        <v>106</v>
      </c>
      <c r="F885" s="36" t="s">
        <v>276</v>
      </c>
      <c r="G885" s="36" t="s">
        <v>496</v>
      </c>
      <c r="H885" s="36" t="s">
        <v>497</v>
      </c>
      <c r="I885" s="36" t="s">
        <v>175</v>
      </c>
      <c r="J885" s="36" t="s">
        <v>498</v>
      </c>
      <c r="K885" s="36" t="s">
        <v>339</v>
      </c>
      <c r="L885" s="74">
        <f>VLOOKUP(E885,Diccionario!C$2:AC$150,22,0)</f>
        <v>820808275</v>
      </c>
      <c r="M885" s="75">
        <f>VLOOKUP(E885,Diccionario!C$2:AC$150,24,0)</f>
        <v>46054</v>
      </c>
      <c r="N885" s="76">
        <f>VLOOKUP(E885,Diccionario!C$2:AC$150,25,0)</f>
        <v>46843</v>
      </c>
      <c r="O885" s="77">
        <f>VLOOKUP(E885,Diccionario!C$2:AC$150,26,0)</f>
        <v>26</v>
      </c>
      <c r="P885" s="77">
        <f t="shared" si="279"/>
        <v>-22</v>
      </c>
      <c r="Q885" s="78">
        <v>4</v>
      </c>
      <c r="R885" s="36">
        <v>26</v>
      </c>
      <c r="S885" s="86">
        <v>0.12</v>
      </c>
      <c r="T885" s="86"/>
      <c r="U885" s="82"/>
      <c r="V885" s="82"/>
      <c r="W885" s="82">
        <f t="shared" si="265"/>
        <v>0</v>
      </c>
      <c r="X885" s="82">
        <f t="shared" si="281"/>
        <v>98496993</v>
      </c>
      <c r="Y885" s="82">
        <f t="shared" si="266"/>
        <v>0</v>
      </c>
      <c r="Z885" s="82">
        <f t="shared" si="282"/>
        <v>-98496993</v>
      </c>
      <c r="AA885" s="83" t="str">
        <f t="shared" si="277"/>
        <v>No se realizó gasto en este corte</v>
      </c>
      <c r="AB885" s="84" t="str">
        <f t="shared" si="283"/>
        <v>Costo eficiente: se está gastando menos de lo presupuestado</v>
      </c>
      <c r="AC885" s="84">
        <f t="shared" si="267"/>
        <v>0</v>
      </c>
      <c r="AD885" s="84" t="str">
        <f t="shared" si="284"/>
        <v>Sin Línea Base</v>
      </c>
      <c r="AE885" s="85">
        <f t="shared" si="268"/>
        <v>0</v>
      </c>
      <c r="AF885" s="85">
        <f t="shared" si="269"/>
        <v>-820808275</v>
      </c>
      <c r="AG885" s="40" t="str">
        <f>VLOOKUP(Indicador!E885,Diccionario!C$1:AC$150,27,0)</f>
        <v>https://growdatasas.sharepoint.com/:x:/r/sites/Gestiondocumental/Administrativa/GD/Financiera/_layouts/15/Doc.aspx?sourcedoc=%7B69FFBD03-5B13-48F9-8F84-54729A673BE7%7D&amp;file=MODELO%20FINANCIERO%20PREVISORA.xlsm&amp;action=default&amp;mobileredirect=true</v>
      </c>
      <c r="AH885" s="40">
        <v>1</v>
      </c>
      <c r="AI885" s="40">
        <v>1</v>
      </c>
    </row>
    <row r="886" spans="1:35" ht="18.75" customHeight="1">
      <c r="A886" s="73">
        <v>2026</v>
      </c>
      <c r="B886" s="112" t="s">
        <v>21</v>
      </c>
      <c r="C886" s="36" t="s">
        <v>495</v>
      </c>
      <c r="D886" s="37">
        <v>46051.102793749997</v>
      </c>
      <c r="E886" s="36" t="s">
        <v>106</v>
      </c>
      <c r="F886" s="36" t="s">
        <v>276</v>
      </c>
      <c r="G886" s="36" t="s">
        <v>496</v>
      </c>
      <c r="H886" s="36" t="s">
        <v>497</v>
      </c>
      <c r="I886" s="36" t="s">
        <v>175</v>
      </c>
      <c r="J886" s="36" t="s">
        <v>498</v>
      </c>
      <c r="K886" s="36" t="s">
        <v>339</v>
      </c>
      <c r="L886" s="74">
        <f>VLOOKUP(E886,Diccionario!C$2:AC$150,22,0)</f>
        <v>820808275</v>
      </c>
      <c r="M886" s="75">
        <f>VLOOKUP(E886,Diccionario!C$2:AC$150,24,0)</f>
        <v>46054</v>
      </c>
      <c r="N886" s="76">
        <f>VLOOKUP(E886,Diccionario!C$2:AC$150,25,0)</f>
        <v>46843</v>
      </c>
      <c r="O886" s="77">
        <f>VLOOKUP(E886,Diccionario!C$2:AC$150,26,0)</f>
        <v>26</v>
      </c>
      <c r="P886" s="77">
        <f t="shared" si="279"/>
        <v>-21</v>
      </c>
      <c r="Q886" s="78">
        <v>5</v>
      </c>
      <c r="R886" s="36">
        <v>26</v>
      </c>
      <c r="S886" s="86">
        <v>0.15</v>
      </c>
      <c r="T886" s="86"/>
      <c r="U886" s="82"/>
      <c r="V886" s="82"/>
      <c r="W886" s="82">
        <f t="shared" si="265"/>
        <v>0</v>
      </c>
      <c r="X886" s="82">
        <f t="shared" si="281"/>
        <v>123121241.25</v>
      </c>
      <c r="Y886" s="82">
        <f t="shared" si="266"/>
        <v>0</v>
      </c>
      <c r="Z886" s="82">
        <f t="shared" si="282"/>
        <v>-123121241.25</v>
      </c>
      <c r="AA886" s="83" t="str">
        <f t="shared" si="277"/>
        <v>No se realizó gasto en este corte</v>
      </c>
      <c r="AB886" s="84" t="str">
        <f t="shared" si="283"/>
        <v>Costo eficiente: se está gastando menos de lo presupuestado</v>
      </c>
      <c r="AC886" s="84">
        <f t="shared" si="267"/>
        <v>0</v>
      </c>
      <c r="AD886" s="84" t="str">
        <f t="shared" si="284"/>
        <v>Sin Línea Base</v>
      </c>
      <c r="AE886" s="85">
        <f t="shared" si="268"/>
        <v>0</v>
      </c>
      <c r="AF886" s="85">
        <f t="shared" si="269"/>
        <v>-820808275</v>
      </c>
      <c r="AG886" s="40" t="str">
        <f>VLOOKUP(Indicador!E886,Diccionario!C$1:AC$150,27,0)</f>
        <v>https://growdatasas.sharepoint.com/:x:/r/sites/Gestiondocumental/Administrativa/GD/Financiera/_layouts/15/Doc.aspx?sourcedoc=%7B69FFBD03-5B13-48F9-8F84-54729A673BE7%7D&amp;file=MODELO%20FINANCIERO%20PREVISORA.xlsm&amp;action=default&amp;mobileredirect=true</v>
      </c>
      <c r="AH886" s="40">
        <v>1</v>
      </c>
      <c r="AI886" s="40">
        <v>1</v>
      </c>
    </row>
    <row r="887" spans="1:35" ht="18.75" customHeight="1">
      <c r="A887" s="73">
        <v>2026</v>
      </c>
      <c r="B887" s="112" t="s">
        <v>23</v>
      </c>
      <c r="C887" s="36" t="s">
        <v>495</v>
      </c>
      <c r="D887" s="37">
        <v>46051.102793749997</v>
      </c>
      <c r="E887" s="36" t="s">
        <v>106</v>
      </c>
      <c r="F887" s="36" t="s">
        <v>276</v>
      </c>
      <c r="G887" s="36" t="s">
        <v>496</v>
      </c>
      <c r="H887" s="36" t="s">
        <v>497</v>
      </c>
      <c r="I887" s="36" t="s">
        <v>175</v>
      </c>
      <c r="J887" s="36" t="s">
        <v>498</v>
      </c>
      <c r="K887" s="36" t="s">
        <v>339</v>
      </c>
      <c r="L887" s="74">
        <f>VLOOKUP(E887,Diccionario!C$2:AC$150,22,0)</f>
        <v>820808275</v>
      </c>
      <c r="M887" s="75">
        <f>VLOOKUP(E887,Diccionario!C$2:AC$150,24,0)</f>
        <v>46054</v>
      </c>
      <c r="N887" s="76">
        <f>VLOOKUP(E887,Diccionario!C$2:AC$150,25,0)</f>
        <v>46843</v>
      </c>
      <c r="O887" s="77">
        <f>VLOOKUP(E887,Diccionario!C$2:AC$150,26,0)</f>
        <v>26</v>
      </c>
      <c r="P887" s="77">
        <f t="shared" si="279"/>
        <v>-20</v>
      </c>
      <c r="Q887" s="78">
        <v>6</v>
      </c>
      <c r="R887" s="36">
        <v>26</v>
      </c>
      <c r="S887" s="86">
        <v>0.18</v>
      </c>
      <c r="T887" s="86"/>
      <c r="U887" s="82"/>
      <c r="V887" s="82"/>
      <c r="W887" s="82">
        <f t="shared" si="265"/>
        <v>0</v>
      </c>
      <c r="X887" s="82">
        <f t="shared" si="281"/>
        <v>147745489.5</v>
      </c>
      <c r="Y887" s="82">
        <f t="shared" si="266"/>
        <v>0</v>
      </c>
      <c r="Z887" s="82">
        <f t="shared" si="282"/>
        <v>-147745489.5</v>
      </c>
      <c r="AA887" s="83" t="str">
        <f t="shared" si="277"/>
        <v>No se realizó gasto en este corte</v>
      </c>
      <c r="AB887" s="84" t="str">
        <f t="shared" si="283"/>
        <v>Costo eficiente: se está gastando menos de lo presupuestado</v>
      </c>
      <c r="AC887" s="84">
        <f t="shared" si="267"/>
        <v>0</v>
      </c>
      <c r="AD887" s="84" t="str">
        <f t="shared" si="284"/>
        <v>Sin Línea Base</v>
      </c>
      <c r="AE887" s="85">
        <f t="shared" si="268"/>
        <v>0</v>
      </c>
      <c r="AF887" s="85">
        <f t="shared" si="269"/>
        <v>-820808275</v>
      </c>
      <c r="AG887" s="40" t="str">
        <f>VLOOKUP(Indicador!E887,Diccionario!C$1:AC$150,27,0)</f>
        <v>https://growdatasas.sharepoint.com/:x:/r/sites/Gestiondocumental/Administrativa/GD/Financiera/_layouts/15/Doc.aspx?sourcedoc=%7B69FFBD03-5B13-48F9-8F84-54729A673BE7%7D&amp;file=MODELO%20FINANCIERO%20PREVISORA.xlsm&amp;action=default&amp;mobileredirect=true</v>
      </c>
      <c r="AH887" s="40">
        <v>1</v>
      </c>
      <c r="AI887" s="40">
        <v>1</v>
      </c>
    </row>
    <row r="888" spans="1:35" ht="18.75" customHeight="1">
      <c r="A888" s="73">
        <v>2026</v>
      </c>
      <c r="B888" s="112" t="s">
        <v>26</v>
      </c>
      <c r="C888" s="36" t="s">
        <v>495</v>
      </c>
      <c r="D888" s="37">
        <v>46051.102793749997</v>
      </c>
      <c r="E888" s="36" t="s">
        <v>106</v>
      </c>
      <c r="F888" s="36" t="s">
        <v>276</v>
      </c>
      <c r="G888" s="36" t="s">
        <v>496</v>
      </c>
      <c r="H888" s="36" t="s">
        <v>497</v>
      </c>
      <c r="I888" s="36" t="s">
        <v>175</v>
      </c>
      <c r="J888" s="36" t="s">
        <v>498</v>
      </c>
      <c r="K888" s="36" t="s">
        <v>339</v>
      </c>
      <c r="L888" s="74">
        <f>VLOOKUP(E888,Diccionario!C$2:AC$150,22,0)</f>
        <v>820808275</v>
      </c>
      <c r="M888" s="75">
        <f>VLOOKUP(E888,Diccionario!C$2:AC$150,24,0)</f>
        <v>46054</v>
      </c>
      <c r="N888" s="76">
        <f>VLOOKUP(E888,Diccionario!C$2:AC$150,25,0)</f>
        <v>46843</v>
      </c>
      <c r="O888" s="77">
        <f>VLOOKUP(E888,Diccionario!C$2:AC$150,26,0)</f>
        <v>26</v>
      </c>
      <c r="P888" s="77">
        <f t="shared" si="279"/>
        <v>-19</v>
      </c>
      <c r="Q888" s="78">
        <v>7</v>
      </c>
      <c r="R888" s="36">
        <v>26</v>
      </c>
      <c r="S888" s="86">
        <v>0.2</v>
      </c>
      <c r="T888" s="86"/>
      <c r="U888" s="82"/>
      <c r="V888" s="82"/>
      <c r="W888" s="82">
        <f t="shared" si="265"/>
        <v>0</v>
      </c>
      <c r="X888" s="82">
        <f t="shared" si="281"/>
        <v>164161655</v>
      </c>
      <c r="Y888" s="82">
        <f t="shared" si="266"/>
        <v>0</v>
      </c>
      <c r="Z888" s="82">
        <f t="shared" si="282"/>
        <v>-164161655</v>
      </c>
      <c r="AA888" s="83" t="str">
        <f t="shared" si="277"/>
        <v>No se realizó gasto en este corte</v>
      </c>
      <c r="AB888" s="84" t="str">
        <f t="shared" si="283"/>
        <v>Costo eficiente: se está gastando menos de lo presupuestado</v>
      </c>
      <c r="AC888" s="84">
        <f t="shared" si="267"/>
        <v>0</v>
      </c>
      <c r="AD888" s="84" t="str">
        <f t="shared" si="284"/>
        <v>Sin Línea Base</v>
      </c>
      <c r="AE888" s="85">
        <f t="shared" si="268"/>
        <v>0</v>
      </c>
      <c r="AF888" s="85">
        <f t="shared" si="269"/>
        <v>-820808275</v>
      </c>
      <c r="AG888" s="40" t="str">
        <f>VLOOKUP(Indicador!E888,Diccionario!C$1:AC$150,27,0)</f>
        <v>https://growdatasas.sharepoint.com/:x:/r/sites/Gestiondocumental/Administrativa/GD/Financiera/_layouts/15/Doc.aspx?sourcedoc=%7B69FFBD03-5B13-48F9-8F84-54729A673BE7%7D&amp;file=MODELO%20FINANCIERO%20PREVISORA.xlsm&amp;action=default&amp;mobileredirect=true</v>
      </c>
      <c r="AH888" s="40">
        <v>1</v>
      </c>
      <c r="AI888" s="40">
        <v>1</v>
      </c>
    </row>
    <row r="889" spans="1:35" ht="18.75" customHeight="1">
      <c r="A889" s="73">
        <v>2026</v>
      </c>
      <c r="B889" s="112" t="s">
        <v>28</v>
      </c>
      <c r="C889" s="36" t="s">
        <v>495</v>
      </c>
      <c r="D889" s="37">
        <v>46051.102793749997</v>
      </c>
      <c r="E889" s="36" t="s">
        <v>106</v>
      </c>
      <c r="F889" s="36" t="s">
        <v>276</v>
      </c>
      <c r="G889" s="36" t="s">
        <v>496</v>
      </c>
      <c r="H889" s="36" t="s">
        <v>497</v>
      </c>
      <c r="I889" s="36" t="s">
        <v>175</v>
      </c>
      <c r="J889" s="36" t="s">
        <v>498</v>
      </c>
      <c r="K889" s="36" t="s">
        <v>339</v>
      </c>
      <c r="L889" s="74">
        <f>VLOOKUP(E889,Diccionario!C$2:AC$150,22,0)</f>
        <v>820808275</v>
      </c>
      <c r="M889" s="75">
        <f>VLOOKUP(E889,Diccionario!C$2:AC$150,24,0)</f>
        <v>46054</v>
      </c>
      <c r="N889" s="76">
        <f>VLOOKUP(E889,Diccionario!C$2:AC$150,25,0)</f>
        <v>46843</v>
      </c>
      <c r="O889" s="77">
        <f>VLOOKUP(E889,Diccionario!C$2:AC$150,26,0)</f>
        <v>26</v>
      </c>
      <c r="P889" s="77">
        <f t="shared" si="279"/>
        <v>-18</v>
      </c>
      <c r="Q889" s="78">
        <v>8</v>
      </c>
      <c r="R889" s="36">
        <v>26</v>
      </c>
      <c r="S889" s="86">
        <v>0.22</v>
      </c>
      <c r="T889" s="86"/>
      <c r="U889" s="82"/>
      <c r="V889" s="82"/>
      <c r="W889" s="82">
        <f t="shared" si="265"/>
        <v>0</v>
      </c>
      <c r="X889" s="82">
        <f t="shared" si="281"/>
        <v>180577820.5</v>
      </c>
      <c r="Y889" s="82">
        <f t="shared" si="266"/>
        <v>0</v>
      </c>
      <c r="Z889" s="82">
        <f t="shared" si="282"/>
        <v>-180577820.5</v>
      </c>
      <c r="AA889" s="83" t="str">
        <f t="shared" si="277"/>
        <v>No se realizó gasto en este corte</v>
      </c>
      <c r="AB889" s="84" t="str">
        <f t="shared" si="283"/>
        <v>Costo eficiente: se está gastando menos de lo presupuestado</v>
      </c>
      <c r="AC889" s="84">
        <f t="shared" si="267"/>
        <v>0</v>
      </c>
      <c r="AD889" s="84" t="str">
        <f t="shared" si="284"/>
        <v>Sin Línea Base</v>
      </c>
      <c r="AE889" s="85">
        <f t="shared" si="268"/>
        <v>0</v>
      </c>
      <c r="AF889" s="85">
        <f t="shared" si="269"/>
        <v>-820808275</v>
      </c>
      <c r="AG889" s="40" t="str">
        <f>VLOOKUP(Indicador!E889,Diccionario!C$1:AC$150,27,0)</f>
        <v>https://growdatasas.sharepoint.com/:x:/r/sites/Gestiondocumental/Administrativa/GD/Financiera/_layouts/15/Doc.aspx?sourcedoc=%7B69FFBD03-5B13-48F9-8F84-54729A673BE7%7D&amp;file=MODELO%20FINANCIERO%20PREVISORA.xlsm&amp;action=default&amp;mobileredirect=true</v>
      </c>
      <c r="AH889" s="40">
        <v>1</v>
      </c>
      <c r="AI889" s="40">
        <v>1</v>
      </c>
    </row>
    <row r="890" spans="1:35" ht="18.75" customHeight="1">
      <c r="A890" s="73">
        <v>2026</v>
      </c>
      <c r="B890" s="112" t="s">
        <v>30</v>
      </c>
      <c r="C890" s="36" t="s">
        <v>495</v>
      </c>
      <c r="D890" s="37">
        <v>46051.102793749997</v>
      </c>
      <c r="E890" s="36" t="s">
        <v>106</v>
      </c>
      <c r="F890" s="36" t="s">
        <v>276</v>
      </c>
      <c r="G890" s="36" t="s">
        <v>496</v>
      </c>
      <c r="H890" s="36" t="s">
        <v>497</v>
      </c>
      <c r="I890" s="36" t="s">
        <v>175</v>
      </c>
      <c r="J890" s="36" t="s">
        <v>498</v>
      </c>
      <c r="K890" s="36" t="s">
        <v>339</v>
      </c>
      <c r="L890" s="74">
        <f>VLOOKUP(E890,Diccionario!C$2:AC$150,22,0)</f>
        <v>820808275</v>
      </c>
      <c r="M890" s="75">
        <f>VLOOKUP(E890,Diccionario!C$2:AC$150,24,0)</f>
        <v>46054</v>
      </c>
      <c r="N890" s="76">
        <f>VLOOKUP(E890,Diccionario!C$2:AC$150,25,0)</f>
        <v>46843</v>
      </c>
      <c r="O890" s="77">
        <f>VLOOKUP(E890,Diccionario!C$2:AC$150,26,0)</f>
        <v>26</v>
      </c>
      <c r="P890" s="77">
        <f t="shared" si="279"/>
        <v>-17</v>
      </c>
      <c r="Q890" s="78">
        <v>9</v>
      </c>
      <c r="R890" s="36">
        <v>26</v>
      </c>
      <c r="S890" s="86">
        <v>0.28000000000000003</v>
      </c>
      <c r="T890" s="86"/>
      <c r="U890" s="82"/>
      <c r="V890" s="82"/>
      <c r="W890" s="82">
        <f t="shared" si="265"/>
        <v>0</v>
      </c>
      <c r="X890" s="82">
        <f t="shared" si="281"/>
        <v>229826317.00000003</v>
      </c>
      <c r="Y890" s="82">
        <f t="shared" si="266"/>
        <v>0</v>
      </c>
      <c r="Z890" s="82">
        <f t="shared" si="282"/>
        <v>-229826317.00000003</v>
      </c>
      <c r="AA890" s="83" t="str">
        <f t="shared" si="277"/>
        <v>No se realizó gasto en este corte</v>
      </c>
      <c r="AB890" s="84" t="str">
        <f t="shared" si="283"/>
        <v>Costo eficiente: se está gastando menos de lo presupuestado</v>
      </c>
      <c r="AC890" s="84">
        <f t="shared" si="267"/>
        <v>0</v>
      </c>
      <c r="AD890" s="84" t="str">
        <f t="shared" si="284"/>
        <v>Sin Línea Base</v>
      </c>
      <c r="AE890" s="85">
        <f t="shared" si="268"/>
        <v>0</v>
      </c>
      <c r="AF890" s="85">
        <f t="shared" si="269"/>
        <v>-820808275</v>
      </c>
      <c r="AG890" s="40" t="str">
        <f>VLOOKUP(Indicador!E890,Diccionario!C$1:AC$150,27,0)</f>
        <v>https://growdatasas.sharepoint.com/:x:/r/sites/Gestiondocumental/Administrativa/GD/Financiera/_layouts/15/Doc.aspx?sourcedoc=%7B69FFBD03-5B13-48F9-8F84-54729A673BE7%7D&amp;file=MODELO%20FINANCIERO%20PREVISORA.xlsm&amp;action=default&amp;mobileredirect=true</v>
      </c>
      <c r="AH890" s="40">
        <v>1</v>
      </c>
      <c r="AI890" s="40">
        <v>1</v>
      </c>
    </row>
    <row r="891" spans="1:35" ht="18.75" customHeight="1">
      <c r="A891" s="73">
        <v>2026</v>
      </c>
      <c r="B891" s="112" t="s">
        <v>31</v>
      </c>
      <c r="C891" s="36" t="s">
        <v>495</v>
      </c>
      <c r="D891" s="37">
        <v>46051.102793749997</v>
      </c>
      <c r="E891" s="36" t="s">
        <v>106</v>
      </c>
      <c r="F891" s="36" t="s">
        <v>276</v>
      </c>
      <c r="G891" s="36" t="s">
        <v>496</v>
      </c>
      <c r="H891" s="36" t="s">
        <v>497</v>
      </c>
      <c r="I891" s="36" t="s">
        <v>175</v>
      </c>
      <c r="J891" s="36" t="s">
        <v>498</v>
      </c>
      <c r="K891" s="36" t="s">
        <v>339</v>
      </c>
      <c r="L891" s="74">
        <f>VLOOKUP(E891,Diccionario!C$2:AC$150,22,0)</f>
        <v>820808275</v>
      </c>
      <c r="M891" s="75">
        <f>VLOOKUP(E891,Diccionario!C$2:AC$150,24,0)</f>
        <v>46054</v>
      </c>
      <c r="N891" s="76">
        <f>VLOOKUP(E891,Diccionario!C$2:AC$150,25,0)</f>
        <v>46843</v>
      </c>
      <c r="O891" s="77">
        <f>VLOOKUP(E891,Diccionario!C$2:AC$150,26,0)</f>
        <v>26</v>
      </c>
      <c r="P891" s="77">
        <f t="shared" si="279"/>
        <v>-16</v>
      </c>
      <c r="Q891" s="78">
        <v>10</v>
      </c>
      <c r="R891" s="36">
        <v>26</v>
      </c>
      <c r="S891" s="86">
        <v>0.3</v>
      </c>
      <c r="T891" s="86"/>
      <c r="U891" s="82"/>
      <c r="V891" s="82"/>
      <c r="W891" s="82">
        <f t="shared" si="265"/>
        <v>0</v>
      </c>
      <c r="X891" s="82">
        <f t="shared" si="281"/>
        <v>246242482.5</v>
      </c>
      <c r="Y891" s="82">
        <f t="shared" si="266"/>
        <v>0</v>
      </c>
      <c r="Z891" s="82">
        <f t="shared" si="282"/>
        <v>-246242482.5</v>
      </c>
      <c r="AA891" s="83" t="str">
        <f t="shared" si="277"/>
        <v>No se realizó gasto en este corte</v>
      </c>
      <c r="AB891" s="84" t="str">
        <f t="shared" si="283"/>
        <v>Costo eficiente: se está gastando menos de lo presupuestado</v>
      </c>
      <c r="AC891" s="84">
        <f t="shared" si="267"/>
        <v>0</v>
      </c>
      <c r="AD891" s="84" t="str">
        <f t="shared" si="284"/>
        <v>Sin Línea Base</v>
      </c>
      <c r="AE891" s="85">
        <f t="shared" si="268"/>
        <v>0</v>
      </c>
      <c r="AF891" s="85">
        <f t="shared" si="269"/>
        <v>-820808275</v>
      </c>
      <c r="AG891" s="40" t="str">
        <f>VLOOKUP(Indicador!E891,Diccionario!C$1:AC$150,27,0)</f>
        <v>https://growdatasas.sharepoint.com/:x:/r/sites/Gestiondocumental/Administrativa/GD/Financiera/_layouts/15/Doc.aspx?sourcedoc=%7B69FFBD03-5B13-48F9-8F84-54729A673BE7%7D&amp;file=MODELO%20FINANCIERO%20PREVISORA.xlsm&amp;action=default&amp;mobileredirect=true</v>
      </c>
      <c r="AH891" s="40">
        <v>1</v>
      </c>
      <c r="AI891" s="40">
        <v>1</v>
      </c>
    </row>
    <row r="892" spans="1:35" ht="18.75" customHeight="1">
      <c r="A892" s="73">
        <v>2026</v>
      </c>
      <c r="B892" s="112" t="s">
        <v>32</v>
      </c>
      <c r="C892" s="36" t="s">
        <v>495</v>
      </c>
      <c r="D892" s="37">
        <v>46051.102793749997</v>
      </c>
      <c r="E892" s="36" t="s">
        <v>106</v>
      </c>
      <c r="F892" s="36" t="s">
        <v>276</v>
      </c>
      <c r="G892" s="36" t="s">
        <v>496</v>
      </c>
      <c r="H892" s="36" t="s">
        <v>497</v>
      </c>
      <c r="I892" s="36" t="s">
        <v>175</v>
      </c>
      <c r="J892" s="36" t="s">
        <v>498</v>
      </c>
      <c r="K892" s="36" t="s">
        <v>339</v>
      </c>
      <c r="L892" s="74">
        <f>VLOOKUP(E892,Diccionario!C$2:AC$150,22,0)</f>
        <v>820808275</v>
      </c>
      <c r="M892" s="75">
        <f>VLOOKUP(E892,Diccionario!C$2:AC$150,24,0)</f>
        <v>46054</v>
      </c>
      <c r="N892" s="76">
        <f>VLOOKUP(E892,Diccionario!C$2:AC$150,25,0)</f>
        <v>46843</v>
      </c>
      <c r="O892" s="77">
        <f>VLOOKUP(E892,Diccionario!C$2:AC$150,26,0)</f>
        <v>26</v>
      </c>
      <c r="P892" s="77">
        <f t="shared" si="279"/>
        <v>-15</v>
      </c>
      <c r="Q892" s="78">
        <v>11</v>
      </c>
      <c r="R892" s="36">
        <v>26</v>
      </c>
      <c r="S892" s="86">
        <v>0.38</v>
      </c>
      <c r="T892" s="86"/>
      <c r="U892" s="82"/>
      <c r="V892" s="82"/>
      <c r="W892" s="82">
        <f t="shared" si="265"/>
        <v>0</v>
      </c>
      <c r="X892" s="82">
        <f t="shared" si="281"/>
        <v>311907144.5</v>
      </c>
      <c r="Y892" s="82">
        <f t="shared" si="266"/>
        <v>0</v>
      </c>
      <c r="Z892" s="82">
        <f t="shared" si="282"/>
        <v>-311907144.5</v>
      </c>
      <c r="AA892" s="83" t="str">
        <f t="shared" si="277"/>
        <v>No se realizó gasto en este corte</v>
      </c>
      <c r="AB892" s="84" t="str">
        <f t="shared" si="283"/>
        <v>Costo eficiente: se está gastando menos de lo presupuestado</v>
      </c>
      <c r="AC892" s="84">
        <f t="shared" si="267"/>
        <v>0</v>
      </c>
      <c r="AD892" s="84" t="str">
        <f t="shared" si="284"/>
        <v>Sin Línea Base</v>
      </c>
      <c r="AE892" s="85">
        <f t="shared" si="268"/>
        <v>0</v>
      </c>
      <c r="AF892" s="85">
        <f t="shared" si="269"/>
        <v>-820808275</v>
      </c>
      <c r="AG892" s="40" t="str">
        <f>VLOOKUP(Indicador!E892,Diccionario!C$1:AC$150,27,0)</f>
        <v>https://growdatasas.sharepoint.com/:x:/r/sites/Gestiondocumental/Administrativa/GD/Financiera/_layouts/15/Doc.aspx?sourcedoc=%7B69FFBD03-5B13-48F9-8F84-54729A673BE7%7D&amp;file=MODELO%20FINANCIERO%20PREVISORA.xlsm&amp;action=default&amp;mobileredirect=true</v>
      </c>
      <c r="AH892" s="40">
        <v>1</v>
      </c>
      <c r="AI892" s="40">
        <v>1</v>
      </c>
    </row>
    <row r="893" spans="1:35" ht="18.75" customHeight="1">
      <c r="A893" s="73">
        <v>2027</v>
      </c>
      <c r="B893" s="112" t="s">
        <v>14</v>
      </c>
      <c r="C893" s="36" t="s">
        <v>495</v>
      </c>
      <c r="D893" s="37">
        <v>46051.102793749997</v>
      </c>
      <c r="E893" s="36" t="s">
        <v>106</v>
      </c>
      <c r="F893" s="36" t="s">
        <v>276</v>
      </c>
      <c r="G893" s="36" t="s">
        <v>496</v>
      </c>
      <c r="H893" s="36" t="s">
        <v>497</v>
      </c>
      <c r="I893" s="36" t="s">
        <v>175</v>
      </c>
      <c r="J893" s="36" t="s">
        <v>498</v>
      </c>
      <c r="K893" s="36" t="s">
        <v>339</v>
      </c>
      <c r="L893" s="74">
        <f>VLOOKUP(E893,Diccionario!C$2:AC$150,22,0)</f>
        <v>820808275</v>
      </c>
      <c r="M893" s="75">
        <f>VLOOKUP(E893,Diccionario!C$2:AC$150,24,0)</f>
        <v>46054</v>
      </c>
      <c r="N893" s="76">
        <f>VLOOKUP(E893,Diccionario!C$2:AC$150,25,0)</f>
        <v>46843</v>
      </c>
      <c r="O893" s="77">
        <f>VLOOKUP(E893,Diccionario!C$2:AC$150,26,0)</f>
        <v>26</v>
      </c>
      <c r="P893" s="77">
        <f t="shared" si="279"/>
        <v>-14</v>
      </c>
      <c r="Q893" s="78">
        <v>12</v>
      </c>
      <c r="R893" s="36">
        <v>26</v>
      </c>
      <c r="S893" s="86">
        <v>0.4</v>
      </c>
      <c r="T893" s="86"/>
      <c r="U893" s="82"/>
      <c r="V893" s="82"/>
      <c r="W893" s="82">
        <f t="shared" si="265"/>
        <v>0</v>
      </c>
      <c r="X893" s="82">
        <f t="shared" si="281"/>
        <v>328323310</v>
      </c>
      <c r="Y893" s="82">
        <f t="shared" si="266"/>
        <v>0</v>
      </c>
      <c r="Z893" s="82">
        <f t="shared" si="282"/>
        <v>-328323310</v>
      </c>
      <c r="AA893" s="83" t="str">
        <f t="shared" si="277"/>
        <v>No se realizó gasto en este corte</v>
      </c>
      <c r="AB893" s="84" t="str">
        <f t="shared" si="283"/>
        <v>Costo eficiente: se está gastando menos de lo presupuestado</v>
      </c>
      <c r="AC893" s="84">
        <f t="shared" si="267"/>
        <v>0</v>
      </c>
      <c r="AD893" s="84" t="str">
        <f t="shared" si="284"/>
        <v>Sin Línea Base</v>
      </c>
      <c r="AE893" s="85">
        <f t="shared" si="268"/>
        <v>0</v>
      </c>
      <c r="AF893" s="85">
        <f t="shared" si="269"/>
        <v>-820808275</v>
      </c>
      <c r="AG893" s="40" t="str">
        <f>VLOOKUP(Indicador!E893,Diccionario!C$1:AC$150,27,0)</f>
        <v>https://growdatasas.sharepoint.com/:x:/r/sites/Gestiondocumental/Administrativa/GD/Financiera/_layouts/15/Doc.aspx?sourcedoc=%7B69FFBD03-5B13-48F9-8F84-54729A673BE7%7D&amp;file=MODELO%20FINANCIERO%20PREVISORA.xlsm&amp;action=default&amp;mobileredirect=true</v>
      </c>
      <c r="AH893" s="40">
        <v>1</v>
      </c>
      <c r="AI893" s="40">
        <v>1</v>
      </c>
    </row>
    <row r="894" spans="1:35" ht="18.75" customHeight="1">
      <c r="A894" s="73">
        <v>2027</v>
      </c>
      <c r="B894" s="112" t="s">
        <v>22</v>
      </c>
      <c r="C894" s="36" t="s">
        <v>495</v>
      </c>
      <c r="D894" s="37">
        <v>46051.102793749997</v>
      </c>
      <c r="E894" s="36" t="s">
        <v>106</v>
      </c>
      <c r="F894" s="36" t="s">
        <v>276</v>
      </c>
      <c r="G894" s="36" t="s">
        <v>496</v>
      </c>
      <c r="H894" s="36" t="s">
        <v>497</v>
      </c>
      <c r="I894" s="36" t="s">
        <v>175</v>
      </c>
      <c r="J894" s="36" t="s">
        <v>498</v>
      </c>
      <c r="K894" s="36" t="s">
        <v>339</v>
      </c>
      <c r="L894" s="74">
        <f>VLOOKUP(E894,Diccionario!C$2:AC$150,22,0)</f>
        <v>820808275</v>
      </c>
      <c r="M894" s="75">
        <f>VLOOKUP(E894,Diccionario!C$2:AC$150,24,0)</f>
        <v>46054</v>
      </c>
      <c r="N894" s="76">
        <f>VLOOKUP(E894,Diccionario!C$2:AC$150,25,0)</f>
        <v>46843</v>
      </c>
      <c r="O894" s="77">
        <f>VLOOKUP(E894,Diccionario!C$2:AC$150,26,0)</f>
        <v>26</v>
      </c>
      <c r="P894" s="77">
        <f t="shared" si="279"/>
        <v>-13</v>
      </c>
      <c r="Q894" s="78">
        <v>13</v>
      </c>
      <c r="R894" s="36">
        <v>26</v>
      </c>
      <c r="S894" s="86">
        <v>0.45</v>
      </c>
      <c r="T894" s="86"/>
      <c r="U894" s="82"/>
      <c r="V894" s="82"/>
      <c r="W894" s="82">
        <f t="shared" si="265"/>
        <v>0</v>
      </c>
      <c r="X894" s="82">
        <f t="shared" si="281"/>
        <v>369363723.75</v>
      </c>
      <c r="Y894" s="82">
        <f t="shared" si="266"/>
        <v>0</v>
      </c>
      <c r="Z894" s="82">
        <f t="shared" si="282"/>
        <v>-369363723.75</v>
      </c>
      <c r="AA894" s="83" t="str">
        <f t="shared" si="277"/>
        <v>No se realizó gasto en este corte</v>
      </c>
      <c r="AB894" s="84" t="str">
        <f t="shared" si="283"/>
        <v>Costo eficiente: se está gastando menos de lo presupuestado</v>
      </c>
      <c r="AC894" s="84">
        <f t="shared" si="267"/>
        <v>0</v>
      </c>
      <c r="AD894" s="84" t="str">
        <f t="shared" si="284"/>
        <v>Sin Línea Base</v>
      </c>
      <c r="AE894" s="85">
        <f t="shared" si="268"/>
        <v>0</v>
      </c>
      <c r="AF894" s="85">
        <f t="shared" si="269"/>
        <v>-820808275</v>
      </c>
      <c r="AG894" s="40" t="str">
        <f>VLOOKUP(Indicador!E894,Diccionario!C$1:AC$150,27,0)</f>
        <v>https://growdatasas.sharepoint.com/:x:/r/sites/Gestiondocumental/Administrativa/GD/Financiera/_layouts/15/Doc.aspx?sourcedoc=%7B69FFBD03-5B13-48F9-8F84-54729A673BE7%7D&amp;file=MODELO%20FINANCIERO%20PREVISORA.xlsm&amp;action=default&amp;mobileredirect=true</v>
      </c>
      <c r="AH894" s="40">
        <v>1</v>
      </c>
      <c r="AI894" s="40">
        <v>1</v>
      </c>
    </row>
    <row r="895" spans="1:35" ht="18.75" customHeight="1">
      <c r="A895" s="73">
        <v>2027</v>
      </c>
      <c r="B895" s="112" t="s">
        <v>24</v>
      </c>
      <c r="C895" s="36" t="s">
        <v>495</v>
      </c>
      <c r="D895" s="37">
        <v>46051.102793749997</v>
      </c>
      <c r="E895" s="36" t="s">
        <v>106</v>
      </c>
      <c r="F895" s="36" t="s">
        <v>276</v>
      </c>
      <c r="G895" s="36" t="s">
        <v>496</v>
      </c>
      <c r="H895" s="36" t="s">
        <v>497</v>
      </c>
      <c r="I895" s="36" t="s">
        <v>175</v>
      </c>
      <c r="J895" s="36" t="s">
        <v>498</v>
      </c>
      <c r="K895" s="36" t="s">
        <v>339</v>
      </c>
      <c r="L895" s="74">
        <f>VLOOKUP(E895,Diccionario!C$2:AC$150,22,0)</f>
        <v>820808275</v>
      </c>
      <c r="M895" s="75">
        <f>VLOOKUP(E895,Diccionario!C$2:AC$150,24,0)</f>
        <v>46054</v>
      </c>
      <c r="N895" s="76">
        <f>VLOOKUP(E895,Diccionario!C$2:AC$150,25,0)</f>
        <v>46843</v>
      </c>
      <c r="O895" s="77">
        <f>VLOOKUP(E895,Diccionario!C$2:AC$150,26,0)</f>
        <v>26</v>
      </c>
      <c r="P895" s="77">
        <f t="shared" si="279"/>
        <v>-12</v>
      </c>
      <c r="Q895" s="78">
        <v>14</v>
      </c>
      <c r="R895" s="36">
        <v>26</v>
      </c>
      <c r="S895" s="86">
        <v>0.5</v>
      </c>
      <c r="T895" s="86"/>
      <c r="U895" s="82"/>
      <c r="V895" s="82"/>
      <c r="W895" s="82">
        <f t="shared" si="265"/>
        <v>0</v>
      </c>
      <c r="X895" s="82">
        <f t="shared" si="281"/>
        <v>410404137.5</v>
      </c>
      <c r="Y895" s="82">
        <f t="shared" si="266"/>
        <v>0</v>
      </c>
      <c r="Z895" s="82">
        <f t="shared" si="282"/>
        <v>-410404137.5</v>
      </c>
      <c r="AA895" s="83" t="str">
        <f t="shared" si="277"/>
        <v>No se realizó gasto en este corte</v>
      </c>
      <c r="AB895" s="84" t="str">
        <f t="shared" si="283"/>
        <v>Costo eficiente: se está gastando menos de lo presupuestado</v>
      </c>
      <c r="AC895" s="84">
        <f t="shared" si="267"/>
        <v>0</v>
      </c>
      <c r="AD895" s="84" t="str">
        <f t="shared" si="284"/>
        <v>Sin Línea Base</v>
      </c>
      <c r="AE895" s="85">
        <f t="shared" si="268"/>
        <v>0</v>
      </c>
      <c r="AF895" s="85">
        <f t="shared" si="269"/>
        <v>-820808275</v>
      </c>
      <c r="AG895" s="40" t="str">
        <f>VLOOKUP(Indicador!E895,Diccionario!C$1:AC$150,27,0)</f>
        <v>https://growdatasas.sharepoint.com/:x:/r/sites/Gestiondocumental/Administrativa/GD/Financiera/_layouts/15/Doc.aspx?sourcedoc=%7B69FFBD03-5B13-48F9-8F84-54729A673BE7%7D&amp;file=MODELO%20FINANCIERO%20PREVISORA.xlsm&amp;action=default&amp;mobileredirect=true</v>
      </c>
      <c r="AH895" s="40">
        <v>1</v>
      </c>
      <c r="AI895" s="40">
        <v>1</v>
      </c>
    </row>
    <row r="896" spans="1:35" ht="18.75" customHeight="1">
      <c r="A896" s="73">
        <v>2027</v>
      </c>
      <c r="B896" s="112" t="s">
        <v>27</v>
      </c>
      <c r="C896" s="36" t="s">
        <v>495</v>
      </c>
      <c r="D896" s="37">
        <v>46051.102793749997</v>
      </c>
      <c r="E896" s="36" t="s">
        <v>106</v>
      </c>
      <c r="F896" s="36" t="s">
        <v>276</v>
      </c>
      <c r="G896" s="36" t="s">
        <v>496</v>
      </c>
      <c r="H896" s="36" t="s">
        <v>497</v>
      </c>
      <c r="I896" s="36" t="s">
        <v>175</v>
      </c>
      <c r="J896" s="36" t="s">
        <v>498</v>
      </c>
      <c r="K896" s="36" t="s">
        <v>339</v>
      </c>
      <c r="L896" s="74">
        <f>VLOOKUP(E896,Diccionario!C$2:AC$150,22,0)</f>
        <v>820808275</v>
      </c>
      <c r="M896" s="75">
        <f>VLOOKUP(E896,Diccionario!C$2:AC$150,24,0)</f>
        <v>46054</v>
      </c>
      <c r="N896" s="76">
        <f>VLOOKUP(E896,Diccionario!C$2:AC$150,25,0)</f>
        <v>46843</v>
      </c>
      <c r="O896" s="77">
        <f>VLOOKUP(E896,Diccionario!C$2:AC$150,26,0)</f>
        <v>26</v>
      </c>
      <c r="P896" s="77">
        <f t="shared" si="279"/>
        <v>-11</v>
      </c>
      <c r="Q896" s="78">
        <v>15</v>
      </c>
      <c r="R896" s="36">
        <v>26</v>
      </c>
      <c r="S896" s="86">
        <v>0.57999999999999996</v>
      </c>
      <c r="T896" s="86"/>
      <c r="U896" s="82"/>
      <c r="V896" s="82"/>
      <c r="W896" s="82">
        <f t="shared" si="265"/>
        <v>0</v>
      </c>
      <c r="X896" s="82">
        <f t="shared" si="281"/>
        <v>476068799.49999994</v>
      </c>
      <c r="Y896" s="82">
        <f t="shared" si="266"/>
        <v>0</v>
      </c>
      <c r="Z896" s="82">
        <f t="shared" si="282"/>
        <v>-476068799.49999994</v>
      </c>
      <c r="AA896" s="83" t="str">
        <f t="shared" si="277"/>
        <v>No se realizó gasto en este corte</v>
      </c>
      <c r="AB896" s="84" t="str">
        <f t="shared" si="283"/>
        <v>Costo eficiente: se está gastando menos de lo presupuestado</v>
      </c>
      <c r="AC896" s="84">
        <f t="shared" si="267"/>
        <v>0</v>
      </c>
      <c r="AD896" s="84" t="str">
        <f t="shared" si="284"/>
        <v>Sin Línea Base</v>
      </c>
      <c r="AE896" s="85">
        <f t="shared" si="268"/>
        <v>0</v>
      </c>
      <c r="AF896" s="85">
        <f t="shared" si="269"/>
        <v>-820808275</v>
      </c>
      <c r="AG896" s="40" t="str">
        <f>VLOOKUP(Indicador!E896,Diccionario!C$1:AC$150,27,0)</f>
        <v>https://growdatasas.sharepoint.com/:x:/r/sites/Gestiondocumental/Administrativa/GD/Financiera/_layouts/15/Doc.aspx?sourcedoc=%7B69FFBD03-5B13-48F9-8F84-54729A673BE7%7D&amp;file=MODELO%20FINANCIERO%20PREVISORA.xlsm&amp;action=default&amp;mobileredirect=true</v>
      </c>
      <c r="AH896" s="40">
        <v>1</v>
      </c>
      <c r="AI896" s="40">
        <v>1</v>
      </c>
    </row>
    <row r="897" spans="1:35" ht="18.75" customHeight="1">
      <c r="A897" s="73">
        <v>2027</v>
      </c>
      <c r="B897" s="112" t="s">
        <v>13</v>
      </c>
      <c r="C897" s="36" t="s">
        <v>495</v>
      </c>
      <c r="D897" s="37">
        <v>46051.102793749997</v>
      </c>
      <c r="E897" s="36" t="s">
        <v>106</v>
      </c>
      <c r="F897" s="36" t="s">
        <v>276</v>
      </c>
      <c r="G897" s="36" t="s">
        <v>496</v>
      </c>
      <c r="H897" s="36" t="s">
        <v>497</v>
      </c>
      <c r="I897" s="36" t="s">
        <v>175</v>
      </c>
      <c r="J897" s="36" t="s">
        <v>498</v>
      </c>
      <c r="K897" s="36" t="s">
        <v>339</v>
      </c>
      <c r="L897" s="74">
        <f>VLOOKUP(E897,Diccionario!C$2:AC$150,22,0)</f>
        <v>820808275</v>
      </c>
      <c r="M897" s="75">
        <f>VLOOKUP(E897,Diccionario!C$2:AC$150,24,0)</f>
        <v>46054</v>
      </c>
      <c r="N897" s="76">
        <f>VLOOKUP(E897,Diccionario!C$2:AC$150,25,0)</f>
        <v>46843</v>
      </c>
      <c r="O897" s="77">
        <f>VLOOKUP(E897,Diccionario!C$2:AC$150,26,0)</f>
        <v>26</v>
      </c>
      <c r="P897" s="77">
        <f t="shared" si="279"/>
        <v>-10</v>
      </c>
      <c r="Q897" s="78">
        <v>16</v>
      </c>
      <c r="R897" s="36">
        <v>26</v>
      </c>
      <c r="S897" s="86">
        <v>0.62</v>
      </c>
      <c r="T897" s="86"/>
      <c r="U897" s="82"/>
      <c r="V897" s="82"/>
      <c r="W897" s="82">
        <f t="shared" si="265"/>
        <v>0</v>
      </c>
      <c r="X897" s="82">
        <f t="shared" si="281"/>
        <v>508901130.5</v>
      </c>
      <c r="Y897" s="82">
        <f t="shared" si="266"/>
        <v>0</v>
      </c>
      <c r="Z897" s="82">
        <f t="shared" si="282"/>
        <v>-508901130.5</v>
      </c>
      <c r="AA897" s="83" t="str">
        <f t="shared" si="277"/>
        <v>No se realizó gasto en este corte</v>
      </c>
      <c r="AB897" s="84" t="str">
        <f t="shared" si="283"/>
        <v>Costo eficiente: se está gastando menos de lo presupuestado</v>
      </c>
      <c r="AC897" s="84">
        <f t="shared" si="267"/>
        <v>0</v>
      </c>
      <c r="AD897" s="84" t="str">
        <f t="shared" si="284"/>
        <v>Sin Línea Base</v>
      </c>
      <c r="AE897" s="85">
        <f t="shared" si="268"/>
        <v>0</v>
      </c>
      <c r="AF897" s="85">
        <f t="shared" si="269"/>
        <v>-820808275</v>
      </c>
      <c r="AG897" s="40" t="str">
        <f>VLOOKUP(Indicador!E897,Diccionario!C$1:AC$150,27,0)</f>
        <v>https://growdatasas.sharepoint.com/:x:/r/sites/Gestiondocumental/Administrativa/GD/Financiera/_layouts/15/Doc.aspx?sourcedoc=%7B69FFBD03-5B13-48F9-8F84-54729A673BE7%7D&amp;file=MODELO%20FINANCIERO%20PREVISORA.xlsm&amp;action=default&amp;mobileredirect=true</v>
      </c>
      <c r="AH897" s="40">
        <v>1</v>
      </c>
      <c r="AI897" s="40">
        <v>1</v>
      </c>
    </row>
    <row r="898" spans="1:35" ht="18.75" customHeight="1">
      <c r="A898" s="73">
        <v>2027</v>
      </c>
      <c r="B898" s="112" t="s">
        <v>21</v>
      </c>
      <c r="C898" s="36" t="s">
        <v>495</v>
      </c>
      <c r="D898" s="37">
        <v>46051.102793749997</v>
      </c>
      <c r="E898" s="36" t="s">
        <v>106</v>
      </c>
      <c r="F898" s="36" t="s">
        <v>276</v>
      </c>
      <c r="G898" s="36" t="s">
        <v>496</v>
      </c>
      <c r="H898" s="36" t="s">
        <v>497</v>
      </c>
      <c r="I898" s="36" t="s">
        <v>175</v>
      </c>
      <c r="J898" s="36" t="s">
        <v>498</v>
      </c>
      <c r="K898" s="36" t="s">
        <v>339</v>
      </c>
      <c r="L898" s="74">
        <f>VLOOKUP(E898,Diccionario!C$2:AC$150,22,0)</f>
        <v>820808275</v>
      </c>
      <c r="M898" s="75">
        <f>VLOOKUP(E898,Diccionario!C$2:AC$150,24,0)</f>
        <v>46054</v>
      </c>
      <c r="N898" s="76">
        <f>VLOOKUP(E898,Diccionario!C$2:AC$150,25,0)</f>
        <v>46843</v>
      </c>
      <c r="O898" s="77">
        <f>VLOOKUP(E898,Diccionario!C$2:AC$150,26,0)</f>
        <v>26</v>
      </c>
      <c r="P898" s="77">
        <f t="shared" si="279"/>
        <v>-9</v>
      </c>
      <c r="Q898" s="78">
        <v>17</v>
      </c>
      <c r="R898" s="36">
        <v>26</v>
      </c>
      <c r="S898" s="86">
        <v>0.68</v>
      </c>
      <c r="T898" s="86"/>
      <c r="U898" s="82"/>
      <c r="V898" s="82"/>
      <c r="W898" s="82">
        <f t="shared" ref="W898:W915" si="285">IFERROR(T898*L898,0)</f>
        <v>0</v>
      </c>
      <c r="X898" s="82">
        <f t="shared" si="281"/>
        <v>558149627</v>
      </c>
      <c r="Y898" s="82">
        <f t="shared" ref="Y898:Y915" si="286">IFERROR(W898-U898,0)</f>
        <v>0</v>
      </c>
      <c r="Z898" s="82">
        <f t="shared" si="282"/>
        <v>-558149627</v>
      </c>
      <c r="AA898" s="83" t="str">
        <f t="shared" si="277"/>
        <v>No se realizó gasto en este corte</v>
      </c>
      <c r="AB898" s="84" t="str">
        <f t="shared" si="283"/>
        <v>Costo eficiente: se está gastando menos de lo presupuestado</v>
      </c>
      <c r="AC898" s="84">
        <f t="shared" ref="AC898:AC915" si="287">IFERROR(W898/X898,0)</f>
        <v>0</v>
      </c>
      <c r="AD898" s="84" t="str">
        <f t="shared" si="284"/>
        <v>Sin Línea Base</v>
      </c>
      <c r="AE898" s="85">
        <f t="shared" ref="AE898:AE915" si="288">IFERROR(L898/AA898,0)</f>
        <v>0</v>
      </c>
      <c r="AF898" s="85">
        <f t="shared" ref="AF898:AF915" si="289">IFERROR(AE898-L898,0)</f>
        <v>-820808275</v>
      </c>
      <c r="AG898" s="40" t="str">
        <f>VLOOKUP(Indicador!E898,Diccionario!C$1:AC$150,27,0)</f>
        <v>https://growdatasas.sharepoint.com/:x:/r/sites/Gestiondocumental/Administrativa/GD/Financiera/_layouts/15/Doc.aspx?sourcedoc=%7B69FFBD03-5B13-48F9-8F84-54729A673BE7%7D&amp;file=MODELO%20FINANCIERO%20PREVISORA.xlsm&amp;action=default&amp;mobileredirect=true</v>
      </c>
      <c r="AH898" s="40">
        <v>1</v>
      </c>
      <c r="AI898" s="40">
        <v>1</v>
      </c>
    </row>
    <row r="899" spans="1:35" ht="18.75" customHeight="1">
      <c r="A899" s="73">
        <v>2027</v>
      </c>
      <c r="B899" s="112" t="s">
        <v>23</v>
      </c>
      <c r="C899" s="36" t="s">
        <v>495</v>
      </c>
      <c r="D899" s="37">
        <v>46051.102793749997</v>
      </c>
      <c r="E899" s="36" t="s">
        <v>106</v>
      </c>
      <c r="F899" s="36" t="s">
        <v>276</v>
      </c>
      <c r="G899" s="36" t="s">
        <v>496</v>
      </c>
      <c r="H899" s="36" t="s">
        <v>497</v>
      </c>
      <c r="I899" s="36" t="s">
        <v>175</v>
      </c>
      <c r="J899" s="36" t="s">
        <v>498</v>
      </c>
      <c r="K899" s="36" t="s">
        <v>339</v>
      </c>
      <c r="L899" s="74">
        <f>VLOOKUP(E899,Diccionario!C$2:AC$150,22,0)</f>
        <v>820808275</v>
      </c>
      <c r="M899" s="75">
        <f>VLOOKUP(E899,Diccionario!C$2:AC$150,24,0)</f>
        <v>46054</v>
      </c>
      <c r="N899" s="76">
        <f>VLOOKUP(E899,Diccionario!C$2:AC$150,25,0)</f>
        <v>46843</v>
      </c>
      <c r="O899" s="77">
        <f>VLOOKUP(E899,Diccionario!C$2:AC$150,26,0)</f>
        <v>26</v>
      </c>
      <c r="P899" s="77">
        <f t="shared" si="279"/>
        <v>-8</v>
      </c>
      <c r="Q899" s="78">
        <v>18</v>
      </c>
      <c r="R899" s="36">
        <v>26</v>
      </c>
      <c r="S899" s="86">
        <v>0.7</v>
      </c>
      <c r="T899" s="86"/>
      <c r="U899" s="82"/>
      <c r="V899" s="82"/>
      <c r="W899" s="82">
        <f t="shared" si="285"/>
        <v>0</v>
      </c>
      <c r="X899" s="82">
        <f t="shared" si="281"/>
        <v>574565792.5</v>
      </c>
      <c r="Y899" s="82">
        <f t="shared" si="286"/>
        <v>0</v>
      </c>
      <c r="Z899" s="82">
        <f t="shared" si="282"/>
        <v>-574565792.5</v>
      </c>
      <c r="AA899" s="83" t="str">
        <f t="shared" si="277"/>
        <v>No se realizó gasto en este corte</v>
      </c>
      <c r="AB899" s="84" t="str">
        <f t="shared" si="283"/>
        <v>Costo eficiente: se está gastando menos de lo presupuestado</v>
      </c>
      <c r="AC899" s="84">
        <f t="shared" si="287"/>
        <v>0</v>
      </c>
      <c r="AD899" s="84" t="str">
        <f t="shared" si="284"/>
        <v>Sin Línea Base</v>
      </c>
      <c r="AE899" s="85">
        <f t="shared" si="288"/>
        <v>0</v>
      </c>
      <c r="AF899" s="85">
        <f t="shared" si="289"/>
        <v>-820808275</v>
      </c>
      <c r="AG899" s="40" t="str">
        <f>VLOOKUP(Indicador!E899,Diccionario!C$1:AC$150,27,0)</f>
        <v>https://growdatasas.sharepoint.com/:x:/r/sites/Gestiondocumental/Administrativa/GD/Financiera/_layouts/15/Doc.aspx?sourcedoc=%7B69FFBD03-5B13-48F9-8F84-54729A673BE7%7D&amp;file=MODELO%20FINANCIERO%20PREVISORA.xlsm&amp;action=default&amp;mobileredirect=true</v>
      </c>
      <c r="AH899" s="40">
        <v>1</v>
      </c>
      <c r="AI899" s="40">
        <v>1</v>
      </c>
    </row>
    <row r="900" spans="1:35" ht="18.75" customHeight="1">
      <c r="A900" s="73">
        <v>2027</v>
      </c>
      <c r="B900" s="112" t="s">
        <v>26</v>
      </c>
      <c r="C900" s="36" t="s">
        <v>495</v>
      </c>
      <c r="D900" s="37">
        <v>46051.102793749997</v>
      </c>
      <c r="E900" s="36" t="s">
        <v>106</v>
      </c>
      <c r="F900" s="36" t="s">
        <v>276</v>
      </c>
      <c r="G900" s="36" t="s">
        <v>496</v>
      </c>
      <c r="H900" s="36" t="s">
        <v>497</v>
      </c>
      <c r="I900" s="36" t="s">
        <v>175</v>
      </c>
      <c r="J900" s="36" t="s">
        <v>498</v>
      </c>
      <c r="K900" s="36" t="s">
        <v>339</v>
      </c>
      <c r="L900" s="74">
        <f>VLOOKUP(E900,Diccionario!C$2:AC$150,22,0)</f>
        <v>820808275</v>
      </c>
      <c r="M900" s="75">
        <f>VLOOKUP(E900,Diccionario!C$2:AC$150,24,0)</f>
        <v>46054</v>
      </c>
      <c r="N900" s="76">
        <f>VLOOKUP(E900,Diccionario!C$2:AC$150,25,0)</f>
        <v>46843</v>
      </c>
      <c r="O900" s="77">
        <f>VLOOKUP(E900,Diccionario!C$2:AC$150,26,0)</f>
        <v>26</v>
      </c>
      <c r="P900" s="77">
        <f t="shared" si="279"/>
        <v>-7</v>
      </c>
      <c r="Q900" s="78">
        <v>19</v>
      </c>
      <c r="R900" s="36">
        <v>26</v>
      </c>
      <c r="S900" s="86">
        <v>0.75</v>
      </c>
      <c r="T900" s="86"/>
      <c r="U900" s="82"/>
      <c r="V900" s="82"/>
      <c r="W900" s="82">
        <f t="shared" si="285"/>
        <v>0</v>
      </c>
      <c r="X900" s="82">
        <f t="shared" si="281"/>
        <v>615606206.25</v>
      </c>
      <c r="Y900" s="82">
        <f t="shared" si="286"/>
        <v>0</v>
      </c>
      <c r="Z900" s="82">
        <f t="shared" si="282"/>
        <v>-615606206.25</v>
      </c>
      <c r="AA900" s="83" t="str">
        <f t="shared" si="277"/>
        <v>No se realizó gasto en este corte</v>
      </c>
      <c r="AB900" s="84" t="str">
        <f t="shared" si="283"/>
        <v>Costo eficiente: se está gastando menos de lo presupuestado</v>
      </c>
      <c r="AC900" s="84">
        <f t="shared" si="287"/>
        <v>0</v>
      </c>
      <c r="AD900" s="84" t="str">
        <f t="shared" si="284"/>
        <v>Sin Línea Base</v>
      </c>
      <c r="AE900" s="85">
        <f t="shared" si="288"/>
        <v>0</v>
      </c>
      <c r="AF900" s="85">
        <f t="shared" si="289"/>
        <v>-820808275</v>
      </c>
      <c r="AG900" s="40" t="str">
        <f>VLOOKUP(Indicador!E900,Diccionario!C$1:AC$150,27,0)</f>
        <v>https://growdatasas.sharepoint.com/:x:/r/sites/Gestiondocumental/Administrativa/GD/Financiera/_layouts/15/Doc.aspx?sourcedoc=%7B69FFBD03-5B13-48F9-8F84-54729A673BE7%7D&amp;file=MODELO%20FINANCIERO%20PREVISORA.xlsm&amp;action=default&amp;mobileredirect=true</v>
      </c>
      <c r="AH900" s="40">
        <v>1</v>
      </c>
      <c r="AI900" s="40">
        <v>1</v>
      </c>
    </row>
    <row r="901" spans="1:35" ht="18.75" customHeight="1">
      <c r="A901" s="73">
        <v>2027</v>
      </c>
      <c r="B901" s="112" t="s">
        <v>28</v>
      </c>
      <c r="C901" s="36" t="s">
        <v>495</v>
      </c>
      <c r="D901" s="37">
        <v>46051.102793749997</v>
      </c>
      <c r="E901" s="36" t="s">
        <v>106</v>
      </c>
      <c r="F901" s="36" t="s">
        <v>276</v>
      </c>
      <c r="G901" s="36" t="s">
        <v>496</v>
      </c>
      <c r="H901" s="36" t="s">
        <v>497</v>
      </c>
      <c r="I901" s="36" t="s">
        <v>175</v>
      </c>
      <c r="J901" s="36" t="s">
        <v>498</v>
      </c>
      <c r="K901" s="36" t="s">
        <v>339</v>
      </c>
      <c r="L901" s="74">
        <f>VLOOKUP(E901,Diccionario!C$2:AC$150,22,0)</f>
        <v>820808275</v>
      </c>
      <c r="M901" s="75">
        <f>VLOOKUP(E901,Diccionario!C$2:AC$150,24,0)</f>
        <v>46054</v>
      </c>
      <c r="N901" s="76">
        <f>VLOOKUP(E901,Diccionario!C$2:AC$150,25,0)</f>
        <v>46843</v>
      </c>
      <c r="O901" s="77">
        <f>VLOOKUP(E901,Diccionario!C$2:AC$150,26,0)</f>
        <v>26</v>
      </c>
      <c r="P901" s="77">
        <f t="shared" si="279"/>
        <v>-6</v>
      </c>
      <c r="Q901" s="78">
        <v>20</v>
      </c>
      <c r="R901" s="36">
        <v>26</v>
      </c>
      <c r="S901" s="86">
        <v>0.78</v>
      </c>
      <c r="T901" s="86"/>
      <c r="U901" s="82"/>
      <c r="V901" s="82"/>
      <c r="W901" s="82">
        <f t="shared" si="285"/>
        <v>0</v>
      </c>
      <c r="X901" s="82">
        <f t="shared" si="281"/>
        <v>640230454.5</v>
      </c>
      <c r="Y901" s="82">
        <f t="shared" si="286"/>
        <v>0</v>
      </c>
      <c r="Z901" s="82">
        <f t="shared" si="282"/>
        <v>-640230454.5</v>
      </c>
      <c r="AA901" s="83" t="str">
        <f t="shared" si="277"/>
        <v>No se realizó gasto en este corte</v>
      </c>
      <c r="AB901" s="84" t="str">
        <f t="shared" si="283"/>
        <v>Costo eficiente: se está gastando menos de lo presupuestado</v>
      </c>
      <c r="AC901" s="84">
        <f t="shared" si="287"/>
        <v>0</v>
      </c>
      <c r="AD901" s="84" t="str">
        <f t="shared" si="284"/>
        <v>Sin Línea Base</v>
      </c>
      <c r="AE901" s="85">
        <f t="shared" si="288"/>
        <v>0</v>
      </c>
      <c r="AF901" s="85">
        <f t="shared" si="289"/>
        <v>-820808275</v>
      </c>
      <c r="AG901" s="40" t="str">
        <f>VLOOKUP(Indicador!E901,Diccionario!C$1:AC$150,27,0)</f>
        <v>https://growdatasas.sharepoint.com/:x:/r/sites/Gestiondocumental/Administrativa/GD/Financiera/_layouts/15/Doc.aspx?sourcedoc=%7B69FFBD03-5B13-48F9-8F84-54729A673BE7%7D&amp;file=MODELO%20FINANCIERO%20PREVISORA.xlsm&amp;action=default&amp;mobileredirect=true</v>
      </c>
      <c r="AH901" s="40">
        <v>1</v>
      </c>
      <c r="AI901" s="40">
        <v>1</v>
      </c>
    </row>
    <row r="902" spans="1:35" ht="18.75" customHeight="1">
      <c r="A902" s="73">
        <v>2027</v>
      </c>
      <c r="B902" s="112" t="s">
        <v>30</v>
      </c>
      <c r="C902" s="36" t="s">
        <v>495</v>
      </c>
      <c r="D902" s="37">
        <v>46051.102793749997</v>
      </c>
      <c r="E902" s="36" t="s">
        <v>106</v>
      </c>
      <c r="F902" s="36" t="s">
        <v>276</v>
      </c>
      <c r="G902" s="36" t="s">
        <v>496</v>
      </c>
      <c r="H902" s="36" t="s">
        <v>497</v>
      </c>
      <c r="I902" s="36" t="s">
        <v>175</v>
      </c>
      <c r="J902" s="36" t="s">
        <v>498</v>
      </c>
      <c r="K902" s="36" t="s">
        <v>339</v>
      </c>
      <c r="L902" s="74">
        <f>VLOOKUP(E902,Diccionario!C$2:AC$150,22,0)</f>
        <v>820808275</v>
      </c>
      <c r="M902" s="75">
        <f>VLOOKUP(E902,Diccionario!C$2:AC$150,24,0)</f>
        <v>46054</v>
      </c>
      <c r="N902" s="76">
        <f>VLOOKUP(E902,Diccionario!C$2:AC$150,25,0)</f>
        <v>46843</v>
      </c>
      <c r="O902" s="77">
        <f>VLOOKUP(E902,Diccionario!C$2:AC$150,26,0)</f>
        <v>26</v>
      </c>
      <c r="P902" s="77">
        <f t="shared" si="279"/>
        <v>-5</v>
      </c>
      <c r="Q902" s="78">
        <v>21</v>
      </c>
      <c r="R902" s="36">
        <v>26</v>
      </c>
      <c r="S902" s="86">
        <v>0.8</v>
      </c>
      <c r="T902" s="86"/>
      <c r="U902" s="82"/>
      <c r="V902" s="82"/>
      <c r="W902" s="82">
        <f t="shared" si="285"/>
        <v>0</v>
      </c>
      <c r="X902" s="82">
        <f t="shared" si="281"/>
        <v>656646620</v>
      </c>
      <c r="Y902" s="82">
        <f t="shared" si="286"/>
        <v>0</v>
      </c>
      <c r="Z902" s="82">
        <f t="shared" si="282"/>
        <v>-656646620</v>
      </c>
      <c r="AA902" s="83" t="str">
        <f t="shared" si="277"/>
        <v>No se realizó gasto en este corte</v>
      </c>
      <c r="AB902" s="84" t="str">
        <f t="shared" si="283"/>
        <v>Costo eficiente: se está gastando menos de lo presupuestado</v>
      </c>
      <c r="AC902" s="84">
        <f t="shared" si="287"/>
        <v>0</v>
      </c>
      <c r="AD902" s="84" t="str">
        <f t="shared" si="284"/>
        <v>Sin Línea Base</v>
      </c>
      <c r="AE902" s="85">
        <f t="shared" si="288"/>
        <v>0</v>
      </c>
      <c r="AF902" s="85">
        <f t="shared" si="289"/>
        <v>-820808275</v>
      </c>
      <c r="AG902" s="40" t="str">
        <f>VLOOKUP(Indicador!E902,Diccionario!C$1:AC$150,27,0)</f>
        <v>https://growdatasas.sharepoint.com/:x:/r/sites/Gestiondocumental/Administrativa/GD/Financiera/_layouts/15/Doc.aspx?sourcedoc=%7B69FFBD03-5B13-48F9-8F84-54729A673BE7%7D&amp;file=MODELO%20FINANCIERO%20PREVISORA.xlsm&amp;action=default&amp;mobileredirect=true</v>
      </c>
      <c r="AH902" s="40">
        <v>1</v>
      </c>
      <c r="AI902" s="40">
        <v>1</v>
      </c>
    </row>
    <row r="903" spans="1:35" ht="18.75" customHeight="1">
      <c r="A903" s="73">
        <v>2027</v>
      </c>
      <c r="B903" s="112" t="s">
        <v>31</v>
      </c>
      <c r="C903" s="36" t="s">
        <v>495</v>
      </c>
      <c r="D903" s="37">
        <v>46051.102793749997</v>
      </c>
      <c r="E903" s="36" t="s">
        <v>106</v>
      </c>
      <c r="F903" s="36" t="s">
        <v>276</v>
      </c>
      <c r="G903" s="36" t="s">
        <v>496</v>
      </c>
      <c r="H903" s="36" t="s">
        <v>497</v>
      </c>
      <c r="I903" s="36" t="s">
        <v>175</v>
      </c>
      <c r="J903" s="36" t="s">
        <v>498</v>
      </c>
      <c r="K903" s="36" t="s">
        <v>339</v>
      </c>
      <c r="L903" s="74">
        <f>VLOOKUP(E903,Diccionario!C$2:AC$150,22,0)</f>
        <v>820808275</v>
      </c>
      <c r="M903" s="75">
        <f>VLOOKUP(E903,Diccionario!C$2:AC$150,24,0)</f>
        <v>46054</v>
      </c>
      <c r="N903" s="76">
        <f>VLOOKUP(E903,Diccionario!C$2:AC$150,25,0)</f>
        <v>46843</v>
      </c>
      <c r="O903" s="77">
        <f>VLOOKUP(E903,Diccionario!C$2:AC$150,26,0)</f>
        <v>26</v>
      </c>
      <c r="P903" s="77">
        <f t="shared" si="279"/>
        <v>-4</v>
      </c>
      <c r="Q903" s="78">
        <v>22</v>
      </c>
      <c r="R903" s="36">
        <v>26</v>
      </c>
      <c r="S903" s="86">
        <v>0.82</v>
      </c>
      <c r="T903" s="86"/>
      <c r="U903" s="82"/>
      <c r="V903" s="82"/>
      <c r="W903" s="82">
        <f t="shared" si="285"/>
        <v>0</v>
      </c>
      <c r="X903" s="82">
        <f t="shared" si="281"/>
        <v>673062785.5</v>
      </c>
      <c r="Y903" s="82">
        <f t="shared" si="286"/>
        <v>0</v>
      </c>
      <c r="Z903" s="82">
        <f t="shared" si="282"/>
        <v>-673062785.5</v>
      </c>
      <c r="AA903" s="83" t="str">
        <f t="shared" si="277"/>
        <v>No se realizó gasto en este corte</v>
      </c>
      <c r="AB903" s="84" t="str">
        <f t="shared" si="283"/>
        <v>Costo eficiente: se está gastando menos de lo presupuestado</v>
      </c>
      <c r="AC903" s="84">
        <f t="shared" si="287"/>
        <v>0</v>
      </c>
      <c r="AD903" s="84" t="str">
        <f t="shared" si="284"/>
        <v>Sin Línea Base</v>
      </c>
      <c r="AE903" s="85">
        <f t="shared" si="288"/>
        <v>0</v>
      </c>
      <c r="AF903" s="85">
        <f t="shared" si="289"/>
        <v>-820808275</v>
      </c>
      <c r="AG903" s="40" t="str">
        <f>VLOOKUP(Indicador!E903,Diccionario!C$1:AC$150,27,0)</f>
        <v>https://growdatasas.sharepoint.com/:x:/r/sites/Gestiondocumental/Administrativa/GD/Financiera/_layouts/15/Doc.aspx?sourcedoc=%7B69FFBD03-5B13-48F9-8F84-54729A673BE7%7D&amp;file=MODELO%20FINANCIERO%20PREVISORA.xlsm&amp;action=default&amp;mobileredirect=true</v>
      </c>
      <c r="AH903" s="40">
        <v>1</v>
      </c>
      <c r="AI903" s="40">
        <v>1</v>
      </c>
    </row>
    <row r="904" spans="1:35" ht="18.75" customHeight="1">
      <c r="A904" s="73">
        <v>2027</v>
      </c>
      <c r="B904" s="112" t="s">
        <v>32</v>
      </c>
      <c r="C904" s="36" t="s">
        <v>495</v>
      </c>
      <c r="D904" s="37">
        <v>46051.102793749997</v>
      </c>
      <c r="E904" s="36" t="s">
        <v>106</v>
      </c>
      <c r="F904" s="36" t="s">
        <v>276</v>
      </c>
      <c r="G904" s="36" t="s">
        <v>496</v>
      </c>
      <c r="H904" s="36" t="s">
        <v>497</v>
      </c>
      <c r="I904" s="36" t="s">
        <v>175</v>
      </c>
      <c r="J904" s="36" t="s">
        <v>498</v>
      </c>
      <c r="K904" s="36" t="s">
        <v>339</v>
      </c>
      <c r="L904" s="74">
        <f>VLOOKUP(E904,Diccionario!C$2:AC$150,22,0)</f>
        <v>820808275</v>
      </c>
      <c r="M904" s="75">
        <f>VLOOKUP(E904,Diccionario!C$2:AC$150,24,0)</f>
        <v>46054</v>
      </c>
      <c r="N904" s="76">
        <f>VLOOKUP(E904,Diccionario!C$2:AC$150,25,0)</f>
        <v>46843</v>
      </c>
      <c r="O904" s="77">
        <f>VLOOKUP(E904,Diccionario!C$2:AC$150,26,0)</f>
        <v>26</v>
      </c>
      <c r="P904" s="77">
        <f t="shared" si="279"/>
        <v>-3</v>
      </c>
      <c r="Q904" s="78">
        <v>23</v>
      </c>
      <c r="R904" s="36">
        <v>26</v>
      </c>
      <c r="S904" s="86">
        <v>0.87</v>
      </c>
      <c r="T904" s="86"/>
      <c r="U904" s="82"/>
      <c r="V904" s="82"/>
      <c r="W904" s="82">
        <f t="shared" si="285"/>
        <v>0</v>
      </c>
      <c r="X904" s="82">
        <f t="shared" si="281"/>
        <v>714103199.25</v>
      </c>
      <c r="Y904" s="82">
        <f t="shared" si="286"/>
        <v>0</v>
      </c>
      <c r="Z904" s="82">
        <f t="shared" si="282"/>
        <v>-714103199.25</v>
      </c>
      <c r="AA904" s="83" t="str">
        <f t="shared" si="277"/>
        <v>No se realizó gasto en este corte</v>
      </c>
      <c r="AB904" s="84" t="str">
        <f t="shared" si="283"/>
        <v>Costo eficiente: se está gastando menos de lo presupuestado</v>
      </c>
      <c r="AC904" s="84">
        <f t="shared" si="287"/>
        <v>0</v>
      </c>
      <c r="AD904" s="84" t="str">
        <f t="shared" si="284"/>
        <v>Sin Línea Base</v>
      </c>
      <c r="AE904" s="85">
        <f t="shared" si="288"/>
        <v>0</v>
      </c>
      <c r="AF904" s="85">
        <f t="shared" si="289"/>
        <v>-820808275</v>
      </c>
      <c r="AG904" s="40" t="str">
        <f>VLOOKUP(Indicador!E904,Diccionario!C$1:AC$150,27,0)</f>
        <v>https://growdatasas.sharepoint.com/:x:/r/sites/Gestiondocumental/Administrativa/GD/Financiera/_layouts/15/Doc.aspx?sourcedoc=%7B69FFBD03-5B13-48F9-8F84-54729A673BE7%7D&amp;file=MODELO%20FINANCIERO%20PREVISORA.xlsm&amp;action=default&amp;mobileredirect=true</v>
      </c>
      <c r="AH904" s="40">
        <v>1</v>
      </c>
      <c r="AI904" s="40">
        <v>1</v>
      </c>
    </row>
    <row r="905" spans="1:35" ht="18.75" customHeight="1">
      <c r="A905" s="73">
        <v>2028</v>
      </c>
      <c r="B905" s="112" t="s">
        <v>14</v>
      </c>
      <c r="C905" s="36" t="s">
        <v>495</v>
      </c>
      <c r="D905" s="37">
        <v>46051.102793749997</v>
      </c>
      <c r="E905" s="36" t="s">
        <v>106</v>
      </c>
      <c r="F905" s="36" t="s">
        <v>276</v>
      </c>
      <c r="G905" s="36" t="s">
        <v>496</v>
      </c>
      <c r="H905" s="36" t="s">
        <v>497</v>
      </c>
      <c r="I905" s="36" t="s">
        <v>175</v>
      </c>
      <c r="J905" s="36" t="s">
        <v>498</v>
      </c>
      <c r="K905" s="36" t="s">
        <v>339</v>
      </c>
      <c r="L905" s="74">
        <f>VLOOKUP(E905,Diccionario!C$2:AC$150,22,0)</f>
        <v>820808275</v>
      </c>
      <c r="M905" s="75">
        <f>VLOOKUP(E905,Diccionario!C$2:AC$150,24,0)</f>
        <v>46054</v>
      </c>
      <c r="N905" s="76">
        <f>VLOOKUP(E905,Diccionario!C$2:AC$150,25,0)</f>
        <v>46843</v>
      </c>
      <c r="O905" s="77">
        <f>VLOOKUP(E905,Diccionario!C$2:AC$150,26,0)</f>
        <v>26</v>
      </c>
      <c r="P905" s="77">
        <f t="shared" si="279"/>
        <v>-2</v>
      </c>
      <c r="Q905" s="78">
        <v>24</v>
      </c>
      <c r="R905" s="36">
        <v>26</v>
      </c>
      <c r="S905" s="86">
        <v>0.9</v>
      </c>
      <c r="T905" s="86"/>
      <c r="U905" s="82"/>
      <c r="V905" s="82"/>
      <c r="W905" s="82">
        <f t="shared" si="285"/>
        <v>0</v>
      </c>
      <c r="X905" s="82">
        <f t="shared" si="281"/>
        <v>738727447.5</v>
      </c>
      <c r="Y905" s="82">
        <f t="shared" si="286"/>
        <v>0</v>
      </c>
      <c r="Z905" s="82">
        <f t="shared" si="282"/>
        <v>-738727447.5</v>
      </c>
      <c r="AA905" s="83" t="str">
        <f t="shared" si="277"/>
        <v>No se realizó gasto en este corte</v>
      </c>
      <c r="AB905" s="84" t="str">
        <f t="shared" si="283"/>
        <v>Costo eficiente: se está gastando menos de lo presupuestado</v>
      </c>
      <c r="AC905" s="84">
        <f t="shared" si="287"/>
        <v>0</v>
      </c>
      <c r="AD905" s="84" t="str">
        <f t="shared" si="284"/>
        <v>Sin Línea Base</v>
      </c>
      <c r="AE905" s="85">
        <f t="shared" si="288"/>
        <v>0</v>
      </c>
      <c r="AF905" s="85">
        <f t="shared" si="289"/>
        <v>-820808275</v>
      </c>
      <c r="AG905" s="40" t="str">
        <f>VLOOKUP(Indicador!E905,Diccionario!C$1:AC$150,27,0)</f>
        <v>https://growdatasas.sharepoint.com/:x:/r/sites/Gestiondocumental/Administrativa/GD/Financiera/_layouts/15/Doc.aspx?sourcedoc=%7B69FFBD03-5B13-48F9-8F84-54729A673BE7%7D&amp;file=MODELO%20FINANCIERO%20PREVISORA.xlsm&amp;action=default&amp;mobileredirect=true</v>
      </c>
      <c r="AH905" s="40">
        <v>1</v>
      </c>
      <c r="AI905" s="40">
        <v>1</v>
      </c>
    </row>
    <row r="906" spans="1:35" ht="18.75" customHeight="1">
      <c r="A906" s="73">
        <v>2028</v>
      </c>
      <c r="B906" s="112" t="s">
        <v>22</v>
      </c>
      <c r="C906" s="36" t="s">
        <v>495</v>
      </c>
      <c r="D906" s="37">
        <v>46051.102793749997</v>
      </c>
      <c r="E906" s="36" t="s">
        <v>106</v>
      </c>
      <c r="F906" s="36" t="s">
        <v>276</v>
      </c>
      <c r="G906" s="36" t="s">
        <v>496</v>
      </c>
      <c r="H906" s="36" t="s">
        <v>497</v>
      </c>
      <c r="I906" s="36" t="s">
        <v>175</v>
      </c>
      <c r="J906" s="36" t="s">
        <v>498</v>
      </c>
      <c r="K906" s="36" t="s">
        <v>339</v>
      </c>
      <c r="L906" s="74">
        <f>VLOOKUP(E906,Diccionario!C$2:AC$150,22,0)</f>
        <v>820808275</v>
      </c>
      <c r="M906" s="75">
        <f>VLOOKUP(E906,Diccionario!C$2:AC$150,24,0)</f>
        <v>46054</v>
      </c>
      <c r="N906" s="76">
        <f>VLOOKUP(E906,Diccionario!C$2:AC$150,25,0)</f>
        <v>46843</v>
      </c>
      <c r="O906" s="77">
        <f>VLOOKUP(E906,Diccionario!C$2:AC$150,26,0)</f>
        <v>26</v>
      </c>
      <c r="P906" s="77">
        <f t="shared" si="279"/>
        <v>-1</v>
      </c>
      <c r="Q906" s="78">
        <v>25</v>
      </c>
      <c r="R906" s="36">
        <v>26</v>
      </c>
      <c r="S906" s="86">
        <v>0.95</v>
      </c>
      <c r="T906" s="86"/>
      <c r="U906" s="82"/>
      <c r="V906" s="82"/>
      <c r="W906" s="82">
        <f t="shared" si="285"/>
        <v>0</v>
      </c>
      <c r="X906" s="82">
        <f t="shared" si="281"/>
        <v>779767861.25</v>
      </c>
      <c r="Y906" s="82">
        <f t="shared" si="286"/>
        <v>0</v>
      </c>
      <c r="Z906" s="82">
        <f t="shared" si="282"/>
        <v>-779767861.25</v>
      </c>
      <c r="AA906" s="83" t="str">
        <f t="shared" si="277"/>
        <v>No se realizó gasto en este corte</v>
      </c>
      <c r="AB906" s="84" t="str">
        <f t="shared" si="283"/>
        <v>Costo eficiente: se está gastando menos de lo presupuestado</v>
      </c>
      <c r="AC906" s="84">
        <f t="shared" si="287"/>
        <v>0</v>
      </c>
      <c r="AD906" s="84" t="str">
        <f t="shared" si="284"/>
        <v>Sin Línea Base</v>
      </c>
      <c r="AE906" s="85">
        <f t="shared" si="288"/>
        <v>0</v>
      </c>
      <c r="AF906" s="85">
        <f t="shared" si="289"/>
        <v>-820808275</v>
      </c>
      <c r="AG906" s="40" t="str">
        <f>VLOOKUP(Indicador!E906,Diccionario!C$1:AC$150,27,0)</f>
        <v>https://growdatasas.sharepoint.com/:x:/r/sites/Gestiondocumental/Administrativa/GD/Financiera/_layouts/15/Doc.aspx?sourcedoc=%7B69FFBD03-5B13-48F9-8F84-54729A673BE7%7D&amp;file=MODELO%20FINANCIERO%20PREVISORA.xlsm&amp;action=default&amp;mobileredirect=true</v>
      </c>
      <c r="AH906" s="40">
        <v>1</v>
      </c>
      <c r="AI906" s="40">
        <v>1</v>
      </c>
    </row>
    <row r="907" spans="1:35" ht="18.75" customHeight="1">
      <c r="A907" s="73">
        <v>2028</v>
      </c>
      <c r="B907" s="112" t="s">
        <v>24</v>
      </c>
      <c r="C907" s="36" t="s">
        <v>495</v>
      </c>
      <c r="D907" s="37">
        <v>46051.102793749997</v>
      </c>
      <c r="E907" s="36" t="s">
        <v>106</v>
      </c>
      <c r="F907" s="36" t="s">
        <v>276</v>
      </c>
      <c r="G907" s="36" t="s">
        <v>496</v>
      </c>
      <c r="H907" s="36" t="s">
        <v>497</v>
      </c>
      <c r="I907" s="36" t="s">
        <v>175</v>
      </c>
      <c r="J907" s="36" t="s">
        <v>498</v>
      </c>
      <c r="K907" s="36" t="s">
        <v>339</v>
      </c>
      <c r="L907" s="74">
        <f>VLOOKUP(E907,Diccionario!C$2:AC$150,22,0)</f>
        <v>820808275</v>
      </c>
      <c r="M907" s="75">
        <f>VLOOKUP(E907,Diccionario!C$2:AC$150,24,0)</f>
        <v>46054</v>
      </c>
      <c r="N907" s="76">
        <f>VLOOKUP(E907,Diccionario!C$2:AC$150,25,0)</f>
        <v>46843</v>
      </c>
      <c r="O907" s="77">
        <f>VLOOKUP(E907,Diccionario!C$2:AC$150,26,0)</f>
        <v>26</v>
      </c>
      <c r="P907" s="77">
        <f t="shared" si="279"/>
        <v>0</v>
      </c>
      <c r="Q907" s="78">
        <v>26</v>
      </c>
      <c r="R907" s="36">
        <v>26</v>
      </c>
      <c r="S907" s="86">
        <v>1</v>
      </c>
      <c r="T907" s="86"/>
      <c r="U907" s="82"/>
      <c r="V907" s="82"/>
      <c r="W907" s="82">
        <f t="shared" si="285"/>
        <v>0</v>
      </c>
      <c r="X907" s="82">
        <f t="shared" si="281"/>
        <v>820808275</v>
      </c>
      <c r="Y907" s="82">
        <f t="shared" si="286"/>
        <v>0</v>
      </c>
      <c r="Z907" s="82">
        <f t="shared" si="282"/>
        <v>-820808275</v>
      </c>
      <c r="AA907" s="83" t="str">
        <f t="shared" si="277"/>
        <v>No se realizó gasto en este corte</v>
      </c>
      <c r="AB907" s="84" t="str">
        <f t="shared" si="283"/>
        <v>Costo eficiente: se está gastando menos de lo presupuestado</v>
      </c>
      <c r="AC907" s="84">
        <f t="shared" si="287"/>
        <v>0</v>
      </c>
      <c r="AD907" s="84" t="str">
        <f t="shared" si="284"/>
        <v>Sin Línea Base</v>
      </c>
      <c r="AE907" s="85">
        <f t="shared" si="288"/>
        <v>0</v>
      </c>
      <c r="AF907" s="85">
        <f t="shared" si="289"/>
        <v>-820808275</v>
      </c>
      <c r="AG907" s="40" t="str">
        <f>VLOOKUP(Indicador!E907,Diccionario!C$1:AC$150,27,0)</f>
        <v>https://growdatasas.sharepoint.com/:x:/r/sites/Gestiondocumental/Administrativa/GD/Financiera/_layouts/15/Doc.aspx?sourcedoc=%7B69FFBD03-5B13-48F9-8F84-54729A673BE7%7D&amp;file=MODELO%20FINANCIERO%20PREVISORA.xlsm&amp;action=default&amp;mobileredirect=true</v>
      </c>
      <c r="AH907" s="40">
        <v>1</v>
      </c>
      <c r="AI907" s="40">
        <v>1</v>
      </c>
    </row>
    <row r="908" spans="1:35" ht="18.75" customHeight="1">
      <c r="A908" s="73">
        <v>2026</v>
      </c>
      <c r="B908" s="112" t="s">
        <v>22</v>
      </c>
      <c r="C908" s="36" t="s">
        <v>499</v>
      </c>
      <c r="D908" s="37">
        <v>46048.919891203703</v>
      </c>
      <c r="E908" s="36" t="s">
        <v>112</v>
      </c>
      <c r="F908" s="36" t="s">
        <v>149</v>
      </c>
      <c r="G908" s="36" t="s">
        <v>500</v>
      </c>
      <c r="H908" s="36" t="s">
        <v>501</v>
      </c>
      <c r="I908" s="36" t="s">
        <v>152</v>
      </c>
      <c r="J908" s="36" t="s">
        <v>502</v>
      </c>
      <c r="K908" s="36" t="s">
        <v>339</v>
      </c>
      <c r="L908" s="74">
        <f>VLOOKUP(E908,Diccionario!C$2:AC$150,22,0)</f>
        <v>559316354</v>
      </c>
      <c r="M908" s="75">
        <f>VLOOKUP(E908,Diccionario!C$2:AC$150,24,0)</f>
        <v>46054</v>
      </c>
      <c r="N908" s="76">
        <f>VLOOKUP(E908,Diccionario!C$2:AC$150,25,0)</f>
        <v>46233</v>
      </c>
      <c r="O908" s="77">
        <f>VLOOKUP(E908,Diccionario!C$2:AC$150,26,0)</f>
        <v>5.97</v>
      </c>
      <c r="P908" s="77">
        <f t="shared" ca="1" si="279"/>
        <v>-0.96999999999999975</v>
      </c>
      <c r="Q908" s="78">
        <f t="shared" ca="1" si="280"/>
        <v>5</v>
      </c>
      <c r="R908" s="36">
        <v>6</v>
      </c>
      <c r="S908" s="86">
        <v>0.1</v>
      </c>
      <c r="T908" s="86"/>
      <c r="U908" s="82"/>
      <c r="V908" s="82"/>
      <c r="W908" s="82">
        <f t="shared" si="285"/>
        <v>0</v>
      </c>
      <c r="X908" s="82">
        <f t="shared" si="281"/>
        <v>55931635.400000006</v>
      </c>
      <c r="Y908" s="82">
        <f t="shared" si="286"/>
        <v>0</v>
      </c>
      <c r="Z908" s="82">
        <f t="shared" si="282"/>
        <v>-55931635.400000006</v>
      </c>
      <c r="AA908" s="83" t="str">
        <f t="shared" si="277"/>
        <v>No se realizó gasto en este corte</v>
      </c>
      <c r="AB908" s="84" t="str">
        <f t="shared" si="283"/>
        <v>Costo eficiente: se está gastando menos de lo presupuestado</v>
      </c>
      <c r="AC908" s="84">
        <f t="shared" si="287"/>
        <v>0</v>
      </c>
      <c r="AD908" s="84" t="str">
        <f t="shared" si="284"/>
        <v>Sin Línea Base</v>
      </c>
      <c r="AE908" s="85">
        <f t="shared" si="288"/>
        <v>0</v>
      </c>
      <c r="AF908" s="85">
        <f t="shared" si="289"/>
        <v>-559316354</v>
      </c>
      <c r="AG908" s="40" t="str">
        <f>VLOOKUP(Indicador!E908,Diccionario!C$1:AC$150,27,0)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8" s="40">
        <v>1</v>
      </c>
      <c r="AI908" s="40">
        <v>1</v>
      </c>
    </row>
    <row r="909" spans="1:35" ht="18.75" customHeight="1">
      <c r="A909" s="73">
        <v>2026</v>
      </c>
      <c r="B909" s="112" t="s">
        <v>24</v>
      </c>
      <c r="C909" s="36" t="s">
        <v>499</v>
      </c>
      <c r="D909" s="37">
        <v>46048.919891203703</v>
      </c>
      <c r="E909" s="36" t="s">
        <v>112</v>
      </c>
      <c r="F909" s="36" t="s">
        <v>149</v>
      </c>
      <c r="G909" s="36" t="s">
        <v>500</v>
      </c>
      <c r="H909" s="36" t="s">
        <v>501</v>
      </c>
      <c r="I909" s="36" t="s">
        <v>152</v>
      </c>
      <c r="J909" s="36" t="s">
        <v>502</v>
      </c>
      <c r="K909" s="36" t="s">
        <v>339</v>
      </c>
      <c r="L909" s="74">
        <f>VLOOKUP(E909,Diccionario!C$2:AC$150,22,0)</f>
        <v>559316354</v>
      </c>
      <c r="M909" s="75">
        <f>VLOOKUP(E909,Diccionario!C$2:AC$150,24,0)</f>
        <v>46054</v>
      </c>
      <c r="N909" s="76">
        <f>VLOOKUP(E909,Diccionario!C$2:AC$150,25,0)</f>
        <v>46233</v>
      </c>
      <c r="O909" s="77">
        <f>VLOOKUP(E909,Diccionario!C$2:AC$150,26,0)</f>
        <v>5.97</v>
      </c>
      <c r="P909" s="77">
        <f t="shared" ca="1" si="279"/>
        <v>-0.96999999999999975</v>
      </c>
      <c r="Q909" s="78">
        <f t="shared" ca="1" si="280"/>
        <v>5</v>
      </c>
      <c r="R909" s="36">
        <v>6</v>
      </c>
      <c r="S909" s="86">
        <v>0.2</v>
      </c>
      <c r="T909" s="86"/>
      <c r="U909" s="82"/>
      <c r="V909" s="82"/>
      <c r="W909" s="82">
        <f t="shared" si="285"/>
        <v>0</v>
      </c>
      <c r="X909" s="82">
        <f t="shared" si="281"/>
        <v>111863270.80000001</v>
      </c>
      <c r="Y909" s="82">
        <f t="shared" si="286"/>
        <v>0</v>
      </c>
      <c r="Z909" s="82">
        <f t="shared" si="282"/>
        <v>-111863270.80000001</v>
      </c>
      <c r="AA909" s="83" t="str">
        <f t="shared" si="277"/>
        <v>No se realizó gasto en este corte</v>
      </c>
      <c r="AB909" s="84" t="str">
        <f t="shared" si="283"/>
        <v>Costo eficiente: se está gastando menos de lo presupuestado</v>
      </c>
      <c r="AC909" s="84">
        <f t="shared" si="287"/>
        <v>0</v>
      </c>
      <c r="AD909" s="84" t="str">
        <f t="shared" si="284"/>
        <v>Sin Línea Base</v>
      </c>
      <c r="AE909" s="85">
        <f t="shared" si="288"/>
        <v>0</v>
      </c>
      <c r="AF909" s="85">
        <f t="shared" si="289"/>
        <v>-559316354</v>
      </c>
      <c r="AG909" s="40" t="str">
        <f>VLOOKUP(Indicador!E909,Diccionario!C$1:AC$150,27,0)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09" s="40">
        <v>1</v>
      </c>
      <c r="AI909" s="40">
        <v>1</v>
      </c>
    </row>
    <row r="910" spans="1:35" ht="18.75" customHeight="1">
      <c r="A910" s="73">
        <v>2026</v>
      </c>
      <c r="B910" s="112" t="s">
        <v>27</v>
      </c>
      <c r="C910" s="36" t="s">
        <v>499</v>
      </c>
      <c r="D910" s="37">
        <v>46048.919891203703</v>
      </c>
      <c r="E910" s="36" t="s">
        <v>112</v>
      </c>
      <c r="F910" s="36" t="s">
        <v>149</v>
      </c>
      <c r="G910" s="36" t="s">
        <v>500</v>
      </c>
      <c r="H910" s="36" t="s">
        <v>501</v>
      </c>
      <c r="I910" s="36" t="s">
        <v>152</v>
      </c>
      <c r="J910" s="36" t="s">
        <v>502</v>
      </c>
      <c r="K910" s="36" t="s">
        <v>339</v>
      </c>
      <c r="L910" s="74">
        <f>VLOOKUP(E910,Diccionario!C$2:AC$150,22,0)</f>
        <v>559316354</v>
      </c>
      <c r="M910" s="75">
        <f>VLOOKUP(E910,Diccionario!C$2:AC$150,24,0)</f>
        <v>46054</v>
      </c>
      <c r="N910" s="76">
        <f>VLOOKUP(E910,Diccionario!C$2:AC$150,25,0)</f>
        <v>46233</v>
      </c>
      <c r="O910" s="77">
        <f>VLOOKUP(E910,Diccionario!C$2:AC$150,26,0)</f>
        <v>5.97</v>
      </c>
      <c r="P910" s="77">
        <f t="shared" ca="1" si="279"/>
        <v>-0.96999999999999975</v>
      </c>
      <c r="Q910" s="78">
        <f t="shared" ca="1" si="280"/>
        <v>5</v>
      </c>
      <c r="R910" s="36">
        <v>6</v>
      </c>
      <c r="S910" s="86">
        <v>0.4</v>
      </c>
      <c r="T910" s="86"/>
      <c r="U910" s="82"/>
      <c r="V910" s="82"/>
      <c r="W910" s="82">
        <f t="shared" si="285"/>
        <v>0</v>
      </c>
      <c r="X910" s="82">
        <f t="shared" si="281"/>
        <v>223726541.60000002</v>
      </c>
      <c r="Y910" s="82">
        <f t="shared" si="286"/>
        <v>0</v>
      </c>
      <c r="Z910" s="82">
        <f t="shared" si="282"/>
        <v>-223726541.60000002</v>
      </c>
      <c r="AA910" s="83" t="str">
        <f t="shared" si="277"/>
        <v>No se realizó gasto en este corte</v>
      </c>
      <c r="AB910" s="84" t="str">
        <f t="shared" si="283"/>
        <v>Costo eficiente: se está gastando menos de lo presupuestado</v>
      </c>
      <c r="AC910" s="84">
        <f t="shared" si="287"/>
        <v>0</v>
      </c>
      <c r="AD910" s="84" t="str">
        <f t="shared" si="284"/>
        <v>Sin Línea Base</v>
      </c>
      <c r="AE910" s="85">
        <f t="shared" si="288"/>
        <v>0</v>
      </c>
      <c r="AF910" s="85">
        <f t="shared" si="289"/>
        <v>-559316354</v>
      </c>
      <c r="AG910" s="40" t="str">
        <f>VLOOKUP(Indicador!E910,Diccionario!C$1:AC$150,27,0)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10" s="40">
        <v>1</v>
      </c>
      <c r="AI910" s="40">
        <v>1</v>
      </c>
    </row>
    <row r="911" spans="1:35" ht="18.75" customHeight="1">
      <c r="A911" s="73">
        <v>2026</v>
      </c>
      <c r="B911" s="112" t="s">
        <v>13</v>
      </c>
      <c r="C911" s="36" t="s">
        <v>499</v>
      </c>
      <c r="D911" s="37">
        <v>46048.919891203703</v>
      </c>
      <c r="E911" s="36" t="s">
        <v>112</v>
      </c>
      <c r="F911" s="36" t="s">
        <v>149</v>
      </c>
      <c r="G911" s="36" t="s">
        <v>500</v>
      </c>
      <c r="H911" s="36" t="s">
        <v>501</v>
      </c>
      <c r="I911" s="36" t="s">
        <v>152</v>
      </c>
      <c r="J911" s="36" t="s">
        <v>502</v>
      </c>
      <c r="K911" s="36" t="s">
        <v>339</v>
      </c>
      <c r="L911" s="74">
        <f>VLOOKUP(E911,Diccionario!C$2:AC$150,22,0)</f>
        <v>559316354</v>
      </c>
      <c r="M911" s="75">
        <f>VLOOKUP(E911,Diccionario!C$2:AC$150,24,0)</f>
        <v>46054</v>
      </c>
      <c r="N911" s="76">
        <f>VLOOKUP(E911,Diccionario!C$2:AC$150,25,0)</f>
        <v>46233</v>
      </c>
      <c r="O911" s="77">
        <f>VLOOKUP(E911,Diccionario!C$2:AC$150,26,0)</f>
        <v>5.97</v>
      </c>
      <c r="P911" s="77">
        <f t="shared" ca="1" si="279"/>
        <v>-0.96999999999999975</v>
      </c>
      <c r="Q911" s="78">
        <f t="shared" ca="1" si="280"/>
        <v>5</v>
      </c>
      <c r="R911" s="36">
        <v>6</v>
      </c>
      <c r="S911" s="86">
        <v>0.6</v>
      </c>
      <c r="T911" s="86"/>
      <c r="U911" s="82"/>
      <c r="V911" s="82"/>
      <c r="W911" s="82">
        <f t="shared" si="285"/>
        <v>0</v>
      </c>
      <c r="X911" s="82">
        <f t="shared" si="281"/>
        <v>335589812.39999998</v>
      </c>
      <c r="Y911" s="82">
        <f t="shared" si="286"/>
        <v>0</v>
      </c>
      <c r="Z911" s="82">
        <f t="shared" si="282"/>
        <v>-335589812.39999998</v>
      </c>
      <c r="AA911" s="83" t="str">
        <f t="shared" si="277"/>
        <v>No se realizó gasto en este corte</v>
      </c>
      <c r="AB911" s="84" t="str">
        <f t="shared" si="283"/>
        <v>Costo eficiente: se está gastando menos de lo presupuestado</v>
      </c>
      <c r="AC911" s="84">
        <f t="shared" si="287"/>
        <v>0</v>
      </c>
      <c r="AD911" s="84" t="str">
        <f t="shared" si="284"/>
        <v>Sin Línea Base</v>
      </c>
      <c r="AE911" s="85">
        <f t="shared" si="288"/>
        <v>0</v>
      </c>
      <c r="AF911" s="85">
        <f t="shared" si="289"/>
        <v>-559316354</v>
      </c>
      <c r="AG911" s="40" t="str">
        <f>VLOOKUP(Indicador!E911,Diccionario!C$1:AC$150,27,0)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11" s="40">
        <v>1</v>
      </c>
      <c r="AI911" s="40">
        <v>1</v>
      </c>
    </row>
    <row r="912" spans="1:35" ht="18.75" customHeight="1">
      <c r="A912" s="73">
        <v>2026</v>
      </c>
      <c r="B912" s="112" t="s">
        <v>21</v>
      </c>
      <c r="C912" s="36" t="s">
        <v>499</v>
      </c>
      <c r="D912" s="37">
        <v>46048.919891203703</v>
      </c>
      <c r="E912" s="36" t="s">
        <v>112</v>
      </c>
      <c r="F912" s="36" t="s">
        <v>149</v>
      </c>
      <c r="G912" s="36" t="s">
        <v>500</v>
      </c>
      <c r="H912" s="36" t="s">
        <v>501</v>
      </c>
      <c r="I912" s="36" t="s">
        <v>152</v>
      </c>
      <c r="J912" s="36" t="s">
        <v>502</v>
      </c>
      <c r="K912" s="36" t="s">
        <v>339</v>
      </c>
      <c r="L912" s="74">
        <f>VLOOKUP(E912,Diccionario!C$2:AC$150,22,0)</f>
        <v>559316354</v>
      </c>
      <c r="M912" s="75">
        <f>VLOOKUP(E912,Diccionario!C$2:AC$150,24,0)</f>
        <v>46054</v>
      </c>
      <c r="N912" s="76">
        <f>VLOOKUP(E912,Diccionario!C$2:AC$150,25,0)</f>
        <v>46233</v>
      </c>
      <c r="O912" s="77">
        <f>VLOOKUP(E912,Diccionario!C$2:AC$150,26,0)</f>
        <v>5.97</v>
      </c>
      <c r="P912" s="77">
        <f t="shared" ca="1" si="279"/>
        <v>-0.96999999999999975</v>
      </c>
      <c r="Q912" s="78">
        <f t="shared" ca="1" si="280"/>
        <v>5</v>
      </c>
      <c r="R912" s="36">
        <v>6</v>
      </c>
      <c r="S912" s="86">
        <v>0.8</v>
      </c>
      <c r="T912" s="86"/>
      <c r="U912" s="82"/>
      <c r="V912" s="82"/>
      <c r="W912" s="82">
        <f t="shared" si="285"/>
        <v>0</v>
      </c>
      <c r="X912" s="82">
        <f t="shared" si="281"/>
        <v>447453083.20000005</v>
      </c>
      <c r="Y912" s="82">
        <f t="shared" si="286"/>
        <v>0</v>
      </c>
      <c r="Z912" s="82">
        <f t="shared" si="282"/>
        <v>-447453083.20000005</v>
      </c>
      <c r="AA912" s="83" t="str">
        <f t="shared" si="277"/>
        <v>No se realizó gasto en este corte</v>
      </c>
      <c r="AB912" s="84" t="str">
        <f t="shared" si="283"/>
        <v>Costo eficiente: se está gastando menos de lo presupuestado</v>
      </c>
      <c r="AC912" s="84">
        <f t="shared" si="287"/>
        <v>0</v>
      </c>
      <c r="AD912" s="84" t="str">
        <f t="shared" si="284"/>
        <v>Sin Línea Base</v>
      </c>
      <c r="AE912" s="85">
        <f t="shared" si="288"/>
        <v>0</v>
      </c>
      <c r="AF912" s="85">
        <f t="shared" si="289"/>
        <v>-559316354</v>
      </c>
      <c r="AG912" s="40" t="str">
        <f>VLOOKUP(Indicador!E912,Diccionario!C$1:AC$150,27,0)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12" s="40">
        <v>1</v>
      </c>
      <c r="AI912" s="40">
        <v>1</v>
      </c>
    </row>
    <row r="913" spans="1:35" ht="18.75" customHeight="1">
      <c r="A913" s="73">
        <v>2026</v>
      </c>
      <c r="B913" s="112" t="s">
        <v>23</v>
      </c>
      <c r="C913" s="36" t="s">
        <v>499</v>
      </c>
      <c r="D913" s="37">
        <v>46048.919891203703</v>
      </c>
      <c r="E913" s="36" t="s">
        <v>112</v>
      </c>
      <c r="F913" s="36" t="s">
        <v>149</v>
      </c>
      <c r="G913" s="36" t="s">
        <v>500</v>
      </c>
      <c r="H913" s="36" t="s">
        <v>501</v>
      </c>
      <c r="I913" s="36" t="s">
        <v>152</v>
      </c>
      <c r="J913" s="36" t="s">
        <v>502</v>
      </c>
      <c r="K913" s="36" t="s">
        <v>339</v>
      </c>
      <c r="L913" s="74">
        <f>VLOOKUP(E913,Diccionario!C$2:AC$150,22,0)</f>
        <v>559316354</v>
      </c>
      <c r="M913" s="75">
        <f>VLOOKUP(E913,Diccionario!C$2:AC$150,24,0)</f>
        <v>46054</v>
      </c>
      <c r="N913" s="76">
        <f>VLOOKUP(E913,Diccionario!C$2:AC$150,25,0)</f>
        <v>46233</v>
      </c>
      <c r="O913" s="77">
        <f>VLOOKUP(E913,Diccionario!C$2:AC$150,26,0)</f>
        <v>5.97</v>
      </c>
      <c r="P913" s="77">
        <f t="shared" ca="1" si="279"/>
        <v>-0.96999999999999975</v>
      </c>
      <c r="Q913" s="78">
        <f t="shared" ca="1" si="280"/>
        <v>5</v>
      </c>
      <c r="R913" s="36">
        <v>6</v>
      </c>
      <c r="S913" s="86">
        <v>1</v>
      </c>
      <c r="T913" s="86"/>
      <c r="U913" s="82"/>
      <c r="V913" s="82"/>
      <c r="W913" s="82">
        <f t="shared" si="285"/>
        <v>0</v>
      </c>
      <c r="X913" s="82">
        <f t="shared" si="281"/>
        <v>559316354</v>
      </c>
      <c r="Y913" s="82">
        <f t="shared" si="286"/>
        <v>0</v>
      </c>
      <c r="Z913" s="82">
        <f t="shared" si="282"/>
        <v>-559316354</v>
      </c>
      <c r="AA913" s="83" t="str">
        <f t="shared" si="277"/>
        <v>No se realizó gasto en este corte</v>
      </c>
      <c r="AB913" s="84" t="str">
        <f t="shared" si="283"/>
        <v>Costo eficiente: se está gastando menos de lo presupuestado</v>
      </c>
      <c r="AC913" s="84">
        <f t="shared" si="287"/>
        <v>0</v>
      </c>
      <c r="AD913" s="84" t="str">
        <f t="shared" si="284"/>
        <v>Sin Línea Base</v>
      </c>
      <c r="AE913" s="85">
        <f t="shared" si="288"/>
        <v>0</v>
      </c>
      <c r="AF913" s="85">
        <f t="shared" si="289"/>
        <v>-559316354</v>
      </c>
      <c r="AG913" s="40" t="str">
        <f>VLOOKUP(Indicador!E913,Diccionario!C$1:AC$150,27,0)</f>
        <v>https://growdatasas.sharepoint.com/:x:/r/sites/Gestiondocumental/Administrativa/GD/Financiera/_layouts/15/Doc.aspx?sourcedoc=%7B7E88B81F-AC6E-4A4D-BFDA-5A4921E803E6%7D&amp;file=20261601%20MODELO%20FINANCIERO%20REFERENCIA%20V7.6%20INTERNEXA%20SUPERSERVICIOS%202026.xlsm&amp;action=default&amp;mobileredirect=true</v>
      </c>
      <c r="AH913" s="40">
        <v>1</v>
      </c>
      <c r="AI913" s="40">
        <v>1</v>
      </c>
    </row>
    <row r="914" spans="1:35" ht="18.75" customHeight="1">
      <c r="A914" s="102">
        <v>2026</v>
      </c>
      <c r="B914" s="114" t="s">
        <v>22</v>
      </c>
      <c r="C914" s="103" t="s">
        <v>503</v>
      </c>
      <c r="D914" s="104">
        <v>46048.901636655093</v>
      </c>
      <c r="E914" s="103" t="s">
        <v>108</v>
      </c>
      <c r="F914" s="103" t="s">
        <v>190</v>
      </c>
      <c r="G914" s="103" t="s">
        <v>504</v>
      </c>
      <c r="H914" s="103" t="s">
        <v>505</v>
      </c>
      <c r="I914" s="103" t="s">
        <v>152</v>
      </c>
      <c r="J914" s="103" t="s">
        <v>506</v>
      </c>
      <c r="K914" s="103" t="s">
        <v>177</v>
      </c>
      <c r="L914" s="89">
        <f>VLOOKUP(E914,Diccionario!C$2:AC$150,22,0)</f>
        <v>1203158624</v>
      </c>
      <c r="M914" s="90">
        <f>VLOOKUP(E914,Diccionario!C$2:AC$150,24,0)</f>
        <v>46054</v>
      </c>
      <c r="N914" s="91">
        <f>VLOOKUP(E914,Diccionario!C$2:AC$150,25,0)</f>
        <v>46112</v>
      </c>
      <c r="O914" s="105">
        <f>VLOOKUP(E914,Diccionario!C$2:AC$150,26,0)</f>
        <v>2</v>
      </c>
      <c r="P914" s="105">
        <f t="shared" ca="1" si="279"/>
        <v>3</v>
      </c>
      <c r="Q914" s="106">
        <f t="shared" ca="1" si="280"/>
        <v>5</v>
      </c>
      <c r="R914" s="103">
        <v>2</v>
      </c>
      <c r="S914" s="92">
        <v>0.5</v>
      </c>
      <c r="T914" s="92"/>
      <c r="U914" s="107"/>
      <c r="V914" s="107"/>
      <c r="W914" s="107">
        <f t="shared" si="285"/>
        <v>0</v>
      </c>
      <c r="X914" s="107">
        <f t="shared" si="281"/>
        <v>601579312</v>
      </c>
      <c r="Y914" s="107">
        <f t="shared" si="286"/>
        <v>0</v>
      </c>
      <c r="Z914" s="107">
        <f t="shared" si="282"/>
        <v>-601579312</v>
      </c>
      <c r="AA914" s="108" t="str">
        <f t="shared" si="277"/>
        <v>No se realizó gasto en este corte</v>
      </c>
      <c r="AB914" s="109" t="str">
        <f t="shared" si="283"/>
        <v>Costo eficiente: se está gastando menos de lo presupuestado</v>
      </c>
      <c r="AC914" s="109">
        <f t="shared" si="287"/>
        <v>0</v>
      </c>
      <c r="AD914" s="109" t="str">
        <f t="shared" si="284"/>
        <v>Sin Línea Base</v>
      </c>
      <c r="AE914" s="93">
        <f t="shared" si="288"/>
        <v>0</v>
      </c>
      <c r="AF914" s="93">
        <f t="shared" si="289"/>
        <v>-1203158624</v>
      </c>
      <c r="AG914" s="40" t="str">
        <f>VLOOKUP(Indicador!E914,Diccionario!C$1:AC$150,27,0)</f>
        <v>https://growdatasas.sharepoint.com/:x:/r/sites/Gestiondocumental/Administrativa/GD/Financiera/_layouts/15/Doc.aspx?sourcedoc=%7B9943DCC3-2507-4DCD-B6B6-BEC53480E8BA%7D&amp;file=MODELO%20FINANCIERO%20CNE%20LICENCIAMIENTO.xlsm&amp;action=default&amp;mobileredirect=true</v>
      </c>
      <c r="AH914" s="40">
        <v>1</v>
      </c>
      <c r="AI914" s="40">
        <v>1</v>
      </c>
    </row>
    <row r="915" spans="1:35" ht="18.75" customHeight="1">
      <c r="A915" s="73">
        <v>2026</v>
      </c>
      <c r="B915" s="112" t="s">
        <v>507</v>
      </c>
      <c r="C915" s="36" t="s">
        <v>503</v>
      </c>
      <c r="D915" s="37">
        <v>46048.901636655093</v>
      </c>
      <c r="E915" s="36" t="s">
        <v>508</v>
      </c>
      <c r="F915" s="36" t="s">
        <v>162</v>
      </c>
      <c r="G915" s="103" t="s">
        <v>509</v>
      </c>
      <c r="H915" s="36" t="s">
        <v>510</v>
      </c>
      <c r="I915" s="36" t="s">
        <v>165</v>
      </c>
      <c r="J915" s="36">
        <v>403</v>
      </c>
      <c r="K915" s="36" t="s">
        <v>339</v>
      </c>
      <c r="L915" s="74">
        <f>VLOOKUP(E915,Diccionario!C$2:AC$150,22,0)</f>
        <v>233040579</v>
      </c>
      <c r="M915" s="75">
        <f>VLOOKUP(E915,Diccionario!C$2:AC$150,24,0)</f>
        <v>46054</v>
      </c>
      <c r="N915" s="76">
        <f>VLOOKUP(E915,Diccionario!C$2:AC$150,25,0)</f>
        <v>46387</v>
      </c>
      <c r="O915" s="77">
        <f>VLOOKUP(E915,Diccionario!C$2:AC$150,26,0)</f>
        <v>11</v>
      </c>
      <c r="P915" s="77">
        <f t="shared" ca="1" si="279"/>
        <v>-6</v>
      </c>
      <c r="Q915" s="78">
        <f t="shared" ca="1" si="280"/>
        <v>5</v>
      </c>
      <c r="R915" s="36">
        <v>2</v>
      </c>
      <c r="S915" s="86">
        <v>0.08</v>
      </c>
      <c r="T915" s="86">
        <v>5.0000000000000001E-3</v>
      </c>
      <c r="U915" s="82">
        <v>5546224</v>
      </c>
      <c r="V915" s="82">
        <v>5546224</v>
      </c>
      <c r="W915" s="82">
        <f t="shared" si="285"/>
        <v>1165202.895</v>
      </c>
      <c r="X915" s="82">
        <f t="shared" si="281"/>
        <v>18643246.32</v>
      </c>
      <c r="Y915" s="82">
        <f t="shared" si="286"/>
        <v>-4381021.1050000004</v>
      </c>
      <c r="Z915" s="82">
        <f t="shared" si="282"/>
        <v>-17478043.425000001</v>
      </c>
      <c r="AA915" s="83">
        <f t="shared" si="277"/>
        <v>0.21008940407022869</v>
      </c>
      <c r="AB915" s="84" t="str">
        <f t="shared" si="283"/>
        <v>Costo ineficiente: se está gastando más de lo presupuestado</v>
      </c>
      <c r="AC915" s="84">
        <f t="shared" si="287"/>
        <v>6.25E-2</v>
      </c>
      <c r="AD915" s="84" t="str">
        <f t="shared" si="284"/>
        <v>Proyecto atrasado con respecto al cronograma</v>
      </c>
      <c r="AE915" s="85">
        <f t="shared" si="288"/>
        <v>1109244800</v>
      </c>
      <c r="AF915" s="85">
        <f t="shared" si="289"/>
        <v>876204221</v>
      </c>
      <c r="AG915" s="40" t="str">
        <f>VLOOKUP(Indicador!E915,Diccionario!C$1:AC$150,27,0)</f>
        <v>https://growdatasas.sharepoint.com/sites/pwa/ADRES-MEGA HOPEX 2026</v>
      </c>
      <c r="AH915" s="40">
        <v>1</v>
      </c>
      <c r="AI915" s="40">
        <v>1</v>
      </c>
    </row>
    <row r="916" spans="1:35" ht="18.75" customHeight="1">
      <c r="A916" s="73">
        <v>2026</v>
      </c>
      <c r="B916" s="112" t="s">
        <v>22</v>
      </c>
      <c r="C916" s="36" t="s">
        <v>503</v>
      </c>
      <c r="D916" s="37">
        <v>46048.901636655093</v>
      </c>
      <c r="E916" s="36" t="s">
        <v>508</v>
      </c>
      <c r="F916" s="36" t="s">
        <v>162</v>
      </c>
      <c r="G916" s="103" t="s">
        <v>509</v>
      </c>
      <c r="H916" s="36" t="s">
        <v>510</v>
      </c>
      <c r="I916" s="36" t="s">
        <v>165</v>
      </c>
      <c r="J916" s="36">
        <v>403</v>
      </c>
      <c r="K916" s="36" t="s">
        <v>339</v>
      </c>
      <c r="L916" s="74">
        <f>VLOOKUP(E916,Diccionario!C$2:AC$150,22,0)</f>
        <v>233040579</v>
      </c>
      <c r="M916" s="75">
        <f>VLOOKUP(E916,Diccionario!C$2:AC$150,24,0)</f>
        <v>46054</v>
      </c>
      <c r="N916" s="76">
        <f>VLOOKUP(E916,Diccionario!C$2:AC$150,25,0)</f>
        <v>46387</v>
      </c>
      <c r="O916" s="77">
        <f>VLOOKUP(E916,Diccionario!C$2:AC$150,26,0)</f>
        <v>11</v>
      </c>
      <c r="P916" s="77">
        <f t="shared" ref="P916:P926" ca="1" si="290">Q916-O916</f>
        <v>-6</v>
      </c>
      <c r="Q916" s="78">
        <f t="shared" ref="Q916:Q926" ca="1" si="291">DATEDIF(M916,TODAY(),"m")</f>
        <v>5</v>
      </c>
      <c r="R916" s="36">
        <v>2</v>
      </c>
      <c r="S916" s="86">
        <v>0.16</v>
      </c>
      <c r="T916" s="86"/>
      <c r="U916" s="82"/>
      <c r="V916" s="82"/>
      <c r="W916" s="82">
        <f t="shared" ref="W916:W926" si="292">IFERROR(T916*L916,0)</f>
        <v>0</v>
      </c>
      <c r="X916" s="82">
        <f t="shared" ref="X916:X926" si="293">S916*L916</f>
        <v>37286492.640000001</v>
      </c>
      <c r="Y916" s="82">
        <f t="shared" ref="Y916:Y926" si="294">IFERROR(W916-U916,0)</f>
        <v>0</v>
      </c>
      <c r="Z916" s="82">
        <f t="shared" ref="Z916:Z926" si="295">W916-X916</f>
        <v>-37286492.640000001</v>
      </c>
      <c r="AA916" s="83" t="str">
        <f t="shared" ref="AA916:AA926" si="296">IFERROR(W916/U916,"No se realizó gasto en este corte")</f>
        <v>No se realizó gasto en este corte</v>
      </c>
      <c r="AB916" s="84" t="str">
        <f t="shared" ref="AB916:AB926" si="297">IFERROR(
  IF(OR(AA916="",AA916=0),
    "No calculado",
    IF(AA916&gt;1,"Costo eficiente: se está gastando menos de lo presupuestado",
      IF(AA916=1,"Costo según lo presupuestado",
        "Costo ineficiente: se está gastando más de lo presupuestado"))),
"No calculado")</f>
        <v>Costo eficiente: se está gastando menos de lo presupuestado</v>
      </c>
      <c r="AC916" s="84">
        <f t="shared" ref="AC916:AC926" si="298">IFERROR(W916/X916,0)</f>
        <v>0</v>
      </c>
      <c r="AD916" s="84" t="str">
        <f t="shared" ref="AD916:AD926" si="299">IF(OR(AC916="",AC916=0),"Sin Línea Base",
IF(AC916&gt;1,"Proyecto adelantado respecto al cronograma",
IF(AC916=1,"Proyecto a tiempo según lo planificado",
IF(AC916&lt;1,"Proyecto atrasado con respecto al cronograma",
"No calculado"))))</f>
        <v>Sin Línea Base</v>
      </c>
      <c r="AE916" s="85">
        <f t="shared" ref="AE916:AE926" si="300">IFERROR(L916/AA916,0)</f>
        <v>0</v>
      </c>
      <c r="AF916" s="85">
        <f t="shared" ref="AF916:AF926" si="301">IFERROR(AE916-L916,0)</f>
        <v>-233040579</v>
      </c>
      <c r="AG916" s="40" t="str">
        <f>VLOOKUP(Indicador!E916,Diccionario!C$1:AC$150,27,0)</f>
        <v>https://growdatasas.sharepoint.com/sites/pwa/ADRES-MEGA HOPEX 2026</v>
      </c>
      <c r="AH916" s="40">
        <v>1</v>
      </c>
      <c r="AI916" s="40">
        <v>1</v>
      </c>
    </row>
    <row r="917" spans="1:35" ht="18.75" customHeight="1">
      <c r="A917" s="102">
        <v>2026</v>
      </c>
      <c r="B917" s="112" t="s">
        <v>511</v>
      </c>
      <c r="C917" s="103" t="s">
        <v>503</v>
      </c>
      <c r="D917" s="104">
        <v>46048.901636655093</v>
      </c>
      <c r="E917" s="36" t="s">
        <v>508</v>
      </c>
      <c r="F917" s="36" t="s">
        <v>162</v>
      </c>
      <c r="G917" s="103" t="s">
        <v>509</v>
      </c>
      <c r="H917" s="36" t="s">
        <v>510</v>
      </c>
      <c r="I917" s="36" t="s">
        <v>165</v>
      </c>
      <c r="J917" s="36">
        <v>403</v>
      </c>
      <c r="K917" s="36" t="s">
        <v>339</v>
      </c>
      <c r="L917" s="89">
        <f>VLOOKUP(E917,Diccionario!C$2:AC$150,22,0)</f>
        <v>233040579</v>
      </c>
      <c r="M917" s="90">
        <f>VLOOKUP(E917,Diccionario!C$2:AC$150,24,0)</f>
        <v>46054</v>
      </c>
      <c r="N917" s="91">
        <f>VLOOKUP(E917,Diccionario!C$2:AC$150,25,0)</f>
        <v>46387</v>
      </c>
      <c r="O917" s="105">
        <f>VLOOKUP(E917,Diccionario!C$2:AC$150,26,0)</f>
        <v>11</v>
      </c>
      <c r="P917" s="105">
        <f t="shared" ca="1" si="290"/>
        <v>-6</v>
      </c>
      <c r="Q917" s="106">
        <f t="shared" ca="1" si="291"/>
        <v>5</v>
      </c>
      <c r="R917" s="103">
        <v>2</v>
      </c>
      <c r="S917" s="92">
        <v>0.22</v>
      </c>
      <c r="T917" s="92"/>
      <c r="U917" s="107"/>
      <c r="V917" s="107"/>
      <c r="W917" s="107">
        <f t="shared" si="292"/>
        <v>0</v>
      </c>
      <c r="X917" s="107">
        <f t="shared" si="293"/>
        <v>51268927.380000003</v>
      </c>
      <c r="Y917" s="107">
        <f t="shared" si="294"/>
        <v>0</v>
      </c>
      <c r="Z917" s="107">
        <f t="shared" si="295"/>
        <v>-51268927.380000003</v>
      </c>
      <c r="AA917" s="108" t="str">
        <f t="shared" si="296"/>
        <v>No se realizó gasto en este corte</v>
      </c>
      <c r="AB917" s="109" t="str">
        <f t="shared" si="297"/>
        <v>Costo eficiente: se está gastando menos de lo presupuestado</v>
      </c>
      <c r="AC917" s="109">
        <f t="shared" si="298"/>
        <v>0</v>
      </c>
      <c r="AD917" s="109" t="str">
        <f t="shared" si="299"/>
        <v>Sin Línea Base</v>
      </c>
      <c r="AE917" s="93">
        <f t="shared" si="300"/>
        <v>0</v>
      </c>
      <c r="AF917" s="93">
        <f t="shared" si="301"/>
        <v>-233040579</v>
      </c>
      <c r="AG917" s="40" t="str">
        <f>VLOOKUP(Indicador!E917,Diccionario!C$1:AC$150,27,0)</f>
        <v>https://growdatasas.sharepoint.com/sites/pwa/ADRES-MEGA HOPEX 2026</v>
      </c>
      <c r="AH917" s="40">
        <v>1</v>
      </c>
      <c r="AI917" s="40">
        <v>1</v>
      </c>
    </row>
    <row r="918" spans="1:35" ht="18.75" customHeight="1">
      <c r="A918" s="102">
        <v>2026</v>
      </c>
      <c r="B918" s="112" t="s">
        <v>512</v>
      </c>
      <c r="C918" s="103" t="s">
        <v>503</v>
      </c>
      <c r="D918" s="104">
        <v>46048.901636655093</v>
      </c>
      <c r="E918" s="36" t="s">
        <v>508</v>
      </c>
      <c r="F918" s="36" t="s">
        <v>162</v>
      </c>
      <c r="G918" s="103" t="s">
        <v>509</v>
      </c>
      <c r="H918" s="36" t="s">
        <v>510</v>
      </c>
      <c r="I918" s="36" t="s">
        <v>165</v>
      </c>
      <c r="J918" s="36">
        <v>403</v>
      </c>
      <c r="K918" s="36" t="s">
        <v>339</v>
      </c>
      <c r="L918" s="89">
        <f>VLOOKUP(E918,Diccionario!C$2:AC$150,22,0)</f>
        <v>233040579</v>
      </c>
      <c r="M918" s="90">
        <f>VLOOKUP(E918,Diccionario!C$2:AC$150,24,0)</f>
        <v>46054</v>
      </c>
      <c r="N918" s="91">
        <f>VLOOKUP(E918,Diccionario!C$2:AC$150,25,0)</f>
        <v>46387</v>
      </c>
      <c r="O918" s="105">
        <f>VLOOKUP(E918,Diccionario!C$2:AC$150,26,0)</f>
        <v>11</v>
      </c>
      <c r="P918" s="105">
        <f t="shared" ca="1" si="290"/>
        <v>-6</v>
      </c>
      <c r="Q918" s="106">
        <f t="shared" ca="1" si="291"/>
        <v>5</v>
      </c>
      <c r="R918" s="103">
        <v>2</v>
      </c>
      <c r="S918" s="92">
        <v>0.34</v>
      </c>
      <c r="T918" s="92"/>
      <c r="U918" s="107"/>
      <c r="V918" s="107"/>
      <c r="W918" s="107">
        <f t="shared" si="292"/>
        <v>0</v>
      </c>
      <c r="X918" s="107">
        <f t="shared" si="293"/>
        <v>79233796.859999999</v>
      </c>
      <c r="Y918" s="107">
        <f t="shared" si="294"/>
        <v>0</v>
      </c>
      <c r="Z918" s="107">
        <f t="shared" si="295"/>
        <v>-79233796.859999999</v>
      </c>
      <c r="AA918" s="108" t="str">
        <f t="shared" si="296"/>
        <v>No se realizó gasto en este corte</v>
      </c>
      <c r="AB918" s="109" t="str">
        <f t="shared" si="297"/>
        <v>Costo eficiente: se está gastando menos de lo presupuestado</v>
      </c>
      <c r="AC918" s="109">
        <f t="shared" si="298"/>
        <v>0</v>
      </c>
      <c r="AD918" s="109" t="str">
        <f t="shared" si="299"/>
        <v>Sin Línea Base</v>
      </c>
      <c r="AE918" s="93">
        <f t="shared" si="300"/>
        <v>0</v>
      </c>
      <c r="AF918" s="93">
        <f t="shared" si="301"/>
        <v>-233040579</v>
      </c>
      <c r="AG918" s="40" t="str">
        <f>VLOOKUP(Indicador!E918,Diccionario!C$1:AC$150,27,0)</f>
        <v>https://growdatasas.sharepoint.com/sites/pwa/ADRES-MEGA HOPEX 2026</v>
      </c>
      <c r="AH918" s="40">
        <v>1</v>
      </c>
      <c r="AI918" s="40">
        <v>1</v>
      </c>
    </row>
    <row r="919" spans="1:35" ht="18.75" customHeight="1">
      <c r="A919" s="102">
        <v>2026</v>
      </c>
      <c r="B919" s="112" t="s">
        <v>513</v>
      </c>
      <c r="C919" s="103" t="s">
        <v>503</v>
      </c>
      <c r="D919" s="104">
        <v>46048.901636655093</v>
      </c>
      <c r="E919" s="36" t="s">
        <v>508</v>
      </c>
      <c r="F919" s="36" t="s">
        <v>162</v>
      </c>
      <c r="G919" s="103" t="s">
        <v>509</v>
      </c>
      <c r="H919" s="36" t="s">
        <v>510</v>
      </c>
      <c r="I919" s="36" t="s">
        <v>165</v>
      </c>
      <c r="J919" s="36">
        <v>403</v>
      </c>
      <c r="K919" s="36" t="s">
        <v>339</v>
      </c>
      <c r="L919" s="89">
        <f>VLOOKUP(E919,Diccionario!C$2:AC$150,22,0)</f>
        <v>233040579</v>
      </c>
      <c r="M919" s="90">
        <f>VLOOKUP(E919,Diccionario!C$2:AC$150,24,0)</f>
        <v>46054</v>
      </c>
      <c r="N919" s="91">
        <f>VLOOKUP(E919,Diccionario!C$2:AC$150,25,0)</f>
        <v>46387</v>
      </c>
      <c r="O919" s="105">
        <f>VLOOKUP(E919,Diccionario!C$2:AC$150,26,0)</f>
        <v>11</v>
      </c>
      <c r="P919" s="105">
        <f t="shared" ca="1" si="290"/>
        <v>-6</v>
      </c>
      <c r="Q919" s="106">
        <f t="shared" ca="1" si="291"/>
        <v>5</v>
      </c>
      <c r="R919" s="103">
        <v>2</v>
      </c>
      <c r="S919" s="92">
        <v>0.4</v>
      </c>
      <c r="T919" s="92"/>
      <c r="U919" s="107"/>
      <c r="V919" s="107"/>
      <c r="W919" s="107">
        <f t="shared" si="292"/>
        <v>0</v>
      </c>
      <c r="X919" s="107">
        <f t="shared" si="293"/>
        <v>93216231.600000009</v>
      </c>
      <c r="Y919" s="107">
        <f t="shared" si="294"/>
        <v>0</v>
      </c>
      <c r="Z919" s="107">
        <f t="shared" si="295"/>
        <v>-93216231.600000009</v>
      </c>
      <c r="AA919" s="108" t="str">
        <f t="shared" si="296"/>
        <v>No se realizó gasto en este corte</v>
      </c>
      <c r="AB919" s="109" t="str">
        <f t="shared" si="297"/>
        <v>Costo eficiente: se está gastando menos de lo presupuestado</v>
      </c>
      <c r="AC919" s="109">
        <f t="shared" si="298"/>
        <v>0</v>
      </c>
      <c r="AD919" s="109" t="str">
        <f t="shared" si="299"/>
        <v>Sin Línea Base</v>
      </c>
      <c r="AE919" s="93">
        <f t="shared" si="300"/>
        <v>0</v>
      </c>
      <c r="AF919" s="93">
        <f t="shared" si="301"/>
        <v>-233040579</v>
      </c>
      <c r="AG919" s="40" t="str">
        <f>VLOOKUP(Indicador!E919,Diccionario!C$1:AC$150,27,0)</f>
        <v>https://growdatasas.sharepoint.com/sites/pwa/ADRES-MEGA HOPEX 2026</v>
      </c>
      <c r="AH919" s="40">
        <v>1</v>
      </c>
      <c r="AI919" s="40">
        <v>1</v>
      </c>
    </row>
    <row r="920" spans="1:35" ht="18.75" customHeight="1">
      <c r="A920" s="102">
        <v>2026</v>
      </c>
      <c r="B920" s="112" t="s">
        <v>514</v>
      </c>
      <c r="C920" s="103" t="s">
        <v>503</v>
      </c>
      <c r="D920" s="104">
        <v>46048.901636655093</v>
      </c>
      <c r="E920" s="36" t="s">
        <v>508</v>
      </c>
      <c r="F920" s="36" t="s">
        <v>162</v>
      </c>
      <c r="G920" s="103" t="s">
        <v>509</v>
      </c>
      <c r="H920" s="36" t="s">
        <v>510</v>
      </c>
      <c r="I920" s="36" t="s">
        <v>165</v>
      </c>
      <c r="J920" s="36">
        <v>403</v>
      </c>
      <c r="K920" s="36" t="s">
        <v>339</v>
      </c>
      <c r="L920" s="89">
        <f>VLOOKUP(E920,Diccionario!C$2:AC$150,22,0)</f>
        <v>233040579</v>
      </c>
      <c r="M920" s="90">
        <f>VLOOKUP(E920,Diccionario!C$2:AC$150,24,0)</f>
        <v>46054</v>
      </c>
      <c r="N920" s="91">
        <f>VLOOKUP(E920,Diccionario!C$2:AC$150,25,0)</f>
        <v>46387</v>
      </c>
      <c r="O920" s="105">
        <f>VLOOKUP(E920,Diccionario!C$2:AC$150,26,0)</f>
        <v>11</v>
      </c>
      <c r="P920" s="105">
        <f t="shared" ca="1" si="290"/>
        <v>-6</v>
      </c>
      <c r="Q920" s="106">
        <f t="shared" ca="1" si="291"/>
        <v>5</v>
      </c>
      <c r="R920" s="103">
        <v>2</v>
      </c>
      <c r="S920" s="92">
        <v>0.55000000000000004</v>
      </c>
      <c r="T920" s="92"/>
      <c r="U920" s="107"/>
      <c r="V920" s="107"/>
      <c r="W920" s="107">
        <f t="shared" si="292"/>
        <v>0</v>
      </c>
      <c r="X920" s="107">
        <f t="shared" si="293"/>
        <v>128172318.45</v>
      </c>
      <c r="Y920" s="107">
        <f t="shared" si="294"/>
        <v>0</v>
      </c>
      <c r="Z920" s="107">
        <f t="shared" si="295"/>
        <v>-128172318.45</v>
      </c>
      <c r="AA920" s="108" t="str">
        <f t="shared" si="296"/>
        <v>No se realizó gasto en este corte</v>
      </c>
      <c r="AB920" s="109" t="str">
        <f t="shared" si="297"/>
        <v>Costo eficiente: se está gastando menos de lo presupuestado</v>
      </c>
      <c r="AC920" s="109">
        <f t="shared" si="298"/>
        <v>0</v>
      </c>
      <c r="AD920" s="109" t="str">
        <f t="shared" si="299"/>
        <v>Sin Línea Base</v>
      </c>
      <c r="AE920" s="93">
        <f t="shared" si="300"/>
        <v>0</v>
      </c>
      <c r="AF920" s="93">
        <f t="shared" si="301"/>
        <v>-233040579</v>
      </c>
      <c r="AG920" s="40" t="str">
        <f>VLOOKUP(Indicador!E920,Diccionario!C$1:AC$150,27,0)</f>
        <v>https://growdatasas.sharepoint.com/sites/pwa/ADRES-MEGA HOPEX 2026</v>
      </c>
      <c r="AH920" s="40">
        <v>1</v>
      </c>
      <c r="AI920" s="40">
        <v>1</v>
      </c>
    </row>
    <row r="921" spans="1:35" ht="18.75" customHeight="1">
      <c r="A921" s="102">
        <v>2026</v>
      </c>
      <c r="B921" s="112" t="s">
        <v>515</v>
      </c>
      <c r="C921" s="103" t="s">
        <v>503</v>
      </c>
      <c r="D921" s="104">
        <v>46048.901636655093</v>
      </c>
      <c r="E921" s="36" t="s">
        <v>508</v>
      </c>
      <c r="F921" s="36" t="s">
        <v>162</v>
      </c>
      <c r="G921" s="103" t="s">
        <v>509</v>
      </c>
      <c r="H921" s="36" t="s">
        <v>510</v>
      </c>
      <c r="I921" s="36" t="s">
        <v>165</v>
      </c>
      <c r="J921" s="36">
        <v>403</v>
      </c>
      <c r="K921" s="36" t="s">
        <v>339</v>
      </c>
      <c r="L921" s="89">
        <f>VLOOKUP(E921,Diccionario!C$2:AC$150,22,0)</f>
        <v>233040579</v>
      </c>
      <c r="M921" s="90">
        <f>VLOOKUP(E921,Diccionario!C$2:AC$150,24,0)</f>
        <v>46054</v>
      </c>
      <c r="N921" s="91">
        <f>VLOOKUP(E921,Diccionario!C$2:AC$150,25,0)</f>
        <v>46387</v>
      </c>
      <c r="O921" s="105">
        <f>VLOOKUP(E921,Diccionario!C$2:AC$150,26,0)</f>
        <v>11</v>
      </c>
      <c r="P921" s="105">
        <f t="shared" ca="1" si="290"/>
        <v>-6</v>
      </c>
      <c r="Q921" s="106">
        <f t="shared" ca="1" si="291"/>
        <v>5</v>
      </c>
      <c r="R921" s="103">
        <v>2</v>
      </c>
      <c r="S921" s="92">
        <v>0.68</v>
      </c>
      <c r="T921" s="92"/>
      <c r="U921" s="107"/>
      <c r="V921" s="107"/>
      <c r="W921" s="107">
        <f t="shared" si="292"/>
        <v>0</v>
      </c>
      <c r="X921" s="107">
        <f t="shared" si="293"/>
        <v>158467593.72</v>
      </c>
      <c r="Y921" s="107">
        <f t="shared" si="294"/>
        <v>0</v>
      </c>
      <c r="Z921" s="107">
        <f t="shared" si="295"/>
        <v>-158467593.72</v>
      </c>
      <c r="AA921" s="108" t="str">
        <f t="shared" si="296"/>
        <v>No se realizó gasto en este corte</v>
      </c>
      <c r="AB921" s="109" t="str">
        <f t="shared" si="297"/>
        <v>Costo eficiente: se está gastando menos de lo presupuestado</v>
      </c>
      <c r="AC921" s="109">
        <f t="shared" si="298"/>
        <v>0</v>
      </c>
      <c r="AD921" s="109" t="str">
        <f t="shared" si="299"/>
        <v>Sin Línea Base</v>
      </c>
      <c r="AE921" s="93">
        <f t="shared" si="300"/>
        <v>0</v>
      </c>
      <c r="AF921" s="93">
        <f t="shared" si="301"/>
        <v>-233040579</v>
      </c>
      <c r="AG921" s="40" t="str">
        <f>VLOOKUP(Indicador!E921,Diccionario!C$1:AC$150,27,0)</f>
        <v>https://growdatasas.sharepoint.com/sites/pwa/ADRES-MEGA HOPEX 2026</v>
      </c>
      <c r="AH921" s="40">
        <v>1</v>
      </c>
      <c r="AI921" s="40">
        <v>1</v>
      </c>
    </row>
    <row r="922" spans="1:35" ht="18.75" customHeight="1">
      <c r="A922" s="102">
        <v>2026</v>
      </c>
      <c r="B922" s="112" t="s">
        <v>516</v>
      </c>
      <c r="C922" s="103" t="s">
        <v>503</v>
      </c>
      <c r="D922" s="104">
        <v>46048.901636655093</v>
      </c>
      <c r="E922" s="36" t="s">
        <v>508</v>
      </c>
      <c r="F922" s="36" t="s">
        <v>162</v>
      </c>
      <c r="G922" s="103" t="s">
        <v>509</v>
      </c>
      <c r="H922" s="36" t="s">
        <v>510</v>
      </c>
      <c r="I922" s="36" t="s">
        <v>165</v>
      </c>
      <c r="J922" s="36">
        <v>403</v>
      </c>
      <c r="K922" s="36" t="s">
        <v>339</v>
      </c>
      <c r="L922" s="89">
        <f>VLOOKUP(E922,Diccionario!C$2:AC$150,22,0)</f>
        <v>233040579</v>
      </c>
      <c r="M922" s="90">
        <f>VLOOKUP(E922,Diccionario!C$2:AC$150,24,0)</f>
        <v>46054</v>
      </c>
      <c r="N922" s="91">
        <f>VLOOKUP(E922,Diccionario!C$2:AC$150,25,0)</f>
        <v>46387</v>
      </c>
      <c r="O922" s="105">
        <f>VLOOKUP(E922,Diccionario!C$2:AC$150,26,0)</f>
        <v>11</v>
      </c>
      <c r="P922" s="105">
        <f t="shared" ca="1" si="290"/>
        <v>-6</v>
      </c>
      <c r="Q922" s="106">
        <f t="shared" ca="1" si="291"/>
        <v>5</v>
      </c>
      <c r="R922" s="103">
        <v>2</v>
      </c>
      <c r="S922" s="92">
        <v>0.75</v>
      </c>
      <c r="T922" s="92"/>
      <c r="U922" s="107"/>
      <c r="V922" s="107"/>
      <c r="W922" s="107">
        <f t="shared" si="292"/>
        <v>0</v>
      </c>
      <c r="X922" s="107">
        <f t="shared" si="293"/>
        <v>174780434.25</v>
      </c>
      <c r="Y922" s="107">
        <f t="shared" si="294"/>
        <v>0</v>
      </c>
      <c r="Z922" s="107">
        <f t="shared" si="295"/>
        <v>-174780434.25</v>
      </c>
      <c r="AA922" s="108" t="str">
        <f t="shared" si="296"/>
        <v>No se realizó gasto en este corte</v>
      </c>
      <c r="AB922" s="109" t="str">
        <f t="shared" si="297"/>
        <v>Costo eficiente: se está gastando menos de lo presupuestado</v>
      </c>
      <c r="AC922" s="109">
        <f t="shared" si="298"/>
        <v>0</v>
      </c>
      <c r="AD922" s="109" t="str">
        <f t="shared" si="299"/>
        <v>Sin Línea Base</v>
      </c>
      <c r="AE922" s="93">
        <f t="shared" si="300"/>
        <v>0</v>
      </c>
      <c r="AF922" s="93">
        <f t="shared" si="301"/>
        <v>-233040579</v>
      </c>
      <c r="AG922" s="40" t="str">
        <f>VLOOKUP(Indicador!E922,Diccionario!C$1:AC$150,27,0)</f>
        <v>https://growdatasas.sharepoint.com/sites/pwa/ADRES-MEGA HOPEX 2026</v>
      </c>
      <c r="AH922" s="40">
        <v>1</v>
      </c>
      <c r="AI922" s="40">
        <v>1</v>
      </c>
    </row>
    <row r="923" spans="1:35" ht="18.75" customHeight="1">
      <c r="A923" s="102">
        <v>2026</v>
      </c>
      <c r="B923" s="112" t="s">
        <v>517</v>
      </c>
      <c r="C923" s="103" t="s">
        <v>503</v>
      </c>
      <c r="D923" s="104">
        <v>46048.901636655093</v>
      </c>
      <c r="E923" s="36" t="s">
        <v>508</v>
      </c>
      <c r="F923" s="36" t="s">
        <v>162</v>
      </c>
      <c r="G923" s="103" t="s">
        <v>509</v>
      </c>
      <c r="H923" s="36" t="s">
        <v>510</v>
      </c>
      <c r="I923" s="36" t="s">
        <v>165</v>
      </c>
      <c r="J923" s="36">
        <v>403</v>
      </c>
      <c r="K923" s="36" t="s">
        <v>339</v>
      </c>
      <c r="L923" s="89">
        <f>VLOOKUP(E923,Diccionario!C$2:AC$150,22,0)</f>
        <v>233040579</v>
      </c>
      <c r="M923" s="90">
        <f>VLOOKUP(E923,Diccionario!C$2:AC$150,24,0)</f>
        <v>46054</v>
      </c>
      <c r="N923" s="91">
        <f>VLOOKUP(E923,Diccionario!C$2:AC$150,25,0)</f>
        <v>46387</v>
      </c>
      <c r="O923" s="105">
        <f>VLOOKUP(E923,Diccionario!C$2:AC$150,26,0)</f>
        <v>11</v>
      </c>
      <c r="P923" s="105">
        <f t="shared" ca="1" si="290"/>
        <v>-6</v>
      </c>
      <c r="Q923" s="106">
        <f t="shared" ca="1" si="291"/>
        <v>5</v>
      </c>
      <c r="R923" s="103">
        <v>2</v>
      </c>
      <c r="S923" s="92">
        <v>0.82</v>
      </c>
      <c r="T923" s="92"/>
      <c r="U923" s="107"/>
      <c r="V923" s="107"/>
      <c r="W923" s="107">
        <f t="shared" si="292"/>
        <v>0</v>
      </c>
      <c r="X923" s="107">
        <f t="shared" si="293"/>
        <v>191093274.78</v>
      </c>
      <c r="Y923" s="107">
        <f t="shared" si="294"/>
        <v>0</v>
      </c>
      <c r="Z923" s="107">
        <f t="shared" si="295"/>
        <v>-191093274.78</v>
      </c>
      <c r="AA923" s="108" t="str">
        <f t="shared" si="296"/>
        <v>No se realizó gasto en este corte</v>
      </c>
      <c r="AB923" s="109" t="str">
        <f t="shared" si="297"/>
        <v>Costo eficiente: se está gastando menos de lo presupuestado</v>
      </c>
      <c r="AC923" s="109">
        <f t="shared" si="298"/>
        <v>0</v>
      </c>
      <c r="AD923" s="109" t="str">
        <f t="shared" si="299"/>
        <v>Sin Línea Base</v>
      </c>
      <c r="AE923" s="93">
        <f t="shared" si="300"/>
        <v>0</v>
      </c>
      <c r="AF923" s="93">
        <f t="shared" si="301"/>
        <v>-233040579</v>
      </c>
      <c r="AG923" s="40" t="str">
        <f>VLOOKUP(Indicador!E923,Diccionario!C$1:AC$150,27,0)</f>
        <v>https://growdatasas.sharepoint.com/sites/pwa/ADRES-MEGA HOPEX 2026</v>
      </c>
      <c r="AH923" s="40">
        <v>1</v>
      </c>
      <c r="AI923" s="40">
        <v>1</v>
      </c>
    </row>
    <row r="924" spans="1:35" ht="18.75" customHeight="1">
      <c r="A924" s="102">
        <v>2026</v>
      </c>
      <c r="B924" s="112" t="s">
        <v>518</v>
      </c>
      <c r="C924" s="103" t="s">
        <v>503</v>
      </c>
      <c r="D924" s="104">
        <v>46048.901636655093</v>
      </c>
      <c r="E924" s="36" t="s">
        <v>508</v>
      </c>
      <c r="F924" s="36" t="s">
        <v>162</v>
      </c>
      <c r="G924" s="103" t="s">
        <v>509</v>
      </c>
      <c r="H924" s="36" t="s">
        <v>510</v>
      </c>
      <c r="I924" s="36" t="s">
        <v>165</v>
      </c>
      <c r="J924" s="36">
        <v>403</v>
      </c>
      <c r="K924" s="36" t="s">
        <v>339</v>
      </c>
      <c r="L924" s="89">
        <f>VLOOKUP(E924,Diccionario!C$2:AC$150,22,0)</f>
        <v>233040579</v>
      </c>
      <c r="M924" s="90">
        <f>VLOOKUP(E924,Diccionario!C$2:AC$150,24,0)</f>
        <v>46054</v>
      </c>
      <c r="N924" s="91">
        <f>VLOOKUP(E924,Diccionario!C$2:AC$150,25,0)</f>
        <v>46387</v>
      </c>
      <c r="O924" s="105">
        <f>VLOOKUP(E924,Diccionario!C$2:AC$150,26,0)</f>
        <v>11</v>
      </c>
      <c r="P924" s="105">
        <f t="shared" ca="1" si="290"/>
        <v>-6</v>
      </c>
      <c r="Q924" s="106">
        <f t="shared" ca="1" si="291"/>
        <v>5</v>
      </c>
      <c r="R924" s="103">
        <v>2</v>
      </c>
      <c r="S924" s="92">
        <v>0.9</v>
      </c>
      <c r="T924" s="92"/>
      <c r="U924" s="107"/>
      <c r="V924" s="107"/>
      <c r="W924" s="107">
        <f t="shared" si="292"/>
        <v>0</v>
      </c>
      <c r="X924" s="107">
        <f t="shared" si="293"/>
        <v>209736521.09999999</v>
      </c>
      <c r="Y924" s="107">
        <f t="shared" si="294"/>
        <v>0</v>
      </c>
      <c r="Z924" s="107">
        <f t="shared" si="295"/>
        <v>-209736521.09999999</v>
      </c>
      <c r="AA924" s="108" t="str">
        <f t="shared" si="296"/>
        <v>No se realizó gasto en este corte</v>
      </c>
      <c r="AB924" s="109" t="str">
        <f t="shared" si="297"/>
        <v>Costo eficiente: se está gastando menos de lo presupuestado</v>
      </c>
      <c r="AC924" s="109">
        <f t="shared" si="298"/>
        <v>0</v>
      </c>
      <c r="AD924" s="109" t="str">
        <f t="shared" si="299"/>
        <v>Sin Línea Base</v>
      </c>
      <c r="AE924" s="93">
        <f t="shared" si="300"/>
        <v>0</v>
      </c>
      <c r="AF924" s="93">
        <f t="shared" si="301"/>
        <v>-233040579</v>
      </c>
      <c r="AG924" s="40" t="str">
        <f>VLOOKUP(Indicador!E924,Diccionario!C$1:AC$150,27,0)</f>
        <v>https://growdatasas.sharepoint.com/sites/pwa/ADRES-MEGA HOPEX 2026</v>
      </c>
      <c r="AH924" s="40">
        <v>1</v>
      </c>
      <c r="AI924" s="40">
        <v>1</v>
      </c>
    </row>
    <row r="925" spans="1:35" ht="18.75" customHeight="1">
      <c r="A925" s="102">
        <v>2026</v>
      </c>
      <c r="B925" s="112" t="s">
        <v>519</v>
      </c>
      <c r="C925" s="103" t="s">
        <v>503</v>
      </c>
      <c r="D925" s="104">
        <v>46048.901636655093</v>
      </c>
      <c r="E925" s="36" t="s">
        <v>508</v>
      </c>
      <c r="F925" s="36" t="s">
        <v>162</v>
      </c>
      <c r="G925" s="103" t="s">
        <v>509</v>
      </c>
      <c r="H925" s="36" t="s">
        <v>510</v>
      </c>
      <c r="I925" s="36" t="s">
        <v>165</v>
      </c>
      <c r="J925" s="36">
        <v>403</v>
      </c>
      <c r="K925" s="36" t="s">
        <v>339</v>
      </c>
      <c r="L925" s="89">
        <f>VLOOKUP(E925,Diccionario!C$2:AC$150,22,0)</f>
        <v>233040579</v>
      </c>
      <c r="M925" s="90">
        <f>VLOOKUP(E925,Diccionario!C$2:AC$150,24,0)</f>
        <v>46054</v>
      </c>
      <c r="N925" s="91">
        <f>VLOOKUP(E925,Diccionario!C$2:AC$150,25,0)</f>
        <v>46387</v>
      </c>
      <c r="O925" s="105">
        <f>VLOOKUP(E925,Diccionario!C$2:AC$150,26,0)</f>
        <v>11</v>
      </c>
      <c r="P925" s="105">
        <f t="shared" ca="1" si="290"/>
        <v>-6</v>
      </c>
      <c r="Q925" s="106">
        <f t="shared" ca="1" si="291"/>
        <v>5</v>
      </c>
      <c r="R925" s="103">
        <v>2</v>
      </c>
      <c r="S925" s="92">
        <v>0.95</v>
      </c>
      <c r="T925" s="92"/>
      <c r="U925" s="107"/>
      <c r="V925" s="107"/>
      <c r="W925" s="107">
        <f t="shared" si="292"/>
        <v>0</v>
      </c>
      <c r="X925" s="107">
        <f t="shared" si="293"/>
        <v>221388550.04999998</v>
      </c>
      <c r="Y925" s="107">
        <f t="shared" si="294"/>
        <v>0</v>
      </c>
      <c r="Z925" s="107">
        <f t="shared" si="295"/>
        <v>-221388550.04999998</v>
      </c>
      <c r="AA925" s="108" t="str">
        <f t="shared" si="296"/>
        <v>No se realizó gasto en este corte</v>
      </c>
      <c r="AB925" s="109" t="str">
        <f t="shared" si="297"/>
        <v>Costo eficiente: se está gastando menos de lo presupuestado</v>
      </c>
      <c r="AC925" s="109">
        <f t="shared" si="298"/>
        <v>0</v>
      </c>
      <c r="AD925" s="109" t="str">
        <f t="shared" si="299"/>
        <v>Sin Línea Base</v>
      </c>
      <c r="AE925" s="93">
        <f t="shared" si="300"/>
        <v>0</v>
      </c>
      <c r="AF925" s="93">
        <f t="shared" si="301"/>
        <v>-233040579</v>
      </c>
      <c r="AG925" s="40" t="str">
        <f>VLOOKUP(Indicador!E925,Diccionario!C$1:AC$150,27,0)</f>
        <v>https://growdatasas.sharepoint.com/sites/pwa/ADRES-MEGA HOPEX 2026</v>
      </c>
      <c r="AH925" s="40">
        <v>1</v>
      </c>
      <c r="AI925" s="40">
        <v>1</v>
      </c>
    </row>
    <row r="926" spans="1:35" ht="18.75" customHeight="1">
      <c r="A926" s="102">
        <v>2026</v>
      </c>
      <c r="B926" s="112" t="s">
        <v>520</v>
      </c>
      <c r="C926" s="103" t="s">
        <v>503</v>
      </c>
      <c r="D926" s="104">
        <v>46048.901636655093</v>
      </c>
      <c r="E926" s="36" t="s">
        <v>508</v>
      </c>
      <c r="F926" s="36" t="s">
        <v>162</v>
      </c>
      <c r="G926" s="103" t="s">
        <v>509</v>
      </c>
      <c r="H926" s="36" t="s">
        <v>510</v>
      </c>
      <c r="I926" s="36" t="s">
        <v>165</v>
      </c>
      <c r="J926" s="36">
        <v>403</v>
      </c>
      <c r="K926" s="36" t="s">
        <v>339</v>
      </c>
      <c r="L926" s="89">
        <f>VLOOKUP(E926,Diccionario!C$2:AC$150,22,0)</f>
        <v>233040579</v>
      </c>
      <c r="M926" s="90">
        <f>VLOOKUP(E926,Diccionario!C$2:AC$150,24,0)</f>
        <v>46054</v>
      </c>
      <c r="N926" s="91">
        <f>VLOOKUP(E926,Diccionario!C$2:AC$150,25,0)</f>
        <v>46387</v>
      </c>
      <c r="O926" s="105">
        <f>VLOOKUP(E926,Diccionario!C$2:AC$150,26,0)</f>
        <v>11</v>
      </c>
      <c r="P926" s="105">
        <f t="shared" ca="1" si="290"/>
        <v>-6</v>
      </c>
      <c r="Q926" s="106">
        <f t="shared" ca="1" si="291"/>
        <v>5</v>
      </c>
      <c r="R926" s="103">
        <v>2</v>
      </c>
      <c r="S926" s="92">
        <v>1</v>
      </c>
      <c r="T926" s="92"/>
      <c r="U926" s="107"/>
      <c r="V926" s="107"/>
      <c r="W926" s="107">
        <f t="shared" si="292"/>
        <v>0</v>
      </c>
      <c r="X926" s="107">
        <f t="shared" si="293"/>
        <v>233040579</v>
      </c>
      <c r="Y926" s="107">
        <f t="shared" si="294"/>
        <v>0</v>
      </c>
      <c r="Z926" s="107">
        <f t="shared" si="295"/>
        <v>-233040579</v>
      </c>
      <c r="AA926" s="108" t="str">
        <f t="shared" si="296"/>
        <v>No se realizó gasto en este corte</v>
      </c>
      <c r="AB926" s="109" t="str">
        <f t="shared" si="297"/>
        <v>Costo eficiente: se está gastando menos de lo presupuestado</v>
      </c>
      <c r="AC926" s="109">
        <f t="shared" si="298"/>
        <v>0</v>
      </c>
      <c r="AD926" s="109" t="str">
        <f t="shared" si="299"/>
        <v>Sin Línea Base</v>
      </c>
      <c r="AE926" s="93">
        <f t="shared" si="300"/>
        <v>0</v>
      </c>
      <c r="AF926" s="93">
        <f t="shared" si="301"/>
        <v>-233040579</v>
      </c>
      <c r="AG926" s="40" t="str">
        <f>VLOOKUP(Indicador!E926,Diccionario!C$1:AC$150,27,0)</f>
        <v>https://growdatasas.sharepoint.com/sites/pwa/ADRES-MEGA HOPEX 2026</v>
      </c>
      <c r="AH926" s="40">
        <v>1</v>
      </c>
      <c r="AI926" s="40">
        <v>1</v>
      </c>
    </row>
  </sheetData>
  <phoneticPr fontId="14" type="noConversion"/>
  <conditionalFormatting sqref="J48:J53">
    <cfRule type="duplicateValues" dxfId="60" priority="7"/>
    <cfRule type="duplicateValues" dxfId="59" priority="8"/>
  </conditionalFormatting>
  <conditionalFormatting sqref="J22:J47">
    <cfRule type="duplicateValues" dxfId="58" priority="5"/>
    <cfRule type="duplicateValues" dxfId="57" priority="6"/>
  </conditionalFormatting>
  <conditionalFormatting sqref="J14:J21">
    <cfRule type="duplicateValues" dxfId="56" priority="3"/>
    <cfRule type="duplicateValues" dxfId="55" priority="4"/>
  </conditionalFormatting>
  <conditionalFormatting sqref="J6:J13">
    <cfRule type="duplicateValues" dxfId="54" priority="1"/>
    <cfRule type="duplicateValues" dxfId="53" priority="2"/>
  </conditionalFormatting>
  <pageMargins left="0.7" right="0.7" top="0.75" bottom="0.75" header="0.3" footer="0.3"/>
  <ignoredErrors>
    <ignoredError sqref="S121" formula="1"/>
    <ignoredError sqref="Q94" calculatedColumn="1"/>
  </ignoredErrors>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3924-BCF0-4E0B-AB8D-44C8F87102AE}">
  <dimension ref="A1:AM93"/>
  <sheetViews>
    <sheetView workbookViewId="0">
      <selection activeCell="E11" sqref="E11"/>
    </sheetView>
  </sheetViews>
  <sheetFormatPr defaultColWidth="11.42578125" defaultRowHeight="15"/>
  <cols>
    <col min="4" max="4" width="23.140625" bestFit="1" customWidth="1"/>
    <col min="5" max="5" width="48.5703125" customWidth="1"/>
  </cols>
  <sheetData>
    <row r="1" spans="1:39" ht="13.5" customHeight="1">
      <c r="A1" s="20" t="s">
        <v>116</v>
      </c>
      <c r="B1" s="20" t="s">
        <v>117</v>
      </c>
      <c r="C1" s="20" t="s">
        <v>118</v>
      </c>
      <c r="D1" s="20" t="s">
        <v>119</v>
      </c>
      <c r="E1" s="20" t="s">
        <v>0</v>
      </c>
      <c r="F1" s="20" t="s">
        <v>120</v>
      </c>
      <c r="G1" s="20" t="s">
        <v>121</v>
      </c>
      <c r="H1" s="20" t="s">
        <v>122</v>
      </c>
      <c r="I1" s="20" t="s">
        <v>123</v>
      </c>
      <c r="J1" s="21" t="s">
        <v>124</v>
      </c>
      <c r="K1" s="22" t="s">
        <v>125</v>
      </c>
      <c r="L1" s="23" t="s">
        <v>126</v>
      </c>
      <c r="M1" s="20" t="s">
        <v>127</v>
      </c>
      <c r="N1" s="20" t="s">
        <v>128</v>
      </c>
      <c r="O1" s="20" t="s">
        <v>129</v>
      </c>
      <c r="P1" s="23" t="s">
        <v>130</v>
      </c>
      <c r="Q1" s="22" t="s">
        <v>131</v>
      </c>
      <c r="R1" s="22" t="s">
        <v>132</v>
      </c>
      <c r="S1" s="24" t="s">
        <v>133</v>
      </c>
      <c r="T1" s="22" t="s">
        <v>134</v>
      </c>
      <c r="U1" s="23" t="s">
        <v>135</v>
      </c>
      <c r="V1" s="22" t="s">
        <v>137</v>
      </c>
      <c r="W1" s="22" t="s">
        <v>138</v>
      </c>
      <c r="X1" s="22" t="s">
        <v>139</v>
      </c>
      <c r="Y1" s="22" t="s">
        <v>140</v>
      </c>
      <c r="Z1" s="22" t="s">
        <v>2</v>
      </c>
      <c r="AA1" s="22" t="s">
        <v>141</v>
      </c>
      <c r="AB1" s="22" t="s">
        <v>3</v>
      </c>
      <c r="AC1" s="22" t="s">
        <v>142</v>
      </c>
      <c r="AD1" s="23" t="s">
        <v>143</v>
      </c>
      <c r="AE1" s="23" t="s">
        <v>144</v>
      </c>
      <c r="AF1" s="24" t="s">
        <v>521</v>
      </c>
      <c r="AG1" s="22" t="s">
        <v>522</v>
      </c>
      <c r="AH1" s="25" t="s">
        <v>523</v>
      </c>
      <c r="AI1" s="26" t="s">
        <v>524</v>
      </c>
      <c r="AJ1" s="22" t="s">
        <v>525</v>
      </c>
      <c r="AK1" s="27" t="s">
        <v>526</v>
      </c>
      <c r="AL1" s="27" t="s">
        <v>125</v>
      </c>
      <c r="AM1" s="28" t="s">
        <v>527</v>
      </c>
    </row>
    <row r="2" spans="1:39" ht="16.5">
      <c r="A2" s="2">
        <v>2026</v>
      </c>
      <c r="B2" s="2" t="s">
        <v>14</v>
      </c>
      <c r="C2" s="3" t="s">
        <v>528</v>
      </c>
      <c r="D2" s="4">
        <v>45747.902970868054</v>
      </c>
      <c r="E2" s="5" t="s">
        <v>529</v>
      </c>
      <c r="F2" s="3" t="s">
        <v>190</v>
      </c>
      <c r="G2" s="3" t="s">
        <v>530</v>
      </c>
      <c r="H2" s="3" t="s">
        <v>531</v>
      </c>
      <c r="I2" s="3" t="s">
        <v>532</v>
      </c>
      <c r="J2" s="5" t="s">
        <v>533</v>
      </c>
      <c r="K2" s="2" t="s">
        <v>177</v>
      </c>
      <c r="L2" s="17">
        <v>3323223361.3445377</v>
      </c>
      <c r="M2" s="16">
        <v>45300</v>
      </c>
      <c r="N2" s="16">
        <v>45449</v>
      </c>
      <c r="O2" s="18">
        <v>6</v>
      </c>
      <c r="P2" s="11">
        <v>-18</v>
      </c>
      <c r="Q2" s="18">
        <v>24</v>
      </c>
      <c r="R2" s="18">
        <v>6</v>
      </c>
      <c r="S2" s="29">
        <v>1</v>
      </c>
      <c r="T2" s="29">
        <v>0.9</v>
      </c>
      <c r="U2" s="19">
        <v>3400741046.2333336</v>
      </c>
      <c r="V2" s="14">
        <v>2990901025.210084</v>
      </c>
      <c r="W2" s="14">
        <v>3323223361.3445377</v>
      </c>
      <c r="X2" s="14">
        <v>-409840021.02324963</v>
      </c>
      <c r="Y2" s="14">
        <v>-332322336.13445377</v>
      </c>
      <c r="Z2" s="15">
        <v>0.87948508414741278</v>
      </c>
      <c r="AA2" s="15" t="s">
        <v>534</v>
      </c>
      <c r="AB2" s="15">
        <v>0.9</v>
      </c>
      <c r="AC2" s="15" t="s">
        <v>29</v>
      </c>
      <c r="AD2" s="12">
        <v>3778601162.4814816</v>
      </c>
      <c r="AE2" s="12">
        <v>455377801.13694382</v>
      </c>
      <c r="AF2" s="13">
        <v>0</v>
      </c>
      <c r="AG2" s="11" t="s">
        <v>535</v>
      </c>
      <c r="AH2" s="13">
        <v>0</v>
      </c>
      <c r="AI2" s="11" t="s">
        <v>536</v>
      </c>
      <c r="AJ2" s="13">
        <v>0</v>
      </c>
      <c r="AK2" s="11" t="s">
        <v>537</v>
      </c>
      <c r="AL2" s="11" t="s">
        <v>538</v>
      </c>
      <c r="AM2" s="11" t="s">
        <v>539</v>
      </c>
    </row>
    <row r="3" spans="1:39" ht="16.5">
      <c r="A3" s="2">
        <v>2026</v>
      </c>
      <c r="B3" s="2" t="s">
        <v>14</v>
      </c>
      <c r="C3" s="3" t="s">
        <v>495</v>
      </c>
      <c r="D3" s="4">
        <v>46051.102793749997</v>
      </c>
      <c r="E3" s="5" t="s">
        <v>106</v>
      </c>
      <c r="F3" s="3" t="s">
        <v>276</v>
      </c>
      <c r="G3" s="3" t="s">
        <v>496</v>
      </c>
      <c r="H3" s="3" t="s">
        <v>497</v>
      </c>
      <c r="I3" s="3" t="s">
        <v>175</v>
      </c>
      <c r="J3" s="5" t="s">
        <v>498</v>
      </c>
      <c r="K3" s="2" t="s">
        <v>339</v>
      </c>
      <c r="L3" s="30"/>
      <c r="M3" s="16"/>
      <c r="N3" s="16"/>
      <c r="O3" s="5"/>
      <c r="P3" s="11"/>
      <c r="Q3" s="18"/>
      <c r="R3" s="18"/>
      <c r="S3" s="29"/>
      <c r="T3" s="29"/>
      <c r="U3" s="17"/>
      <c r="V3" s="14"/>
      <c r="W3" s="14"/>
      <c r="X3" s="14"/>
      <c r="Y3" s="14"/>
      <c r="Z3" s="15"/>
      <c r="AA3" s="15"/>
      <c r="AB3" s="15"/>
      <c r="AC3" s="15"/>
      <c r="AD3" s="12"/>
      <c r="AE3" s="12"/>
      <c r="AF3" s="13"/>
      <c r="AG3" s="11"/>
      <c r="AH3" s="13"/>
      <c r="AI3" s="11"/>
      <c r="AJ3" s="13"/>
      <c r="AK3" s="11"/>
      <c r="AL3" s="11"/>
      <c r="AM3" s="11"/>
    </row>
    <row r="4" spans="1:39" ht="16.5">
      <c r="A4" s="2">
        <v>2026</v>
      </c>
      <c r="B4" s="2" t="s">
        <v>14</v>
      </c>
      <c r="C4" s="2" t="s">
        <v>492</v>
      </c>
      <c r="D4" s="6">
        <v>46051.084417627317</v>
      </c>
      <c r="E4" s="5" t="s">
        <v>103</v>
      </c>
      <c r="F4" s="2" t="s">
        <v>162</v>
      </c>
      <c r="G4" s="2" t="s">
        <v>493</v>
      </c>
      <c r="H4" s="2" t="s">
        <v>494</v>
      </c>
      <c r="I4" s="2" t="s">
        <v>175</v>
      </c>
      <c r="J4" s="5" t="s">
        <v>477</v>
      </c>
      <c r="K4" s="2" t="s">
        <v>177</v>
      </c>
      <c r="L4" s="30"/>
      <c r="M4" s="16"/>
      <c r="N4" s="16"/>
      <c r="O4" s="5"/>
      <c r="P4" s="11"/>
      <c r="Q4" s="5"/>
      <c r="R4" s="5"/>
      <c r="S4" s="5"/>
      <c r="T4" s="5"/>
      <c r="U4" s="5"/>
      <c r="V4" s="14"/>
      <c r="W4" s="14"/>
      <c r="X4" s="14"/>
      <c r="Y4" s="14"/>
      <c r="Z4" s="15"/>
      <c r="AA4" s="15"/>
      <c r="AB4" s="15"/>
      <c r="AC4" s="15"/>
      <c r="AD4" s="12"/>
      <c r="AE4" s="12"/>
      <c r="AF4" s="13"/>
      <c r="AG4" s="11"/>
      <c r="AH4" s="13"/>
      <c r="AI4" s="11"/>
      <c r="AJ4" s="13"/>
      <c r="AK4" s="11"/>
      <c r="AL4" s="11"/>
      <c r="AM4" s="11"/>
    </row>
    <row r="5" spans="1:39" ht="16.5">
      <c r="A5" s="2">
        <v>2026</v>
      </c>
      <c r="B5" s="2" t="s">
        <v>14</v>
      </c>
      <c r="C5" s="3" t="s">
        <v>499</v>
      </c>
      <c r="D5" s="4">
        <v>46048.919891203703</v>
      </c>
      <c r="E5" s="5" t="s">
        <v>112</v>
      </c>
      <c r="F5" s="3" t="s">
        <v>149</v>
      </c>
      <c r="G5" s="3" t="s">
        <v>500</v>
      </c>
      <c r="H5" s="3" t="s">
        <v>501</v>
      </c>
      <c r="I5" s="3" t="s">
        <v>152</v>
      </c>
      <c r="J5" s="5" t="s">
        <v>502</v>
      </c>
      <c r="K5" s="2" t="s">
        <v>339</v>
      </c>
      <c r="L5" s="30"/>
      <c r="M5" s="16"/>
      <c r="N5" s="16"/>
      <c r="O5" s="5"/>
      <c r="P5" s="11"/>
      <c r="Q5" s="5"/>
      <c r="R5" s="5"/>
      <c r="S5" s="5"/>
      <c r="T5" s="5"/>
      <c r="U5" s="5"/>
      <c r="V5" s="14"/>
      <c r="W5" s="14"/>
      <c r="X5" s="14"/>
      <c r="Y5" s="14"/>
      <c r="Z5" s="15"/>
      <c r="AA5" s="15"/>
      <c r="AB5" s="15"/>
      <c r="AC5" s="15"/>
      <c r="AD5" s="12"/>
      <c r="AE5" s="12"/>
      <c r="AF5" s="13"/>
      <c r="AG5" s="11"/>
      <c r="AH5" s="13"/>
      <c r="AI5" s="11"/>
      <c r="AJ5" s="13"/>
      <c r="AK5" s="11"/>
      <c r="AL5" s="11"/>
      <c r="AM5" s="11"/>
    </row>
    <row r="6" spans="1:39" ht="16.5">
      <c r="A6" s="2">
        <v>2026</v>
      </c>
      <c r="B6" s="2" t="s">
        <v>14</v>
      </c>
      <c r="C6" s="2" t="s">
        <v>503</v>
      </c>
      <c r="D6" s="6">
        <v>46048.901636655093</v>
      </c>
      <c r="E6" s="5" t="s">
        <v>108</v>
      </c>
      <c r="F6" s="2" t="s">
        <v>190</v>
      </c>
      <c r="G6" s="2" t="s">
        <v>504</v>
      </c>
      <c r="H6" s="2" t="s">
        <v>505</v>
      </c>
      <c r="I6" s="2" t="s">
        <v>152</v>
      </c>
      <c r="J6" s="5" t="s">
        <v>506</v>
      </c>
      <c r="K6" s="2" t="s">
        <v>177</v>
      </c>
      <c r="L6" s="30"/>
      <c r="M6" s="16"/>
      <c r="N6" s="16"/>
      <c r="O6" s="5"/>
      <c r="P6" s="11"/>
      <c r="Q6" s="5"/>
      <c r="R6" s="5"/>
      <c r="S6" s="5"/>
      <c r="T6" s="5"/>
      <c r="U6" s="5"/>
      <c r="V6" s="14"/>
      <c r="W6" s="14"/>
      <c r="X6" s="14"/>
      <c r="Y6" s="14"/>
      <c r="Z6" s="15"/>
      <c r="AA6" s="15"/>
      <c r="AB6" s="15"/>
      <c r="AC6" s="15"/>
      <c r="AD6" s="12"/>
      <c r="AE6" s="12"/>
      <c r="AF6" s="13"/>
      <c r="AG6" s="11"/>
      <c r="AH6" s="13"/>
      <c r="AI6" s="11"/>
      <c r="AJ6" s="13"/>
      <c r="AK6" s="11"/>
      <c r="AL6" s="11"/>
      <c r="AM6" s="11"/>
    </row>
    <row r="7" spans="1:39" ht="16.5">
      <c r="A7" s="2">
        <v>2026</v>
      </c>
      <c r="B7" s="2" t="s">
        <v>14</v>
      </c>
      <c r="C7" s="3" t="s">
        <v>466</v>
      </c>
      <c r="D7" s="4">
        <v>46048.831253240744</v>
      </c>
      <c r="E7" s="5" t="s">
        <v>95</v>
      </c>
      <c r="F7" s="3" t="s">
        <v>162</v>
      </c>
      <c r="G7" s="3" t="s">
        <v>467</v>
      </c>
      <c r="H7" s="3" t="s">
        <v>468</v>
      </c>
      <c r="I7" s="3" t="s">
        <v>152</v>
      </c>
      <c r="J7" s="5" t="s">
        <v>469</v>
      </c>
      <c r="K7" s="2" t="s">
        <v>177</v>
      </c>
      <c r="L7" s="30"/>
      <c r="M7" s="16"/>
      <c r="N7" s="16"/>
      <c r="O7" s="5"/>
      <c r="P7" s="11"/>
      <c r="Q7" s="5"/>
      <c r="R7" s="5"/>
      <c r="S7" s="5"/>
      <c r="T7" s="5"/>
      <c r="U7" s="5"/>
      <c r="V7" s="14"/>
      <c r="W7" s="14"/>
      <c r="X7" s="14"/>
      <c r="Y7" s="14"/>
      <c r="Z7" s="15"/>
      <c r="AA7" s="15"/>
      <c r="AB7" s="15"/>
      <c r="AC7" s="15"/>
      <c r="AD7" s="12"/>
      <c r="AE7" s="12"/>
      <c r="AF7" s="13"/>
      <c r="AG7" s="11"/>
      <c r="AH7" s="13"/>
      <c r="AI7" s="11"/>
      <c r="AJ7" s="13"/>
      <c r="AK7" s="11"/>
      <c r="AL7" s="11"/>
      <c r="AM7" s="11"/>
    </row>
    <row r="8" spans="1:39" ht="16.5">
      <c r="A8" s="2">
        <v>2026</v>
      </c>
      <c r="B8" s="2" t="s">
        <v>14</v>
      </c>
      <c r="C8" s="2" t="s">
        <v>540</v>
      </c>
      <c r="D8" s="6">
        <v>46041.539982604168</v>
      </c>
      <c r="E8" s="5" t="s">
        <v>541</v>
      </c>
      <c r="F8" s="2" t="s">
        <v>190</v>
      </c>
      <c r="G8" s="2" t="s">
        <v>542</v>
      </c>
      <c r="H8" s="2" t="s">
        <v>543</v>
      </c>
      <c r="I8" s="2" t="s">
        <v>165</v>
      </c>
      <c r="J8" s="5" t="s">
        <v>544</v>
      </c>
      <c r="K8" s="2" t="s">
        <v>177</v>
      </c>
      <c r="L8" s="30"/>
      <c r="M8" s="16"/>
      <c r="N8" s="16"/>
      <c r="O8" s="5"/>
      <c r="P8" s="11"/>
      <c r="Q8" s="5"/>
      <c r="R8" s="5"/>
      <c r="S8" s="5"/>
      <c r="T8" s="5"/>
      <c r="U8" s="5"/>
      <c r="V8" s="14"/>
      <c r="W8" s="14"/>
      <c r="X8" s="14"/>
      <c r="Y8" s="14"/>
      <c r="Z8" s="15"/>
      <c r="AA8" s="15"/>
      <c r="AB8" s="15"/>
      <c r="AC8" s="15"/>
      <c r="AD8" s="12"/>
      <c r="AE8" s="12"/>
      <c r="AF8" s="13"/>
      <c r="AG8" s="11"/>
      <c r="AH8" s="13"/>
      <c r="AI8" s="11"/>
      <c r="AJ8" s="13"/>
      <c r="AK8" s="11"/>
      <c r="AL8" s="11"/>
      <c r="AM8" s="11"/>
    </row>
    <row r="9" spans="1:39" ht="16.5">
      <c r="A9" s="2">
        <v>2026</v>
      </c>
      <c r="B9" s="2" t="s">
        <v>14</v>
      </c>
      <c r="C9" s="3" t="s">
        <v>545</v>
      </c>
      <c r="D9" s="4">
        <v>46041.516546261577</v>
      </c>
      <c r="E9" s="5" t="s">
        <v>546</v>
      </c>
      <c r="F9" s="3" t="s">
        <v>276</v>
      </c>
      <c r="G9" s="3" t="s">
        <v>547</v>
      </c>
      <c r="H9" s="3" t="s">
        <v>548</v>
      </c>
      <c r="I9" s="3" t="s">
        <v>152</v>
      </c>
      <c r="J9" s="5" t="s">
        <v>549</v>
      </c>
      <c r="K9" s="2" t="s">
        <v>177</v>
      </c>
      <c r="L9" s="30"/>
      <c r="M9" s="16"/>
      <c r="N9" s="16"/>
      <c r="O9" s="5"/>
      <c r="P9" s="11"/>
      <c r="Q9" s="5"/>
      <c r="R9" s="5"/>
      <c r="S9" s="5"/>
      <c r="T9" s="5"/>
      <c r="U9" s="5"/>
      <c r="V9" s="14"/>
      <c r="W9" s="14"/>
      <c r="X9" s="14"/>
      <c r="Y9" s="14"/>
      <c r="Z9" s="15"/>
      <c r="AA9" s="15"/>
      <c r="AB9" s="15"/>
      <c r="AC9" s="15"/>
      <c r="AD9" s="12"/>
      <c r="AE9" s="12"/>
      <c r="AF9" s="13"/>
      <c r="AG9" s="11"/>
      <c r="AH9" s="13"/>
      <c r="AI9" s="11"/>
      <c r="AJ9" s="13"/>
      <c r="AK9" s="11"/>
      <c r="AL9" s="11"/>
      <c r="AM9" s="11"/>
    </row>
    <row r="10" spans="1:39" ht="16.5">
      <c r="A10" s="2">
        <v>2026</v>
      </c>
      <c r="B10" s="2" t="s">
        <v>14</v>
      </c>
      <c r="C10" s="2" t="s">
        <v>454</v>
      </c>
      <c r="D10" s="6">
        <v>46041.077208368057</v>
      </c>
      <c r="E10" s="5" t="s">
        <v>69</v>
      </c>
      <c r="F10" s="2" t="s">
        <v>149</v>
      </c>
      <c r="G10" s="2" t="s">
        <v>455</v>
      </c>
      <c r="H10" s="2" t="s">
        <v>456</v>
      </c>
      <c r="I10" s="2" t="s">
        <v>152</v>
      </c>
      <c r="J10" s="5" t="s">
        <v>457</v>
      </c>
      <c r="K10" s="2" t="s">
        <v>177</v>
      </c>
      <c r="L10" s="30"/>
      <c r="M10" s="16"/>
      <c r="N10" s="16"/>
      <c r="O10" s="5"/>
      <c r="P10" s="11"/>
      <c r="Q10" s="5"/>
      <c r="R10" s="5"/>
      <c r="S10" s="5"/>
      <c r="T10" s="5"/>
      <c r="U10" s="5"/>
      <c r="V10" s="14"/>
      <c r="W10" s="14"/>
      <c r="X10" s="14"/>
      <c r="Y10" s="14"/>
      <c r="Z10" s="15"/>
      <c r="AA10" s="15"/>
      <c r="AB10" s="15"/>
      <c r="AC10" s="15"/>
      <c r="AD10" s="12"/>
      <c r="AE10" s="12"/>
      <c r="AF10" s="13"/>
      <c r="AG10" s="11"/>
      <c r="AH10" s="13"/>
      <c r="AI10" s="11"/>
      <c r="AJ10" s="13"/>
      <c r="AK10" s="11"/>
      <c r="AL10" s="11"/>
      <c r="AM10" s="11"/>
    </row>
    <row r="11" spans="1:39" ht="16.5">
      <c r="A11" s="2">
        <v>2026</v>
      </c>
      <c r="B11" s="2" t="s">
        <v>14</v>
      </c>
      <c r="C11" s="3" t="s">
        <v>474</v>
      </c>
      <c r="D11" s="4">
        <v>46021.841486574071</v>
      </c>
      <c r="E11" s="5" t="s">
        <v>110</v>
      </c>
      <c r="F11" s="3" t="s">
        <v>221</v>
      </c>
      <c r="G11" s="3" t="s">
        <v>475</v>
      </c>
      <c r="H11" s="3" t="s">
        <v>476</v>
      </c>
      <c r="I11" s="3" t="s">
        <v>165</v>
      </c>
      <c r="J11" s="5" t="s">
        <v>477</v>
      </c>
      <c r="K11" s="2" t="s">
        <v>177</v>
      </c>
      <c r="L11" s="30"/>
      <c r="M11" s="16"/>
      <c r="N11" s="16"/>
      <c r="O11" s="5"/>
      <c r="P11" s="11"/>
      <c r="Q11" s="5"/>
      <c r="R11" s="5"/>
      <c r="S11" s="5"/>
      <c r="T11" s="5"/>
      <c r="U11" s="5"/>
      <c r="V11" s="14"/>
      <c r="W11" s="14"/>
      <c r="X11" s="14"/>
      <c r="Y11" s="14"/>
      <c r="Z11" s="15"/>
      <c r="AA11" s="15"/>
      <c r="AB11" s="15"/>
      <c r="AC11" s="15"/>
      <c r="AD11" s="12"/>
      <c r="AE11" s="12"/>
      <c r="AF11" s="13"/>
      <c r="AG11" s="11"/>
      <c r="AH11" s="13"/>
      <c r="AI11" s="11"/>
      <c r="AJ11" s="13"/>
      <c r="AK11" s="11"/>
      <c r="AL11" s="11"/>
      <c r="AM11" s="11"/>
    </row>
    <row r="12" spans="1:39" ht="16.5">
      <c r="A12" s="2">
        <v>2026</v>
      </c>
      <c r="B12" s="2" t="s">
        <v>14</v>
      </c>
      <c r="C12" s="2" t="s">
        <v>450</v>
      </c>
      <c r="D12" s="6">
        <v>46020.703303703704</v>
      </c>
      <c r="E12" s="5" t="s">
        <v>100</v>
      </c>
      <c r="F12" s="2" t="s">
        <v>190</v>
      </c>
      <c r="G12" s="2" t="s">
        <v>451</v>
      </c>
      <c r="H12" s="2" t="s">
        <v>452</v>
      </c>
      <c r="I12" s="2" t="s">
        <v>165</v>
      </c>
      <c r="J12" s="5" t="s">
        <v>453</v>
      </c>
      <c r="K12" s="2" t="s">
        <v>177</v>
      </c>
      <c r="L12" s="30"/>
      <c r="M12" s="16"/>
      <c r="N12" s="16"/>
      <c r="O12" s="5"/>
      <c r="P12" s="11"/>
      <c r="Q12" s="5"/>
      <c r="R12" s="5"/>
      <c r="S12" s="5"/>
      <c r="T12" s="5"/>
      <c r="U12" s="5"/>
      <c r="V12" s="14"/>
      <c r="W12" s="14"/>
      <c r="X12" s="14"/>
      <c r="Y12" s="14"/>
      <c r="Z12" s="15"/>
      <c r="AA12" s="15"/>
      <c r="AB12" s="15"/>
      <c r="AC12" s="15"/>
      <c r="AD12" s="12"/>
      <c r="AE12" s="12"/>
      <c r="AF12" s="13"/>
      <c r="AG12" s="11"/>
      <c r="AH12" s="13"/>
      <c r="AI12" s="11"/>
      <c r="AJ12" s="13"/>
      <c r="AK12" s="11"/>
      <c r="AL12" s="11"/>
      <c r="AM12" s="11"/>
    </row>
    <row r="13" spans="1:39" ht="16.5">
      <c r="A13" s="2">
        <v>2026</v>
      </c>
      <c r="B13" s="2" t="s">
        <v>14</v>
      </c>
      <c r="C13" s="3" t="s">
        <v>481</v>
      </c>
      <c r="D13" s="4">
        <v>46014.698107638891</v>
      </c>
      <c r="E13" s="5" t="s">
        <v>99</v>
      </c>
      <c r="F13" s="3" t="s">
        <v>162</v>
      </c>
      <c r="G13" s="3" t="s">
        <v>482</v>
      </c>
      <c r="H13" s="3" t="s">
        <v>483</v>
      </c>
      <c r="I13" s="3" t="s">
        <v>152</v>
      </c>
      <c r="J13" s="5" t="s">
        <v>477</v>
      </c>
      <c r="K13" s="2" t="s">
        <v>203</v>
      </c>
      <c r="L13" s="30"/>
      <c r="M13" s="16"/>
      <c r="N13" s="16"/>
      <c r="O13" s="5"/>
      <c r="P13" s="11"/>
      <c r="Q13" s="5"/>
      <c r="R13" s="5"/>
      <c r="S13" s="5"/>
      <c r="T13" s="5"/>
      <c r="U13" s="5"/>
      <c r="V13" s="14"/>
      <c r="W13" s="14"/>
      <c r="X13" s="14"/>
      <c r="Y13" s="14"/>
      <c r="Z13" s="15"/>
      <c r="AA13" s="15"/>
      <c r="AB13" s="15"/>
      <c r="AC13" s="15"/>
      <c r="AD13" s="12"/>
      <c r="AE13" s="12"/>
      <c r="AF13" s="13"/>
      <c r="AG13" s="11"/>
      <c r="AH13" s="13"/>
      <c r="AI13" s="11"/>
      <c r="AJ13" s="13"/>
      <c r="AK13" s="11"/>
      <c r="AL13" s="11"/>
      <c r="AM13" s="11"/>
    </row>
    <row r="14" spans="1:39" ht="16.5">
      <c r="A14" s="2">
        <v>2026</v>
      </c>
      <c r="B14" s="2" t="s">
        <v>14</v>
      </c>
      <c r="C14" s="2" t="s">
        <v>478</v>
      </c>
      <c r="D14" s="6">
        <v>46014.647200694446</v>
      </c>
      <c r="E14" s="5" t="s">
        <v>66</v>
      </c>
      <c r="F14" s="2" t="s">
        <v>221</v>
      </c>
      <c r="G14" s="2" t="s">
        <v>479</v>
      </c>
      <c r="H14" s="2" t="s">
        <v>480</v>
      </c>
      <c r="I14" s="2" t="s">
        <v>165</v>
      </c>
      <c r="J14" s="5" t="s">
        <v>477</v>
      </c>
      <c r="K14" s="2" t="s">
        <v>339</v>
      </c>
      <c r="L14" s="30"/>
      <c r="M14" s="16"/>
      <c r="N14" s="16"/>
      <c r="O14" s="5"/>
      <c r="P14" s="11"/>
      <c r="Q14" s="5"/>
      <c r="R14" s="5"/>
      <c r="S14" s="5"/>
      <c r="T14" s="5"/>
      <c r="U14" s="5"/>
      <c r="V14" s="14"/>
      <c r="W14" s="14"/>
      <c r="X14" s="14"/>
      <c r="Y14" s="14"/>
      <c r="Z14" s="15"/>
      <c r="AA14" s="15"/>
      <c r="AB14" s="15"/>
      <c r="AC14" s="15"/>
      <c r="AD14" s="12"/>
      <c r="AE14" s="12"/>
      <c r="AF14" s="13"/>
      <c r="AG14" s="11"/>
      <c r="AH14" s="13"/>
      <c r="AI14" s="11"/>
      <c r="AJ14" s="13"/>
      <c r="AK14" s="11"/>
      <c r="AL14" s="11"/>
      <c r="AM14" s="11"/>
    </row>
    <row r="15" spans="1:39" ht="16.5">
      <c r="A15" s="2">
        <v>2026</v>
      </c>
      <c r="B15" s="2" t="s">
        <v>14</v>
      </c>
      <c r="C15" s="3" t="s">
        <v>470</v>
      </c>
      <c r="D15" s="4">
        <v>45996.649671412037</v>
      </c>
      <c r="E15" s="5" t="s">
        <v>56</v>
      </c>
      <c r="F15" s="3" t="s">
        <v>221</v>
      </c>
      <c r="G15" s="3" t="s">
        <v>471</v>
      </c>
      <c r="H15" s="3" t="s">
        <v>472</v>
      </c>
      <c r="I15" s="3" t="s">
        <v>165</v>
      </c>
      <c r="J15" s="5" t="s">
        <v>473</v>
      </c>
      <c r="K15" s="2" t="s">
        <v>177</v>
      </c>
      <c r="L15" s="30"/>
      <c r="M15" s="16"/>
      <c r="N15" s="16"/>
      <c r="O15" s="5"/>
      <c r="P15" s="11"/>
      <c r="Q15" s="5"/>
      <c r="R15" s="5"/>
      <c r="S15" s="5"/>
      <c r="T15" s="5"/>
      <c r="U15" s="5"/>
      <c r="V15" s="14"/>
      <c r="W15" s="14"/>
      <c r="X15" s="14"/>
      <c r="Y15" s="14"/>
      <c r="Z15" s="15"/>
      <c r="AA15" s="15"/>
      <c r="AB15" s="15"/>
      <c r="AC15" s="15"/>
      <c r="AD15" s="12"/>
      <c r="AE15" s="12"/>
      <c r="AF15" s="13"/>
      <c r="AG15" s="11"/>
      <c r="AH15" s="13"/>
      <c r="AI15" s="11"/>
      <c r="AJ15" s="13"/>
      <c r="AK15" s="11"/>
      <c r="AL15" s="11"/>
      <c r="AM15" s="11"/>
    </row>
    <row r="16" spans="1:39" ht="16.5">
      <c r="A16" s="2">
        <v>2026</v>
      </c>
      <c r="B16" s="2" t="s">
        <v>14</v>
      </c>
      <c r="C16" s="2" t="s">
        <v>484</v>
      </c>
      <c r="D16" s="6">
        <v>45995.592523460647</v>
      </c>
      <c r="E16" s="5" t="s">
        <v>109</v>
      </c>
      <c r="F16" s="2" t="s">
        <v>485</v>
      </c>
      <c r="G16" s="2" t="s">
        <v>486</v>
      </c>
      <c r="H16" s="2" t="s">
        <v>487</v>
      </c>
      <c r="I16" s="2" t="s">
        <v>152</v>
      </c>
      <c r="J16" s="5" t="s">
        <v>477</v>
      </c>
      <c r="K16" s="2" t="s">
        <v>339</v>
      </c>
      <c r="L16" s="30"/>
      <c r="M16" s="16"/>
      <c r="N16" s="16"/>
      <c r="O16" s="5"/>
      <c r="P16" s="11"/>
      <c r="Q16" s="5"/>
      <c r="R16" s="5"/>
      <c r="S16" s="5"/>
      <c r="T16" s="5"/>
      <c r="U16" s="5"/>
      <c r="V16" s="14"/>
      <c r="W16" s="14"/>
      <c r="X16" s="14"/>
      <c r="Y16" s="14"/>
      <c r="Z16" s="15"/>
      <c r="AA16" s="15"/>
      <c r="AB16" s="15"/>
      <c r="AC16" s="15"/>
      <c r="AD16" s="12"/>
      <c r="AE16" s="12"/>
      <c r="AF16" s="13"/>
      <c r="AG16" s="11"/>
      <c r="AH16" s="13"/>
      <c r="AI16" s="11"/>
      <c r="AJ16" s="13"/>
      <c r="AK16" s="11"/>
      <c r="AL16" s="11"/>
      <c r="AM16" s="11"/>
    </row>
    <row r="17" spans="1:39" ht="16.5">
      <c r="A17" s="2">
        <v>2026</v>
      </c>
      <c r="B17" s="2" t="s">
        <v>14</v>
      </c>
      <c r="C17" s="3" t="s">
        <v>462</v>
      </c>
      <c r="D17" s="4">
        <v>45987.733444907404</v>
      </c>
      <c r="E17" s="5" t="s">
        <v>93</v>
      </c>
      <c r="F17" s="3" t="s">
        <v>270</v>
      </c>
      <c r="G17" s="3" t="s">
        <v>463</v>
      </c>
      <c r="H17" s="3" t="s">
        <v>464</v>
      </c>
      <c r="I17" s="3" t="s">
        <v>175</v>
      </c>
      <c r="J17" s="5" t="s">
        <v>465</v>
      </c>
      <c r="K17" s="2" t="s">
        <v>339</v>
      </c>
      <c r="L17" s="30"/>
      <c r="M17" s="16"/>
      <c r="N17" s="16"/>
      <c r="O17" s="5"/>
      <c r="P17" s="11"/>
      <c r="Q17" s="5"/>
      <c r="R17" s="5"/>
      <c r="S17" s="5"/>
      <c r="T17" s="5"/>
      <c r="U17" s="5"/>
      <c r="V17" s="14"/>
      <c r="W17" s="14"/>
      <c r="X17" s="14"/>
      <c r="Y17" s="14"/>
      <c r="Z17" s="15"/>
      <c r="AA17" s="15"/>
      <c r="AB17" s="15"/>
      <c r="AC17" s="15"/>
      <c r="AD17" s="12"/>
      <c r="AE17" s="12"/>
      <c r="AF17" s="13"/>
      <c r="AG17" s="11"/>
      <c r="AH17" s="13"/>
      <c r="AI17" s="11"/>
      <c r="AJ17" s="13"/>
      <c r="AK17" s="11"/>
      <c r="AL17" s="11"/>
      <c r="AM17" s="11"/>
    </row>
    <row r="18" spans="1:39" ht="16.5">
      <c r="A18" s="2">
        <v>2026</v>
      </c>
      <c r="B18" s="2" t="s">
        <v>14</v>
      </c>
      <c r="C18" s="2" t="s">
        <v>409</v>
      </c>
      <c r="D18" s="6">
        <v>45987.540494826389</v>
      </c>
      <c r="E18" s="5" t="s">
        <v>115</v>
      </c>
      <c r="F18" s="2" t="s">
        <v>410</v>
      </c>
      <c r="G18" s="2" t="s">
        <v>411</v>
      </c>
      <c r="H18" s="2" t="s">
        <v>412</v>
      </c>
      <c r="I18" s="2" t="s">
        <v>175</v>
      </c>
      <c r="J18" s="5" t="s">
        <v>413</v>
      </c>
      <c r="K18" s="2" t="s">
        <v>177</v>
      </c>
      <c r="L18" s="30"/>
      <c r="M18" s="16"/>
      <c r="N18" s="16"/>
      <c r="O18" s="5"/>
      <c r="P18" s="11"/>
      <c r="Q18" s="5"/>
      <c r="R18" s="5"/>
      <c r="S18" s="5"/>
      <c r="T18" s="5"/>
      <c r="U18" s="5"/>
      <c r="V18" s="14"/>
      <c r="W18" s="14"/>
      <c r="X18" s="14"/>
      <c r="Y18" s="14"/>
      <c r="Z18" s="15"/>
      <c r="AA18" s="15"/>
      <c r="AB18" s="15"/>
      <c r="AC18" s="15"/>
      <c r="AD18" s="12"/>
      <c r="AE18" s="12"/>
      <c r="AF18" s="13"/>
      <c r="AG18" s="11"/>
      <c r="AH18" s="13"/>
      <c r="AI18" s="11"/>
      <c r="AJ18" s="13"/>
      <c r="AK18" s="11"/>
      <c r="AL18" s="11"/>
      <c r="AM18" s="11"/>
    </row>
    <row r="19" spans="1:39" ht="16.5">
      <c r="A19" s="2">
        <v>2026</v>
      </c>
      <c r="B19" s="2" t="s">
        <v>14</v>
      </c>
      <c r="C19" s="3" t="s">
        <v>414</v>
      </c>
      <c r="D19" s="4">
        <v>45986.738573726849</v>
      </c>
      <c r="E19" s="5" t="s">
        <v>74</v>
      </c>
      <c r="F19" s="3" t="s">
        <v>162</v>
      </c>
      <c r="G19" s="3" t="s">
        <v>415</v>
      </c>
      <c r="H19" s="3" t="s">
        <v>416</v>
      </c>
      <c r="I19" s="3" t="s">
        <v>165</v>
      </c>
      <c r="J19" s="5" t="s">
        <v>417</v>
      </c>
      <c r="K19" s="2" t="s">
        <v>177</v>
      </c>
      <c r="L19" s="30"/>
      <c r="M19" s="16"/>
      <c r="N19" s="16"/>
      <c r="O19" s="5"/>
      <c r="P19" s="11"/>
      <c r="Q19" s="5"/>
      <c r="R19" s="5"/>
      <c r="S19" s="5"/>
      <c r="T19" s="5"/>
      <c r="U19" s="5"/>
      <c r="V19" s="14"/>
      <c r="W19" s="14"/>
      <c r="X19" s="14"/>
      <c r="Y19" s="14"/>
      <c r="Z19" s="15"/>
      <c r="AA19" s="15"/>
      <c r="AB19" s="15"/>
      <c r="AC19" s="15"/>
      <c r="AD19" s="12"/>
      <c r="AE19" s="12"/>
      <c r="AF19" s="13"/>
      <c r="AG19" s="11"/>
      <c r="AH19" s="13"/>
      <c r="AI19" s="11"/>
      <c r="AJ19" s="13"/>
      <c r="AK19" s="11"/>
      <c r="AL19" s="11"/>
      <c r="AM19" s="11"/>
    </row>
    <row r="20" spans="1:39" ht="16.5">
      <c r="A20" s="2">
        <v>2026</v>
      </c>
      <c r="B20" s="2" t="s">
        <v>14</v>
      </c>
      <c r="C20" s="2" t="s">
        <v>423</v>
      </c>
      <c r="D20" s="6">
        <v>45986.680452627312</v>
      </c>
      <c r="E20" s="5" t="s">
        <v>111</v>
      </c>
      <c r="F20" s="2" t="s">
        <v>331</v>
      </c>
      <c r="G20" s="2" t="s">
        <v>424</v>
      </c>
      <c r="H20" s="2" t="s">
        <v>425</v>
      </c>
      <c r="I20" s="2" t="s">
        <v>175</v>
      </c>
      <c r="J20" s="5" t="s">
        <v>426</v>
      </c>
      <c r="K20" s="2" t="s">
        <v>177</v>
      </c>
      <c r="L20" s="30"/>
      <c r="M20" s="16"/>
      <c r="N20" s="16"/>
      <c r="O20" s="5"/>
      <c r="P20" s="11"/>
      <c r="Q20" s="5"/>
      <c r="R20" s="5"/>
      <c r="S20" s="5"/>
      <c r="T20" s="5"/>
      <c r="U20" s="5"/>
      <c r="V20" s="14"/>
      <c r="W20" s="14"/>
      <c r="X20" s="14"/>
      <c r="Y20" s="14"/>
      <c r="Z20" s="15"/>
      <c r="AA20" s="15"/>
      <c r="AB20" s="15"/>
      <c r="AC20" s="15"/>
      <c r="AD20" s="12"/>
      <c r="AE20" s="12"/>
      <c r="AF20" s="13"/>
      <c r="AG20" s="11"/>
      <c r="AH20" s="13"/>
      <c r="AI20" s="11"/>
      <c r="AJ20" s="13"/>
      <c r="AK20" s="11"/>
      <c r="AL20" s="11"/>
      <c r="AM20" s="11"/>
    </row>
    <row r="21" spans="1:39" ht="16.5">
      <c r="A21" s="2">
        <v>2026</v>
      </c>
      <c r="B21" s="2" t="s">
        <v>14</v>
      </c>
      <c r="C21" s="3" t="s">
        <v>418</v>
      </c>
      <c r="D21" s="4">
        <v>45979.862053703706</v>
      </c>
      <c r="E21" s="5" t="s">
        <v>94</v>
      </c>
      <c r="F21" s="3" t="s">
        <v>419</v>
      </c>
      <c r="G21" s="3" t="s">
        <v>420</v>
      </c>
      <c r="H21" s="3" t="s">
        <v>421</v>
      </c>
      <c r="I21" s="3" t="s">
        <v>175</v>
      </c>
      <c r="J21" s="5" t="s">
        <v>422</v>
      </c>
      <c r="K21" s="2" t="s">
        <v>339</v>
      </c>
      <c r="L21" s="30"/>
      <c r="M21" s="16"/>
      <c r="N21" s="16"/>
      <c r="O21" s="5"/>
      <c r="P21" s="11"/>
      <c r="Q21" s="5"/>
      <c r="R21" s="5"/>
      <c r="S21" s="5"/>
      <c r="T21" s="5"/>
      <c r="U21" s="5"/>
      <c r="V21" s="14"/>
      <c r="W21" s="14"/>
      <c r="X21" s="14"/>
      <c r="Y21" s="14"/>
      <c r="Z21" s="15"/>
      <c r="AA21" s="15"/>
      <c r="AB21" s="15"/>
      <c r="AC21" s="15"/>
      <c r="AD21" s="12"/>
      <c r="AE21" s="12"/>
      <c r="AF21" s="13"/>
      <c r="AG21" s="11"/>
      <c r="AH21" s="13"/>
      <c r="AI21" s="11"/>
      <c r="AJ21" s="13"/>
      <c r="AK21" s="11"/>
      <c r="AL21" s="11"/>
      <c r="AM21" s="11"/>
    </row>
    <row r="22" spans="1:39" ht="16.5">
      <c r="A22" s="2">
        <v>2026</v>
      </c>
      <c r="B22" s="2" t="s">
        <v>14</v>
      </c>
      <c r="C22" s="2" t="s">
        <v>458</v>
      </c>
      <c r="D22" s="6">
        <v>45979.850120914351</v>
      </c>
      <c r="E22" s="5" t="s">
        <v>90</v>
      </c>
      <c r="F22" s="2" t="s">
        <v>428</v>
      </c>
      <c r="G22" s="2" t="s">
        <v>459</v>
      </c>
      <c r="H22" s="2" t="s">
        <v>460</v>
      </c>
      <c r="I22" s="2" t="s">
        <v>175</v>
      </c>
      <c r="J22" s="5" t="s">
        <v>461</v>
      </c>
      <c r="K22" s="2" t="s">
        <v>339</v>
      </c>
      <c r="L22" s="30"/>
      <c r="M22" s="16"/>
      <c r="N22" s="16"/>
      <c r="O22" s="5"/>
      <c r="P22" s="11"/>
      <c r="Q22" s="5"/>
      <c r="R22" s="5"/>
      <c r="S22" s="5"/>
      <c r="T22" s="5"/>
      <c r="U22" s="5"/>
      <c r="V22" s="14"/>
      <c r="W22" s="14"/>
      <c r="X22" s="14"/>
      <c r="Y22" s="14"/>
      <c r="Z22" s="15"/>
      <c r="AA22" s="15"/>
      <c r="AB22" s="15"/>
      <c r="AC22" s="15"/>
      <c r="AD22" s="12"/>
      <c r="AE22" s="12"/>
      <c r="AF22" s="13"/>
      <c r="AG22" s="11"/>
      <c r="AH22" s="13"/>
      <c r="AI22" s="11"/>
      <c r="AJ22" s="13"/>
      <c r="AK22" s="11"/>
      <c r="AL22" s="11"/>
      <c r="AM22" s="11"/>
    </row>
    <row r="23" spans="1:39" ht="16.5">
      <c r="A23" s="2">
        <v>2026</v>
      </c>
      <c r="B23" s="2" t="s">
        <v>14</v>
      </c>
      <c r="C23" s="3" t="s">
        <v>427</v>
      </c>
      <c r="D23" s="4">
        <v>45979.833136423615</v>
      </c>
      <c r="E23" s="5" t="s">
        <v>107</v>
      </c>
      <c r="F23" s="3" t="s">
        <v>428</v>
      </c>
      <c r="G23" s="3" t="s">
        <v>429</v>
      </c>
      <c r="H23" s="3" t="s">
        <v>430</v>
      </c>
      <c r="I23" s="3" t="s">
        <v>175</v>
      </c>
      <c r="J23" s="5" t="s">
        <v>431</v>
      </c>
      <c r="K23" s="2" t="s">
        <v>339</v>
      </c>
      <c r="L23" s="30"/>
      <c r="M23" s="16"/>
      <c r="N23" s="16"/>
      <c r="O23" s="5"/>
      <c r="P23" s="11"/>
      <c r="Q23" s="5"/>
      <c r="R23" s="5"/>
      <c r="S23" s="5"/>
      <c r="T23" s="5"/>
      <c r="U23" s="5"/>
      <c r="V23" s="14"/>
      <c r="W23" s="14"/>
      <c r="X23" s="14"/>
      <c r="Y23" s="14"/>
      <c r="Z23" s="15"/>
      <c r="AA23" s="15"/>
      <c r="AB23" s="15"/>
      <c r="AC23" s="15"/>
      <c r="AD23" s="12"/>
      <c r="AE23" s="12"/>
      <c r="AF23" s="13"/>
      <c r="AG23" s="11"/>
      <c r="AH23" s="13"/>
      <c r="AI23" s="11"/>
      <c r="AJ23" s="13"/>
      <c r="AK23" s="11"/>
      <c r="AL23" s="11"/>
      <c r="AM23" s="11"/>
    </row>
    <row r="24" spans="1:39" ht="16.5">
      <c r="A24" s="2">
        <v>2026</v>
      </c>
      <c r="B24" s="2" t="s">
        <v>14</v>
      </c>
      <c r="C24" s="2" t="s">
        <v>432</v>
      </c>
      <c r="D24" s="6">
        <v>45979.725087650462</v>
      </c>
      <c r="E24" s="5" t="s">
        <v>88</v>
      </c>
      <c r="F24" s="2" t="s">
        <v>433</v>
      </c>
      <c r="G24" s="2" t="s">
        <v>434</v>
      </c>
      <c r="H24" s="2" t="s">
        <v>435</v>
      </c>
      <c r="I24" s="2" t="s">
        <v>175</v>
      </c>
      <c r="J24" s="5" t="s">
        <v>436</v>
      </c>
      <c r="K24" s="2" t="s">
        <v>339</v>
      </c>
      <c r="L24" s="30"/>
      <c r="M24" s="16"/>
      <c r="N24" s="16"/>
      <c r="O24" s="5"/>
      <c r="P24" s="11"/>
      <c r="Q24" s="5"/>
      <c r="R24" s="5"/>
      <c r="S24" s="5"/>
      <c r="T24" s="5"/>
      <c r="U24" s="5"/>
      <c r="V24" s="14"/>
      <c r="W24" s="14"/>
      <c r="X24" s="14"/>
      <c r="Y24" s="14"/>
      <c r="Z24" s="15"/>
      <c r="AA24" s="15"/>
      <c r="AB24" s="15"/>
      <c r="AC24" s="15"/>
      <c r="AD24" s="12"/>
      <c r="AE24" s="12"/>
      <c r="AF24" s="13"/>
      <c r="AG24" s="11"/>
      <c r="AH24" s="13"/>
      <c r="AI24" s="11"/>
      <c r="AJ24" s="13"/>
      <c r="AK24" s="11"/>
      <c r="AL24" s="11"/>
      <c r="AM24" s="11"/>
    </row>
    <row r="25" spans="1:39" ht="16.5">
      <c r="A25" s="2">
        <v>2026</v>
      </c>
      <c r="B25" s="2" t="s">
        <v>14</v>
      </c>
      <c r="C25" s="3" t="s">
        <v>437</v>
      </c>
      <c r="D25" s="4">
        <v>45971.923861539355</v>
      </c>
      <c r="E25" s="5" t="s">
        <v>47</v>
      </c>
      <c r="F25" s="3" t="s">
        <v>438</v>
      </c>
      <c r="G25" s="3" t="s">
        <v>439</v>
      </c>
      <c r="H25" s="3" t="s">
        <v>440</v>
      </c>
      <c r="I25" s="3" t="s">
        <v>152</v>
      </c>
      <c r="J25" s="5" t="s">
        <v>441</v>
      </c>
      <c r="K25" s="2" t="s">
        <v>339</v>
      </c>
      <c r="L25" s="30"/>
      <c r="M25" s="16"/>
      <c r="N25" s="16"/>
      <c r="O25" s="5"/>
      <c r="P25" s="11"/>
      <c r="Q25" s="5"/>
      <c r="R25" s="5"/>
      <c r="S25" s="5"/>
      <c r="T25" s="5"/>
      <c r="U25" s="5"/>
      <c r="V25" s="14"/>
      <c r="W25" s="14"/>
      <c r="X25" s="14"/>
      <c r="Y25" s="14"/>
      <c r="Z25" s="15"/>
      <c r="AA25" s="15"/>
      <c r="AB25" s="15"/>
      <c r="AC25" s="15"/>
      <c r="AD25" s="12"/>
      <c r="AE25" s="12"/>
      <c r="AF25" s="13"/>
      <c r="AG25" s="11"/>
      <c r="AH25" s="13"/>
      <c r="AI25" s="11"/>
      <c r="AJ25" s="13"/>
      <c r="AK25" s="11"/>
      <c r="AL25" s="11"/>
      <c r="AM25" s="11"/>
    </row>
    <row r="26" spans="1:39" ht="16.5">
      <c r="A26" s="2">
        <v>2026</v>
      </c>
      <c r="B26" s="2" t="s">
        <v>14</v>
      </c>
      <c r="C26" s="2" t="s">
        <v>488</v>
      </c>
      <c r="D26" s="6">
        <v>45971.887886886572</v>
      </c>
      <c r="E26" s="5" t="s">
        <v>98</v>
      </c>
      <c r="F26" s="2" t="s">
        <v>358</v>
      </c>
      <c r="G26" s="7" t="s">
        <v>489</v>
      </c>
      <c r="H26" s="2" t="s">
        <v>490</v>
      </c>
      <c r="I26" s="2" t="s">
        <v>152</v>
      </c>
      <c r="J26" s="5" t="s">
        <v>491</v>
      </c>
      <c r="K26" s="2" t="s">
        <v>177</v>
      </c>
      <c r="L26" s="30"/>
      <c r="M26" s="16"/>
      <c r="N26" s="16"/>
      <c r="O26" s="5"/>
      <c r="P26" s="11"/>
      <c r="Q26" s="5"/>
      <c r="R26" s="5"/>
      <c r="S26" s="5"/>
      <c r="T26" s="5"/>
      <c r="U26" s="5"/>
      <c r="V26" s="14"/>
      <c r="W26" s="14"/>
      <c r="X26" s="14"/>
      <c r="Y26" s="14"/>
      <c r="Z26" s="15"/>
      <c r="AA26" s="15"/>
      <c r="AB26" s="15"/>
      <c r="AC26" s="15"/>
      <c r="AD26" s="12"/>
      <c r="AE26" s="12"/>
      <c r="AF26" s="13"/>
      <c r="AG26" s="11"/>
      <c r="AH26" s="13"/>
      <c r="AI26" s="11"/>
      <c r="AJ26" s="13"/>
      <c r="AK26" s="11"/>
      <c r="AL26" s="11"/>
      <c r="AM26" s="11"/>
    </row>
    <row r="27" spans="1:39" ht="16.5">
      <c r="A27" s="2">
        <v>2026</v>
      </c>
      <c r="B27" s="2" t="s">
        <v>14</v>
      </c>
      <c r="C27" s="3" t="s">
        <v>442</v>
      </c>
      <c r="D27" s="4">
        <v>45971.819201238424</v>
      </c>
      <c r="E27" s="5" t="s">
        <v>105</v>
      </c>
      <c r="F27" s="3" t="s">
        <v>389</v>
      </c>
      <c r="G27" s="3" t="s">
        <v>443</v>
      </c>
      <c r="H27" s="3" t="s">
        <v>444</v>
      </c>
      <c r="I27" s="3" t="s">
        <v>152</v>
      </c>
      <c r="J27" s="5" t="s">
        <v>445</v>
      </c>
      <c r="K27" s="2" t="s">
        <v>177</v>
      </c>
      <c r="L27" s="30"/>
      <c r="M27" s="16"/>
      <c r="N27" s="16"/>
      <c r="O27" s="5"/>
      <c r="P27" s="11"/>
      <c r="Q27" s="5"/>
      <c r="R27" s="5"/>
      <c r="S27" s="5"/>
      <c r="T27" s="5"/>
      <c r="U27" s="5"/>
      <c r="V27" s="14"/>
      <c r="W27" s="14"/>
      <c r="X27" s="14"/>
      <c r="Y27" s="14"/>
      <c r="Z27" s="15"/>
      <c r="AA27" s="15"/>
      <c r="AB27" s="15"/>
      <c r="AC27" s="15"/>
      <c r="AD27" s="12"/>
      <c r="AE27" s="12"/>
      <c r="AF27" s="13"/>
      <c r="AG27" s="11"/>
      <c r="AH27" s="13"/>
      <c r="AI27" s="11"/>
      <c r="AJ27" s="13"/>
      <c r="AK27" s="11"/>
      <c r="AL27" s="11"/>
      <c r="AM27" s="11"/>
    </row>
    <row r="28" spans="1:39" ht="16.5">
      <c r="A28" s="2">
        <v>2026</v>
      </c>
      <c r="B28" s="2" t="s">
        <v>14</v>
      </c>
      <c r="C28" s="2" t="s">
        <v>446</v>
      </c>
      <c r="D28" s="6">
        <v>45971.808570567133</v>
      </c>
      <c r="E28" s="5" t="s">
        <v>89</v>
      </c>
      <c r="F28" s="2" t="s">
        <v>389</v>
      </c>
      <c r="G28" s="2" t="s">
        <v>447</v>
      </c>
      <c r="H28" s="2" t="s">
        <v>448</v>
      </c>
      <c r="I28" s="2" t="s">
        <v>152</v>
      </c>
      <c r="J28" s="5" t="s">
        <v>449</v>
      </c>
      <c r="K28" s="2" t="s">
        <v>177</v>
      </c>
      <c r="L28" s="30"/>
      <c r="M28" s="16"/>
      <c r="N28" s="16"/>
      <c r="O28" s="5"/>
      <c r="P28" s="11"/>
      <c r="Q28" s="5"/>
      <c r="R28" s="5"/>
      <c r="S28" s="5"/>
      <c r="T28" s="5"/>
      <c r="U28" s="5"/>
      <c r="V28" s="14"/>
      <c r="W28" s="14"/>
      <c r="X28" s="14"/>
      <c r="Y28" s="14"/>
      <c r="Z28" s="15"/>
      <c r="AA28" s="15"/>
      <c r="AB28" s="15"/>
      <c r="AC28" s="15"/>
      <c r="AD28" s="12"/>
      <c r="AE28" s="12"/>
      <c r="AF28" s="13"/>
      <c r="AG28" s="11"/>
      <c r="AH28" s="13"/>
      <c r="AI28" s="11"/>
      <c r="AJ28" s="13"/>
      <c r="AK28" s="11"/>
      <c r="AL28" s="11"/>
      <c r="AM28" s="11"/>
    </row>
    <row r="29" spans="1:39" ht="16.5">
      <c r="A29" s="2">
        <v>2026</v>
      </c>
      <c r="B29" s="2" t="s">
        <v>14</v>
      </c>
      <c r="C29" s="3" t="s">
        <v>388</v>
      </c>
      <c r="D29" s="4">
        <v>45971.801761840281</v>
      </c>
      <c r="E29" s="5" t="s">
        <v>91</v>
      </c>
      <c r="F29" s="3" t="s">
        <v>389</v>
      </c>
      <c r="G29" s="8" t="s">
        <v>390</v>
      </c>
      <c r="H29" s="3" t="s">
        <v>391</v>
      </c>
      <c r="I29" s="3" t="s">
        <v>152</v>
      </c>
      <c r="J29" s="5" t="s">
        <v>392</v>
      </c>
      <c r="K29" s="2" t="s">
        <v>177</v>
      </c>
      <c r="L29" s="30"/>
      <c r="M29" s="16"/>
      <c r="N29" s="16"/>
      <c r="O29" s="5"/>
      <c r="P29" s="11"/>
      <c r="Q29" s="5"/>
      <c r="R29" s="5"/>
      <c r="S29" s="5"/>
      <c r="T29" s="5"/>
      <c r="U29" s="5"/>
      <c r="V29" s="14"/>
      <c r="W29" s="14"/>
      <c r="X29" s="14"/>
      <c r="Y29" s="14"/>
      <c r="Z29" s="15"/>
      <c r="AA29" s="15"/>
      <c r="AB29" s="15"/>
      <c r="AC29" s="15"/>
      <c r="AD29" s="12"/>
      <c r="AE29" s="12"/>
      <c r="AF29" s="13"/>
      <c r="AG29" s="11"/>
      <c r="AH29" s="13"/>
      <c r="AI29" s="11"/>
      <c r="AJ29" s="13"/>
      <c r="AK29" s="11"/>
      <c r="AL29" s="11"/>
      <c r="AM29" s="11"/>
    </row>
    <row r="30" spans="1:39" ht="16.5">
      <c r="A30" s="2">
        <v>2026</v>
      </c>
      <c r="B30" s="2" t="s">
        <v>14</v>
      </c>
      <c r="C30" s="2" t="s">
        <v>383</v>
      </c>
      <c r="D30" s="6">
        <v>45936.739900381945</v>
      </c>
      <c r="E30" s="5" t="s">
        <v>59</v>
      </c>
      <c r="F30" s="2" t="s">
        <v>235</v>
      </c>
      <c r="G30" s="2" t="s">
        <v>384</v>
      </c>
      <c r="H30" s="2" t="s">
        <v>385</v>
      </c>
      <c r="I30" s="2" t="s">
        <v>165</v>
      </c>
      <c r="J30" s="5" t="s">
        <v>386</v>
      </c>
      <c r="K30" s="2" t="s">
        <v>387</v>
      </c>
      <c r="L30" s="30"/>
      <c r="M30" s="16"/>
      <c r="N30" s="16"/>
      <c r="O30" s="5"/>
      <c r="P30" s="11"/>
      <c r="Q30" s="5"/>
      <c r="R30" s="5"/>
      <c r="S30" s="5"/>
      <c r="T30" s="5"/>
      <c r="U30" s="5"/>
      <c r="V30" s="14"/>
      <c r="W30" s="14"/>
      <c r="X30" s="14"/>
      <c r="Y30" s="14"/>
      <c r="Z30" s="15"/>
      <c r="AA30" s="15"/>
      <c r="AB30" s="15"/>
      <c r="AC30" s="15"/>
      <c r="AD30" s="12"/>
      <c r="AE30" s="12"/>
      <c r="AF30" s="13"/>
      <c r="AG30" s="11"/>
      <c r="AH30" s="13"/>
      <c r="AI30" s="11"/>
      <c r="AJ30" s="13"/>
      <c r="AK30" s="11"/>
      <c r="AL30" s="11"/>
      <c r="AM30" s="11"/>
    </row>
    <row r="31" spans="1:39" ht="16.5">
      <c r="A31" s="2">
        <v>2026</v>
      </c>
      <c r="B31" s="2" t="s">
        <v>14</v>
      </c>
      <c r="C31" s="3" t="s">
        <v>353</v>
      </c>
      <c r="D31" s="4">
        <v>45933.093777812501</v>
      </c>
      <c r="E31" s="5" t="s">
        <v>96</v>
      </c>
      <c r="F31" s="3" t="s">
        <v>195</v>
      </c>
      <c r="G31" s="3" t="s">
        <v>354</v>
      </c>
      <c r="H31" s="3" t="s">
        <v>355</v>
      </c>
      <c r="I31" s="3" t="s">
        <v>165</v>
      </c>
      <c r="J31" s="5" t="s">
        <v>356</v>
      </c>
      <c r="K31" s="2" t="s">
        <v>177</v>
      </c>
      <c r="L31" s="30"/>
      <c r="M31" s="16"/>
      <c r="N31" s="16"/>
      <c r="O31" s="5"/>
      <c r="P31" s="11"/>
      <c r="Q31" s="5"/>
      <c r="R31" s="5"/>
      <c r="S31" s="5"/>
      <c r="T31" s="5"/>
      <c r="U31" s="5"/>
      <c r="V31" s="14"/>
      <c r="W31" s="14"/>
      <c r="X31" s="14"/>
      <c r="Y31" s="14"/>
      <c r="Z31" s="15"/>
      <c r="AA31" s="15"/>
      <c r="AB31" s="15"/>
      <c r="AC31" s="15"/>
      <c r="AD31" s="12"/>
      <c r="AE31" s="12"/>
      <c r="AF31" s="13"/>
      <c r="AG31" s="11"/>
      <c r="AH31" s="13"/>
      <c r="AI31" s="11"/>
      <c r="AJ31" s="13"/>
      <c r="AK31" s="11"/>
      <c r="AL31" s="11"/>
      <c r="AM31" s="11"/>
    </row>
    <row r="32" spans="1:39" ht="16.5">
      <c r="A32" s="2">
        <v>2026</v>
      </c>
      <c r="B32" s="2" t="s">
        <v>14</v>
      </c>
      <c r="C32" s="2" t="s">
        <v>393</v>
      </c>
      <c r="D32" s="6">
        <v>45932.853839039351</v>
      </c>
      <c r="E32" s="5" t="s">
        <v>101</v>
      </c>
      <c r="F32" s="2" t="s">
        <v>149</v>
      </c>
      <c r="G32" s="2" t="s">
        <v>394</v>
      </c>
      <c r="H32" s="2" t="s">
        <v>395</v>
      </c>
      <c r="I32" s="2" t="s">
        <v>152</v>
      </c>
      <c r="J32" s="5" t="s">
        <v>396</v>
      </c>
      <c r="K32" s="2" t="s">
        <v>339</v>
      </c>
      <c r="L32" s="30"/>
      <c r="M32" s="16"/>
      <c r="N32" s="16"/>
      <c r="O32" s="5"/>
      <c r="P32" s="11"/>
      <c r="Q32" s="5"/>
      <c r="R32" s="5"/>
      <c r="S32" s="5"/>
      <c r="T32" s="5"/>
      <c r="U32" s="5"/>
      <c r="V32" s="14"/>
      <c r="W32" s="14"/>
      <c r="X32" s="14"/>
      <c r="Y32" s="14"/>
      <c r="Z32" s="15"/>
      <c r="AA32" s="15"/>
      <c r="AB32" s="15"/>
      <c r="AC32" s="15"/>
      <c r="AD32" s="12"/>
      <c r="AE32" s="12"/>
      <c r="AF32" s="13"/>
      <c r="AG32" s="11"/>
      <c r="AH32" s="13"/>
      <c r="AI32" s="11"/>
      <c r="AJ32" s="13"/>
      <c r="AK32" s="11"/>
      <c r="AL32" s="11"/>
      <c r="AM32" s="11"/>
    </row>
    <row r="33" spans="1:39" ht="16.5">
      <c r="A33" s="2">
        <v>2026</v>
      </c>
      <c r="B33" s="2" t="s">
        <v>14</v>
      </c>
      <c r="C33" s="3" t="s">
        <v>397</v>
      </c>
      <c r="D33" s="4">
        <v>45932.836031516206</v>
      </c>
      <c r="E33" s="5" t="s">
        <v>102</v>
      </c>
      <c r="F33" s="3" t="s">
        <v>149</v>
      </c>
      <c r="G33" s="3" t="s">
        <v>398</v>
      </c>
      <c r="H33" s="3" t="s">
        <v>399</v>
      </c>
      <c r="I33" s="3" t="s">
        <v>152</v>
      </c>
      <c r="J33" s="5" t="s">
        <v>400</v>
      </c>
      <c r="K33" s="2" t="s">
        <v>177</v>
      </c>
      <c r="L33" s="30"/>
      <c r="M33" s="16"/>
      <c r="N33" s="16"/>
      <c r="O33" s="5"/>
      <c r="P33" s="11"/>
      <c r="Q33" s="5"/>
      <c r="R33" s="5"/>
      <c r="S33" s="5"/>
      <c r="T33" s="5"/>
      <c r="U33" s="5"/>
      <c r="V33" s="14"/>
      <c r="W33" s="14"/>
      <c r="X33" s="14"/>
      <c r="Y33" s="14"/>
      <c r="Z33" s="15"/>
      <c r="AA33" s="15"/>
      <c r="AB33" s="15"/>
      <c r="AC33" s="15"/>
      <c r="AD33" s="12"/>
      <c r="AE33" s="12"/>
      <c r="AF33" s="13"/>
      <c r="AG33" s="11"/>
      <c r="AH33" s="13"/>
      <c r="AI33" s="11"/>
      <c r="AJ33" s="13"/>
      <c r="AK33" s="11"/>
      <c r="AL33" s="11"/>
      <c r="AM33" s="11"/>
    </row>
    <row r="34" spans="1:39" ht="16.5">
      <c r="A34" s="2">
        <v>2026</v>
      </c>
      <c r="B34" s="2" t="s">
        <v>14</v>
      </c>
      <c r="C34" s="2" t="s">
        <v>550</v>
      </c>
      <c r="D34" s="6">
        <v>45932.728403240741</v>
      </c>
      <c r="E34" s="5" t="s">
        <v>551</v>
      </c>
      <c r="F34" s="2" t="s">
        <v>190</v>
      </c>
      <c r="G34" s="2" t="s">
        <v>552</v>
      </c>
      <c r="H34" s="2" t="s">
        <v>553</v>
      </c>
      <c r="I34" s="2" t="s">
        <v>532</v>
      </c>
      <c r="J34" s="5" t="s">
        <v>533</v>
      </c>
      <c r="K34" s="2" t="s">
        <v>177</v>
      </c>
      <c r="L34" s="30"/>
      <c r="M34" s="16"/>
      <c r="N34" s="16"/>
      <c r="O34" s="5"/>
      <c r="P34" s="11"/>
      <c r="Q34" s="5"/>
      <c r="R34" s="5"/>
      <c r="S34" s="5"/>
      <c r="T34" s="5"/>
      <c r="U34" s="5"/>
      <c r="V34" s="14"/>
      <c r="W34" s="14"/>
      <c r="X34" s="14"/>
      <c r="Y34" s="14"/>
      <c r="Z34" s="15"/>
      <c r="AA34" s="15"/>
      <c r="AB34" s="15"/>
      <c r="AC34" s="15"/>
      <c r="AD34" s="12"/>
      <c r="AE34" s="12"/>
      <c r="AF34" s="13"/>
      <c r="AG34" s="11"/>
      <c r="AH34" s="13"/>
      <c r="AI34" s="11"/>
      <c r="AJ34" s="13"/>
      <c r="AK34" s="11"/>
      <c r="AL34" s="11"/>
      <c r="AM34" s="11"/>
    </row>
    <row r="35" spans="1:39" ht="16.5">
      <c r="A35" s="2">
        <v>2026</v>
      </c>
      <c r="B35" s="2" t="s">
        <v>14</v>
      </c>
      <c r="C35" s="3" t="s">
        <v>378</v>
      </c>
      <c r="D35" s="4">
        <v>45915.66671759259</v>
      </c>
      <c r="E35" s="5" t="s">
        <v>97</v>
      </c>
      <c r="F35" s="3" t="s">
        <v>379</v>
      </c>
      <c r="G35" s="3" t="s">
        <v>380</v>
      </c>
      <c r="H35" s="3" t="s">
        <v>381</v>
      </c>
      <c r="I35" s="3" t="s">
        <v>175</v>
      </c>
      <c r="J35" s="5" t="s">
        <v>382</v>
      </c>
      <c r="K35" s="2" t="s">
        <v>177</v>
      </c>
      <c r="L35" s="30"/>
      <c r="M35" s="16"/>
      <c r="N35" s="16"/>
      <c r="O35" s="5"/>
      <c r="P35" s="11"/>
      <c r="Q35" s="5"/>
      <c r="R35" s="5"/>
      <c r="S35" s="5"/>
      <c r="T35" s="5"/>
      <c r="U35" s="5"/>
      <c r="V35" s="14"/>
      <c r="W35" s="14"/>
      <c r="X35" s="14"/>
      <c r="Y35" s="14"/>
      <c r="Z35" s="15"/>
      <c r="AA35" s="15"/>
      <c r="AB35" s="15"/>
      <c r="AC35" s="15"/>
      <c r="AD35" s="12"/>
      <c r="AE35" s="12"/>
      <c r="AF35" s="13"/>
      <c r="AG35" s="11"/>
      <c r="AH35" s="13"/>
      <c r="AI35" s="11"/>
      <c r="AJ35" s="13"/>
      <c r="AK35" s="11"/>
      <c r="AL35" s="11"/>
      <c r="AM35" s="11"/>
    </row>
    <row r="36" spans="1:39" ht="16.5">
      <c r="A36" s="2">
        <v>2026</v>
      </c>
      <c r="B36" s="2" t="s">
        <v>14</v>
      </c>
      <c r="C36" s="2" t="s">
        <v>554</v>
      </c>
      <c r="D36" s="6">
        <v>45904.844133680555</v>
      </c>
      <c r="E36" s="5" t="s">
        <v>555</v>
      </c>
      <c r="F36" s="2" t="s">
        <v>358</v>
      </c>
      <c r="G36" s="2" t="s">
        <v>556</v>
      </c>
      <c r="H36" s="2" t="s">
        <v>557</v>
      </c>
      <c r="I36" s="2" t="s">
        <v>152</v>
      </c>
      <c r="J36" s="5" t="s">
        <v>558</v>
      </c>
      <c r="K36" s="2" t="s">
        <v>177</v>
      </c>
      <c r="L36" s="30"/>
      <c r="M36" s="16"/>
      <c r="N36" s="16"/>
      <c r="O36" s="5"/>
      <c r="P36" s="11"/>
      <c r="Q36" s="5"/>
      <c r="R36" s="5"/>
      <c r="S36" s="5"/>
      <c r="T36" s="5"/>
      <c r="U36" s="5"/>
      <c r="V36" s="14"/>
      <c r="W36" s="14"/>
      <c r="X36" s="14"/>
      <c r="Y36" s="14"/>
      <c r="Z36" s="15"/>
      <c r="AA36" s="15"/>
      <c r="AB36" s="15"/>
      <c r="AC36" s="15"/>
      <c r="AD36" s="12"/>
      <c r="AE36" s="12"/>
      <c r="AF36" s="13"/>
      <c r="AG36" s="11"/>
      <c r="AH36" s="13"/>
      <c r="AI36" s="11"/>
      <c r="AJ36" s="13"/>
      <c r="AK36" s="11"/>
      <c r="AL36" s="11"/>
      <c r="AM36" s="11"/>
    </row>
    <row r="37" spans="1:39" ht="16.5">
      <c r="A37" s="2">
        <v>2026</v>
      </c>
      <c r="B37" s="2" t="s">
        <v>14</v>
      </c>
      <c r="C37" s="3" t="s">
        <v>366</v>
      </c>
      <c r="D37" s="4">
        <v>45902.665949571761</v>
      </c>
      <c r="E37" s="5" t="s">
        <v>50</v>
      </c>
      <c r="F37" s="3" t="s">
        <v>179</v>
      </c>
      <c r="G37" s="3" t="s">
        <v>367</v>
      </c>
      <c r="H37" s="3" t="s">
        <v>368</v>
      </c>
      <c r="I37" s="3" t="s">
        <v>175</v>
      </c>
      <c r="J37" s="5" t="s">
        <v>369</v>
      </c>
      <c r="K37" s="2" t="s">
        <v>177</v>
      </c>
      <c r="L37" s="30"/>
      <c r="M37" s="16"/>
      <c r="N37" s="16"/>
      <c r="O37" s="5"/>
      <c r="P37" s="11"/>
      <c r="Q37" s="5"/>
      <c r="R37" s="5"/>
      <c r="S37" s="5"/>
      <c r="T37" s="5"/>
      <c r="U37" s="5"/>
      <c r="V37" s="14"/>
      <c r="W37" s="14"/>
      <c r="X37" s="14"/>
      <c r="Y37" s="14"/>
      <c r="Z37" s="15"/>
      <c r="AA37" s="15"/>
      <c r="AB37" s="15"/>
      <c r="AC37" s="15"/>
      <c r="AD37" s="12"/>
      <c r="AE37" s="12"/>
      <c r="AF37" s="13"/>
      <c r="AG37" s="11"/>
      <c r="AH37" s="13"/>
      <c r="AI37" s="11"/>
      <c r="AJ37" s="13"/>
      <c r="AK37" s="11"/>
      <c r="AL37" s="11"/>
      <c r="AM37" s="11"/>
    </row>
    <row r="38" spans="1:39" ht="16.5">
      <c r="A38" s="2">
        <v>2026</v>
      </c>
      <c r="B38" s="2" t="s">
        <v>14</v>
      </c>
      <c r="C38" s="2" t="s">
        <v>370</v>
      </c>
      <c r="D38" s="6">
        <v>45902.634798344909</v>
      </c>
      <c r="E38" s="5" t="s">
        <v>43</v>
      </c>
      <c r="F38" s="2" t="s">
        <v>162</v>
      </c>
      <c r="G38" s="7" t="s">
        <v>371</v>
      </c>
      <c r="H38" s="2" t="s">
        <v>372</v>
      </c>
      <c r="I38" s="2" t="s">
        <v>165</v>
      </c>
      <c r="J38" s="5" t="s">
        <v>373</v>
      </c>
      <c r="K38" s="2" t="s">
        <v>177</v>
      </c>
      <c r="L38" s="30"/>
      <c r="M38" s="16"/>
      <c r="N38" s="16"/>
      <c r="O38" s="5"/>
      <c r="P38" s="11"/>
      <c r="Q38" s="5"/>
      <c r="R38" s="5"/>
      <c r="S38" s="5"/>
      <c r="T38" s="5"/>
      <c r="U38" s="5"/>
      <c r="V38" s="14"/>
      <c r="W38" s="14"/>
      <c r="X38" s="14"/>
      <c r="Y38" s="14"/>
      <c r="Z38" s="15"/>
      <c r="AA38" s="15"/>
      <c r="AB38" s="15"/>
      <c r="AC38" s="15"/>
      <c r="AD38" s="12"/>
      <c r="AE38" s="12"/>
      <c r="AF38" s="13"/>
      <c r="AG38" s="11"/>
      <c r="AH38" s="13"/>
      <c r="AI38" s="11"/>
      <c r="AJ38" s="13"/>
      <c r="AK38" s="11"/>
      <c r="AL38" s="11"/>
      <c r="AM38" s="11"/>
    </row>
    <row r="39" spans="1:39" ht="16.5">
      <c r="A39" s="2">
        <v>2026</v>
      </c>
      <c r="B39" s="2" t="s">
        <v>14</v>
      </c>
      <c r="C39" s="3" t="s">
        <v>349</v>
      </c>
      <c r="D39" s="4">
        <v>45901.854656446762</v>
      </c>
      <c r="E39" s="5" t="s">
        <v>54</v>
      </c>
      <c r="F39" s="3" t="s">
        <v>185</v>
      </c>
      <c r="G39" s="3" t="s">
        <v>350</v>
      </c>
      <c r="H39" s="3" t="s">
        <v>351</v>
      </c>
      <c r="I39" s="3" t="s">
        <v>175</v>
      </c>
      <c r="J39" s="5" t="s">
        <v>352</v>
      </c>
      <c r="K39" s="2" t="s">
        <v>177</v>
      </c>
      <c r="L39" s="30"/>
      <c r="M39" s="16"/>
      <c r="N39" s="16"/>
      <c r="O39" s="5"/>
      <c r="P39" s="11"/>
      <c r="Q39" s="5"/>
      <c r="R39" s="5"/>
      <c r="S39" s="5"/>
      <c r="T39" s="5"/>
      <c r="U39" s="5"/>
      <c r="V39" s="14"/>
      <c r="W39" s="14"/>
      <c r="X39" s="14"/>
      <c r="Y39" s="14"/>
      <c r="Z39" s="15"/>
      <c r="AA39" s="15"/>
      <c r="AB39" s="15"/>
      <c r="AC39" s="15"/>
      <c r="AD39" s="12"/>
      <c r="AE39" s="12"/>
      <c r="AF39" s="13"/>
      <c r="AG39" s="11"/>
      <c r="AH39" s="13"/>
      <c r="AI39" s="11"/>
      <c r="AJ39" s="13"/>
      <c r="AK39" s="11"/>
      <c r="AL39" s="11"/>
      <c r="AM39" s="11"/>
    </row>
    <row r="40" spans="1:39" ht="16.5">
      <c r="A40" s="2">
        <v>2026</v>
      </c>
      <c r="B40" s="2" t="s">
        <v>14</v>
      </c>
      <c r="C40" s="2" t="s">
        <v>374</v>
      </c>
      <c r="D40" s="6">
        <v>45889.901397719907</v>
      </c>
      <c r="E40" s="5" t="s">
        <v>44</v>
      </c>
      <c r="F40" s="2" t="s">
        <v>185</v>
      </c>
      <c r="G40" s="2" t="s">
        <v>375</v>
      </c>
      <c r="H40" s="2" t="s">
        <v>376</v>
      </c>
      <c r="I40" s="2" t="s">
        <v>175</v>
      </c>
      <c r="J40" s="5" t="s">
        <v>377</v>
      </c>
      <c r="K40" s="2" t="s">
        <v>177</v>
      </c>
      <c r="L40" s="30"/>
      <c r="M40" s="16"/>
      <c r="N40" s="16"/>
      <c r="O40" s="5"/>
      <c r="P40" s="11"/>
      <c r="Q40" s="5"/>
      <c r="R40" s="5"/>
      <c r="S40" s="5"/>
      <c r="T40" s="5"/>
      <c r="U40" s="5"/>
      <c r="V40" s="14"/>
      <c r="W40" s="14"/>
      <c r="X40" s="14"/>
      <c r="Y40" s="14"/>
      <c r="Z40" s="15"/>
      <c r="AA40" s="15"/>
      <c r="AB40" s="15"/>
      <c r="AC40" s="15"/>
      <c r="AD40" s="12"/>
      <c r="AE40" s="12"/>
      <c r="AF40" s="13"/>
      <c r="AG40" s="11"/>
      <c r="AH40" s="13"/>
      <c r="AI40" s="11"/>
      <c r="AJ40" s="13"/>
      <c r="AK40" s="11"/>
      <c r="AL40" s="11"/>
      <c r="AM40" s="11"/>
    </row>
    <row r="41" spans="1:39" ht="16.5">
      <c r="A41" s="2">
        <v>2026</v>
      </c>
      <c r="B41" s="2" t="s">
        <v>14</v>
      </c>
      <c r="C41" s="3" t="s">
        <v>357</v>
      </c>
      <c r="D41" s="4">
        <v>45889.883283877316</v>
      </c>
      <c r="E41" s="5" t="s">
        <v>42</v>
      </c>
      <c r="F41" s="3" t="s">
        <v>358</v>
      </c>
      <c r="G41" s="3" t="s">
        <v>359</v>
      </c>
      <c r="H41" s="3" t="s">
        <v>360</v>
      </c>
      <c r="I41" s="3" t="s">
        <v>152</v>
      </c>
      <c r="J41" s="5" t="s">
        <v>361</v>
      </c>
      <c r="K41" s="2" t="s">
        <v>177</v>
      </c>
      <c r="L41" s="30"/>
      <c r="M41" s="16"/>
      <c r="N41" s="16"/>
      <c r="O41" s="5"/>
      <c r="P41" s="11"/>
      <c r="Q41" s="5"/>
      <c r="R41" s="5"/>
      <c r="S41" s="5"/>
      <c r="T41" s="5"/>
      <c r="U41" s="5"/>
      <c r="V41" s="14"/>
      <c r="W41" s="14"/>
      <c r="X41" s="14"/>
      <c r="Y41" s="14"/>
      <c r="Z41" s="15"/>
      <c r="AA41" s="15"/>
      <c r="AB41" s="15"/>
      <c r="AC41" s="15"/>
      <c r="AD41" s="12"/>
      <c r="AE41" s="12"/>
      <c r="AF41" s="13"/>
      <c r="AG41" s="11"/>
      <c r="AH41" s="13"/>
      <c r="AI41" s="11"/>
      <c r="AJ41" s="13"/>
      <c r="AK41" s="11"/>
      <c r="AL41" s="11"/>
      <c r="AM41" s="11"/>
    </row>
    <row r="42" spans="1:39" ht="16.5">
      <c r="A42" s="2">
        <v>2026</v>
      </c>
      <c r="B42" s="2" t="s">
        <v>14</v>
      </c>
      <c r="C42" s="2" t="s">
        <v>362</v>
      </c>
      <c r="D42" s="6">
        <v>45884.888543831017</v>
      </c>
      <c r="E42" s="5" t="s">
        <v>55</v>
      </c>
      <c r="F42" s="2" t="s">
        <v>221</v>
      </c>
      <c r="G42" s="2" t="s">
        <v>363</v>
      </c>
      <c r="H42" s="2" t="s">
        <v>364</v>
      </c>
      <c r="I42" s="2" t="s">
        <v>175</v>
      </c>
      <c r="J42" s="5" t="s">
        <v>365</v>
      </c>
      <c r="K42" s="2" t="s">
        <v>177</v>
      </c>
      <c r="L42" s="30"/>
      <c r="M42" s="16"/>
      <c r="N42" s="16"/>
      <c r="O42" s="5"/>
      <c r="P42" s="11"/>
      <c r="Q42" s="5"/>
      <c r="R42" s="5"/>
      <c r="S42" s="5"/>
      <c r="T42" s="5"/>
      <c r="U42" s="5"/>
      <c r="V42" s="14"/>
      <c r="W42" s="14"/>
      <c r="X42" s="14"/>
      <c r="Y42" s="14"/>
      <c r="Z42" s="15"/>
      <c r="AA42" s="15"/>
      <c r="AB42" s="15"/>
      <c r="AC42" s="15"/>
      <c r="AD42" s="12"/>
      <c r="AE42" s="12"/>
      <c r="AF42" s="13"/>
      <c r="AG42" s="11"/>
      <c r="AH42" s="13"/>
      <c r="AI42" s="11"/>
      <c r="AJ42" s="13"/>
      <c r="AK42" s="11"/>
      <c r="AL42" s="11"/>
      <c r="AM42" s="11"/>
    </row>
    <row r="43" spans="1:39" ht="16.5">
      <c r="A43" s="2">
        <v>2026</v>
      </c>
      <c r="B43" s="2" t="s">
        <v>14</v>
      </c>
      <c r="C43" s="3" t="s">
        <v>340</v>
      </c>
      <c r="D43" s="4">
        <v>45845.610437002317</v>
      </c>
      <c r="E43" s="5" t="s">
        <v>53</v>
      </c>
      <c r="F43" s="3" t="s">
        <v>190</v>
      </c>
      <c r="G43" s="3" t="s">
        <v>341</v>
      </c>
      <c r="H43" s="3" t="s">
        <v>342</v>
      </c>
      <c r="I43" s="3" t="s">
        <v>165</v>
      </c>
      <c r="J43" s="5" t="s">
        <v>343</v>
      </c>
      <c r="K43" s="2" t="s">
        <v>177</v>
      </c>
      <c r="L43" s="30"/>
      <c r="M43" s="16"/>
      <c r="N43" s="16"/>
      <c r="O43" s="5"/>
      <c r="P43" s="11"/>
      <c r="Q43" s="5"/>
      <c r="R43" s="5"/>
      <c r="S43" s="5"/>
      <c r="T43" s="5"/>
      <c r="U43" s="5"/>
      <c r="V43" s="14"/>
      <c r="W43" s="14"/>
      <c r="X43" s="14"/>
      <c r="Y43" s="14"/>
      <c r="Z43" s="15"/>
      <c r="AA43" s="15"/>
      <c r="AB43" s="15"/>
      <c r="AC43" s="15"/>
      <c r="AD43" s="12"/>
      <c r="AE43" s="12"/>
      <c r="AF43" s="13"/>
      <c r="AG43" s="11"/>
      <c r="AH43" s="13"/>
      <c r="AI43" s="11"/>
      <c r="AJ43" s="13"/>
      <c r="AK43" s="11"/>
      <c r="AL43" s="11"/>
      <c r="AM43" s="11"/>
    </row>
    <row r="44" spans="1:39" ht="16.5">
      <c r="A44" s="2">
        <v>2026</v>
      </c>
      <c r="B44" s="2" t="s">
        <v>14</v>
      </c>
      <c r="C44" s="2" t="s">
        <v>344</v>
      </c>
      <c r="D44" s="6">
        <v>45845.584573807871</v>
      </c>
      <c r="E44" s="5" t="s">
        <v>62</v>
      </c>
      <c r="F44" s="2" t="s">
        <v>345</v>
      </c>
      <c r="G44" s="2" t="s">
        <v>346</v>
      </c>
      <c r="H44" s="2" t="s">
        <v>347</v>
      </c>
      <c r="I44" s="2" t="s">
        <v>152</v>
      </c>
      <c r="J44" s="5" t="s">
        <v>348</v>
      </c>
      <c r="K44" s="2" t="s">
        <v>177</v>
      </c>
      <c r="L44" s="30"/>
      <c r="M44" s="16"/>
      <c r="N44" s="16"/>
      <c r="O44" s="5"/>
      <c r="P44" s="11"/>
      <c r="Q44" s="5"/>
      <c r="R44" s="5"/>
      <c r="S44" s="5"/>
      <c r="T44" s="5"/>
      <c r="U44" s="5"/>
      <c r="V44" s="14"/>
      <c r="W44" s="14"/>
      <c r="X44" s="14"/>
      <c r="Y44" s="14"/>
      <c r="Z44" s="15"/>
      <c r="AA44" s="15"/>
      <c r="AB44" s="15"/>
      <c r="AC44" s="15"/>
      <c r="AD44" s="12"/>
      <c r="AE44" s="12"/>
      <c r="AF44" s="13"/>
      <c r="AG44" s="11"/>
      <c r="AH44" s="13"/>
      <c r="AI44" s="11"/>
      <c r="AJ44" s="13"/>
      <c r="AK44" s="11"/>
      <c r="AL44" s="11"/>
      <c r="AM44" s="11"/>
    </row>
    <row r="45" spans="1:39" ht="16.5">
      <c r="A45" s="2">
        <v>2026</v>
      </c>
      <c r="B45" s="2" t="s">
        <v>14</v>
      </c>
      <c r="C45" s="3" t="s">
        <v>559</v>
      </c>
      <c r="D45" s="4">
        <v>45827.960147141202</v>
      </c>
      <c r="E45" s="5" t="s">
        <v>560</v>
      </c>
      <c r="F45" s="3" t="s">
        <v>190</v>
      </c>
      <c r="G45" s="3" t="s">
        <v>561</v>
      </c>
      <c r="H45" s="3" t="s">
        <v>562</v>
      </c>
      <c r="I45" s="3" t="s">
        <v>532</v>
      </c>
      <c r="J45" s="5" t="s">
        <v>533</v>
      </c>
      <c r="K45" s="2" t="s">
        <v>177</v>
      </c>
      <c r="L45" s="30"/>
      <c r="M45" s="16"/>
      <c r="N45" s="16"/>
      <c r="O45" s="5"/>
      <c r="P45" s="11"/>
      <c r="Q45" s="5"/>
      <c r="R45" s="5"/>
      <c r="S45" s="5"/>
      <c r="T45" s="5"/>
      <c r="U45" s="5"/>
      <c r="V45" s="14"/>
      <c r="W45" s="14"/>
      <c r="X45" s="14"/>
      <c r="Y45" s="14"/>
      <c r="Z45" s="15"/>
      <c r="AA45" s="15"/>
      <c r="AB45" s="15"/>
      <c r="AC45" s="15"/>
      <c r="AD45" s="12"/>
      <c r="AE45" s="12"/>
      <c r="AF45" s="13"/>
      <c r="AG45" s="11"/>
      <c r="AH45" s="13"/>
      <c r="AI45" s="11"/>
      <c r="AJ45" s="13"/>
      <c r="AK45" s="11"/>
      <c r="AL45" s="11"/>
      <c r="AM45" s="11"/>
    </row>
    <row r="46" spans="1:39" ht="16.5">
      <c r="A46" s="2">
        <v>2026</v>
      </c>
      <c r="B46" s="2" t="s">
        <v>14</v>
      </c>
      <c r="C46" s="2" t="s">
        <v>563</v>
      </c>
      <c r="D46" s="6">
        <v>45827.94186929398</v>
      </c>
      <c r="E46" s="5" t="s">
        <v>564</v>
      </c>
      <c r="F46" s="2" t="s">
        <v>276</v>
      </c>
      <c r="G46" s="2" t="s">
        <v>565</v>
      </c>
      <c r="H46" s="2" t="s">
        <v>566</v>
      </c>
      <c r="I46" s="2" t="s">
        <v>152</v>
      </c>
      <c r="J46" s="5"/>
      <c r="K46" s="2" t="s">
        <v>177</v>
      </c>
      <c r="L46" s="30"/>
      <c r="M46" s="16"/>
      <c r="N46" s="16"/>
      <c r="O46" s="5"/>
      <c r="P46" s="11"/>
      <c r="Q46" s="5"/>
      <c r="R46" s="5"/>
      <c r="S46" s="5"/>
      <c r="T46" s="5"/>
      <c r="U46" s="5"/>
      <c r="V46" s="14"/>
      <c r="W46" s="14"/>
      <c r="X46" s="14"/>
      <c r="Y46" s="14"/>
      <c r="Z46" s="15"/>
      <c r="AA46" s="15"/>
      <c r="AB46" s="15"/>
      <c r="AC46" s="15"/>
      <c r="AD46" s="12"/>
      <c r="AE46" s="12"/>
      <c r="AF46" s="13"/>
      <c r="AG46" s="11"/>
      <c r="AH46" s="13"/>
      <c r="AI46" s="11"/>
      <c r="AJ46" s="13"/>
      <c r="AK46" s="11"/>
      <c r="AL46" s="11"/>
      <c r="AM46" s="11"/>
    </row>
    <row r="47" spans="1:39" ht="16.5">
      <c r="A47" s="2">
        <v>2026</v>
      </c>
      <c r="B47" s="2" t="s">
        <v>14</v>
      </c>
      <c r="C47" s="3" t="s">
        <v>335</v>
      </c>
      <c r="D47" s="4">
        <v>45806.582142789353</v>
      </c>
      <c r="E47" s="5" t="s">
        <v>80</v>
      </c>
      <c r="F47" s="3" t="s">
        <v>235</v>
      </c>
      <c r="G47" s="3" t="s">
        <v>336</v>
      </c>
      <c r="H47" s="3" t="s">
        <v>337</v>
      </c>
      <c r="I47" s="3" t="s">
        <v>165</v>
      </c>
      <c r="J47" s="5" t="s">
        <v>338</v>
      </c>
      <c r="K47" s="2" t="s">
        <v>339</v>
      </c>
      <c r="L47" s="30"/>
      <c r="M47" s="16"/>
      <c r="N47" s="16"/>
      <c r="O47" s="5"/>
      <c r="P47" s="11"/>
      <c r="Q47" s="5"/>
      <c r="R47" s="5"/>
      <c r="S47" s="5"/>
      <c r="T47" s="5"/>
      <c r="U47" s="5"/>
      <c r="V47" s="14"/>
      <c r="W47" s="14"/>
      <c r="X47" s="14"/>
      <c r="Y47" s="14"/>
      <c r="Z47" s="15"/>
      <c r="AA47" s="15"/>
      <c r="AB47" s="15"/>
      <c r="AC47" s="15"/>
      <c r="AD47" s="12"/>
      <c r="AE47" s="12"/>
      <c r="AF47" s="13"/>
      <c r="AG47" s="11"/>
      <c r="AH47" s="13"/>
      <c r="AI47" s="11"/>
      <c r="AJ47" s="13"/>
      <c r="AK47" s="11"/>
      <c r="AL47" s="11"/>
      <c r="AM47" s="11"/>
    </row>
    <row r="48" spans="1:39" ht="16.5">
      <c r="A48" s="2">
        <v>2026</v>
      </c>
      <c r="B48" s="2" t="s">
        <v>14</v>
      </c>
      <c r="C48" s="2" t="s">
        <v>401</v>
      </c>
      <c r="D48" s="6">
        <v>45768.647169212963</v>
      </c>
      <c r="E48" s="5" t="s">
        <v>104</v>
      </c>
      <c r="F48" s="2" t="s">
        <v>149</v>
      </c>
      <c r="G48" s="2" t="s">
        <v>402</v>
      </c>
      <c r="H48" s="2" t="s">
        <v>403</v>
      </c>
      <c r="I48" s="2" t="s">
        <v>152</v>
      </c>
      <c r="J48" s="5" t="s">
        <v>404</v>
      </c>
      <c r="K48" s="2" t="s">
        <v>154</v>
      </c>
      <c r="L48" s="30"/>
      <c r="M48" s="16"/>
      <c r="N48" s="16"/>
      <c r="O48" s="5"/>
      <c r="P48" s="11"/>
      <c r="Q48" s="5"/>
      <c r="R48" s="5"/>
      <c r="S48" s="5"/>
      <c r="T48" s="5"/>
      <c r="U48" s="5"/>
      <c r="V48" s="14"/>
      <c r="W48" s="14"/>
      <c r="X48" s="14"/>
      <c r="Y48" s="14"/>
      <c r="Z48" s="15"/>
      <c r="AA48" s="15"/>
      <c r="AB48" s="15"/>
      <c r="AC48" s="15"/>
      <c r="AD48" s="12"/>
      <c r="AE48" s="12"/>
      <c r="AF48" s="13"/>
      <c r="AG48" s="11"/>
      <c r="AH48" s="13"/>
      <c r="AI48" s="11"/>
      <c r="AJ48" s="13"/>
      <c r="AK48" s="11"/>
      <c r="AL48" s="11"/>
      <c r="AM48" s="11"/>
    </row>
    <row r="49" spans="1:39" ht="16.5">
      <c r="A49" s="2">
        <v>2026</v>
      </c>
      <c r="B49" s="2" t="s">
        <v>14</v>
      </c>
      <c r="C49" s="2" t="s">
        <v>330</v>
      </c>
      <c r="D49" s="6">
        <v>45747.049514548613</v>
      </c>
      <c r="E49" s="5" t="s">
        <v>51</v>
      </c>
      <c r="F49" s="2" t="s">
        <v>331</v>
      </c>
      <c r="G49" s="2" t="s">
        <v>332</v>
      </c>
      <c r="H49" s="2" t="s">
        <v>333</v>
      </c>
      <c r="I49" s="2" t="s">
        <v>152</v>
      </c>
      <c r="J49" s="5" t="s">
        <v>334</v>
      </c>
      <c r="K49" s="2" t="s">
        <v>177</v>
      </c>
      <c r="L49" s="30"/>
      <c r="M49" s="16"/>
      <c r="N49" s="16"/>
      <c r="O49" s="5"/>
      <c r="P49" s="11"/>
      <c r="Q49" s="5"/>
      <c r="R49" s="5"/>
      <c r="S49" s="5"/>
      <c r="T49" s="5"/>
      <c r="U49" s="5"/>
      <c r="V49" s="14"/>
      <c r="W49" s="14"/>
      <c r="X49" s="14"/>
      <c r="Y49" s="14"/>
      <c r="Z49" s="15"/>
      <c r="AA49" s="15"/>
      <c r="AB49" s="15"/>
      <c r="AC49" s="15"/>
      <c r="AD49" s="12"/>
      <c r="AE49" s="12"/>
      <c r="AF49" s="13"/>
      <c r="AG49" s="11"/>
      <c r="AH49" s="13"/>
      <c r="AI49" s="11"/>
      <c r="AJ49" s="13"/>
      <c r="AK49" s="11"/>
      <c r="AL49" s="11"/>
      <c r="AM49" s="11"/>
    </row>
    <row r="50" spans="1:39" ht="16.5">
      <c r="A50" s="2">
        <v>2026</v>
      </c>
      <c r="B50" s="2" t="s">
        <v>14</v>
      </c>
      <c r="C50" s="3" t="s">
        <v>325</v>
      </c>
      <c r="D50" s="4">
        <v>45726.538149618056</v>
      </c>
      <c r="E50" s="5" t="s">
        <v>48</v>
      </c>
      <c r="F50" s="3" t="s">
        <v>326</v>
      </c>
      <c r="G50" s="3" t="s">
        <v>327</v>
      </c>
      <c r="H50" s="3" t="s">
        <v>328</v>
      </c>
      <c r="I50" s="3" t="s">
        <v>152</v>
      </c>
      <c r="J50" s="5" t="s">
        <v>329</v>
      </c>
      <c r="K50" s="2" t="s">
        <v>177</v>
      </c>
      <c r="L50" s="30"/>
      <c r="M50" s="16"/>
      <c r="N50" s="16"/>
      <c r="O50" s="5"/>
      <c r="P50" s="11"/>
      <c r="Q50" s="5"/>
      <c r="R50" s="5"/>
      <c r="S50" s="5"/>
      <c r="T50" s="5"/>
      <c r="U50" s="5"/>
      <c r="V50" s="14"/>
      <c r="W50" s="14"/>
      <c r="X50" s="14"/>
      <c r="Y50" s="14"/>
      <c r="Z50" s="15"/>
      <c r="AA50" s="15"/>
      <c r="AB50" s="15"/>
      <c r="AC50" s="15"/>
      <c r="AD50" s="12"/>
      <c r="AE50" s="12"/>
      <c r="AF50" s="13"/>
      <c r="AG50" s="11"/>
      <c r="AH50" s="13"/>
      <c r="AI50" s="11"/>
      <c r="AJ50" s="13"/>
      <c r="AK50" s="11"/>
      <c r="AL50" s="11"/>
      <c r="AM50" s="11"/>
    </row>
    <row r="51" spans="1:39" ht="16.5">
      <c r="A51" s="2">
        <v>2026</v>
      </c>
      <c r="B51" s="2" t="s">
        <v>14</v>
      </c>
      <c r="C51" s="2" t="s">
        <v>567</v>
      </c>
      <c r="D51" s="6">
        <v>45720.964197256944</v>
      </c>
      <c r="E51" s="5" t="s">
        <v>568</v>
      </c>
      <c r="F51" s="2" t="s">
        <v>190</v>
      </c>
      <c r="G51" s="2" t="s">
        <v>569</v>
      </c>
      <c r="H51" s="2" t="s">
        <v>570</v>
      </c>
      <c r="I51" s="2" t="s">
        <v>532</v>
      </c>
      <c r="J51" s="5" t="s">
        <v>533</v>
      </c>
      <c r="K51" s="2" t="s">
        <v>339</v>
      </c>
      <c r="L51" s="30"/>
      <c r="M51" s="16"/>
      <c r="N51" s="16"/>
      <c r="O51" s="5"/>
      <c r="P51" s="11"/>
      <c r="Q51" s="5"/>
      <c r="R51" s="5"/>
      <c r="S51" s="5"/>
      <c r="T51" s="5"/>
      <c r="U51" s="5"/>
      <c r="V51" s="14"/>
      <c r="W51" s="14"/>
      <c r="X51" s="14"/>
      <c r="Y51" s="14"/>
      <c r="Z51" s="15"/>
      <c r="AA51" s="15"/>
      <c r="AB51" s="15"/>
      <c r="AC51" s="15"/>
      <c r="AD51" s="12"/>
      <c r="AE51" s="12"/>
      <c r="AF51" s="13"/>
      <c r="AG51" s="11"/>
      <c r="AH51" s="13"/>
      <c r="AI51" s="11"/>
      <c r="AJ51" s="13"/>
      <c r="AK51" s="11"/>
      <c r="AL51" s="11"/>
      <c r="AM51" s="11"/>
    </row>
    <row r="52" spans="1:39" ht="16.5">
      <c r="A52" s="2">
        <v>2026</v>
      </c>
      <c r="B52" s="2" t="s">
        <v>14</v>
      </c>
      <c r="C52" s="3" t="s">
        <v>321</v>
      </c>
      <c r="D52" s="4">
        <v>45705.736462615743</v>
      </c>
      <c r="E52" s="5" t="s">
        <v>73</v>
      </c>
      <c r="F52" s="3" t="s">
        <v>270</v>
      </c>
      <c r="G52" s="3" t="s">
        <v>322</v>
      </c>
      <c r="H52" s="3" t="s">
        <v>323</v>
      </c>
      <c r="I52" s="3" t="s">
        <v>175</v>
      </c>
      <c r="J52" s="5" t="s">
        <v>324</v>
      </c>
      <c r="K52" s="2" t="s">
        <v>177</v>
      </c>
      <c r="L52" s="30"/>
      <c r="M52" s="16"/>
      <c r="N52" s="16"/>
      <c r="O52" s="5"/>
      <c r="P52" s="11"/>
      <c r="Q52" s="5"/>
      <c r="R52" s="5"/>
      <c r="S52" s="5"/>
      <c r="T52" s="5"/>
      <c r="U52" s="5"/>
      <c r="V52" s="14"/>
      <c r="W52" s="14"/>
      <c r="X52" s="14"/>
      <c r="Y52" s="14"/>
      <c r="Z52" s="15"/>
      <c r="AA52" s="15"/>
      <c r="AB52" s="15"/>
      <c r="AC52" s="15"/>
      <c r="AD52" s="12"/>
      <c r="AE52" s="12"/>
      <c r="AF52" s="13"/>
      <c r="AG52" s="11"/>
      <c r="AH52" s="13"/>
      <c r="AI52" s="11"/>
      <c r="AJ52" s="13"/>
      <c r="AK52" s="11"/>
      <c r="AL52" s="11"/>
      <c r="AM52" s="11"/>
    </row>
    <row r="53" spans="1:39" ht="16.5">
      <c r="A53" s="2">
        <v>2026</v>
      </c>
      <c r="B53" s="2" t="s">
        <v>14</v>
      </c>
      <c r="C53" s="2" t="s">
        <v>313</v>
      </c>
      <c r="D53" s="6">
        <v>45700.878398923611</v>
      </c>
      <c r="E53" s="5" t="s">
        <v>52</v>
      </c>
      <c r="F53" s="2" t="s">
        <v>149</v>
      </c>
      <c r="G53" s="2" t="s">
        <v>314</v>
      </c>
      <c r="H53" s="2" t="s">
        <v>315</v>
      </c>
      <c r="I53" s="2" t="s">
        <v>152</v>
      </c>
      <c r="J53" s="5" t="s">
        <v>316</v>
      </c>
      <c r="K53" s="2" t="s">
        <v>177</v>
      </c>
      <c r="L53" s="30"/>
      <c r="M53" s="16"/>
      <c r="N53" s="16"/>
      <c r="O53" s="5"/>
      <c r="P53" s="11"/>
      <c r="Q53" s="5"/>
      <c r="R53" s="5"/>
      <c r="S53" s="5"/>
      <c r="T53" s="5"/>
      <c r="U53" s="5"/>
      <c r="V53" s="14"/>
      <c r="W53" s="14"/>
      <c r="X53" s="14"/>
      <c r="Y53" s="14"/>
      <c r="Z53" s="15"/>
      <c r="AA53" s="15"/>
      <c r="AB53" s="15"/>
      <c r="AC53" s="15"/>
      <c r="AD53" s="12"/>
      <c r="AE53" s="12"/>
      <c r="AF53" s="13"/>
      <c r="AG53" s="11"/>
      <c r="AH53" s="13"/>
      <c r="AI53" s="11"/>
      <c r="AJ53" s="13"/>
      <c r="AK53" s="11"/>
      <c r="AL53" s="11"/>
      <c r="AM53" s="11"/>
    </row>
    <row r="54" spans="1:39" ht="16.5">
      <c r="A54" s="2">
        <v>2026</v>
      </c>
      <c r="B54" s="2" t="s">
        <v>14</v>
      </c>
      <c r="C54" s="3" t="s">
        <v>284</v>
      </c>
      <c r="D54" s="4">
        <v>45691.835365509258</v>
      </c>
      <c r="E54" s="5" t="s">
        <v>113</v>
      </c>
      <c r="F54" s="3" t="s">
        <v>195</v>
      </c>
      <c r="G54" s="3" t="s">
        <v>285</v>
      </c>
      <c r="H54" s="3" t="s">
        <v>286</v>
      </c>
      <c r="I54" s="3" t="s">
        <v>165</v>
      </c>
      <c r="J54" s="5" t="s">
        <v>287</v>
      </c>
      <c r="K54" s="2" t="s">
        <v>177</v>
      </c>
      <c r="L54" s="30"/>
      <c r="M54" s="16"/>
      <c r="N54" s="16"/>
      <c r="O54" s="5"/>
      <c r="P54" s="11"/>
      <c r="Q54" s="5"/>
      <c r="R54" s="5"/>
      <c r="S54" s="5"/>
      <c r="T54" s="5"/>
      <c r="U54" s="5"/>
      <c r="V54" s="14"/>
      <c r="W54" s="14"/>
      <c r="X54" s="14"/>
      <c r="Y54" s="14"/>
      <c r="Z54" s="15"/>
      <c r="AA54" s="15"/>
      <c r="AB54" s="15"/>
      <c r="AC54" s="15"/>
      <c r="AD54" s="12"/>
      <c r="AE54" s="12"/>
      <c r="AF54" s="13"/>
      <c r="AG54" s="11"/>
      <c r="AH54" s="13"/>
      <c r="AI54" s="11"/>
      <c r="AJ54" s="13"/>
      <c r="AK54" s="11"/>
      <c r="AL54" s="11"/>
      <c r="AM54" s="11"/>
    </row>
    <row r="55" spans="1:39" ht="16.5">
      <c r="A55" s="2">
        <v>2026</v>
      </c>
      <c r="B55" s="2" t="s">
        <v>14</v>
      </c>
      <c r="C55" s="2" t="s">
        <v>317</v>
      </c>
      <c r="D55" s="6">
        <v>45691.638554201389</v>
      </c>
      <c r="E55" s="5" t="s">
        <v>45</v>
      </c>
      <c r="F55" s="2" t="s">
        <v>149</v>
      </c>
      <c r="G55" s="2" t="s">
        <v>318</v>
      </c>
      <c r="H55" s="2" t="s">
        <v>319</v>
      </c>
      <c r="I55" s="2" t="s">
        <v>152</v>
      </c>
      <c r="J55" s="5" t="s">
        <v>320</v>
      </c>
      <c r="K55" s="2" t="s">
        <v>177</v>
      </c>
      <c r="L55" s="30"/>
      <c r="M55" s="16"/>
      <c r="N55" s="16"/>
      <c r="O55" s="5"/>
      <c r="P55" s="11"/>
      <c r="Q55" s="5"/>
      <c r="R55" s="5"/>
      <c r="S55" s="5"/>
      <c r="T55" s="5"/>
      <c r="U55" s="5"/>
      <c r="V55" s="14"/>
      <c r="W55" s="14"/>
      <c r="X55" s="14"/>
      <c r="Y55" s="14"/>
      <c r="Z55" s="15"/>
      <c r="AA55" s="15"/>
      <c r="AB55" s="15"/>
      <c r="AC55" s="15"/>
      <c r="AD55" s="12"/>
      <c r="AE55" s="12"/>
      <c r="AF55" s="13"/>
      <c r="AG55" s="11"/>
      <c r="AH55" s="13"/>
      <c r="AI55" s="11"/>
      <c r="AJ55" s="13"/>
      <c r="AK55" s="11"/>
      <c r="AL55" s="11"/>
      <c r="AM55" s="11"/>
    </row>
    <row r="56" spans="1:39" ht="16.5">
      <c r="A56" s="2">
        <v>2026</v>
      </c>
      <c r="B56" s="2" t="s">
        <v>14</v>
      </c>
      <c r="C56" s="3" t="s">
        <v>300</v>
      </c>
      <c r="D56" s="4">
        <v>45659.864735416668</v>
      </c>
      <c r="E56" s="5" t="s">
        <v>78</v>
      </c>
      <c r="F56" s="3" t="s">
        <v>149</v>
      </c>
      <c r="G56" s="3" t="s">
        <v>301</v>
      </c>
      <c r="H56" s="3" t="s">
        <v>302</v>
      </c>
      <c r="I56" s="3" t="s">
        <v>152</v>
      </c>
      <c r="J56" s="5" t="s">
        <v>303</v>
      </c>
      <c r="K56" s="2" t="s">
        <v>177</v>
      </c>
      <c r="L56" s="30"/>
      <c r="M56" s="16"/>
      <c r="N56" s="16"/>
      <c r="O56" s="5"/>
      <c r="P56" s="11"/>
      <c r="Q56" s="5"/>
      <c r="R56" s="5"/>
      <c r="S56" s="5"/>
      <c r="T56" s="5"/>
      <c r="U56" s="5"/>
      <c r="V56" s="14"/>
      <c r="W56" s="14"/>
      <c r="X56" s="14"/>
      <c r="Y56" s="14"/>
      <c r="Z56" s="15"/>
      <c r="AA56" s="15"/>
      <c r="AB56" s="15"/>
      <c r="AC56" s="15"/>
      <c r="AD56" s="12"/>
      <c r="AE56" s="12"/>
      <c r="AF56" s="13"/>
      <c r="AG56" s="11"/>
      <c r="AH56" s="13"/>
      <c r="AI56" s="11"/>
      <c r="AJ56" s="13"/>
      <c r="AK56" s="11"/>
      <c r="AL56" s="11"/>
      <c r="AM56" s="11"/>
    </row>
    <row r="57" spans="1:39" ht="16.5">
      <c r="A57" s="2">
        <v>2026</v>
      </c>
      <c r="B57" s="2" t="s">
        <v>14</v>
      </c>
      <c r="C57" s="2" t="s">
        <v>308</v>
      </c>
      <c r="D57" s="6">
        <v>45656.606922488427</v>
      </c>
      <c r="E57" s="5" t="s">
        <v>58</v>
      </c>
      <c r="F57" s="2" t="s">
        <v>309</v>
      </c>
      <c r="G57" s="2" t="s">
        <v>310</v>
      </c>
      <c r="H57" s="2" t="s">
        <v>311</v>
      </c>
      <c r="I57" s="2" t="s">
        <v>152</v>
      </c>
      <c r="J57" s="5" t="s">
        <v>312</v>
      </c>
      <c r="K57" s="2" t="s">
        <v>177</v>
      </c>
      <c r="L57" s="30"/>
      <c r="M57" s="16"/>
      <c r="N57" s="16"/>
      <c r="O57" s="5"/>
      <c r="P57" s="11"/>
      <c r="Q57" s="5"/>
      <c r="R57" s="5"/>
      <c r="S57" s="5"/>
      <c r="T57" s="5"/>
      <c r="U57" s="5"/>
      <c r="V57" s="14"/>
      <c r="W57" s="14"/>
      <c r="X57" s="14"/>
      <c r="Y57" s="14"/>
      <c r="Z57" s="15"/>
      <c r="AA57" s="15"/>
      <c r="AB57" s="15"/>
      <c r="AC57" s="15"/>
      <c r="AD57" s="12"/>
      <c r="AE57" s="12"/>
      <c r="AF57" s="13"/>
      <c r="AG57" s="11"/>
      <c r="AH57" s="13"/>
      <c r="AI57" s="11"/>
      <c r="AJ57" s="13"/>
      <c r="AK57" s="11"/>
      <c r="AL57" s="11"/>
      <c r="AM57" s="11"/>
    </row>
    <row r="58" spans="1:39" ht="16.5">
      <c r="A58" s="2">
        <v>2026</v>
      </c>
      <c r="B58" s="2" t="s">
        <v>14</v>
      </c>
      <c r="C58" s="3" t="s">
        <v>304</v>
      </c>
      <c r="D58" s="4">
        <v>45644.888087002313</v>
      </c>
      <c r="E58" s="5" t="s">
        <v>79</v>
      </c>
      <c r="F58" s="3" t="s">
        <v>190</v>
      </c>
      <c r="G58" s="3" t="s">
        <v>305</v>
      </c>
      <c r="H58" s="3" t="s">
        <v>306</v>
      </c>
      <c r="I58" s="3" t="s">
        <v>165</v>
      </c>
      <c r="J58" s="5" t="s">
        <v>307</v>
      </c>
      <c r="K58" s="2" t="s">
        <v>154</v>
      </c>
      <c r="L58" s="30"/>
      <c r="M58" s="16"/>
      <c r="N58" s="16"/>
      <c r="O58" s="5"/>
      <c r="P58" s="11"/>
      <c r="Q58" s="5"/>
      <c r="R58" s="5"/>
      <c r="S58" s="5"/>
      <c r="T58" s="5"/>
      <c r="U58" s="5"/>
      <c r="V58" s="14"/>
      <c r="W58" s="14"/>
      <c r="X58" s="14"/>
      <c r="Y58" s="14"/>
      <c r="Z58" s="15"/>
      <c r="AA58" s="15"/>
      <c r="AB58" s="15"/>
      <c r="AC58" s="15"/>
      <c r="AD58" s="12"/>
      <c r="AE58" s="12"/>
      <c r="AF58" s="13"/>
      <c r="AG58" s="11"/>
      <c r="AH58" s="13"/>
      <c r="AI58" s="11"/>
      <c r="AJ58" s="13"/>
      <c r="AK58" s="11"/>
      <c r="AL58" s="11"/>
      <c r="AM58" s="11"/>
    </row>
    <row r="59" spans="1:39" ht="16.5">
      <c r="A59" s="2">
        <v>2026</v>
      </c>
      <c r="B59" s="2" t="s">
        <v>14</v>
      </c>
      <c r="C59" s="2" t="s">
        <v>405</v>
      </c>
      <c r="D59" s="6">
        <v>45638.807590046294</v>
      </c>
      <c r="E59" s="5" t="s">
        <v>114</v>
      </c>
      <c r="F59" s="2" t="s">
        <v>221</v>
      </c>
      <c r="G59" s="2" t="s">
        <v>406</v>
      </c>
      <c r="H59" s="2" t="s">
        <v>407</v>
      </c>
      <c r="I59" s="2" t="s">
        <v>152</v>
      </c>
      <c r="J59" s="5" t="s">
        <v>408</v>
      </c>
      <c r="K59" s="2" t="s">
        <v>177</v>
      </c>
      <c r="L59" s="30"/>
      <c r="M59" s="16"/>
      <c r="N59" s="16"/>
      <c r="O59" s="5"/>
      <c r="P59" s="11"/>
      <c r="Q59" s="5"/>
      <c r="R59" s="5"/>
      <c r="S59" s="5"/>
      <c r="T59" s="5"/>
      <c r="U59" s="5"/>
      <c r="V59" s="14"/>
      <c r="W59" s="14"/>
      <c r="X59" s="14"/>
      <c r="Y59" s="14"/>
      <c r="Z59" s="15"/>
      <c r="AA59" s="15"/>
      <c r="AB59" s="15"/>
      <c r="AC59" s="15"/>
      <c r="AD59" s="12"/>
      <c r="AE59" s="12"/>
      <c r="AF59" s="13"/>
      <c r="AG59" s="11"/>
      <c r="AH59" s="13"/>
      <c r="AI59" s="11"/>
      <c r="AJ59" s="13"/>
      <c r="AK59" s="11"/>
      <c r="AL59" s="11"/>
      <c r="AM59" s="11"/>
    </row>
    <row r="60" spans="1:39" ht="16.5">
      <c r="A60" s="2">
        <v>2026</v>
      </c>
      <c r="B60" s="2" t="s">
        <v>14</v>
      </c>
      <c r="C60" s="3" t="s">
        <v>256</v>
      </c>
      <c r="D60" s="4">
        <v>45636.851213506947</v>
      </c>
      <c r="E60" s="5" t="s">
        <v>49</v>
      </c>
      <c r="F60" s="3" t="s">
        <v>221</v>
      </c>
      <c r="G60" s="3" t="s">
        <v>257</v>
      </c>
      <c r="H60" s="3" t="s">
        <v>258</v>
      </c>
      <c r="I60" s="3" t="s">
        <v>165</v>
      </c>
      <c r="J60" s="5" t="s">
        <v>259</v>
      </c>
      <c r="K60" s="2" t="s">
        <v>177</v>
      </c>
      <c r="L60" s="30"/>
      <c r="M60" s="16"/>
      <c r="N60" s="16"/>
      <c r="O60" s="5"/>
      <c r="P60" s="11"/>
      <c r="Q60" s="5"/>
      <c r="R60" s="5"/>
      <c r="S60" s="5"/>
      <c r="T60" s="5"/>
      <c r="U60" s="5"/>
      <c r="V60" s="14"/>
      <c r="W60" s="14"/>
      <c r="X60" s="14"/>
      <c r="Y60" s="14"/>
      <c r="Z60" s="15"/>
      <c r="AA60" s="15"/>
      <c r="AB60" s="15"/>
      <c r="AC60" s="15"/>
      <c r="AD60" s="12"/>
      <c r="AE60" s="12"/>
      <c r="AF60" s="13"/>
      <c r="AG60" s="11"/>
      <c r="AH60" s="13"/>
      <c r="AI60" s="11"/>
      <c r="AJ60" s="13"/>
      <c r="AK60" s="11"/>
      <c r="AL60" s="11"/>
      <c r="AM60" s="11"/>
    </row>
    <row r="61" spans="1:39" ht="16.5">
      <c r="A61" s="2">
        <v>2026</v>
      </c>
      <c r="B61" s="2" t="s">
        <v>14</v>
      </c>
      <c r="C61" s="2" t="s">
        <v>260</v>
      </c>
      <c r="D61" s="6">
        <v>45628.681196990743</v>
      </c>
      <c r="E61" s="5" t="s">
        <v>87</v>
      </c>
      <c r="F61" s="2" t="s">
        <v>221</v>
      </c>
      <c r="G61" s="2" t="s">
        <v>261</v>
      </c>
      <c r="H61" s="2" t="s">
        <v>262</v>
      </c>
      <c r="I61" s="2" t="s">
        <v>165</v>
      </c>
      <c r="J61" s="5" t="s">
        <v>263</v>
      </c>
      <c r="K61" s="2" t="s">
        <v>154</v>
      </c>
      <c r="L61" s="30"/>
      <c r="M61" s="16"/>
      <c r="N61" s="16"/>
      <c r="O61" s="5"/>
      <c r="P61" s="11"/>
      <c r="Q61" s="5"/>
      <c r="R61" s="5"/>
      <c r="S61" s="5"/>
      <c r="T61" s="5"/>
      <c r="U61" s="5"/>
      <c r="V61" s="14"/>
      <c r="W61" s="14"/>
      <c r="X61" s="14"/>
      <c r="Y61" s="14"/>
      <c r="Z61" s="15"/>
      <c r="AA61" s="15"/>
      <c r="AB61" s="15"/>
      <c r="AC61" s="15"/>
      <c r="AD61" s="12"/>
      <c r="AE61" s="12"/>
      <c r="AF61" s="13"/>
      <c r="AG61" s="11"/>
      <c r="AH61" s="13"/>
      <c r="AI61" s="11"/>
      <c r="AJ61" s="13"/>
      <c r="AK61" s="11"/>
      <c r="AL61" s="11"/>
      <c r="AM61" s="11"/>
    </row>
    <row r="62" spans="1:39" ht="16.5">
      <c r="A62" s="2">
        <v>2026</v>
      </c>
      <c r="B62" s="2" t="s">
        <v>14</v>
      </c>
      <c r="C62" s="3" t="s">
        <v>292</v>
      </c>
      <c r="D62" s="4">
        <v>45616.835520104163</v>
      </c>
      <c r="E62" s="5" t="s">
        <v>92</v>
      </c>
      <c r="F62" s="3" t="s">
        <v>162</v>
      </c>
      <c r="G62" s="3" t="s">
        <v>293</v>
      </c>
      <c r="H62" s="3" t="s">
        <v>294</v>
      </c>
      <c r="I62" s="3" t="s">
        <v>165</v>
      </c>
      <c r="J62" s="5" t="s">
        <v>295</v>
      </c>
      <c r="K62" s="2" t="s">
        <v>177</v>
      </c>
      <c r="L62" s="30"/>
      <c r="M62" s="16"/>
      <c r="N62" s="16"/>
      <c r="O62" s="5"/>
      <c r="P62" s="11"/>
      <c r="Q62" s="5"/>
      <c r="R62" s="5"/>
      <c r="S62" s="5"/>
      <c r="T62" s="5"/>
      <c r="U62" s="5"/>
      <c r="V62" s="14"/>
      <c r="W62" s="14"/>
      <c r="X62" s="14"/>
      <c r="Y62" s="14"/>
      <c r="Z62" s="15"/>
      <c r="AA62" s="15"/>
      <c r="AB62" s="15"/>
      <c r="AC62" s="15"/>
      <c r="AD62" s="12"/>
      <c r="AE62" s="12"/>
      <c r="AF62" s="13"/>
      <c r="AG62" s="11"/>
      <c r="AH62" s="13"/>
      <c r="AI62" s="11"/>
      <c r="AJ62" s="13"/>
      <c r="AK62" s="11"/>
      <c r="AL62" s="11"/>
      <c r="AM62" s="11"/>
    </row>
    <row r="63" spans="1:39" ht="16.5">
      <c r="A63" s="2">
        <v>2026</v>
      </c>
      <c r="B63" s="2" t="s">
        <v>14</v>
      </c>
      <c r="C63" s="2" t="s">
        <v>296</v>
      </c>
      <c r="D63" s="6">
        <v>45616.681283796293</v>
      </c>
      <c r="E63" s="5" t="s">
        <v>46</v>
      </c>
      <c r="F63" s="2" t="s">
        <v>185</v>
      </c>
      <c r="G63" s="2" t="s">
        <v>297</v>
      </c>
      <c r="H63" s="2" t="s">
        <v>298</v>
      </c>
      <c r="I63" s="2" t="s">
        <v>175</v>
      </c>
      <c r="J63" s="5" t="s">
        <v>299</v>
      </c>
      <c r="K63" s="2" t="s">
        <v>154</v>
      </c>
      <c r="L63" s="30"/>
      <c r="M63" s="16"/>
      <c r="N63" s="16"/>
      <c r="O63" s="5"/>
      <c r="P63" s="11"/>
      <c r="Q63" s="5"/>
      <c r="R63" s="5"/>
      <c r="S63" s="5"/>
      <c r="T63" s="5"/>
      <c r="U63" s="5"/>
      <c r="V63" s="14"/>
      <c r="W63" s="14"/>
      <c r="X63" s="14"/>
      <c r="Y63" s="14"/>
      <c r="Z63" s="15"/>
      <c r="AA63" s="15"/>
      <c r="AB63" s="15"/>
      <c r="AC63" s="15"/>
      <c r="AD63" s="12"/>
      <c r="AE63" s="12"/>
      <c r="AF63" s="13"/>
      <c r="AG63" s="11"/>
      <c r="AH63" s="13"/>
      <c r="AI63" s="11"/>
      <c r="AJ63" s="13"/>
      <c r="AK63" s="11"/>
      <c r="AL63" s="11"/>
      <c r="AM63" s="11"/>
    </row>
    <row r="64" spans="1:39" ht="16.5">
      <c r="A64" s="2">
        <v>2026</v>
      </c>
      <c r="B64" s="2" t="s">
        <v>14</v>
      </c>
      <c r="C64" s="2" t="s">
        <v>571</v>
      </c>
      <c r="D64" s="6">
        <v>45609.839160185184</v>
      </c>
      <c r="E64" s="5" t="s">
        <v>572</v>
      </c>
      <c r="F64" s="2" t="s">
        <v>331</v>
      </c>
      <c r="G64" s="2" t="s">
        <v>573</v>
      </c>
      <c r="H64" s="2" t="s">
        <v>574</v>
      </c>
      <c r="I64" s="2" t="s">
        <v>152</v>
      </c>
      <c r="J64" s="5" t="s">
        <v>575</v>
      </c>
      <c r="K64" s="2" t="s">
        <v>177</v>
      </c>
      <c r="L64" s="30"/>
      <c r="M64" s="16"/>
      <c r="N64" s="16"/>
      <c r="O64" s="5"/>
      <c r="P64" s="11"/>
      <c r="Q64" s="5"/>
      <c r="R64" s="5"/>
      <c r="S64" s="5"/>
      <c r="T64" s="5"/>
      <c r="U64" s="5"/>
      <c r="V64" s="14"/>
      <c r="W64" s="14"/>
      <c r="X64" s="14"/>
      <c r="Y64" s="14"/>
      <c r="Z64" s="15"/>
      <c r="AA64" s="15"/>
      <c r="AB64" s="15"/>
      <c r="AC64" s="15"/>
      <c r="AD64" s="12"/>
      <c r="AE64" s="12"/>
      <c r="AF64" s="13"/>
      <c r="AG64" s="11"/>
      <c r="AH64" s="13"/>
      <c r="AI64" s="11"/>
      <c r="AJ64" s="13"/>
      <c r="AK64" s="11"/>
      <c r="AL64" s="11"/>
      <c r="AM64" s="11"/>
    </row>
    <row r="65" spans="1:39" ht="16.5">
      <c r="A65" s="2">
        <v>2026</v>
      </c>
      <c r="B65" s="2" t="s">
        <v>14</v>
      </c>
      <c r="C65" s="3" t="s">
        <v>576</v>
      </c>
      <c r="D65" s="4">
        <v>45589.607612071763</v>
      </c>
      <c r="E65" s="5" t="s">
        <v>577</v>
      </c>
      <c r="F65" s="3" t="s">
        <v>162</v>
      </c>
      <c r="G65" s="3" t="s">
        <v>578</v>
      </c>
      <c r="H65" s="3" t="s">
        <v>579</v>
      </c>
      <c r="I65" s="3" t="s">
        <v>165</v>
      </c>
      <c r="J65" s="5" t="s">
        <v>580</v>
      </c>
      <c r="K65" s="2" t="s">
        <v>177</v>
      </c>
      <c r="L65" s="30"/>
      <c r="M65" s="16"/>
      <c r="N65" s="16"/>
      <c r="O65" s="5"/>
      <c r="P65" s="11"/>
      <c r="Q65" s="5"/>
      <c r="R65" s="5"/>
      <c r="S65" s="5"/>
      <c r="T65" s="5"/>
      <c r="U65" s="5"/>
      <c r="V65" s="14"/>
      <c r="W65" s="14"/>
      <c r="X65" s="14"/>
      <c r="Y65" s="14"/>
      <c r="Z65" s="15"/>
      <c r="AA65" s="15"/>
      <c r="AB65" s="15"/>
      <c r="AC65" s="15"/>
      <c r="AD65" s="12"/>
      <c r="AE65" s="12"/>
      <c r="AF65" s="13"/>
      <c r="AG65" s="11"/>
      <c r="AH65" s="13"/>
      <c r="AI65" s="11"/>
      <c r="AJ65" s="13"/>
      <c r="AK65" s="11"/>
      <c r="AL65" s="11"/>
      <c r="AM65" s="11"/>
    </row>
    <row r="66" spans="1:39" ht="16.5">
      <c r="A66" s="2">
        <v>2026</v>
      </c>
      <c r="B66" s="2" t="s">
        <v>14</v>
      </c>
      <c r="C66" s="2" t="s">
        <v>581</v>
      </c>
      <c r="D66" s="6">
        <v>45589.586044791664</v>
      </c>
      <c r="E66" s="5" t="s">
        <v>582</v>
      </c>
      <c r="F66" s="2" t="s">
        <v>168</v>
      </c>
      <c r="G66" s="2" t="s">
        <v>583</v>
      </c>
      <c r="H66" s="2" t="s">
        <v>584</v>
      </c>
      <c r="I66" s="2" t="s">
        <v>152</v>
      </c>
      <c r="J66" s="5" t="s">
        <v>585</v>
      </c>
      <c r="K66" s="2" t="s">
        <v>154</v>
      </c>
      <c r="L66" s="30"/>
      <c r="M66" s="16"/>
      <c r="N66" s="16"/>
      <c r="O66" s="5"/>
      <c r="P66" s="11"/>
      <c r="Q66" s="5"/>
      <c r="R66" s="5"/>
      <c r="S66" s="5"/>
      <c r="T66" s="5"/>
      <c r="U66" s="5"/>
      <c r="V66" s="14"/>
      <c r="W66" s="14"/>
      <c r="X66" s="14"/>
      <c r="Y66" s="14"/>
      <c r="Z66" s="15"/>
      <c r="AA66" s="15"/>
      <c r="AB66" s="15"/>
      <c r="AC66" s="15"/>
      <c r="AD66" s="12"/>
      <c r="AE66" s="12"/>
      <c r="AF66" s="13"/>
      <c r="AG66" s="11"/>
      <c r="AH66" s="13"/>
      <c r="AI66" s="11"/>
      <c r="AJ66" s="13"/>
      <c r="AK66" s="11"/>
      <c r="AL66" s="11"/>
      <c r="AM66" s="11"/>
    </row>
    <row r="67" spans="1:39" ht="16.5">
      <c r="A67" s="2">
        <v>2026</v>
      </c>
      <c r="B67" s="2" t="s">
        <v>14</v>
      </c>
      <c r="C67" s="3" t="s">
        <v>586</v>
      </c>
      <c r="D67" s="4">
        <v>45583.902996874996</v>
      </c>
      <c r="E67" s="5" t="s">
        <v>587</v>
      </c>
      <c r="F67" s="3" t="s">
        <v>588</v>
      </c>
      <c r="G67" s="3" t="s">
        <v>589</v>
      </c>
      <c r="H67" s="3" t="s">
        <v>590</v>
      </c>
      <c r="I67" s="3" t="s">
        <v>165</v>
      </c>
      <c r="J67" s="5" t="s">
        <v>591</v>
      </c>
      <c r="K67" s="2" t="s">
        <v>154</v>
      </c>
      <c r="L67" s="30"/>
      <c r="M67" s="16"/>
      <c r="N67" s="16"/>
      <c r="O67" s="5"/>
      <c r="P67" s="11"/>
      <c r="Q67" s="5"/>
      <c r="R67" s="5"/>
      <c r="S67" s="5"/>
      <c r="T67" s="5"/>
      <c r="U67" s="5"/>
      <c r="V67" s="14"/>
      <c r="W67" s="14"/>
      <c r="X67" s="14"/>
      <c r="Y67" s="14"/>
      <c r="Z67" s="15"/>
      <c r="AA67" s="15"/>
      <c r="AB67" s="15"/>
      <c r="AC67" s="15"/>
      <c r="AD67" s="12"/>
      <c r="AE67" s="12"/>
      <c r="AF67" s="13"/>
      <c r="AG67" s="11"/>
      <c r="AH67" s="13"/>
      <c r="AI67" s="11"/>
      <c r="AJ67" s="13"/>
      <c r="AK67" s="11"/>
      <c r="AL67" s="11"/>
      <c r="AM67" s="11"/>
    </row>
    <row r="68" spans="1:39" ht="16.5">
      <c r="A68" s="2">
        <v>2026</v>
      </c>
      <c r="B68" s="2" t="s">
        <v>14</v>
      </c>
      <c r="C68" s="2" t="s">
        <v>288</v>
      </c>
      <c r="D68" s="6">
        <v>45569.631959293984</v>
      </c>
      <c r="E68" s="5" t="s">
        <v>81</v>
      </c>
      <c r="F68" s="2" t="s">
        <v>235</v>
      </c>
      <c r="G68" s="2" t="s">
        <v>289</v>
      </c>
      <c r="H68" s="2" t="s">
        <v>290</v>
      </c>
      <c r="I68" s="2" t="s">
        <v>165</v>
      </c>
      <c r="J68" s="5" t="s">
        <v>291</v>
      </c>
      <c r="K68" s="2" t="s">
        <v>154</v>
      </c>
      <c r="L68" s="30"/>
      <c r="M68" s="16"/>
      <c r="N68" s="16"/>
      <c r="O68" s="5"/>
      <c r="P68" s="11"/>
      <c r="Q68" s="5"/>
      <c r="R68" s="5"/>
      <c r="S68" s="5"/>
      <c r="T68" s="5"/>
      <c r="U68" s="5"/>
      <c r="V68" s="14"/>
      <c r="W68" s="14"/>
      <c r="X68" s="14"/>
      <c r="Y68" s="14"/>
      <c r="Z68" s="15"/>
      <c r="AA68" s="15"/>
      <c r="AB68" s="15"/>
      <c r="AC68" s="15"/>
      <c r="AD68" s="12"/>
      <c r="AE68" s="12"/>
      <c r="AF68" s="13"/>
      <c r="AG68" s="11"/>
      <c r="AH68" s="13"/>
      <c r="AI68" s="11"/>
      <c r="AJ68" s="13"/>
      <c r="AK68" s="11"/>
      <c r="AL68" s="11"/>
      <c r="AM68" s="11"/>
    </row>
    <row r="69" spans="1:39" ht="16.5">
      <c r="A69" s="2">
        <v>2026</v>
      </c>
      <c r="B69" s="2" t="s">
        <v>14</v>
      </c>
      <c r="C69" s="3" t="s">
        <v>280</v>
      </c>
      <c r="D69" s="4">
        <v>45569.614684062501</v>
      </c>
      <c r="E69" s="5" t="s">
        <v>82</v>
      </c>
      <c r="F69" s="3" t="s">
        <v>190</v>
      </c>
      <c r="G69" s="3" t="s">
        <v>281</v>
      </c>
      <c r="H69" s="3" t="s">
        <v>282</v>
      </c>
      <c r="I69" s="3" t="s">
        <v>165</v>
      </c>
      <c r="J69" s="5" t="s">
        <v>283</v>
      </c>
      <c r="K69" s="2" t="s">
        <v>183</v>
      </c>
      <c r="L69" s="30"/>
      <c r="M69" s="16"/>
      <c r="N69" s="16"/>
      <c r="O69" s="5"/>
      <c r="P69" s="11"/>
      <c r="Q69" s="5"/>
      <c r="R69" s="5"/>
      <c r="S69" s="5"/>
      <c r="T69" s="5"/>
      <c r="U69" s="5"/>
      <c r="V69" s="14"/>
      <c r="W69" s="14"/>
      <c r="X69" s="14"/>
      <c r="Y69" s="14"/>
      <c r="Z69" s="15"/>
      <c r="AA69" s="15"/>
      <c r="AB69" s="15"/>
      <c r="AC69" s="15"/>
      <c r="AD69" s="12"/>
      <c r="AE69" s="12"/>
      <c r="AF69" s="13"/>
      <c r="AG69" s="11"/>
      <c r="AH69" s="13"/>
      <c r="AI69" s="11"/>
      <c r="AJ69" s="13"/>
      <c r="AK69" s="11"/>
      <c r="AL69" s="11"/>
      <c r="AM69" s="11"/>
    </row>
    <row r="70" spans="1:39" ht="16.5">
      <c r="A70" s="2">
        <v>2026</v>
      </c>
      <c r="B70" s="2" t="s">
        <v>14</v>
      </c>
      <c r="C70" s="2" t="s">
        <v>243</v>
      </c>
      <c r="D70" s="6">
        <v>45569.574707060186</v>
      </c>
      <c r="E70" s="5" t="s">
        <v>41</v>
      </c>
      <c r="F70" s="2" t="s">
        <v>190</v>
      </c>
      <c r="G70" s="2" t="s">
        <v>244</v>
      </c>
      <c r="H70" s="2" t="s">
        <v>245</v>
      </c>
      <c r="I70" s="2" t="s">
        <v>165</v>
      </c>
      <c r="J70" s="5" t="s">
        <v>246</v>
      </c>
      <c r="K70" s="2" t="s">
        <v>154</v>
      </c>
      <c r="L70" s="30"/>
      <c r="M70" s="16"/>
      <c r="N70" s="16"/>
      <c r="O70" s="5"/>
      <c r="P70" s="11"/>
      <c r="Q70" s="5"/>
      <c r="R70" s="5"/>
      <c r="S70" s="5"/>
      <c r="T70" s="5"/>
      <c r="U70" s="5"/>
      <c r="V70" s="14"/>
      <c r="W70" s="14"/>
      <c r="X70" s="14"/>
      <c r="Y70" s="14"/>
      <c r="Z70" s="15"/>
      <c r="AA70" s="15"/>
      <c r="AB70" s="15"/>
      <c r="AC70" s="15"/>
      <c r="AD70" s="12"/>
      <c r="AE70" s="12"/>
      <c r="AF70" s="13"/>
      <c r="AG70" s="11"/>
      <c r="AH70" s="13"/>
      <c r="AI70" s="11"/>
      <c r="AJ70" s="13"/>
      <c r="AK70" s="11"/>
      <c r="AL70" s="11"/>
      <c r="AM70" s="11"/>
    </row>
    <row r="71" spans="1:39" ht="16.5">
      <c r="A71" s="2">
        <v>2026</v>
      </c>
      <c r="B71" s="2" t="s">
        <v>14</v>
      </c>
      <c r="C71" s="3" t="s">
        <v>275</v>
      </c>
      <c r="D71" s="4">
        <v>45560.598662847224</v>
      </c>
      <c r="E71" s="5" t="s">
        <v>37</v>
      </c>
      <c r="F71" s="3" t="s">
        <v>276</v>
      </c>
      <c r="G71" s="3" t="s">
        <v>277</v>
      </c>
      <c r="H71" s="3" t="s">
        <v>278</v>
      </c>
      <c r="I71" s="3" t="s">
        <v>152</v>
      </c>
      <c r="J71" s="5" t="s">
        <v>279</v>
      </c>
      <c r="K71" s="2" t="s">
        <v>177</v>
      </c>
      <c r="L71" s="30"/>
      <c r="M71" s="16"/>
      <c r="N71" s="16"/>
      <c r="O71" s="5"/>
      <c r="P71" s="11"/>
      <c r="Q71" s="5"/>
      <c r="R71" s="5"/>
      <c r="S71" s="5"/>
      <c r="T71" s="5"/>
      <c r="U71" s="5"/>
      <c r="V71" s="14"/>
      <c r="W71" s="14"/>
      <c r="X71" s="14"/>
      <c r="Y71" s="14"/>
      <c r="Z71" s="15"/>
      <c r="AA71" s="15"/>
      <c r="AB71" s="15"/>
      <c r="AC71" s="15"/>
      <c r="AD71" s="12"/>
      <c r="AE71" s="12"/>
      <c r="AF71" s="13"/>
      <c r="AG71" s="11"/>
      <c r="AH71" s="13"/>
      <c r="AI71" s="11"/>
      <c r="AJ71" s="13"/>
      <c r="AK71" s="11"/>
      <c r="AL71" s="11"/>
      <c r="AM71" s="11"/>
    </row>
    <row r="72" spans="1:39" ht="16.5">
      <c r="A72" s="2">
        <v>2026</v>
      </c>
      <c r="B72" s="2" t="s">
        <v>14</v>
      </c>
      <c r="C72" s="2" t="s">
        <v>269</v>
      </c>
      <c r="D72" s="6">
        <v>45558.660403622685</v>
      </c>
      <c r="E72" s="5" t="s">
        <v>57</v>
      </c>
      <c r="F72" s="2" t="s">
        <v>270</v>
      </c>
      <c r="G72" s="2" t="s">
        <v>271</v>
      </c>
      <c r="H72" s="2" t="s">
        <v>272</v>
      </c>
      <c r="I72" s="2" t="s">
        <v>175</v>
      </c>
      <c r="J72" s="5" t="s">
        <v>273</v>
      </c>
      <c r="K72" s="2" t="s">
        <v>177</v>
      </c>
      <c r="L72" s="30"/>
      <c r="M72" s="16"/>
      <c r="N72" s="16"/>
      <c r="O72" s="5"/>
      <c r="P72" s="11"/>
      <c r="Q72" s="5"/>
      <c r="R72" s="5"/>
      <c r="S72" s="5"/>
      <c r="T72" s="5"/>
      <c r="U72" s="5"/>
      <c r="V72" s="14"/>
      <c r="W72" s="14"/>
      <c r="X72" s="14"/>
      <c r="Y72" s="14"/>
      <c r="Z72" s="15"/>
      <c r="AA72" s="15"/>
      <c r="AB72" s="15"/>
      <c r="AC72" s="15"/>
      <c r="AD72" s="12"/>
      <c r="AE72" s="12"/>
      <c r="AF72" s="13"/>
      <c r="AG72" s="11"/>
      <c r="AH72" s="13"/>
      <c r="AI72" s="11"/>
      <c r="AJ72" s="13"/>
      <c r="AK72" s="11"/>
      <c r="AL72" s="11"/>
      <c r="AM72" s="11"/>
    </row>
    <row r="73" spans="1:39" ht="16.5">
      <c r="A73" s="2">
        <v>2026</v>
      </c>
      <c r="B73" s="2" t="s">
        <v>14</v>
      </c>
      <c r="C73" s="3" t="s">
        <v>264</v>
      </c>
      <c r="D73" s="4">
        <v>45537.685983530093</v>
      </c>
      <c r="E73" s="5" t="s">
        <v>86</v>
      </c>
      <c r="F73" s="3" t="s">
        <v>149</v>
      </c>
      <c r="G73" s="3" t="s">
        <v>265</v>
      </c>
      <c r="H73" s="3" t="s">
        <v>266</v>
      </c>
      <c r="I73" s="3" t="s">
        <v>152</v>
      </c>
      <c r="J73" s="5" t="s">
        <v>267</v>
      </c>
      <c r="K73" s="2" t="s">
        <v>154</v>
      </c>
      <c r="L73" s="30"/>
      <c r="M73" s="16"/>
      <c r="N73" s="16"/>
      <c r="O73" s="5"/>
      <c r="P73" s="11"/>
      <c r="Q73" s="5"/>
      <c r="R73" s="5"/>
      <c r="S73" s="5"/>
      <c r="T73" s="5"/>
      <c r="U73" s="5"/>
      <c r="V73" s="14"/>
      <c r="W73" s="14"/>
      <c r="X73" s="14"/>
      <c r="Y73" s="14"/>
      <c r="Z73" s="15"/>
      <c r="AA73" s="15"/>
      <c r="AB73" s="15"/>
      <c r="AC73" s="15"/>
      <c r="AD73" s="12"/>
      <c r="AE73" s="12"/>
      <c r="AF73" s="13"/>
      <c r="AG73" s="11"/>
      <c r="AH73" s="13"/>
      <c r="AI73" s="11"/>
      <c r="AJ73" s="13"/>
      <c r="AK73" s="11"/>
      <c r="AL73" s="11"/>
      <c r="AM73" s="11"/>
    </row>
    <row r="74" spans="1:39" ht="16.5">
      <c r="A74" s="2">
        <v>2026</v>
      </c>
      <c r="B74" s="2" t="s">
        <v>14</v>
      </c>
      <c r="C74" s="2" t="s">
        <v>247</v>
      </c>
      <c r="D74" s="6">
        <v>45531.972959953702</v>
      </c>
      <c r="E74" s="5" t="s">
        <v>67</v>
      </c>
      <c r="F74" s="2" t="s">
        <v>185</v>
      </c>
      <c r="G74" s="2" t="s">
        <v>248</v>
      </c>
      <c r="H74" s="2" t="s">
        <v>249</v>
      </c>
      <c r="I74" s="2" t="s">
        <v>152</v>
      </c>
      <c r="J74" s="5" t="s">
        <v>250</v>
      </c>
      <c r="K74" s="2" t="s">
        <v>177</v>
      </c>
      <c r="L74" s="30"/>
      <c r="M74" s="16"/>
      <c r="N74" s="16"/>
      <c r="O74" s="5"/>
      <c r="P74" s="11"/>
      <c r="Q74" s="5"/>
      <c r="R74" s="5"/>
      <c r="S74" s="5"/>
      <c r="T74" s="5"/>
      <c r="U74" s="5"/>
      <c r="V74" s="14"/>
      <c r="W74" s="14"/>
      <c r="X74" s="14"/>
      <c r="Y74" s="14"/>
      <c r="Z74" s="15"/>
      <c r="AA74" s="15"/>
      <c r="AB74" s="15"/>
      <c r="AC74" s="15"/>
      <c r="AD74" s="12"/>
      <c r="AE74" s="12"/>
      <c r="AF74" s="13"/>
      <c r="AG74" s="11"/>
      <c r="AH74" s="13"/>
      <c r="AI74" s="11"/>
      <c r="AJ74" s="13"/>
      <c r="AK74" s="11"/>
      <c r="AL74" s="11"/>
      <c r="AM74" s="11"/>
    </row>
    <row r="75" spans="1:39" ht="16.5">
      <c r="A75" s="2">
        <v>2026</v>
      </c>
      <c r="B75" s="2" t="s">
        <v>14</v>
      </c>
      <c r="C75" s="3" t="s">
        <v>251</v>
      </c>
      <c r="D75" s="4">
        <v>45525.616732210648</v>
      </c>
      <c r="E75" s="5" t="s">
        <v>83</v>
      </c>
      <c r="F75" s="3" t="s">
        <v>252</v>
      </c>
      <c r="G75" s="3" t="s">
        <v>253</v>
      </c>
      <c r="H75" s="3" t="s">
        <v>254</v>
      </c>
      <c r="I75" s="3" t="s">
        <v>152</v>
      </c>
      <c r="J75" s="5" t="s">
        <v>255</v>
      </c>
      <c r="K75" s="2" t="s">
        <v>183</v>
      </c>
      <c r="L75" s="30"/>
      <c r="M75" s="16"/>
      <c r="N75" s="16"/>
      <c r="O75" s="5"/>
      <c r="P75" s="11"/>
      <c r="Q75" s="5"/>
      <c r="R75" s="5"/>
      <c r="S75" s="5"/>
      <c r="T75" s="5"/>
      <c r="U75" s="5"/>
      <c r="V75" s="14"/>
      <c r="W75" s="14"/>
      <c r="X75" s="14"/>
      <c r="Y75" s="14"/>
      <c r="Z75" s="15"/>
      <c r="AA75" s="15"/>
      <c r="AB75" s="15"/>
      <c r="AC75" s="15"/>
      <c r="AD75" s="12"/>
      <c r="AE75" s="12"/>
      <c r="AF75" s="13"/>
      <c r="AG75" s="11"/>
      <c r="AH75" s="13"/>
      <c r="AI75" s="11"/>
      <c r="AJ75" s="13"/>
      <c r="AK75" s="11"/>
      <c r="AL75" s="11"/>
      <c r="AM75" s="11"/>
    </row>
    <row r="76" spans="1:39" ht="16.5">
      <c r="A76" s="2">
        <v>2026</v>
      </c>
      <c r="B76" s="2" t="s">
        <v>14</v>
      </c>
      <c r="C76" s="2" t="s">
        <v>239</v>
      </c>
      <c r="D76" s="6">
        <v>45518.816397303242</v>
      </c>
      <c r="E76" s="5" t="s">
        <v>40</v>
      </c>
      <c r="F76" s="2" t="s">
        <v>185</v>
      </c>
      <c r="G76" s="2" t="s">
        <v>240</v>
      </c>
      <c r="H76" s="2" t="s">
        <v>241</v>
      </c>
      <c r="I76" s="2" t="s">
        <v>175</v>
      </c>
      <c r="J76" s="5" t="s">
        <v>242</v>
      </c>
      <c r="K76" s="2" t="s">
        <v>154</v>
      </c>
      <c r="L76" s="30"/>
      <c r="M76" s="16"/>
      <c r="N76" s="16"/>
      <c r="O76" s="5"/>
      <c r="P76" s="11"/>
      <c r="Q76" s="5"/>
      <c r="R76" s="5"/>
      <c r="S76" s="5"/>
      <c r="T76" s="5"/>
      <c r="U76" s="5"/>
      <c r="V76" s="14"/>
      <c r="W76" s="14"/>
      <c r="X76" s="14"/>
      <c r="Y76" s="14"/>
      <c r="Z76" s="15"/>
      <c r="AA76" s="15"/>
      <c r="AB76" s="15"/>
      <c r="AC76" s="15"/>
      <c r="AD76" s="12"/>
      <c r="AE76" s="12"/>
      <c r="AF76" s="13"/>
      <c r="AG76" s="11"/>
      <c r="AH76" s="13"/>
      <c r="AI76" s="11"/>
      <c r="AJ76" s="13"/>
      <c r="AK76" s="11"/>
      <c r="AL76" s="11"/>
      <c r="AM76" s="11"/>
    </row>
    <row r="77" spans="1:39" ht="16.5">
      <c r="A77" s="2">
        <v>2026</v>
      </c>
      <c r="B77" s="2" t="s">
        <v>14</v>
      </c>
      <c r="C77" s="3" t="s">
        <v>199</v>
      </c>
      <c r="D77" s="4">
        <v>45492.722849189813</v>
      </c>
      <c r="E77" s="5" t="s">
        <v>61</v>
      </c>
      <c r="F77" s="3" t="s">
        <v>149</v>
      </c>
      <c r="G77" s="3" t="s">
        <v>200</v>
      </c>
      <c r="H77" s="3" t="s">
        <v>201</v>
      </c>
      <c r="I77" s="3" t="s">
        <v>152</v>
      </c>
      <c r="J77" s="5" t="s">
        <v>202</v>
      </c>
      <c r="K77" s="2" t="s">
        <v>203</v>
      </c>
      <c r="L77" s="30"/>
      <c r="M77" s="16"/>
      <c r="N77" s="16"/>
      <c r="O77" s="5"/>
      <c r="P77" s="11"/>
      <c r="Q77" s="5"/>
      <c r="R77" s="5"/>
      <c r="S77" s="5"/>
      <c r="T77" s="5"/>
      <c r="U77" s="5"/>
      <c r="V77" s="14"/>
      <c r="W77" s="14"/>
      <c r="X77" s="14"/>
      <c r="Y77" s="14"/>
      <c r="Z77" s="15"/>
      <c r="AA77" s="15"/>
      <c r="AB77" s="15"/>
      <c r="AC77" s="15"/>
      <c r="AD77" s="12"/>
      <c r="AE77" s="12"/>
      <c r="AF77" s="13"/>
      <c r="AG77" s="11"/>
      <c r="AH77" s="13"/>
      <c r="AI77" s="11"/>
      <c r="AJ77" s="13"/>
      <c r="AK77" s="11"/>
      <c r="AL77" s="11"/>
      <c r="AM77" s="11"/>
    </row>
    <row r="78" spans="1:39" ht="16.5">
      <c r="A78" s="2">
        <v>2026</v>
      </c>
      <c r="B78" s="2" t="s">
        <v>14</v>
      </c>
      <c r="C78" s="2" t="s">
        <v>208</v>
      </c>
      <c r="D78" s="6">
        <v>45481.740478935186</v>
      </c>
      <c r="E78" s="5" t="s">
        <v>70</v>
      </c>
      <c r="F78" s="2" t="s">
        <v>190</v>
      </c>
      <c r="G78" s="2" t="s">
        <v>209</v>
      </c>
      <c r="H78" s="2" t="s">
        <v>210</v>
      </c>
      <c r="I78" s="2" t="s">
        <v>165</v>
      </c>
      <c r="J78" s="5" t="s">
        <v>211</v>
      </c>
      <c r="K78" s="2" t="s">
        <v>177</v>
      </c>
      <c r="L78" s="30"/>
      <c r="M78" s="16"/>
      <c r="N78" s="16"/>
      <c r="O78" s="5"/>
      <c r="P78" s="11"/>
      <c r="Q78" s="5"/>
      <c r="R78" s="5"/>
      <c r="S78" s="5"/>
      <c r="T78" s="5"/>
      <c r="U78" s="5"/>
      <c r="V78" s="14"/>
      <c r="W78" s="14"/>
      <c r="X78" s="14"/>
      <c r="Y78" s="14"/>
      <c r="Z78" s="15"/>
      <c r="AA78" s="15"/>
      <c r="AB78" s="15"/>
      <c r="AC78" s="15"/>
      <c r="AD78" s="12"/>
      <c r="AE78" s="12"/>
      <c r="AF78" s="13"/>
      <c r="AG78" s="11"/>
      <c r="AH78" s="13"/>
      <c r="AI78" s="11"/>
      <c r="AJ78" s="13"/>
      <c r="AK78" s="11"/>
      <c r="AL78" s="11"/>
      <c r="AM78" s="11"/>
    </row>
    <row r="79" spans="1:39" ht="16.5">
      <c r="A79" s="2">
        <v>2026</v>
      </c>
      <c r="B79" s="2" t="s">
        <v>14</v>
      </c>
      <c r="C79" s="3" t="s">
        <v>220</v>
      </c>
      <c r="D79" s="4">
        <v>45481.703359687497</v>
      </c>
      <c r="E79" s="5" t="s">
        <v>72</v>
      </c>
      <c r="F79" s="3" t="s">
        <v>221</v>
      </c>
      <c r="G79" s="3" t="s">
        <v>222</v>
      </c>
      <c r="H79" s="3" t="s">
        <v>223</v>
      </c>
      <c r="I79" s="3" t="s">
        <v>165</v>
      </c>
      <c r="J79" s="5" t="s">
        <v>224</v>
      </c>
      <c r="K79" s="2" t="s">
        <v>154</v>
      </c>
      <c r="L79" s="30"/>
      <c r="M79" s="16"/>
      <c r="N79" s="16"/>
      <c r="O79" s="5"/>
      <c r="P79" s="11"/>
      <c r="Q79" s="5"/>
      <c r="R79" s="5"/>
      <c r="S79" s="5"/>
      <c r="T79" s="5"/>
      <c r="U79" s="5"/>
      <c r="V79" s="14"/>
      <c r="W79" s="14"/>
      <c r="X79" s="14"/>
      <c r="Y79" s="14"/>
      <c r="Z79" s="15"/>
      <c r="AA79" s="15"/>
      <c r="AB79" s="15"/>
      <c r="AC79" s="15"/>
      <c r="AD79" s="12"/>
      <c r="AE79" s="12"/>
      <c r="AF79" s="13"/>
      <c r="AG79" s="11"/>
      <c r="AH79" s="13"/>
      <c r="AI79" s="11"/>
      <c r="AJ79" s="13"/>
      <c r="AK79" s="11"/>
      <c r="AL79" s="11"/>
      <c r="AM79" s="11"/>
    </row>
    <row r="80" spans="1:39" ht="16.5">
      <c r="A80" s="2">
        <v>2026</v>
      </c>
      <c r="B80" s="2" t="s">
        <v>14</v>
      </c>
      <c r="C80" s="2" t="s">
        <v>234</v>
      </c>
      <c r="D80" s="6">
        <v>45481.633806909726</v>
      </c>
      <c r="E80" s="5" t="s">
        <v>84</v>
      </c>
      <c r="F80" s="2" t="s">
        <v>235</v>
      </c>
      <c r="G80" s="2" t="s">
        <v>236</v>
      </c>
      <c r="H80" s="2" t="s">
        <v>237</v>
      </c>
      <c r="I80" s="2" t="s">
        <v>175</v>
      </c>
      <c r="J80" s="5" t="s">
        <v>238</v>
      </c>
      <c r="K80" s="2" t="s">
        <v>154</v>
      </c>
      <c r="L80" s="30"/>
      <c r="M80" s="16"/>
      <c r="N80" s="16"/>
      <c r="O80" s="5"/>
      <c r="P80" s="11"/>
      <c r="Q80" s="5"/>
      <c r="R80" s="5"/>
      <c r="S80" s="5"/>
      <c r="T80" s="5"/>
      <c r="U80" s="5"/>
      <c r="V80" s="14"/>
      <c r="W80" s="14"/>
      <c r="X80" s="14"/>
      <c r="Y80" s="14"/>
      <c r="Z80" s="15"/>
      <c r="AA80" s="15"/>
      <c r="AB80" s="15"/>
      <c r="AC80" s="15"/>
      <c r="AD80" s="12"/>
      <c r="AE80" s="12"/>
      <c r="AF80" s="13"/>
      <c r="AG80" s="11"/>
      <c r="AH80" s="13"/>
      <c r="AI80" s="11"/>
      <c r="AJ80" s="13"/>
      <c r="AK80" s="11"/>
      <c r="AL80" s="11"/>
      <c r="AM80" s="11"/>
    </row>
    <row r="81" spans="1:39" ht="16.5">
      <c r="A81" s="2">
        <v>2026</v>
      </c>
      <c r="B81" s="2" t="s">
        <v>14</v>
      </c>
      <c r="C81" s="3" t="s">
        <v>230</v>
      </c>
      <c r="D81" s="4">
        <v>45462.979481215276</v>
      </c>
      <c r="E81" s="5" t="s">
        <v>36</v>
      </c>
      <c r="F81" s="3" t="s">
        <v>179</v>
      </c>
      <c r="G81" s="3" t="s">
        <v>231</v>
      </c>
      <c r="H81" s="3" t="s">
        <v>232</v>
      </c>
      <c r="I81" s="3" t="s">
        <v>175</v>
      </c>
      <c r="J81" s="5" t="s">
        <v>233</v>
      </c>
      <c r="K81" s="2" t="s">
        <v>154</v>
      </c>
      <c r="L81" s="30"/>
      <c r="M81" s="16"/>
      <c r="N81" s="16"/>
      <c r="O81" s="5"/>
      <c r="P81" s="11"/>
      <c r="Q81" s="5"/>
      <c r="R81" s="5"/>
      <c r="S81" s="5"/>
      <c r="T81" s="5"/>
      <c r="U81" s="5"/>
      <c r="V81" s="14"/>
      <c r="W81" s="14"/>
      <c r="X81" s="14"/>
      <c r="Y81" s="14"/>
      <c r="Z81" s="15"/>
      <c r="AA81" s="15"/>
      <c r="AB81" s="15"/>
      <c r="AC81" s="15"/>
      <c r="AD81" s="12"/>
      <c r="AE81" s="12"/>
      <c r="AF81" s="13"/>
      <c r="AG81" s="11"/>
      <c r="AH81" s="13"/>
      <c r="AI81" s="11"/>
      <c r="AJ81" s="13"/>
      <c r="AK81" s="11"/>
      <c r="AL81" s="11"/>
      <c r="AM81" s="11"/>
    </row>
    <row r="82" spans="1:39" ht="16.5">
      <c r="A82" s="2">
        <v>2026</v>
      </c>
      <c r="B82" s="2" t="s">
        <v>14</v>
      </c>
      <c r="C82" s="2" t="s">
        <v>225</v>
      </c>
      <c r="D82" s="6">
        <v>45447.56342175926</v>
      </c>
      <c r="E82" s="5" t="s">
        <v>63</v>
      </c>
      <c r="F82" s="2" t="s">
        <v>226</v>
      </c>
      <c r="G82" s="2" t="s">
        <v>227</v>
      </c>
      <c r="H82" s="2" t="s">
        <v>228</v>
      </c>
      <c r="I82" s="2" t="s">
        <v>165</v>
      </c>
      <c r="J82" s="5" t="s">
        <v>229</v>
      </c>
      <c r="K82" s="2" t="s">
        <v>203</v>
      </c>
      <c r="L82" s="30"/>
      <c r="M82" s="16"/>
      <c r="N82" s="16"/>
      <c r="O82" s="5"/>
      <c r="P82" s="11"/>
      <c r="Q82" s="5"/>
      <c r="R82" s="5"/>
      <c r="S82" s="5"/>
      <c r="T82" s="5"/>
      <c r="U82" s="5"/>
      <c r="V82" s="14"/>
      <c r="W82" s="14"/>
      <c r="X82" s="14"/>
      <c r="Y82" s="14"/>
      <c r="Z82" s="15"/>
      <c r="AA82" s="15"/>
      <c r="AB82" s="15"/>
      <c r="AC82" s="15"/>
      <c r="AD82" s="12"/>
      <c r="AE82" s="12"/>
      <c r="AF82" s="13"/>
      <c r="AG82" s="11"/>
      <c r="AH82" s="13"/>
      <c r="AI82" s="11"/>
      <c r="AJ82" s="13"/>
      <c r="AK82" s="11"/>
      <c r="AL82" s="11"/>
      <c r="AM82" s="11"/>
    </row>
    <row r="83" spans="1:39" ht="16.5">
      <c r="A83" s="2">
        <v>2026</v>
      </c>
      <c r="B83" s="2" t="s">
        <v>14</v>
      </c>
      <c r="C83" s="3" t="s">
        <v>216</v>
      </c>
      <c r="D83" s="4">
        <v>45443.82223568287</v>
      </c>
      <c r="E83" s="5" t="s">
        <v>1</v>
      </c>
      <c r="F83" s="3" t="s">
        <v>156</v>
      </c>
      <c r="G83" s="3" t="s">
        <v>217</v>
      </c>
      <c r="H83" s="3" t="s">
        <v>218</v>
      </c>
      <c r="I83" s="3" t="s">
        <v>152</v>
      </c>
      <c r="J83" s="5" t="s">
        <v>219</v>
      </c>
      <c r="K83" s="2" t="s">
        <v>177</v>
      </c>
      <c r="L83" s="30"/>
      <c r="M83" s="16"/>
      <c r="N83" s="16"/>
      <c r="O83" s="5"/>
      <c r="P83" s="11"/>
      <c r="Q83" s="5"/>
      <c r="R83" s="5"/>
      <c r="S83" s="5"/>
      <c r="T83" s="5"/>
      <c r="U83" s="5"/>
      <c r="V83" s="14"/>
      <c r="W83" s="14"/>
      <c r="X83" s="14"/>
      <c r="Y83" s="14"/>
      <c r="Z83" s="15"/>
      <c r="AA83" s="15"/>
      <c r="AB83" s="15"/>
      <c r="AC83" s="15"/>
      <c r="AD83" s="12"/>
      <c r="AE83" s="12"/>
      <c r="AF83" s="13"/>
      <c r="AG83" s="11"/>
      <c r="AH83" s="13"/>
      <c r="AI83" s="11"/>
      <c r="AJ83" s="13"/>
      <c r="AK83" s="11"/>
      <c r="AL83" s="11"/>
      <c r="AM83" s="11"/>
    </row>
    <row r="84" spans="1:39" ht="16.5">
      <c r="A84" s="2">
        <v>2026</v>
      </c>
      <c r="B84" s="2" t="s">
        <v>14</v>
      </c>
      <c r="C84" s="2" t="s">
        <v>592</v>
      </c>
      <c r="D84" s="6">
        <v>45422.862878009262</v>
      </c>
      <c r="E84" s="5" t="s">
        <v>593</v>
      </c>
      <c r="F84" s="2" t="s">
        <v>276</v>
      </c>
      <c r="G84" s="2" t="s">
        <v>594</v>
      </c>
      <c r="H84" s="2" t="s">
        <v>595</v>
      </c>
      <c r="I84" s="2" t="s">
        <v>175</v>
      </c>
      <c r="J84" s="5"/>
      <c r="K84" s="2" t="s">
        <v>203</v>
      </c>
      <c r="L84" s="30"/>
      <c r="M84" s="16"/>
      <c r="N84" s="16"/>
      <c r="O84" s="5"/>
      <c r="P84" s="11"/>
      <c r="Q84" s="5"/>
      <c r="R84" s="5"/>
      <c r="S84" s="5"/>
      <c r="T84" s="5"/>
      <c r="U84" s="5"/>
      <c r="V84" s="14"/>
      <c r="W84" s="14"/>
      <c r="X84" s="14"/>
      <c r="Y84" s="14"/>
      <c r="Z84" s="15"/>
      <c r="AA84" s="15"/>
      <c r="AB84" s="15"/>
      <c r="AC84" s="15"/>
      <c r="AD84" s="12"/>
      <c r="AE84" s="12"/>
      <c r="AF84" s="13"/>
      <c r="AG84" s="11"/>
      <c r="AH84" s="13"/>
      <c r="AI84" s="11"/>
      <c r="AJ84" s="13"/>
      <c r="AK84" s="11"/>
      <c r="AL84" s="11"/>
      <c r="AM84" s="11"/>
    </row>
    <row r="85" spans="1:39" ht="16.5">
      <c r="A85" s="2">
        <v>2026</v>
      </c>
      <c r="B85" s="2" t="s">
        <v>14</v>
      </c>
      <c r="C85" s="3" t="s">
        <v>212</v>
      </c>
      <c r="D85" s="4">
        <v>45422.849828703707</v>
      </c>
      <c r="E85" s="5" t="s">
        <v>71</v>
      </c>
      <c r="F85" s="3" t="s">
        <v>168</v>
      </c>
      <c r="G85" s="3" t="s">
        <v>213</v>
      </c>
      <c r="H85" s="3" t="s">
        <v>214</v>
      </c>
      <c r="I85" s="3" t="s">
        <v>152</v>
      </c>
      <c r="J85" s="5" t="s">
        <v>215</v>
      </c>
      <c r="K85" s="2" t="s">
        <v>154</v>
      </c>
      <c r="L85" s="30"/>
      <c r="M85" s="16"/>
      <c r="N85" s="16"/>
      <c r="O85" s="5"/>
      <c r="P85" s="11"/>
      <c r="Q85" s="5"/>
      <c r="R85" s="5"/>
      <c r="S85" s="5"/>
      <c r="T85" s="5"/>
      <c r="U85" s="5"/>
      <c r="V85" s="14"/>
      <c r="W85" s="14"/>
      <c r="X85" s="14"/>
      <c r="Y85" s="14"/>
      <c r="Z85" s="15"/>
      <c r="AA85" s="15"/>
      <c r="AB85" s="15"/>
      <c r="AC85" s="15"/>
      <c r="AD85" s="12"/>
      <c r="AE85" s="12"/>
      <c r="AF85" s="13"/>
      <c r="AG85" s="11"/>
      <c r="AH85" s="13"/>
      <c r="AI85" s="11"/>
      <c r="AJ85" s="13"/>
      <c r="AK85" s="11"/>
      <c r="AL85" s="11"/>
      <c r="AM85" s="11"/>
    </row>
    <row r="86" spans="1:39" ht="16.5">
      <c r="A86" s="2">
        <v>2026</v>
      </c>
      <c r="B86" s="2" t="s">
        <v>14</v>
      </c>
      <c r="C86" s="2" t="s">
        <v>596</v>
      </c>
      <c r="D86" s="6">
        <v>45406.929531712965</v>
      </c>
      <c r="E86" s="5" t="s">
        <v>597</v>
      </c>
      <c r="F86" s="2" t="s">
        <v>345</v>
      </c>
      <c r="G86" s="2" t="s">
        <v>598</v>
      </c>
      <c r="H86" s="2" t="s">
        <v>599</v>
      </c>
      <c r="I86" s="2" t="s">
        <v>152</v>
      </c>
      <c r="J86" s="5" t="s">
        <v>600</v>
      </c>
      <c r="K86" s="2" t="s">
        <v>177</v>
      </c>
      <c r="L86" s="30"/>
      <c r="M86" s="16"/>
      <c r="N86" s="16"/>
      <c r="O86" s="5"/>
      <c r="P86" s="11"/>
      <c r="Q86" s="5"/>
      <c r="R86" s="5"/>
      <c r="S86" s="5"/>
      <c r="T86" s="5"/>
      <c r="U86" s="5"/>
      <c r="V86" s="14"/>
      <c r="W86" s="14"/>
      <c r="X86" s="14"/>
      <c r="Y86" s="14"/>
      <c r="Z86" s="15"/>
      <c r="AA86" s="15"/>
      <c r="AB86" s="15"/>
      <c r="AC86" s="15"/>
      <c r="AD86" s="12"/>
      <c r="AE86" s="12"/>
      <c r="AF86" s="13"/>
      <c r="AG86" s="11"/>
      <c r="AH86" s="13"/>
      <c r="AI86" s="11"/>
      <c r="AJ86" s="13"/>
      <c r="AK86" s="11"/>
      <c r="AL86" s="11"/>
      <c r="AM86" s="11"/>
    </row>
    <row r="87" spans="1:39" ht="16.5">
      <c r="A87" s="2">
        <v>2026</v>
      </c>
      <c r="B87" s="2" t="s">
        <v>14</v>
      </c>
      <c r="C87" s="3" t="s">
        <v>204</v>
      </c>
      <c r="D87" s="4">
        <v>45405.824231944447</v>
      </c>
      <c r="E87" s="5" t="s">
        <v>38</v>
      </c>
      <c r="F87" s="3" t="s">
        <v>190</v>
      </c>
      <c r="G87" s="3" t="s">
        <v>205</v>
      </c>
      <c r="H87" s="3" t="s">
        <v>206</v>
      </c>
      <c r="I87" s="3" t="s">
        <v>175</v>
      </c>
      <c r="J87" s="5" t="s">
        <v>207</v>
      </c>
      <c r="K87" s="2" t="s">
        <v>154</v>
      </c>
      <c r="L87" s="30"/>
      <c r="M87" s="16"/>
      <c r="N87" s="16"/>
      <c r="O87" s="5"/>
      <c r="P87" s="11"/>
      <c r="Q87" s="5"/>
      <c r="R87" s="5"/>
      <c r="S87" s="5"/>
      <c r="T87" s="5"/>
      <c r="U87" s="5"/>
      <c r="V87" s="14"/>
      <c r="W87" s="14"/>
      <c r="X87" s="14"/>
      <c r="Y87" s="14"/>
      <c r="Z87" s="15"/>
      <c r="AA87" s="15"/>
      <c r="AB87" s="15"/>
      <c r="AC87" s="15"/>
      <c r="AD87" s="12"/>
      <c r="AE87" s="12"/>
      <c r="AF87" s="13"/>
      <c r="AG87" s="11"/>
      <c r="AH87" s="13"/>
      <c r="AI87" s="11"/>
      <c r="AJ87" s="13"/>
      <c r="AK87" s="11"/>
      <c r="AL87" s="11"/>
      <c r="AM87" s="11"/>
    </row>
    <row r="88" spans="1:39" ht="16.5">
      <c r="A88" s="2">
        <v>2026</v>
      </c>
      <c r="B88" s="2" t="s">
        <v>14</v>
      </c>
      <c r="C88" s="2" t="s">
        <v>194</v>
      </c>
      <c r="D88" s="6">
        <v>45405.523599386572</v>
      </c>
      <c r="E88" s="5" t="s">
        <v>64</v>
      </c>
      <c r="F88" s="2" t="s">
        <v>195</v>
      </c>
      <c r="G88" s="2" t="s">
        <v>196</v>
      </c>
      <c r="H88" s="2" t="s">
        <v>197</v>
      </c>
      <c r="I88" s="2" t="s">
        <v>165</v>
      </c>
      <c r="J88" s="5" t="s">
        <v>198</v>
      </c>
      <c r="K88" s="2" t="s">
        <v>177</v>
      </c>
      <c r="L88" s="30"/>
      <c r="M88" s="16"/>
      <c r="N88" s="16"/>
      <c r="O88" s="5"/>
      <c r="P88" s="11"/>
      <c r="Q88" s="5"/>
      <c r="R88" s="5"/>
      <c r="S88" s="5"/>
      <c r="T88" s="5"/>
      <c r="U88" s="5"/>
      <c r="V88" s="14"/>
      <c r="W88" s="14"/>
      <c r="X88" s="14"/>
      <c r="Y88" s="14"/>
      <c r="Z88" s="15"/>
      <c r="AA88" s="15"/>
      <c r="AB88" s="15"/>
      <c r="AC88" s="15"/>
      <c r="AD88" s="12"/>
      <c r="AE88" s="12"/>
      <c r="AF88" s="13"/>
      <c r="AG88" s="11"/>
      <c r="AH88" s="13"/>
      <c r="AI88" s="11"/>
      <c r="AJ88" s="13"/>
      <c r="AK88" s="11"/>
      <c r="AL88" s="11"/>
      <c r="AM88" s="11"/>
    </row>
    <row r="89" spans="1:39" ht="16.5">
      <c r="A89" s="2">
        <v>2026</v>
      </c>
      <c r="B89" s="2" t="s">
        <v>14</v>
      </c>
      <c r="C89" s="3" t="s">
        <v>189</v>
      </c>
      <c r="D89" s="4">
        <v>45373.886505289352</v>
      </c>
      <c r="E89" s="5" t="s">
        <v>75</v>
      </c>
      <c r="F89" s="3" t="s">
        <v>190</v>
      </c>
      <c r="G89" s="3" t="s">
        <v>191</v>
      </c>
      <c r="H89" s="3" t="s">
        <v>192</v>
      </c>
      <c r="I89" s="3" t="s">
        <v>175</v>
      </c>
      <c r="J89" s="5" t="s">
        <v>193</v>
      </c>
      <c r="K89" s="2" t="s">
        <v>177</v>
      </c>
      <c r="L89" s="30"/>
      <c r="M89" s="16"/>
      <c r="N89" s="16"/>
      <c r="O89" s="5"/>
      <c r="P89" s="11"/>
      <c r="Q89" s="5"/>
      <c r="R89" s="5"/>
      <c r="S89" s="5"/>
      <c r="T89" s="5"/>
      <c r="U89" s="5"/>
      <c r="V89" s="14"/>
      <c r="W89" s="14"/>
      <c r="X89" s="14"/>
      <c r="Y89" s="14"/>
      <c r="Z89" s="15"/>
      <c r="AA89" s="15"/>
      <c r="AB89" s="15"/>
      <c r="AC89" s="15"/>
      <c r="AD89" s="12"/>
      <c r="AE89" s="12"/>
      <c r="AF89" s="13"/>
      <c r="AG89" s="11"/>
      <c r="AH89" s="13"/>
      <c r="AI89" s="11"/>
      <c r="AJ89" s="13"/>
      <c r="AK89" s="11"/>
      <c r="AL89" s="11"/>
      <c r="AM89" s="11"/>
    </row>
    <row r="90" spans="1:39" ht="16.5">
      <c r="A90" s="2">
        <v>2026</v>
      </c>
      <c r="B90" s="2" t="s">
        <v>14</v>
      </c>
      <c r="C90" s="2" t="s">
        <v>601</v>
      </c>
      <c r="D90" s="6">
        <v>45362.86274837963</v>
      </c>
      <c r="E90" s="5" t="s">
        <v>602</v>
      </c>
      <c r="F90" s="2" t="s">
        <v>276</v>
      </c>
      <c r="G90" s="2" t="s">
        <v>603</v>
      </c>
      <c r="H90" s="2" t="s">
        <v>604</v>
      </c>
      <c r="I90" s="2" t="s">
        <v>532</v>
      </c>
      <c r="J90" s="5" t="s">
        <v>605</v>
      </c>
      <c r="K90" s="2" t="s">
        <v>177</v>
      </c>
      <c r="L90" s="30"/>
      <c r="M90" s="16"/>
      <c r="N90" s="16"/>
      <c r="O90" s="5"/>
      <c r="P90" s="11"/>
      <c r="Q90" s="5"/>
      <c r="R90" s="5"/>
      <c r="S90" s="5"/>
      <c r="T90" s="5"/>
      <c r="U90" s="5"/>
      <c r="V90" s="14"/>
      <c r="W90" s="14"/>
      <c r="X90" s="14"/>
      <c r="Y90" s="14"/>
      <c r="Z90" s="15"/>
      <c r="AA90" s="15"/>
      <c r="AB90" s="15"/>
      <c r="AC90" s="15"/>
      <c r="AD90" s="12"/>
      <c r="AE90" s="12"/>
      <c r="AF90" s="13"/>
      <c r="AG90" s="11"/>
      <c r="AH90" s="13"/>
      <c r="AI90" s="11"/>
      <c r="AJ90" s="13"/>
      <c r="AK90" s="11"/>
      <c r="AL90" s="11"/>
      <c r="AM90" s="11"/>
    </row>
    <row r="91" spans="1:39" ht="16.5">
      <c r="A91" s="2">
        <v>2026</v>
      </c>
      <c r="B91" s="2" t="s">
        <v>14</v>
      </c>
      <c r="C91" s="3" t="s">
        <v>184</v>
      </c>
      <c r="D91" s="4">
        <v>45356.825930590276</v>
      </c>
      <c r="E91" s="5" t="s">
        <v>39</v>
      </c>
      <c r="F91" s="3" t="s">
        <v>185</v>
      </c>
      <c r="G91" s="3" t="s">
        <v>186</v>
      </c>
      <c r="H91" s="3" t="s">
        <v>187</v>
      </c>
      <c r="I91" s="3" t="s">
        <v>175</v>
      </c>
      <c r="J91" s="5" t="s">
        <v>188</v>
      </c>
      <c r="K91" s="2" t="s">
        <v>183</v>
      </c>
      <c r="L91" s="30"/>
      <c r="M91" s="16"/>
      <c r="N91" s="16"/>
      <c r="O91" s="5"/>
      <c r="P91" s="11"/>
      <c r="Q91" s="5"/>
      <c r="R91" s="5"/>
      <c r="S91" s="5"/>
      <c r="T91" s="5"/>
      <c r="U91" s="5"/>
      <c r="V91" s="14"/>
      <c r="W91" s="14"/>
      <c r="X91" s="14"/>
      <c r="Y91" s="14"/>
      <c r="Z91" s="15"/>
      <c r="AA91" s="15"/>
      <c r="AB91" s="15"/>
      <c r="AC91" s="15"/>
      <c r="AD91" s="12"/>
      <c r="AE91" s="12"/>
      <c r="AF91" s="13"/>
      <c r="AG91" s="11"/>
      <c r="AH91" s="13"/>
      <c r="AI91" s="11"/>
      <c r="AJ91" s="13"/>
      <c r="AK91" s="11"/>
      <c r="AL91" s="11"/>
      <c r="AM91" s="11"/>
    </row>
    <row r="92" spans="1:39" ht="16.5">
      <c r="A92" s="2">
        <v>2026</v>
      </c>
      <c r="B92" s="2" t="s">
        <v>14</v>
      </c>
      <c r="C92" s="9" t="s">
        <v>606</v>
      </c>
      <c r="D92" s="10">
        <v>45316.530267708331</v>
      </c>
      <c r="E92" s="5" t="s">
        <v>607</v>
      </c>
      <c r="F92" s="9" t="s">
        <v>235</v>
      </c>
      <c r="G92" s="9" t="s">
        <v>608</v>
      </c>
      <c r="H92" s="9" t="s">
        <v>609</v>
      </c>
      <c r="I92" s="9" t="s">
        <v>165</v>
      </c>
      <c r="J92" s="5" t="s">
        <v>610</v>
      </c>
      <c r="K92" s="2" t="s">
        <v>177</v>
      </c>
      <c r="L92" s="30"/>
      <c r="M92" s="16"/>
      <c r="N92" s="16"/>
      <c r="O92" s="5"/>
      <c r="P92" s="11"/>
      <c r="Q92" s="5"/>
      <c r="R92" s="5"/>
      <c r="S92" s="5"/>
      <c r="T92" s="5"/>
      <c r="U92" s="5"/>
      <c r="V92" s="14"/>
      <c r="W92" s="14"/>
      <c r="X92" s="14"/>
      <c r="Y92" s="14"/>
      <c r="Z92" s="15"/>
      <c r="AA92" s="15"/>
      <c r="AB92" s="15"/>
      <c r="AC92" s="15"/>
      <c r="AD92" s="12"/>
      <c r="AE92" s="12"/>
      <c r="AF92" s="13"/>
      <c r="AG92" s="11"/>
      <c r="AH92" s="13"/>
      <c r="AI92" s="11"/>
      <c r="AJ92" s="13"/>
      <c r="AK92" s="11"/>
      <c r="AL92" s="11"/>
      <c r="AM92" s="11"/>
    </row>
    <row r="93" spans="1:39" ht="16.5">
      <c r="A93" s="2">
        <v>2026</v>
      </c>
      <c r="B93" s="2" t="s">
        <v>14</v>
      </c>
      <c r="C93" s="3" t="s">
        <v>611</v>
      </c>
      <c r="D93" s="4">
        <v>45316.514073460647</v>
      </c>
      <c r="E93" s="5" t="s">
        <v>612</v>
      </c>
      <c r="F93" s="3" t="s">
        <v>252</v>
      </c>
      <c r="G93" s="3" t="s">
        <v>613</v>
      </c>
      <c r="H93" s="3" t="s">
        <v>614</v>
      </c>
      <c r="I93" s="3" t="s">
        <v>152</v>
      </c>
      <c r="J93" s="5" t="s">
        <v>615</v>
      </c>
      <c r="K93" s="2" t="s">
        <v>177</v>
      </c>
      <c r="L93" s="30"/>
      <c r="M93" s="16"/>
      <c r="N93" s="16"/>
      <c r="O93" s="5"/>
      <c r="P93" s="11"/>
      <c r="Q93" s="5"/>
      <c r="R93" s="5"/>
      <c r="S93" s="5"/>
      <c r="T93" s="5"/>
      <c r="U93" s="5"/>
      <c r="V93" s="14"/>
      <c r="W93" s="14"/>
      <c r="X93" s="14"/>
      <c r="Y93" s="14"/>
      <c r="Z93" s="15"/>
      <c r="AA93" s="15"/>
      <c r="AB93" s="15"/>
      <c r="AC93" s="15"/>
      <c r="AD93" s="12"/>
      <c r="AE93" s="12"/>
      <c r="AF93" s="13"/>
      <c r="AG93" s="11"/>
      <c r="AH93" s="13"/>
      <c r="AI93" s="11"/>
      <c r="AJ93" s="13"/>
      <c r="AK93" s="11"/>
      <c r="AL93" s="11"/>
      <c r="AM93" s="11"/>
    </row>
  </sheetData>
  <autoFilter ref="A1:AM93" xr:uid="{47F13924-BCF0-4E0B-AB8D-44C8F87102AE}"/>
  <conditionalFormatting sqref="E2:E93">
    <cfRule type="duplicateValues" dxfId="14" priority="12"/>
    <cfRule type="duplicateValues" dxfId="13" priority="15"/>
    <cfRule type="duplicateValues" dxfId="12" priority="16"/>
  </conditionalFormatting>
  <conditionalFormatting sqref="E2:E94">
    <cfRule type="duplicateValues" dxfId="11" priority="6"/>
  </conditionalFormatting>
  <conditionalFormatting sqref="E2:E1048576">
    <cfRule type="duplicateValues" dxfId="10" priority="3"/>
    <cfRule type="duplicateValues" dxfId="9" priority="9"/>
  </conditionalFormatting>
  <conditionalFormatting sqref="J2:J93">
    <cfRule type="duplicateValues" dxfId="8" priority="13"/>
    <cfRule type="duplicateValues" dxfId="7" priority="14"/>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670C-87E8-4D6E-810F-4CE6E34A0647}">
  <sheetPr codeName="Hoja1"/>
  <dimension ref="A1:AI122"/>
  <sheetViews>
    <sheetView workbookViewId="0">
      <selection activeCell="D4" sqref="D4"/>
    </sheetView>
  </sheetViews>
  <sheetFormatPr defaultColWidth="11.42578125" defaultRowHeight="14.25" customHeight="1"/>
  <cols>
    <col min="1" max="1" width="37.85546875" style="36" customWidth="1"/>
    <col min="2" max="2" width="18.5703125" style="1" customWidth="1"/>
    <col min="3" max="3" width="48.140625" style="1" bestFit="1" customWidth="1"/>
    <col min="4" max="4" width="30.28515625" style="1" customWidth="1"/>
    <col min="5" max="5" width="29" style="1" customWidth="1"/>
    <col min="6" max="22" width="21.42578125" style="1" customWidth="1"/>
    <col min="23" max="23" width="23.7109375" style="1" customWidth="1"/>
    <col min="24" max="24" width="22.140625" style="40" customWidth="1"/>
    <col min="25" max="25" width="18.28515625" style="1" customWidth="1"/>
    <col min="26" max="28" width="18.28515625" customWidth="1"/>
    <col min="29" max="29" width="255.7109375" bestFit="1" customWidth="1"/>
    <col min="30" max="31" width="18.28515625" customWidth="1"/>
    <col min="33" max="33" width="17.28515625" bestFit="1" customWidth="1"/>
    <col min="34" max="34" width="15.85546875" bestFit="1" customWidth="1"/>
    <col min="35" max="35" width="15.5703125" bestFit="1" customWidth="1"/>
  </cols>
  <sheetData>
    <row r="1" spans="1:34" ht="14.25" customHeight="1">
      <c r="A1" s="51" t="s">
        <v>118</v>
      </c>
      <c r="B1" s="51" t="s">
        <v>119</v>
      </c>
      <c r="C1" s="51" t="s">
        <v>0</v>
      </c>
      <c r="D1" s="51" t="s">
        <v>616</v>
      </c>
      <c r="E1" s="51" t="s">
        <v>617</v>
      </c>
      <c r="F1" s="51" t="s">
        <v>618</v>
      </c>
      <c r="G1" s="51" t="s">
        <v>619</v>
      </c>
      <c r="H1" s="51" t="s">
        <v>620</v>
      </c>
      <c r="I1" s="51" t="s">
        <v>621</v>
      </c>
      <c r="J1" s="51" t="s">
        <v>622</v>
      </c>
      <c r="K1" s="51" t="s">
        <v>623</v>
      </c>
      <c r="L1" s="51" t="s">
        <v>624</v>
      </c>
      <c r="M1" s="51" t="s">
        <v>625</v>
      </c>
      <c r="N1" s="51" t="s">
        <v>626</v>
      </c>
      <c r="O1" s="51" t="s">
        <v>627</v>
      </c>
      <c r="P1" s="51" t="s">
        <v>628</v>
      </c>
      <c r="Q1" s="51" t="s">
        <v>629</v>
      </c>
      <c r="R1" s="51" t="s">
        <v>630</v>
      </c>
      <c r="S1" s="51" t="s">
        <v>631</v>
      </c>
      <c r="T1" s="51" t="s">
        <v>632</v>
      </c>
      <c r="U1" s="51" t="s">
        <v>633</v>
      </c>
      <c r="V1" s="51" t="s">
        <v>634</v>
      </c>
      <c r="W1" s="55" t="s">
        <v>635</v>
      </c>
      <c r="X1" s="55" t="s">
        <v>636</v>
      </c>
      <c r="Y1" s="51" t="s">
        <v>637</v>
      </c>
      <c r="Z1" s="51" t="s">
        <v>127</v>
      </c>
      <c r="AA1" s="51" t="s">
        <v>128</v>
      </c>
      <c r="AB1" s="51" t="s">
        <v>129</v>
      </c>
      <c r="AC1" s="51" t="s">
        <v>638</v>
      </c>
      <c r="AD1" s="48"/>
      <c r="AE1" s="48"/>
    </row>
    <row r="2" spans="1:34" ht="14.25" customHeight="1">
      <c r="A2" s="33" t="s">
        <v>148</v>
      </c>
      <c r="B2" s="34">
        <v>45615.65629467593</v>
      </c>
      <c r="C2" s="35" t="s">
        <v>60</v>
      </c>
      <c r="D2" s="5" t="s">
        <v>153</v>
      </c>
      <c r="E2" s="49">
        <v>443520000</v>
      </c>
      <c r="F2" s="49">
        <v>314881564</v>
      </c>
      <c r="G2" s="42">
        <f t="shared" ref="G2:G33" si="0">E2-F2</f>
        <v>128638436</v>
      </c>
      <c r="H2" s="49">
        <v>0</v>
      </c>
      <c r="I2" s="49">
        <v>0</v>
      </c>
      <c r="J2" s="42">
        <f t="shared" ref="J2:J33" si="1">H2-I2</f>
        <v>0</v>
      </c>
      <c r="K2" s="49">
        <v>0</v>
      </c>
      <c r="L2" s="49">
        <v>0</v>
      </c>
      <c r="M2" s="42">
        <f t="shared" ref="M2:M33" si="2">K2-L2</f>
        <v>0</v>
      </c>
      <c r="N2" s="49">
        <v>0</v>
      </c>
      <c r="O2" s="49">
        <v>0</v>
      </c>
      <c r="P2" s="42">
        <f t="shared" ref="P2:P33" si="3">N2-O2</f>
        <v>0</v>
      </c>
      <c r="Q2" s="49">
        <v>0</v>
      </c>
      <c r="R2" s="49">
        <v>0</v>
      </c>
      <c r="S2" s="42">
        <f t="shared" ref="S2:S33" si="4">Q2-R2</f>
        <v>0</v>
      </c>
      <c r="T2" s="49">
        <v>0</v>
      </c>
      <c r="U2" s="49">
        <v>0</v>
      </c>
      <c r="V2" s="42">
        <f t="shared" ref="V2:V33" si="5">T2-U2</f>
        <v>0</v>
      </c>
      <c r="W2" s="41">
        <f t="shared" ref="W2:W33" si="6">E2+H2+K2+N2+Q2+T2</f>
        <v>443520000</v>
      </c>
      <c r="X2" s="41">
        <f t="shared" ref="X2:X33" si="7">F2+I2+L2+O2+R2+U2</f>
        <v>314881564</v>
      </c>
      <c r="Y2" s="42">
        <f t="shared" ref="Y2:Y33" si="8">W2-X2</f>
        <v>128638436</v>
      </c>
      <c r="Z2" s="52">
        <v>45292</v>
      </c>
      <c r="AA2" s="52">
        <v>45321</v>
      </c>
      <c r="AB2" s="53">
        <f t="shared" ref="AB2:AB33" si="9">ROUND(YEARFRAC(Z2,AA2)*12,2)</f>
        <v>0.97</v>
      </c>
      <c r="AC2" s="56" t="s">
        <v>639</v>
      </c>
      <c r="AD2" s="48"/>
      <c r="AE2" s="48"/>
    </row>
    <row r="3" spans="1:34" ht="14.25" customHeight="1">
      <c r="A3" s="36" t="s">
        <v>155</v>
      </c>
      <c r="B3" s="37">
        <v>45348.736015659721</v>
      </c>
      <c r="C3" s="35" t="s">
        <v>68</v>
      </c>
      <c r="D3" s="5" t="s">
        <v>159</v>
      </c>
      <c r="E3" s="49">
        <v>10250672943</v>
      </c>
      <c r="F3" s="49">
        <v>7806909725</v>
      </c>
      <c r="G3" s="42">
        <f t="shared" si="0"/>
        <v>2443763218</v>
      </c>
      <c r="H3" s="32">
        <v>5650385954</v>
      </c>
      <c r="I3" s="32">
        <v>5537378235</v>
      </c>
      <c r="J3" s="42">
        <f t="shared" si="1"/>
        <v>113007719</v>
      </c>
      <c r="K3" s="49">
        <v>0</v>
      </c>
      <c r="L3" s="49">
        <v>0</v>
      </c>
      <c r="M3" s="42">
        <f t="shared" si="2"/>
        <v>0</v>
      </c>
      <c r="N3" s="49">
        <v>0</v>
      </c>
      <c r="O3" s="49">
        <v>0</v>
      </c>
      <c r="P3" s="42">
        <f t="shared" si="3"/>
        <v>0</v>
      </c>
      <c r="Q3" s="49">
        <v>0</v>
      </c>
      <c r="R3" s="49">
        <v>0</v>
      </c>
      <c r="S3" s="42">
        <f t="shared" si="4"/>
        <v>0</v>
      </c>
      <c r="T3" s="49">
        <v>0</v>
      </c>
      <c r="U3" s="49">
        <v>0</v>
      </c>
      <c r="V3" s="42">
        <f t="shared" si="5"/>
        <v>0</v>
      </c>
      <c r="W3" s="41">
        <f t="shared" si="6"/>
        <v>15901058897</v>
      </c>
      <c r="X3" s="41">
        <f t="shared" si="7"/>
        <v>13344287960</v>
      </c>
      <c r="Y3" s="42">
        <f t="shared" si="8"/>
        <v>2556770937</v>
      </c>
      <c r="Z3" s="52">
        <v>45292</v>
      </c>
      <c r="AA3" s="52">
        <v>45381</v>
      </c>
      <c r="AB3" s="53">
        <f t="shared" si="9"/>
        <v>2.97</v>
      </c>
      <c r="AC3" s="42" t="s">
        <v>640</v>
      </c>
      <c r="AD3" s="48"/>
      <c r="AE3" s="48"/>
    </row>
    <row r="4" spans="1:34" ht="14.25" customHeight="1">
      <c r="A4" s="33" t="s">
        <v>161</v>
      </c>
      <c r="B4" s="34">
        <v>45323.90036605324</v>
      </c>
      <c r="C4" s="35" t="s">
        <v>65</v>
      </c>
      <c r="D4" s="5" t="s">
        <v>166</v>
      </c>
      <c r="E4" s="49">
        <v>4198119926</v>
      </c>
      <c r="F4" s="49">
        <v>1422409157</v>
      </c>
      <c r="G4" s="42">
        <f t="shared" si="0"/>
        <v>2775710769</v>
      </c>
      <c r="H4" s="49">
        <v>0</v>
      </c>
      <c r="I4" s="49">
        <v>0</v>
      </c>
      <c r="J4" s="42">
        <f t="shared" si="1"/>
        <v>0</v>
      </c>
      <c r="K4" s="49">
        <v>0</v>
      </c>
      <c r="L4" s="49">
        <v>0</v>
      </c>
      <c r="M4" s="42">
        <f t="shared" si="2"/>
        <v>0</v>
      </c>
      <c r="N4" s="49">
        <v>0</v>
      </c>
      <c r="O4" s="49">
        <v>0</v>
      </c>
      <c r="P4" s="42">
        <f t="shared" si="3"/>
        <v>0</v>
      </c>
      <c r="Q4" s="49">
        <v>0</v>
      </c>
      <c r="R4" s="49">
        <v>0</v>
      </c>
      <c r="S4" s="42">
        <f t="shared" si="4"/>
        <v>0</v>
      </c>
      <c r="T4" s="49">
        <v>0</v>
      </c>
      <c r="U4" s="49">
        <v>0</v>
      </c>
      <c r="V4" s="42">
        <f t="shared" si="5"/>
        <v>0</v>
      </c>
      <c r="W4" s="41">
        <f t="shared" si="6"/>
        <v>4198119926</v>
      </c>
      <c r="X4" s="41">
        <f t="shared" si="7"/>
        <v>1422409157</v>
      </c>
      <c r="Y4" s="42">
        <f t="shared" si="8"/>
        <v>2775710769</v>
      </c>
      <c r="Z4" s="52">
        <v>45292</v>
      </c>
      <c r="AA4" s="52">
        <v>45534</v>
      </c>
      <c r="AB4" s="53">
        <f t="shared" si="9"/>
        <v>7.97</v>
      </c>
      <c r="AC4" s="56" t="s">
        <v>641</v>
      </c>
      <c r="AD4" s="48"/>
      <c r="AE4" s="48"/>
    </row>
    <row r="5" spans="1:34" ht="14.25" customHeight="1">
      <c r="A5" s="36" t="s">
        <v>167</v>
      </c>
      <c r="B5" s="37">
        <v>45307.664935879628</v>
      </c>
      <c r="C5" s="35" t="s">
        <v>76</v>
      </c>
      <c r="D5" s="5" t="s">
        <v>171</v>
      </c>
      <c r="E5" s="49">
        <v>10721037621</v>
      </c>
      <c r="F5" s="49">
        <v>5280083724</v>
      </c>
      <c r="G5" s="42">
        <f t="shared" si="0"/>
        <v>5440953897</v>
      </c>
      <c r="H5" s="49">
        <v>0</v>
      </c>
      <c r="I5" s="49">
        <v>0</v>
      </c>
      <c r="J5" s="42">
        <f t="shared" si="1"/>
        <v>0</v>
      </c>
      <c r="K5" s="49">
        <v>0</v>
      </c>
      <c r="L5" s="49">
        <v>0</v>
      </c>
      <c r="M5" s="42">
        <f t="shared" si="2"/>
        <v>0</v>
      </c>
      <c r="N5" s="49">
        <v>0</v>
      </c>
      <c r="O5" s="49">
        <v>0</v>
      </c>
      <c r="P5" s="42">
        <f t="shared" si="3"/>
        <v>0</v>
      </c>
      <c r="Q5" s="49">
        <v>0</v>
      </c>
      <c r="R5" s="49">
        <v>0</v>
      </c>
      <c r="S5" s="42">
        <f t="shared" si="4"/>
        <v>0</v>
      </c>
      <c r="T5" s="49">
        <v>0</v>
      </c>
      <c r="U5" s="49">
        <v>0</v>
      </c>
      <c r="V5" s="42">
        <f t="shared" si="5"/>
        <v>0</v>
      </c>
      <c r="W5" s="41">
        <f t="shared" si="6"/>
        <v>10721037621</v>
      </c>
      <c r="X5" s="41">
        <f t="shared" si="7"/>
        <v>5280083724</v>
      </c>
      <c r="Y5" s="42">
        <f t="shared" si="8"/>
        <v>5440953897</v>
      </c>
      <c r="Z5" s="52">
        <v>45300</v>
      </c>
      <c r="AA5" s="52">
        <v>45473</v>
      </c>
      <c r="AB5" s="53">
        <f t="shared" si="9"/>
        <v>5.7</v>
      </c>
      <c r="AC5" s="56" t="s">
        <v>642</v>
      </c>
      <c r="AD5" s="48"/>
      <c r="AE5" s="48"/>
      <c r="AG5" t="s">
        <v>643</v>
      </c>
      <c r="AH5" t="s">
        <v>644</v>
      </c>
    </row>
    <row r="6" spans="1:34" ht="14.25" customHeight="1">
      <c r="A6" s="36" t="s">
        <v>172</v>
      </c>
      <c r="B6" s="37">
        <v>45296.528889155095</v>
      </c>
      <c r="C6" s="35" t="s">
        <v>85</v>
      </c>
      <c r="D6" s="5" t="s">
        <v>176</v>
      </c>
      <c r="E6" s="49">
        <v>5640168067</v>
      </c>
      <c r="F6" s="49">
        <v>3323223361</v>
      </c>
      <c r="G6" s="42">
        <f t="shared" si="0"/>
        <v>2316944706</v>
      </c>
      <c r="H6" s="49">
        <v>0</v>
      </c>
      <c r="I6" s="49">
        <v>0</v>
      </c>
      <c r="J6" s="42">
        <f t="shared" si="1"/>
        <v>0</v>
      </c>
      <c r="K6" s="49">
        <v>0</v>
      </c>
      <c r="L6" s="49">
        <v>0</v>
      </c>
      <c r="M6" s="42">
        <f t="shared" si="2"/>
        <v>0</v>
      </c>
      <c r="N6" s="49">
        <v>0</v>
      </c>
      <c r="O6" s="49">
        <v>0</v>
      </c>
      <c r="P6" s="42">
        <f t="shared" si="3"/>
        <v>0</v>
      </c>
      <c r="Q6" s="49">
        <v>0</v>
      </c>
      <c r="R6" s="49">
        <v>0</v>
      </c>
      <c r="S6" s="42">
        <f t="shared" si="4"/>
        <v>0</v>
      </c>
      <c r="T6" s="49">
        <v>0</v>
      </c>
      <c r="U6" s="49">
        <v>0</v>
      </c>
      <c r="V6" s="42">
        <f t="shared" si="5"/>
        <v>0</v>
      </c>
      <c r="W6" s="41">
        <f t="shared" si="6"/>
        <v>5640168067</v>
      </c>
      <c r="X6" s="41">
        <f t="shared" si="7"/>
        <v>3323223361</v>
      </c>
      <c r="Y6" s="42">
        <f t="shared" si="8"/>
        <v>2316944706</v>
      </c>
      <c r="Z6" s="52">
        <v>45300</v>
      </c>
      <c r="AA6" s="52">
        <v>45473</v>
      </c>
      <c r="AB6" s="53">
        <f t="shared" si="9"/>
        <v>5.7</v>
      </c>
      <c r="AC6" s="42" t="s">
        <v>645</v>
      </c>
      <c r="AD6" s="48"/>
      <c r="AE6" s="48"/>
    </row>
    <row r="7" spans="1:34" ht="14.25" customHeight="1">
      <c r="A7" s="33" t="s">
        <v>178</v>
      </c>
      <c r="B7" s="34">
        <v>45307.653436655091</v>
      </c>
      <c r="C7" s="35" t="s">
        <v>77</v>
      </c>
      <c r="D7" s="5" t="s">
        <v>182</v>
      </c>
      <c r="E7" s="49">
        <v>1398804915</v>
      </c>
      <c r="F7" s="49">
        <v>970233948</v>
      </c>
      <c r="G7" s="42">
        <f t="shared" si="0"/>
        <v>428570967</v>
      </c>
      <c r="H7" s="49">
        <v>0</v>
      </c>
      <c r="I7" s="49">
        <v>0</v>
      </c>
      <c r="J7" s="42">
        <f t="shared" si="1"/>
        <v>0</v>
      </c>
      <c r="K7" s="49">
        <v>0</v>
      </c>
      <c r="L7" s="49">
        <v>0</v>
      </c>
      <c r="M7" s="42">
        <f t="shared" si="2"/>
        <v>0</v>
      </c>
      <c r="N7" s="49">
        <v>0</v>
      </c>
      <c r="O7" s="49">
        <v>0</v>
      </c>
      <c r="P7" s="42">
        <f t="shared" si="3"/>
        <v>0</v>
      </c>
      <c r="Q7" s="49">
        <v>0</v>
      </c>
      <c r="R7" s="49">
        <v>0</v>
      </c>
      <c r="S7" s="42">
        <f t="shared" si="4"/>
        <v>0</v>
      </c>
      <c r="T7" s="49">
        <v>0</v>
      </c>
      <c r="U7" s="49">
        <v>0</v>
      </c>
      <c r="V7" s="42">
        <f t="shared" si="5"/>
        <v>0</v>
      </c>
      <c r="W7" s="41">
        <f t="shared" si="6"/>
        <v>1398804915</v>
      </c>
      <c r="X7" s="41">
        <f t="shared" si="7"/>
        <v>970233948</v>
      </c>
      <c r="Y7" s="42">
        <f t="shared" si="8"/>
        <v>428570967</v>
      </c>
      <c r="Z7" s="52">
        <v>45306</v>
      </c>
      <c r="AA7" s="52">
        <v>45412</v>
      </c>
      <c r="AB7" s="53">
        <f t="shared" si="9"/>
        <v>3.5</v>
      </c>
      <c r="AC7" s="42" t="s">
        <v>646</v>
      </c>
      <c r="AD7" s="48"/>
      <c r="AE7" s="48"/>
    </row>
    <row r="8" spans="1:34" ht="14.25" customHeight="1">
      <c r="A8" s="33" t="s">
        <v>184</v>
      </c>
      <c r="B8" s="34">
        <v>45356.825930590276</v>
      </c>
      <c r="C8" s="35" t="s">
        <v>39</v>
      </c>
      <c r="D8" s="5" t="s">
        <v>188</v>
      </c>
      <c r="E8" s="49">
        <v>5903764611</v>
      </c>
      <c r="F8" s="49">
        <v>4004446789</v>
      </c>
      <c r="G8" s="42">
        <f t="shared" si="0"/>
        <v>1899317822</v>
      </c>
      <c r="H8" s="49">
        <v>0</v>
      </c>
      <c r="I8" s="49">
        <v>0</v>
      </c>
      <c r="J8" s="42">
        <f t="shared" si="1"/>
        <v>0</v>
      </c>
      <c r="K8" s="49">
        <v>0</v>
      </c>
      <c r="L8" s="49">
        <v>0</v>
      </c>
      <c r="M8" s="42">
        <f t="shared" si="2"/>
        <v>0</v>
      </c>
      <c r="N8" s="49">
        <v>0</v>
      </c>
      <c r="O8" s="49">
        <v>0</v>
      </c>
      <c r="P8" s="42">
        <f t="shared" si="3"/>
        <v>0</v>
      </c>
      <c r="Q8" s="49">
        <v>0</v>
      </c>
      <c r="R8" s="49">
        <v>0</v>
      </c>
      <c r="S8" s="42">
        <f t="shared" si="4"/>
        <v>0</v>
      </c>
      <c r="T8" s="49">
        <v>0</v>
      </c>
      <c r="U8" s="49">
        <v>0</v>
      </c>
      <c r="V8" s="42">
        <f t="shared" si="5"/>
        <v>0</v>
      </c>
      <c r="W8" s="41">
        <f t="shared" si="6"/>
        <v>5903764611</v>
      </c>
      <c r="X8" s="41">
        <f t="shared" si="7"/>
        <v>4004446789</v>
      </c>
      <c r="Y8" s="42">
        <f t="shared" si="8"/>
        <v>1899317822</v>
      </c>
      <c r="Z8" s="52">
        <v>45345</v>
      </c>
      <c r="AA8" s="52">
        <v>45587</v>
      </c>
      <c r="AB8" s="53">
        <f t="shared" si="9"/>
        <v>7.97</v>
      </c>
      <c r="AC8" s="42" t="s">
        <v>647</v>
      </c>
      <c r="AD8" s="48"/>
      <c r="AE8" s="48"/>
    </row>
    <row r="9" spans="1:34" ht="14.25" customHeight="1">
      <c r="A9" s="33" t="s">
        <v>189</v>
      </c>
      <c r="B9" s="34">
        <v>45373.886505289352</v>
      </c>
      <c r="C9" s="35" t="s">
        <v>75</v>
      </c>
      <c r="D9" s="5" t="s">
        <v>193</v>
      </c>
      <c r="E9" s="49">
        <v>444642857</v>
      </c>
      <c r="F9" s="49">
        <v>372376516</v>
      </c>
      <c r="G9" s="42">
        <f t="shared" si="0"/>
        <v>72266341</v>
      </c>
      <c r="H9" s="49">
        <v>0</v>
      </c>
      <c r="I9" s="49">
        <v>0</v>
      </c>
      <c r="J9" s="42">
        <f t="shared" si="1"/>
        <v>0</v>
      </c>
      <c r="K9" s="49">
        <v>0</v>
      </c>
      <c r="L9" s="49">
        <v>0</v>
      </c>
      <c r="M9" s="42">
        <f t="shared" si="2"/>
        <v>0</v>
      </c>
      <c r="N9" s="49">
        <v>0</v>
      </c>
      <c r="O9" s="49">
        <v>0</v>
      </c>
      <c r="P9" s="42">
        <f t="shared" si="3"/>
        <v>0</v>
      </c>
      <c r="Q9" s="49">
        <v>0</v>
      </c>
      <c r="R9" s="49">
        <v>0</v>
      </c>
      <c r="S9" s="42">
        <f t="shared" si="4"/>
        <v>0</v>
      </c>
      <c r="T9" s="49">
        <v>0</v>
      </c>
      <c r="U9" s="49">
        <v>0</v>
      </c>
      <c r="V9" s="42">
        <f t="shared" si="5"/>
        <v>0</v>
      </c>
      <c r="W9" s="41">
        <f t="shared" si="6"/>
        <v>444642857</v>
      </c>
      <c r="X9" s="41">
        <f t="shared" si="7"/>
        <v>372376516</v>
      </c>
      <c r="Y9" s="42">
        <f t="shared" si="8"/>
        <v>72266341</v>
      </c>
      <c r="Z9" s="52">
        <v>45352</v>
      </c>
      <c r="AA9" s="52">
        <v>45534</v>
      </c>
      <c r="AB9" s="53">
        <f t="shared" si="9"/>
        <v>5.97</v>
      </c>
      <c r="AC9" s="42" t="s">
        <v>648</v>
      </c>
      <c r="AD9" s="48"/>
      <c r="AE9" s="48"/>
    </row>
    <row r="10" spans="1:34" ht="14.25" customHeight="1">
      <c r="A10" s="36" t="s">
        <v>194</v>
      </c>
      <c r="B10" s="37">
        <v>45405.523599386572</v>
      </c>
      <c r="C10" s="35" t="s">
        <v>64</v>
      </c>
      <c r="D10" s="5" t="s">
        <v>198</v>
      </c>
      <c r="E10" s="49">
        <v>2294401987</v>
      </c>
      <c r="F10" s="49">
        <v>1087776079</v>
      </c>
      <c r="G10" s="42">
        <f t="shared" si="0"/>
        <v>1206625908</v>
      </c>
      <c r="H10" s="49">
        <v>0</v>
      </c>
      <c r="I10" s="49">
        <v>0</v>
      </c>
      <c r="J10" s="42">
        <f t="shared" si="1"/>
        <v>0</v>
      </c>
      <c r="K10" s="49">
        <v>0</v>
      </c>
      <c r="L10" s="49">
        <v>0</v>
      </c>
      <c r="M10" s="42">
        <f t="shared" si="2"/>
        <v>0</v>
      </c>
      <c r="N10" s="49">
        <v>0</v>
      </c>
      <c r="O10" s="49">
        <v>0</v>
      </c>
      <c r="P10" s="42">
        <f t="shared" si="3"/>
        <v>0</v>
      </c>
      <c r="Q10" s="49">
        <v>0</v>
      </c>
      <c r="R10" s="49">
        <v>0</v>
      </c>
      <c r="S10" s="42">
        <f t="shared" si="4"/>
        <v>0</v>
      </c>
      <c r="T10" s="49">
        <v>0</v>
      </c>
      <c r="U10" s="49">
        <v>0</v>
      </c>
      <c r="V10" s="42">
        <f t="shared" si="5"/>
        <v>0</v>
      </c>
      <c r="W10" s="41">
        <f t="shared" si="6"/>
        <v>2294401987</v>
      </c>
      <c r="X10" s="41">
        <f t="shared" si="7"/>
        <v>1087776079</v>
      </c>
      <c r="Y10" s="42">
        <f t="shared" si="8"/>
        <v>1206625908</v>
      </c>
      <c r="Z10" s="52">
        <v>45369</v>
      </c>
      <c r="AA10" s="52">
        <v>45552</v>
      </c>
      <c r="AB10" s="53">
        <f t="shared" si="9"/>
        <v>5.97</v>
      </c>
      <c r="AC10" s="42" t="s">
        <v>649</v>
      </c>
      <c r="AD10" s="48"/>
      <c r="AE10" s="48"/>
    </row>
    <row r="11" spans="1:34" ht="14.25" customHeight="1">
      <c r="A11" s="33" t="s">
        <v>199</v>
      </c>
      <c r="B11" s="34">
        <v>45492.722849189813</v>
      </c>
      <c r="C11" s="35" t="s">
        <v>61</v>
      </c>
      <c r="D11" s="5" t="s">
        <v>202</v>
      </c>
      <c r="E11" s="49">
        <v>585022222</v>
      </c>
      <c r="F11" s="49">
        <v>237007609</v>
      </c>
      <c r="G11" s="42">
        <f t="shared" si="0"/>
        <v>348014613</v>
      </c>
      <c r="H11" s="49">
        <v>0</v>
      </c>
      <c r="I11" s="49">
        <v>0</v>
      </c>
      <c r="J11" s="42">
        <f t="shared" si="1"/>
        <v>0</v>
      </c>
      <c r="K11" s="49">
        <v>0</v>
      </c>
      <c r="L11" s="49">
        <v>0</v>
      </c>
      <c r="M11" s="42">
        <f t="shared" si="2"/>
        <v>0</v>
      </c>
      <c r="N11" s="49">
        <v>0</v>
      </c>
      <c r="O11" s="49">
        <v>0</v>
      </c>
      <c r="P11" s="42">
        <f t="shared" si="3"/>
        <v>0</v>
      </c>
      <c r="Q11" s="49">
        <v>0</v>
      </c>
      <c r="R11" s="49">
        <v>0</v>
      </c>
      <c r="S11" s="42">
        <f t="shared" si="4"/>
        <v>0</v>
      </c>
      <c r="T11" s="49">
        <v>0</v>
      </c>
      <c r="U11" s="49">
        <v>0</v>
      </c>
      <c r="V11" s="42">
        <f t="shared" si="5"/>
        <v>0</v>
      </c>
      <c r="W11" s="41">
        <f t="shared" si="6"/>
        <v>585022222</v>
      </c>
      <c r="X11" s="41">
        <f t="shared" si="7"/>
        <v>237007609</v>
      </c>
      <c r="Y11" s="42">
        <f t="shared" si="8"/>
        <v>348014613</v>
      </c>
      <c r="Z11" s="52">
        <v>45383</v>
      </c>
      <c r="AA11" s="52">
        <v>45412</v>
      </c>
      <c r="AB11" s="53">
        <f t="shared" si="9"/>
        <v>0.97</v>
      </c>
      <c r="AC11" s="42" t="s">
        <v>650</v>
      </c>
      <c r="AD11" s="48"/>
      <c r="AE11" s="48"/>
    </row>
    <row r="12" spans="1:34" ht="14.25" customHeight="1">
      <c r="A12" s="33" t="s">
        <v>204</v>
      </c>
      <c r="B12" s="34">
        <v>45405.824231944447</v>
      </c>
      <c r="C12" s="35" t="s">
        <v>38</v>
      </c>
      <c r="D12" s="5" t="s">
        <v>207</v>
      </c>
      <c r="E12" s="49">
        <v>2660847479</v>
      </c>
      <c r="F12" s="49">
        <v>1566562163</v>
      </c>
      <c r="G12" s="42">
        <f t="shared" si="0"/>
        <v>1094285316</v>
      </c>
      <c r="H12" s="49">
        <v>0</v>
      </c>
      <c r="I12" s="49">
        <v>0</v>
      </c>
      <c r="J12" s="42">
        <f t="shared" si="1"/>
        <v>0</v>
      </c>
      <c r="K12" s="49">
        <v>0</v>
      </c>
      <c r="L12" s="49">
        <v>0</v>
      </c>
      <c r="M12" s="42">
        <f t="shared" si="2"/>
        <v>0</v>
      </c>
      <c r="N12" s="49">
        <v>0</v>
      </c>
      <c r="O12" s="49">
        <v>0</v>
      </c>
      <c r="P12" s="42">
        <f t="shared" si="3"/>
        <v>0</v>
      </c>
      <c r="Q12" s="49">
        <v>0</v>
      </c>
      <c r="R12" s="49">
        <v>0</v>
      </c>
      <c r="S12" s="42">
        <f t="shared" si="4"/>
        <v>0</v>
      </c>
      <c r="T12" s="49">
        <v>0</v>
      </c>
      <c r="U12" s="49">
        <v>0</v>
      </c>
      <c r="V12" s="42">
        <f t="shared" si="5"/>
        <v>0</v>
      </c>
      <c r="W12" s="41">
        <f t="shared" si="6"/>
        <v>2660847479</v>
      </c>
      <c r="X12" s="41">
        <f t="shared" si="7"/>
        <v>1566562163</v>
      </c>
      <c r="Y12" s="42">
        <f t="shared" si="8"/>
        <v>1094285316</v>
      </c>
      <c r="Z12" s="52">
        <v>45402</v>
      </c>
      <c r="AA12" s="52">
        <v>45656</v>
      </c>
      <c r="AB12" s="53">
        <f t="shared" si="9"/>
        <v>8.33</v>
      </c>
      <c r="AC12" s="42" t="s">
        <v>651</v>
      </c>
      <c r="AD12" s="48"/>
      <c r="AE12" s="48"/>
    </row>
    <row r="13" spans="1:34" ht="14.25" customHeight="1">
      <c r="A13" s="36" t="s">
        <v>208</v>
      </c>
      <c r="B13" s="37">
        <v>45481.740478935186</v>
      </c>
      <c r="C13" s="35" t="s">
        <v>70</v>
      </c>
      <c r="D13" s="5" t="s">
        <v>211</v>
      </c>
      <c r="E13" s="49">
        <v>377503954</v>
      </c>
      <c r="F13" s="49">
        <v>218649688</v>
      </c>
      <c r="G13" s="42">
        <f t="shared" si="0"/>
        <v>158854266</v>
      </c>
      <c r="H13" s="49">
        <v>0</v>
      </c>
      <c r="I13" s="49">
        <v>0</v>
      </c>
      <c r="J13" s="42">
        <f t="shared" si="1"/>
        <v>0</v>
      </c>
      <c r="K13" s="49">
        <v>0</v>
      </c>
      <c r="L13" s="49">
        <v>0</v>
      </c>
      <c r="M13" s="42">
        <f t="shared" si="2"/>
        <v>0</v>
      </c>
      <c r="N13" s="49">
        <v>0</v>
      </c>
      <c r="O13" s="49">
        <v>0</v>
      </c>
      <c r="P13" s="42">
        <f t="shared" si="3"/>
        <v>0</v>
      </c>
      <c r="Q13" s="49">
        <v>0</v>
      </c>
      <c r="R13" s="49">
        <v>0</v>
      </c>
      <c r="S13" s="42">
        <f t="shared" si="4"/>
        <v>0</v>
      </c>
      <c r="T13" s="49">
        <v>0</v>
      </c>
      <c r="U13" s="49">
        <v>0</v>
      </c>
      <c r="V13" s="42">
        <f t="shared" si="5"/>
        <v>0</v>
      </c>
      <c r="W13" s="41">
        <f t="shared" si="6"/>
        <v>377503954</v>
      </c>
      <c r="X13" s="41">
        <f t="shared" si="7"/>
        <v>218649688</v>
      </c>
      <c r="Y13" s="42">
        <f t="shared" si="8"/>
        <v>158854266</v>
      </c>
      <c r="Z13" s="52">
        <v>45413</v>
      </c>
      <c r="AA13" s="52">
        <v>45534</v>
      </c>
      <c r="AB13" s="53">
        <f t="shared" si="9"/>
        <v>3.97</v>
      </c>
      <c r="AC13" s="42" t="s">
        <v>652</v>
      </c>
      <c r="AD13" s="48"/>
      <c r="AE13" s="48"/>
    </row>
    <row r="14" spans="1:34" ht="14.25" customHeight="1">
      <c r="A14" s="33" t="s">
        <v>212</v>
      </c>
      <c r="B14" s="34">
        <v>45422.849828703707</v>
      </c>
      <c r="C14" s="35" t="s">
        <v>71</v>
      </c>
      <c r="D14" s="5" t="s">
        <v>215</v>
      </c>
      <c r="E14" s="49">
        <v>1365000000</v>
      </c>
      <c r="F14" s="49">
        <v>830180856</v>
      </c>
      <c r="G14" s="42">
        <f t="shared" si="0"/>
        <v>534819144</v>
      </c>
      <c r="H14" s="49">
        <v>0</v>
      </c>
      <c r="I14" s="49">
        <v>0</v>
      </c>
      <c r="J14" s="42">
        <f t="shared" si="1"/>
        <v>0</v>
      </c>
      <c r="K14" s="49">
        <v>0</v>
      </c>
      <c r="L14" s="49">
        <v>0</v>
      </c>
      <c r="M14" s="42">
        <f t="shared" si="2"/>
        <v>0</v>
      </c>
      <c r="N14" s="49">
        <v>0</v>
      </c>
      <c r="O14" s="49">
        <v>0</v>
      </c>
      <c r="P14" s="42">
        <f t="shared" si="3"/>
        <v>0</v>
      </c>
      <c r="Q14" s="49">
        <v>0</v>
      </c>
      <c r="R14" s="49">
        <v>0</v>
      </c>
      <c r="S14" s="42">
        <f t="shared" si="4"/>
        <v>0</v>
      </c>
      <c r="T14" s="49">
        <v>0</v>
      </c>
      <c r="U14" s="49">
        <v>0</v>
      </c>
      <c r="V14" s="42">
        <f t="shared" si="5"/>
        <v>0</v>
      </c>
      <c r="W14" s="41">
        <f t="shared" si="6"/>
        <v>1365000000</v>
      </c>
      <c r="X14" s="41">
        <f t="shared" si="7"/>
        <v>830180856</v>
      </c>
      <c r="Y14" s="42">
        <f t="shared" si="8"/>
        <v>534819144</v>
      </c>
      <c r="Z14" s="52">
        <v>45414</v>
      </c>
      <c r="AA14" s="52">
        <v>45596</v>
      </c>
      <c r="AB14" s="53">
        <f t="shared" si="9"/>
        <v>5.97</v>
      </c>
      <c r="AC14" s="56" t="s">
        <v>653</v>
      </c>
      <c r="AD14" s="48"/>
      <c r="AE14" s="48"/>
    </row>
    <row r="15" spans="1:34" ht="14.25" customHeight="1">
      <c r="A15" s="33" t="s">
        <v>216</v>
      </c>
      <c r="B15" s="34">
        <v>45443.82223568287</v>
      </c>
      <c r="C15" s="35" t="s">
        <v>1</v>
      </c>
      <c r="D15" s="5" t="s">
        <v>219</v>
      </c>
      <c r="E15" s="49">
        <v>31348950905</v>
      </c>
      <c r="F15" s="49">
        <v>4504425757</v>
      </c>
      <c r="G15" s="42">
        <f t="shared" si="0"/>
        <v>26844525148</v>
      </c>
      <c r="H15" s="49">
        <v>0</v>
      </c>
      <c r="I15" s="49">
        <v>0</v>
      </c>
      <c r="J15" s="42">
        <f t="shared" si="1"/>
        <v>0</v>
      </c>
      <c r="K15" s="49">
        <v>0</v>
      </c>
      <c r="L15" s="49">
        <v>0</v>
      </c>
      <c r="M15" s="42">
        <f t="shared" si="2"/>
        <v>0</v>
      </c>
      <c r="N15" s="49">
        <v>0</v>
      </c>
      <c r="O15" s="49">
        <v>0</v>
      </c>
      <c r="P15" s="42">
        <f t="shared" si="3"/>
        <v>0</v>
      </c>
      <c r="Q15" s="49">
        <v>0</v>
      </c>
      <c r="R15" s="49">
        <v>0</v>
      </c>
      <c r="S15" s="42">
        <f t="shared" si="4"/>
        <v>0</v>
      </c>
      <c r="T15" s="49">
        <v>0</v>
      </c>
      <c r="U15" s="49">
        <v>0</v>
      </c>
      <c r="V15" s="42">
        <f t="shared" si="5"/>
        <v>0</v>
      </c>
      <c r="W15" s="41">
        <f t="shared" si="6"/>
        <v>31348950905</v>
      </c>
      <c r="X15" s="41">
        <f t="shared" si="7"/>
        <v>4504425757</v>
      </c>
      <c r="Y15" s="42">
        <f t="shared" si="8"/>
        <v>26844525148</v>
      </c>
      <c r="Z15" s="52">
        <v>45439</v>
      </c>
      <c r="AA15" s="52">
        <v>46533</v>
      </c>
      <c r="AB15" s="53">
        <f t="shared" si="9"/>
        <v>35.97</v>
      </c>
      <c r="AC15" s="42" t="s">
        <v>654</v>
      </c>
      <c r="AD15" s="48"/>
      <c r="AE15" s="48"/>
    </row>
    <row r="16" spans="1:34" ht="14.25" customHeight="1">
      <c r="A16" s="33" t="s">
        <v>220</v>
      </c>
      <c r="B16" s="34">
        <v>45481.703359687497</v>
      </c>
      <c r="C16" s="35" t="s">
        <v>72</v>
      </c>
      <c r="D16" s="5" t="s">
        <v>224</v>
      </c>
      <c r="E16" s="49">
        <v>145000000</v>
      </c>
      <c r="F16" s="49">
        <v>81162217</v>
      </c>
      <c r="G16" s="42">
        <f t="shared" si="0"/>
        <v>63837783</v>
      </c>
      <c r="H16" s="49">
        <v>0</v>
      </c>
      <c r="I16" s="49">
        <v>0</v>
      </c>
      <c r="J16" s="42">
        <f t="shared" si="1"/>
        <v>0</v>
      </c>
      <c r="K16" s="49">
        <v>0</v>
      </c>
      <c r="L16" s="49">
        <v>0</v>
      </c>
      <c r="M16" s="42">
        <f t="shared" si="2"/>
        <v>0</v>
      </c>
      <c r="N16" s="49">
        <v>0</v>
      </c>
      <c r="O16" s="49">
        <v>0</v>
      </c>
      <c r="P16" s="42">
        <f t="shared" si="3"/>
        <v>0</v>
      </c>
      <c r="Q16" s="49">
        <v>0</v>
      </c>
      <c r="R16" s="49">
        <v>0</v>
      </c>
      <c r="S16" s="42">
        <f t="shared" si="4"/>
        <v>0</v>
      </c>
      <c r="T16" s="49">
        <v>0</v>
      </c>
      <c r="U16" s="49">
        <v>0</v>
      </c>
      <c r="V16" s="42">
        <f t="shared" si="5"/>
        <v>0</v>
      </c>
      <c r="W16" s="41">
        <f t="shared" si="6"/>
        <v>145000000</v>
      </c>
      <c r="X16" s="41">
        <f t="shared" si="7"/>
        <v>81162217</v>
      </c>
      <c r="Y16" s="42">
        <f t="shared" si="8"/>
        <v>63837783</v>
      </c>
      <c r="Z16" s="52">
        <v>45444</v>
      </c>
      <c r="AA16" s="52">
        <v>45595</v>
      </c>
      <c r="AB16" s="53">
        <f t="shared" si="9"/>
        <v>4.97</v>
      </c>
      <c r="AC16" s="42" t="s">
        <v>655</v>
      </c>
      <c r="AD16" s="48"/>
      <c r="AE16" s="48"/>
    </row>
    <row r="17" spans="1:31" ht="14.25" customHeight="1">
      <c r="A17" s="36" t="s">
        <v>225</v>
      </c>
      <c r="B17" s="37">
        <v>45447.56342175926</v>
      </c>
      <c r="C17" s="35" t="s">
        <v>63</v>
      </c>
      <c r="D17" s="5" t="s">
        <v>229</v>
      </c>
      <c r="E17" s="49">
        <v>0</v>
      </c>
      <c r="F17" s="49">
        <v>50362370</v>
      </c>
      <c r="G17" s="42">
        <f t="shared" si="0"/>
        <v>-50362370</v>
      </c>
      <c r="H17" s="49">
        <v>0</v>
      </c>
      <c r="I17" s="49">
        <v>0</v>
      </c>
      <c r="J17" s="42">
        <f t="shared" si="1"/>
        <v>0</v>
      </c>
      <c r="K17" s="49">
        <v>0</v>
      </c>
      <c r="L17" s="49">
        <v>0</v>
      </c>
      <c r="M17" s="42">
        <f t="shared" si="2"/>
        <v>0</v>
      </c>
      <c r="N17" s="49">
        <v>0</v>
      </c>
      <c r="O17" s="49">
        <v>0</v>
      </c>
      <c r="P17" s="42">
        <f t="shared" si="3"/>
        <v>0</v>
      </c>
      <c r="Q17" s="49">
        <v>0</v>
      </c>
      <c r="R17" s="49">
        <v>0</v>
      </c>
      <c r="S17" s="42">
        <f t="shared" si="4"/>
        <v>0</v>
      </c>
      <c r="T17" s="49">
        <v>0</v>
      </c>
      <c r="U17" s="49">
        <v>0</v>
      </c>
      <c r="V17" s="42">
        <f t="shared" si="5"/>
        <v>0</v>
      </c>
      <c r="W17" s="41">
        <f t="shared" si="6"/>
        <v>0</v>
      </c>
      <c r="X17" s="41">
        <f t="shared" si="7"/>
        <v>50362370</v>
      </c>
      <c r="Y17" s="42">
        <f t="shared" si="8"/>
        <v>-50362370</v>
      </c>
      <c r="Z17" s="52">
        <v>45444</v>
      </c>
      <c r="AA17" s="52">
        <v>45503</v>
      </c>
      <c r="AB17" s="53">
        <f t="shared" si="9"/>
        <v>1.97</v>
      </c>
      <c r="AC17" s="56" t="s">
        <v>656</v>
      </c>
      <c r="AD17" s="48"/>
      <c r="AE17" s="48"/>
    </row>
    <row r="18" spans="1:31" ht="14.25" customHeight="1">
      <c r="A18" s="33" t="s">
        <v>230</v>
      </c>
      <c r="B18" s="34">
        <v>45462.979481215276</v>
      </c>
      <c r="C18" s="35" t="s">
        <v>36</v>
      </c>
      <c r="D18" s="5" t="s">
        <v>233</v>
      </c>
      <c r="E18" s="49">
        <v>102600000</v>
      </c>
      <c r="F18" s="49">
        <v>63538000</v>
      </c>
      <c r="G18" s="42">
        <f t="shared" si="0"/>
        <v>39062000</v>
      </c>
      <c r="H18" s="49">
        <v>0</v>
      </c>
      <c r="I18" s="49">
        <v>0</v>
      </c>
      <c r="J18" s="42">
        <f t="shared" si="1"/>
        <v>0</v>
      </c>
      <c r="K18" s="49">
        <v>0</v>
      </c>
      <c r="L18" s="49">
        <v>0</v>
      </c>
      <c r="M18" s="42">
        <f t="shared" si="2"/>
        <v>0</v>
      </c>
      <c r="N18" s="49">
        <v>0</v>
      </c>
      <c r="O18" s="49">
        <v>0</v>
      </c>
      <c r="P18" s="42">
        <f t="shared" si="3"/>
        <v>0</v>
      </c>
      <c r="Q18" s="49">
        <v>0</v>
      </c>
      <c r="R18" s="49">
        <v>0</v>
      </c>
      <c r="S18" s="42">
        <f t="shared" si="4"/>
        <v>0</v>
      </c>
      <c r="T18" s="49">
        <v>0</v>
      </c>
      <c r="U18" s="49">
        <v>0</v>
      </c>
      <c r="V18" s="42">
        <f t="shared" si="5"/>
        <v>0</v>
      </c>
      <c r="W18" s="41">
        <f t="shared" si="6"/>
        <v>102600000</v>
      </c>
      <c r="X18" s="41">
        <f t="shared" si="7"/>
        <v>63538000</v>
      </c>
      <c r="Y18" s="42">
        <f t="shared" si="8"/>
        <v>39062000</v>
      </c>
      <c r="Z18" s="52">
        <v>45450</v>
      </c>
      <c r="AA18" s="52">
        <v>45510</v>
      </c>
      <c r="AB18" s="53">
        <f t="shared" si="9"/>
        <v>1.97</v>
      </c>
      <c r="AC18" s="42" t="s">
        <v>657</v>
      </c>
      <c r="AD18" s="48"/>
      <c r="AE18" s="48"/>
    </row>
    <row r="19" spans="1:31" ht="14.25" customHeight="1">
      <c r="A19" s="36" t="s">
        <v>234</v>
      </c>
      <c r="B19" s="37">
        <v>45481.633806909726</v>
      </c>
      <c r="C19" s="35" t="s">
        <v>84</v>
      </c>
      <c r="D19" s="5" t="s">
        <v>238</v>
      </c>
      <c r="E19" s="49">
        <v>310000000</v>
      </c>
      <c r="F19" s="49">
        <v>234252949</v>
      </c>
      <c r="G19" s="42">
        <f t="shared" si="0"/>
        <v>75747051</v>
      </c>
      <c r="H19" s="49">
        <v>0</v>
      </c>
      <c r="I19" s="49">
        <v>0</v>
      </c>
      <c r="J19" s="42">
        <f t="shared" si="1"/>
        <v>0</v>
      </c>
      <c r="K19" s="49">
        <v>0</v>
      </c>
      <c r="L19" s="49">
        <v>0</v>
      </c>
      <c r="M19" s="42">
        <f t="shared" si="2"/>
        <v>0</v>
      </c>
      <c r="N19" s="49">
        <v>0</v>
      </c>
      <c r="O19" s="49">
        <v>0</v>
      </c>
      <c r="P19" s="42">
        <f t="shared" si="3"/>
        <v>0</v>
      </c>
      <c r="Q19" s="49">
        <v>0</v>
      </c>
      <c r="R19" s="49">
        <v>0</v>
      </c>
      <c r="S19" s="42">
        <f t="shared" si="4"/>
        <v>0</v>
      </c>
      <c r="T19" s="49">
        <v>0</v>
      </c>
      <c r="U19" s="49">
        <v>0</v>
      </c>
      <c r="V19" s="42">
        <f t="shared" si="5"/>
        <v>0</v>
      </c>
      <c r="W19" s="41">
        <f t="shared" si="6"/>
        <v>310000000</v>
      </c>
      <c r="X19" s="41">
        <f t="shared" si="7"/>
        <v>234252949</v>
      </c>
      <c r="Y19" s="42">
        <f t="shared" si="8"/>
        <v>75747051</v>
      </c>
      <c r="Z19" s="52">
        <v>45456</v>
      </c>
      <c r="AA19" s="52">
        <v>45503</v>
      </c>
      <c r="AB19" s="53">
        <f t="shared" si="9"/>
        <v>1.57</v>
      </c>
      <c r="AC19" s="56" t="s">
        <v>658</v>
      </c>
      <c r="AD19" s="48"/>
      <c r="AE19" s="48"/>
    </row>
    <row r="20" spans="1:31" ht="14.25" customHeight="1">
      <c r="A20" s="36" t="s">
        <v>239</v>
      </c>
      <c r="B20" s="37">
        <v>45518.816397303242</v>
      </c>
      <c r="C20" s="35" t="s">
        <v>40</v>
      </c>
      <c r="D20" s="5" t="s">
        <v>242</v>
      </c>
      <c r="E20" s="49">
        <v>3340336135</v>
      </c>
      <c r="F20" s="49">
        <v>1821030084</v>
      </c>
      <c r="G20" s="42">
        <f t="shared" si="0"/>
        <v>1519306051</v>
      </c>
      <c r="H20" s="49">
        <v>0</v>
      </c>
      <c r="I20" s="49">
        <v>0</v>
      </c>
      <c r="J20" s="42">
        <f t="shared" si="1"/>
        <v>0</v>
      </c>
      <c r="K20" s="49">
        <v>0</v>
      </c>
      <c r="L20" s="49">
        <v>0</v>
      </c>
      <c r="M20" s="42">
        <f t="shared" si="2"/>
        <v>0</v>
      </c>
      <c r="N20" s="49">
        <v>0</v>
      </c>
      <c r="O20" s="49">
        <v>0</v>
      </c>
      <c r="P20" s="42">
        <f t="shared" si="3"/>
        <v>0</v>
      </c>
      <c r="Q20" s="49">
        <v>0</v>
      </c>
      <c r="R20" s="49">
        <v>0</v>
      </c>
      <c r="S20" s="42">
        <f t="shared" si="4"/>
        <v>0</v>
      </c>
      <c r="T20" s="49">
        <v>0</v>
      </c>
      <c r="U20" s="49">
        <v>0</v>
      </c>
      <c r="V20" s="42">
        <f t="shared" si="5"/>
        <v>0</v>
      </c>
      <c r="W20" s="41">
        <f t="shared" si="6"/>
        <v>3340336135</v>
      </c>
      <c r="X20" s="41">
        <f t="shared" si="7"/>
        <v>1821030084</v>
      </c>
      <c r="Y20" s="42">
        <f t="shared" si="8"/>
        <v>1519306051</v>
      </c>
      <c r="Z20" s="52">
        <v>45473</v>
      </c>
      <c r="AA20" s="52">
        <v>45655</v>
      </c>
      <c r="AB20" s="53">
        <f t="shared" si="9"/>
        <v>5.97</v>
      </c>
      <c r="AC20" s="56" t="s">
        <v>659</v>
      </c>
      <c r="AD20" s="48"/>
      <c r="AE20" s="48"/>
    </row>
    <row r="21" spans="1:31" ht="14.25" customHeight="1">
      <c r="A21" s="36" t="s">
        <v>243</v>
      </c>
      <c r="B21" s="37">
        <v>45569.574707060186</v>
      </c>
      <c r="C21" s="35" t="s">
        <v>41</v>
      </c>
      <c r="D21" s="5" t="s">
        <v>246</v>
      </c>
      <c r="E21" s="49">
        <v>54294118</v>
      </c>
      <c r="F21" s="49">
        <v>45928592</v>
      </c>
      <c r="G21" s="42">
        <f t="shared" si="0"/>
        <v>8365526</v>
      </c>
      <c r="H21" s="49">
        <v>0</v>
      </c>
      <c r="I21" s="49">
        <v>0</v>
      </c>
      <c r="J21" s="42">
        <f t="shared" si="1"/>
        <v>0</v>
      </c>
      <c r="K21" s="49">
        <v>0</v>
      </c>
      <c r="L21" s="49">
        <v>0</v>
      </c>
      <c r="M21" s="42">
        <f t="shared" si="2"/>
        <v>0</v>
      </c>
      <c r="N21" s="49">
        <v>0</v>
      </c>
      <c r="O21" s="49">
        <v>0</v>
      </c>
      <c r="P21" s="42">
        <f t="shared" si="3"/>
        <v>0</v>
      </c>
      <c r="Q21" s="49">
        <v>0</v>
      </c>
      <c r="R21" s="49">
        <v>0</v>
      </c>
      <c r="S21" s="42">
        <f t="shared" si="4"/>
        <v>0</v>
      </c>
      <c r="T21" s="49">
        <v>0</v>
      </c>
      <c r="U21" s="49">
        <v>0</v>
      </c>
      <c r="V21" s="42">
        <f t="shared" si="5"/>
        <v>0</v>
      </c>
      <c r="W21" s="41">
        <f t="shared" si="6"/>
        <v>54294118</v>
      </c>
      <c r="X21" s="41">
        <f t="shared" si="7"/>
        <v>45928592</v>
      </c>
      <c r="Y21" s="42">
        <f t="shared" si="8"/>
        <v>8365526</v>
      </c>
      <c r="Z21" s="52">
        <v>45505</v>
      </c>
      <c r="AA21" s="52">
        <v>45536</v>
      </c>
      <c r="AB21" s="53">
        <f t="shared" si="9"/>
        <v>1</v>
      </c>
      <c r="AC21" s="56" t="s">
        <v>660</v>
      </c>
      <c r="AD21" s="48"/>
      <c r="AE21" s="48"/>
    </row>
    <row r="22" spans="1:31" ht="14.25" customHeight="1">
      <c r="A22" s="36" t="s">
        <v>247</v>
      </c>
      <c r="B22" s="37">
        <v>45531.972959953702</v>
      </c>
      <c r="C22" s="35" t="s">
        <v>67</v>
      </c>
      <c r="D22" s="5" t="s">
        <v>250</v>
      </c>
      <c r="E22" s="49">
        <v>11594899270</v>
      </c>
      <c r="F22" s="49">
        <v>7397230574</v>
      </c>
      <c r="G22" s="42">
        <f t="shared" si="0"/>
        <v>4197668696</v>
      </c>
      <c r="H22" s="49">
        <v>0</v>
      </c>
      <c r="I22" s="49">
        <v>0</v>
      </c>
      <c r="J22" s="42">
        <f t="shared" si="1"/>
        <v>0</v>
      </c>
      <c r="K22" s="49">
        <v>0</v>
      </c>
      <c r="L22" s="49">
        <v>0</v>
      </c>
      <c r="M22" s="42">
        <f t="shared" si="2"/>
        <v>0</v>
      </c>
      <c r="N22" s="49">
        <v>0</v>
      </c>
      <c r="O22" s="49">
        <v>0</v>
      </c>
      <c r="P22" s="42">
        <f t="shared" si="3"/>
        <v>0</v>
      </c>
      <c r="Q22" s="49">
        <v>0</v>
      </c>
      <c r="R22" s="49">
        <v>0</v>
      </c>
      <c r="S22" s="42">
        <f t="shared" si="4"/>
        <v>0</v>
      </c>
      <c r="T22" s="49">
        <v>0</v>
      </c>
      <c r="U22" s="49">
        <v>0</v>
      </c>
      <c r="V22" s="42">
        <f t="shared" si="5"/>
        <v>0</v>
      </c>
      <c r="W22" s="41">
        <f t="shared" si="6"/>
        <v>11594899270</v>
      </c>
      <c r="X22" s="41">
        <f t="shared" si="7"/>
        <v>7397230574</v>
      </c>
      <c r="Y22" s="42">
        <f t="shared" si="8"/>
        <v>4197668696</v>
      </c>
      <c r="Z22" s="52">
        <v>45505</v>
      </c>
      <c r="AA22" s="52">
        <v>45807</v>
      </c>
      <c r="AB22" s="53">
        <f t="shared" si="9"/>
        <v>9.9700000000000006</v>
      </c>
      <c r="AC22" s="42" t="s">
        <v>661</v>
      </c>
      <c r="AD22" s="48"/>
      <c r="AE22" s="48"/>
    </row>
    <row r="23" spans="1:31" ht="14.25" customHeight="1">
      <c r="A23" s="33" t="s">
        <v>251</v>
      </c>
      <c r="B23" s="34">
        <v>45525.616732210648</v>
      </c>
      <c r="C23" s="35" t="s">
        <v>83</v>
      </c>
      <c r="D23" s="5" t="s">
        <v>255</v>
      </c>
      <c r="E23" s="49">
        <v>790490113</v>
      </c>
      <c r="F23" s="49">
        <v>523479413</v>
      </c>
      <c r="G23" s="42">
        <f t="shared" si="0"/>
        <v>267010700</v>
      </c>
      <c r="H23" s="49">
        <v>0</v>
      </c>
      <c r="I23" s="49">
        <v>0</v>
      </c>
      <c r="J23" s="42">
        <f t="shared" si="1"/>
        <v>0</v>
      </c>
      <c r="K23" s="49">
        <v>0</v>
      </c>
      <c r="L23" s="49">
        <v>0</v>
      </c>
      <c r="M23" s="42">
        <f t="shared" si="2"/>
        <v>0</v>
      </c>
      <c r="N23" s="49">
        <v>0</v>
      </c>
      <c r="O23" s="49">
        <v>0</v>
      </c>
      <c r="P23" s="42">
        <f t="shared" si="3"/>
        <v>0</v>
      </c>
      <c r="Q23" s="49">
        <v>0</v>
      </c>
      <c r="R23" s="49">
        <v>0</v>
      </c>
      <c r="S23" s="42">
        <f t="shared" si="4"/>
        <v>0</v>
      </c>
      <c r="T23" s="49">
        <v>0</v>
      </c>
      <c r="U23" s="49">
        <v>0</v>
      </c>
      <c r="V23" s="42">
        <f t="shared" si="5"/>
        <v>0</v>
      </c>
      <c r="W23" s="41">
        <f t="shared" si="6"/>
        <v>790490113</v>
      </c>
      <c r="X23" s="41">
        <f t="shared" si="7"/>
        <v>523479413</v>
      </c>
      <c r="Y23" s="42">
        <f t="shared" si="8"/>
        <v>267010700</v>
      </c>
      <c r="Z23" s="52">
        <v>45516</v>
      </c>
      <c r="AA23" s="52">
        <v>45595</v>
      </c>
      <c r="AB23" s="53">
        <f t="shared" si="9"/>
        <v>2.6</v>
      </c>
      <c r="AC23" s="56" t="s">
        <v>662</v>
      </c>
      <c r="AD23" s="48"/>
      <c r="AE23" s="48"/>
    </row>
    <row r="24" spans="1:31" ht="14.25" customHeight="1">
      <c r="A24" s="33" t="s">
        <v>256</v>
      </c>
      <c r="B24" s="34">
        <v>45636.851213506947</v>
      </c>
      <c r="C24" s="35" t="s">
        <v>49</v>
      </c>
      <c r="D24" s="5" t="s">
        <v>259</v>
      </c>
      <c r="E24" s="49">
        <v>752034554</v>
      </c>
      <c r="F24" s="49">
        <v>410789543</v>
      </c>
      <c r="G24" s="42">
        <f t="shared" si="0"/>
        <v>341245011</v>
      </c>
      <c r="H24" s="49">
        <v>0</v>
      </c>
      <c r="I24" s="49">
        <v>0</v>
      </c>
      <c r="J24" s="42">
        <f t="shared" si="1"/>
        <v>0</v>
      </c>
      <c r="K24" s="49">
        <v>0</v>
      </c>
      <c r="L24" s="49">
        <v>0</v>
      </c>
      <c r="M24" s="42">
        <f t="shared" si="2"/>
        <v>0</v>
      </c>
      <c r="N24" s="49">
        <v>0</v>
      </c>
      <c r="O24" s="49">
        <v>0</v>
      </c>
      <c r="P24" s="42">
        <f t="shared" si="3"/>
        <v>0</v>
      </c>
      <c r="Q24" s="49">
        <v>0</v>
      </c>
      <c r="R24" s="49">
        <v>0</v>
      </c>
      <c r="S24" s="42">
        <f t="shared" si="4"/>
        <v>0</v>
      </c>
      <c r="T24" s="49">
        <v>0</v>
      </c>
      <c r="U24" s="49">
        <v>0</v>
      </c>
      <c r="V24" s="42">
        <f t="shared" si="5"/>
        <v>0</v>
      </c>
      <c r="W24" s="41">
        <f t="shared" si="6"/>
        <v>752034554</v>
      </c>
      <c r="X24" s="41">
        <f t="shared" si="7"/>
        <v>410789543</v>
      </c>
      <c r="Y24" s="42">
        <f t="shared" si="8"/>
        <v>341245011</v>
      </c>
      <c r="Z24" s="52">
        <v>45536</v>
      </c>
      <c r="AA24" s="52">
        <v>45597</v>
      </c>
      <c r="AB24" s="53">
        <f t="shared" si="9"/>
        <v>2</v>
      </c>
      <c r="AC24" s="56" t="s">
        <v>663</v>
      </c>
      <c r="AD24" s="48"/>
      <c r="AE24" s="48"/>
    </row>
    <row r="25" spans="1:31" ht="14.25" customHeight="1">
      <c r="A25" s="36" t="s">
        <v>260</v>
      </c>
      <c r="B25" s="37">
        <v>45628.681196990743</v>
      </c>
      <c r="C25" s="35" t="s">
        <v>87</v>
      </c>
      <c r="D25" s="5" t="s">
        <v>263</v>
      </c>
      <c r="E25" s="49">
        <v>9900000</v>
      </c>
      <c r="F25" s="49">
        <v>7049000</v>
      </c>
      <c r="G25" s="42">
        <f t="shared" si="0"/>
        <v>2851000</v>
      </c>
      <c r="H25" s="49">
        <v>0</v>
      </c>
      <c r="I25" s="49">
        <v>0</v>
      </c>
      <c r="J25" s="42">
        <f t="shared" si="1"/>
        <v>0</v>
      </c>
      <c r="K25" s="49">
        <v>0</v>
      </c>
      <c r="L25" s="49">
        <v>0</v>
      </c>
      <c r="M25" s="42">
        <f t="shared" si="2"/>
        <v>0</v>
      </c>
      <c r="N25" s="49">
        <v>0</v>
      </c>
      <c r="O25" s="49">
        <v>0</v>
      </c>
      <c r="P25" s="42">
        <f t="shared" si="3"/>
        <v>0</v>
      </c>
      <c r="Q25" s="49">
        <v>0</v>
      </c>
      <c r="R25" s="49">
        <v>0</v>
      </c>
      <c r="S25" s="42">
        <f t="shared" si="4"/>
        <v>0</v>
      </c>
      <c r="T25" s="49">
        <v>0</v>
      </c>
      <c r="U25" s="49">
        <v>0</v>
      </c>
      <c r="V25" s="42">
        <f t="shared" si="5"/>
        <v>0</v>
      </c>
      <c r="W25" s="41">
        <f t="shared" si="6"/>
        <v>9900000</v>
      </c>
      <c r="X25" s="41">
        <f t="shared" si="7"/>
        <v>7049000</v>
      </c>
      <c r="Y25" s="42">
        <f t="shared" si="8"/>
        <v>2851000</v>
      </c>
      <c r="Z25" s="52">
        <v>45536</v>
      </c>
      <c r="AA25" s="52">
        <v>45565</v>
      </c>
      <c r="AB25" s="53">
        <f t="shared" si="9"/>
        <v>0.97</v>
      </c>
      <c r="AC25" s="56" t="s">
        <v>664</v>
      </c>
      <c r="AD25" s="48"/>
      <c r="AE25" s="48"/>
    </row>
    <row r="26" spans="1:31" ht="14.25" customHeight="1">
      <c r="A26" s="33" t="s">
        <v>264</v>
      </c>
      <c r="B26" s="34">
        <v>45537.685983530093</v>
      </c>
      <c r="C26" s="35" t="s">
        <v>86</v>
      </c>
      <c r="D26" s="5" t="s">
        <v>267</v>
      </c>
      <c r="E26" s="49">
        <v>621209072</v>
      </c>
      <c r="F26" s="49">
        <v>370376769</v>
      </c>
      <c r="G26" s="42">
        <f t="shared" si="0"/>
        <v>250832303</v>
      </c>
      <c r="H26" s="49">
        <v>0</v>
      </c>
      <c r="I26" s="49">
        <v>0</v>
      </c>
      <c r="J26" s="42">
        <f t="shared" si="1"/>
        <v>0</v>
      </c>
      <c r="K26" s="49">
        <v>0</v>
      </c>
      <c r="L26" s="49">
        <v>0</v>
      </c>
      <c r="M26" s="42">
        <f t="shared" si="2"/>
        <v>0</v>
      </c>
      <c r="N26" s="49">
        <v>0</v>
      </c>
      <c r="O26" s="49">
        <v>0</v>
      </c>
      <c r="P26" s="42">
        <f t="shared" si="3"/>
        <v>0</v>
      </c>
      <c r="Q26" s="49">
        <v>0</v>
      </c>
      <c r="R26" s="49">
        <v>0</v>
      </c>
      <c r="S26" s="42">
        <f t="shared" si="4"/>
        <v>0</v>
      </c>
      <c r="T26" s="49">
        <v>0</v>
      </c>
      <c r="U26" s="49">
        <v>0</v>
      </c>
      <c r="V26" s="42">
        <f t="shared" si="5"/>
        <v>0</v>
      </c>
      <c r="W26" s="41">
        <f t="shared" si="6"/>
        <v>621209072</v>
      </c>
      <c r="X26" s="41">
        <f t="shared" si="7"/>
        <v>370376769</v>
      </c>
      <c r="Y26" s="42">
        <f t="shared" si="8"/>
        <v>250832303</v>
      </c>
      <c r="Z26" s="52">
        <v>45536</v>
      </c>
      <c r="AA26" s="52">
        <v>45596</v>
      </c>
      <c r="AB26" s="53">
        <f t="shared" si="9"/>
        <v>2</v>
      </c>
      <c r="AC26" s="42" t="s">
        <v>665</v>
      </c>
      <c r="AD26" s="48"/>
      <c r="AE26" s="48"/>
    </row>
    <row r="27" spans="1:31" ht="14.25" customHeight="1">
      <c r="A27" s="36" t="s">
        <v>269</v>
      </c>
      <c r="B27" s="37">
        <v>45558.660403622685</v>
      </c>
      <c r="C27" s="35" t="s">
        <v>57</v>
      </c>
      <c r="D27" s="5" t="s">
        <v>273</v>
      </c>
      <c r="E27" s="49">
        <v>1105000000</v>
      </c>
      <c r="F27" s="49">
        <v>792295683</v>
      </c>
      <c r="G27" s="42">
        <f t="shared" si="0"/>
        <v>312704317</v>
      </c>
      <c r="H27" s="49">
        <v>0</v>
      </c>
      <c r="I27" s="49">
        <v>0</v>
      </c>
      <c r="J27" s="42">
        <f t="shared" si="1"/>
        <v>0</v>
      </c>
      <c r="K27" s="49">
        <v>0</v>
      </c>
      <c r="L27" s="49">
        <v>0</v>
      </c>
      <c r="M27" s="42">
        <f t="shared" si="2"/>
        <v>0</v>
      </c>
      <c r="N27" s="49">
        <v>0</v>
      </c>
      <c r="O27" s="49">
        <v>0</v>
      </c>
      <c r="P27" s="42">
        <f t="shared" si="3"/>
        <v>0</v>
      </c>
      <c r="Q27" s="49">
        <v>0</v>
      </c>
      <c r="R27" s="49">
        <v>0</v>
      </c>
      <c r="S27" s="42">
        <f t="shared" si="4"/>
        <v>0</v>
      </c>
      <c r="T27" s="49">
        <v>0</v>
      </c>
      <c r="U27" s="49">
        <v>0</v>
      </c>
      <c r="V27" s="42">
        <f t="shared" si="5"/>
        <v>0</v>
      </c>
      <c r="W27" s="41">
        <f t="shared" si="6"/>
        <v>1105000000</v>
      </c>
      <c r="X27" s="41">
        <f t="shared" si="7"/>
        <v>792295683</v>
      </c>
      <c r="Y27" s="42">
        <f t="shared" si="8"/>
        <v>312704317</v>
      </c>
      <c r="Z27" s="52">
        <v>45537</v>
      </c>
      <c r="AA27" s="52">
        <v>45838</v>
      </c>
      <c r="AB27" s="53">
        <f t="shared" si="9"/>
        <v>9.93</v>
      </c>
      <c r="AC27" s="42" t="s">
        <v>666</v>
      </c>
      <c r="AD27" s="48"/>
      <c r="AE27" s="48"/>
    </row>
    <row r="28" spans="1:31" ht="14.25" customHeight="1">
      <c r="A28" s="33" t="s">
        <v>275</v>
      </c>
      <c r="B28" s="34">
        <v>45560.598662847224</v>
      </c>
      <c r="C28" s="35" t="s">
        <v>37</v>
      </c>
      <c r="D28" s="5" t="s">
        <v>279</v>
      </c>
      <c r="E28" s="49">
        <v>7498523308</v>
      </c>
      <c r="F28" s="49">
        <v>5767590996</v>
      </c>
      <c r="G28" s="42">
        <f t="shared" si="0"/>
        <v>1730932312</v>
      </c>
      <c r="H28" s="49">
        <v>0</v>
      </c>
      <c r="I28" s="49">
        <v>0</v>
      </c>
      <c r="J28" s="42">
        <f t="shared" si="1"/>
        <v>0</v>
      </c>
      <c r="K28" s="49">
        <v>0</v>
      </c>
      <c r="L28" s="49">
        <v>0</v>
      </c>
      <c r="M28" s="42">
        <f t="shared" si="2"/>
        <v>0</v>
      </c>
      <c r="N28" s="49">
        <v>0</v>
      </c>
      <c r="O28" s="49">
        <v>0</v>
      </c>
      <c r="P28" s="42">
        <f t="shared" si="3"/>
        <v>0</v>
      </c>
      <c r="Q28" s="49">
        <v>0</v>
      </c>
      <c r="R28" s="49">
        <v>0</v>
      </c>
      <c r="S28" s="42">
        <f t="shared" si="4"/>
        <v>0</v>
      </c>
      <c r="T28" s="49">
        <v>0</v>
      </c>
      <c r="U28" s="49">
        <v>0</v>
      </c>
      <c r="V28" s="42">
        <f t="shared" si="5"/>
        <v>0</v>
      </c>
      <c r="W28" s="41">
        <f t="shared" si="6"/>
        <v>7498523308</v>
      </c>
      <c r="X28" s="41">
        <f t="shared" si="7"/>
        <v>5767590996</v>
      </c>
      <c r="Y28" s="42">
        <f t="shared" si="8"/>
        <v>1730932312</v>
      </c>
      <c r="Z28" s="52">
        <v>45559</v>
      </c>
      <c r="AA28" s="52">
        <v>45626</v>
      </c>
      <c r="AB28" s="53">
        <f t="shared" si="9"/>
        <v>2.2000000000000002</v>
      </c>
      <c r="AC28" s="56" t="s">
        <v>667</v>
      </c>
      <c r="AD28" s="48"/>
      <c r="AE28" s="48"/>
    </row>
    <row r="29" spans="1:31" ht="14.25" customHeight="1">
      <c r="A29" s="33" t="s">
        <v>280</v>
      </c>
      <c r="B29" s="34">
        <v>45569.614684062501</v>
      </c>
      <c r="C29" s="35" t="s">
        <v>82</v>
      </c>
      <c r="D29" s="5" t="s">
        <v>283</v>
      </c>
      <c r="E29" s="49">
        <v>462171933</v>
      </c>
      <c r="F29" s="49">
        <v>319021846</v>
      </c>
      <c r="G29" s="42">
        <f t="shared" si="0"/>
        <v>143150087</v>
      </c>
      <c r="H29" s="49">
        <v>0</v>
      </c>
      <c r="I29" s="49">
        <v>0</v>
      </c>
      <c r="J29" s="42">
        <f t="shared" si="1"/>
        <v>0</v>
      </c>
      <c r="K29" s="49">
        <v>0</v>
      </c>
      <c r="L29" s="49">
        <v>0</v>
      </c>
      <c r="M29" s="42">
        <f t="shared" si="2"/>
        <v>0</v>
      </c>
      <c r="N29" s="49">
        <v>0</v>
      </c>
      <c r="O29" s="49">
        <v>0</v>
      </c>
      <c r="P29" s="42">
        <f t="shared" si="3"/>
        <v>0</v>
      </c>
      <c r="Q29" s="49">
        <v>0</v>
      </c>
      <c r="R29" s="49">
        <v>0</v>
      </c>
      <c r="S29" s="42">
        <f t="shared" si="4"/>
        <v>0</v>
      </c>
      <c r="T29" s="49">
        <v>0</v>
      </c>
      <c r="U29" s="49">
        <v>0</v>
      </c>
      <c r="V29" s="42">
        <f t="shared" si="5"/>
        <v>0</v>
      </c>
      <c r="W29" s="41">
        <f t="shared" si="6"/>
        <v>462171933</v>
      </c>
      <c r="X29" s="41">
        <f t="shared" si="7"/>
        <v>319021846</v>
      </c>
      <c r="Y29" s="42">
        <f t="shared" si="8"/>
        <v>143150087</v>
      </c>
      <c r="Z29" s="52">
        <v>45566</v>
      </c>
      <c r="AA29" s="52">
        <v>45641</v>
      </c>
      <c r="AB29" s="53">
        <f t="shared" si="9"/>
        <v>2.4700000000000002</v>
      </c>
      <c r="AC29" s="42" t="s">
        <v>668</v>
      </c>
      <c r="AD29" s="48"/>
      <c r="AE29" s="48"/>
    </row>
    <row r="30" spans="1:31" ht="14.25" customHeight="1">
      <c r="A30" s="33" t="s">
        <v>284</v>
      </c>
      <c r="B30" s="34">
        <v>45691.835365509258</v>
      </c>
      <c r="C30" s="35" t="s">
        <v>113</v>
      </c>
      <c r="D30" s="5" t="s">
        <v>287</v>
      </c>
      <c r="E30" s="49"/>
      <c r="F30" s="49"/>
      <c r="G30" s="42">
        <f t="shared" si="0"/>
        <v>0</v>
      </c>
      <c r="H30" s="49">
        <v>0</v>
      </c>
      <c r="I30" s="49">
        <v>0</v>
      </c>
      <c r="J30" s="42">
        <f t="shared" si="1"/>
        <v>0</v>
      </c>
      <c r="K30" s="49">
        <v>0</v>
      </c>
      <c r="L30" s="49">
        <v>0</v>
      </c>
      <c r="M30" s="42">
        <f t="shared" si="2"/>
        <v>0</v>
      </c>
      <c r="N30" s="49">
        <v>0</v>
      </c>
      <c r="O30" s="49">
        <v>0</v>
      </c>
      <c r="P30" s="42">
        <f t="shared" si="3"/>
        <v>0</v>
      </c>
      <c r="Q30" s="49">
        <v>0</v>
      </c>
      <c r="R30" s="49">
        <v>0</v>
      </c>
      <c r="S30" s="42">
        <f t="shared" si="4"/>
        <v>0</v>
      </c>
      <c r="T30" s="49">
        <v>0</v>
      </c>
      <c r="U30" s="49">
        <v>0</v>
      </c>
      <c r="V30" s="42">
        <f t="shared" si="5"/>
        <v>0</v>
      </c>
      <c r="W30" s="41">
        <f t="shared" si="6"/>
        <v>0</v>
      </c>
      <c r="X30" s="41">
        <f t="shared" si="7"/>
        <v>0</v>
      </c>
      <c r="Y30" s="42">
        <f t="shared" si="8"/>
        <v>0</v>
      </c>
      <c r="Z30" s="52">
        <v>45568</v>
      </c>
      <c r="AA30" s="52">
        <v>46356</v>
      </c>
      <c r="AB30" s="53">
        <f t="shared" si="9"/>
        <v>25.9</v>
      </c>
      <c r="AC30" s="56" t="s">
        <v>669</v>
      </c>
      <c r="AD30" s="48"/>
      <c r="AE30" s="48"/>
    </row>
    <row r="31" spans="1:31" ht="14.25" customHeight="1">
      <c r="A31" s="36" t="s">
        <v>571</v>
      </c>
      <c r="B31" s="37">
        <v>45609.839160185184</v>
      </c>
      <c r="C31" s="54" t="s">
        <v>572</v>
      </c>
      <c r="D31" s="5" t="s">
        <v>575</v>
      </c>
      <c r="E31" s="49">
        <v>5312068627</v>
      </c>
      <c r="F31" s="49">
        <v>3587394229</v>
      </c>
      <c r="G31" s="42">
        <f t="shared" si="0"/>
        <v>1724674398</v>
      </c>
      <c r="H31" s="32">
        <v>222345819</v>
      </c>
      <c r="I31" s="32">
        <v>157327090</v>
      </c>
      <c r="J31" s="42">
        <f t="shared" si="1"/>
        <v>65018729</v>
      </c>
      <c r="K31" s="49">
        <v>0</v>
      </c>
      <c r="L31" s="49">
        <v>0</v>
      </c>
      <c r="M31" s="42">
        <f t="shared" si="2"/>
        <v>0</v>
      </c>
      <c r="N31" s="49">
        <v>0</v>
      </c>
      <c r="O31" s="49">
        <v>0</v>
      </c>
      <c r="P31" s="42">
        <f t="shared" si="3"/>
        <v>0</v>
      </c>
      <c r="Q31" s="49">
        <v>0</v>
      </c>
      <c r="R31" s="49">
        <v>0</v>
      </c>
      <c r="S31" s="42">
        <f t="shared" si="4"/>
        <v>0</v>
      </c>
      <c r="T31" s="49">
        <v>0</v>
      </c>
      <c r="U31" s="49">
        <v>0</v>
      </c>
      <c r="V31" s="42">
        <f t="shared" si="5"/>
        <v>0</v>
      </c>
      <c r="W31" s="41">
        <f t="shared" si="6"/>
        <v>5534414446</v>
      </c>
      <c r="X31" s="41">
        <f t="shared" si="7"/>
        <v>3744721319</v>
      </c>
      <c r="Y31" s="42">
        <f t="shared" si="8"/>
        <v>1789693127</v>
      </c>
      <c r="Z31" s="52">
        <v>45581</v>
      </c>
      <c r="AA31" s="52">
        <v>45672</v>
      </c>
      <c r="AB31" s="53">
        <f t="shared" si="9"/>
        <v>2.97</v>
      </c>
      <c r="AC31" s="56" t="s">
        <v>670</v>
      </c>
      <c r="AD31" s="48"/>
      <c r="AE31" s="48"/>
    </row>
    <row r="32" spans="1:31" ht="14.25" customHeight="1">
      <c r="A32" s="36" t="s">
        <v>288</v>
      </c>
      <c r="B32" s="37">
        <v>45569.631959293984</v>
      </c>
      <c r="C32" s="35" t="s">
        <v>81</v>
      </c>
      <c r="D32" s="5" t="s">
        <v>291</v>
      </c>
      <c r="E32" s="49">
        <v>11089225718</v>
      </c>
      <c r="F32" s="49">
        <v>6272918706</v>
      </c>
      <c r="G32" s="42">
        <f t="shared" si="0"/>
        <v>4816307012</v>
      </c>
      <c r="H32" s="49">
        <v>0</v>
      </c>
      <c r="I32" s="49">
        <v>0</v>
      </c>
      <c r="J32" s="42">
        <f t="shared" si="1"/>
        <v>0</v>
      </c>
      <c r="K32" s="49">
        <v>0</v>
      </c>
      <c r="L32" s="49">
        <v>0</v>
      </c>
      <c r="M32" s="42">
        <f t="shared" si="2"/>
        <v>0</v>
      </c>
      <c r="N32" s="49">
        <v>0</v>
      </c>
      <c r="O32" s="49">
        <v>0</v>
      </c>
      <c r="P32" s="42">
        <f t="shared" si="3"/>
        <v>0</v>
      </c>
      <c r="Q32" s="49">
        <v>0</v>
      </c>
      <c r="R32" s="49">
        <v>0</v>
      </c>
      <c r="S32" s="42">
        <f t="shared" si="4"/>
        <v>0</v>
      </c>
      <c r="T32" s="49">
        <v>0</v>
      </c>
      <c r="U32" s="49">
        <v>0</v>
      </c>
      <c r="V32" s="42">
        <f t="shared" si="5"/>
        <v>0</v>
      </c>
      <c r="W32" s="41">
        <f t="shared" si="6"/>
        <v>11089225718</v>
      </c>
      <c r="X32" s="41">
        <f t="shared" si="7"/>
        <v>6272918706</v>
      </c>
      <c r="Y32" s="42">
        <f t="shared" si="8"/>
        <v>4816307012</v>
      </c>
      <c r="Z32" s="52">
        <v>45581</v>
      </c>
      <c r="AA32" s="52">
        <v>45626</v>
      </c>
      <c r="AB32" s="53">
        <f t="shared" si="9"/>
        <v>1.47</v>
      </c>
      <c r="AC32" s="56" t="s">
        <v>671</v>
      </c>
      <c r="AD32" s="48"/>
      <c r="AE32" s="48"/>
    </row>
    <row r="33" spans="1:35" ht="14.25" customHeight="1">
      <c r="A33" s="33" t="s">
        <v>292</v>
      </c>
      <c r="B33" s="34">
        <v>45616.835520104163</v>
      </c>
      <c r="C33" s="35" t="s">
        <v>92</v>
      </c>
      <c r="D33" s="5" t="s">
        <v>295</v>
      </c>
      <c r="E33" s="49">
        <v>1256636886</v>
      </c>
      <c r="F33" s="49">
        <v>788895875</v>
      </c>
      <c r="G33" s="42">
        <f t="shared" si="0"/>
        <v>467741011</v>
      </c>
      <c r="H33" s="32">
        <v>1229765422</v>
      </c>
      <c r="I33" s="32">
        <v>604034946</v>
      </c>
      <c r="J33" s="42">
        <f t="shared" si="1"/>
        <v>625730476</v>
      </c>
      <c r="K33" s="49">
        <v>0</v>
      </c>
      <c r="L33" s="49">
        <v>0</v>
      </c>
      <c r="M33" s="42">
        <f t="shared" si="2"/>
        <v>0</v>
      </c>
      <c r="N33" s="49">
        <v>0</v>
      </c>
      <c r="O33" s="49">
        <v>0</v>
      </c>
      <c r="P33" s="42">
        <f t="shared" si="3"/>
        <v>0</v>
      </c>
      <c r="Q33" s="49">
        <v>0</v>
      </c>
      <c r="R33" s="49">
        <v>0</v>
      </c>
      <c r="S33" s="42">
        <f t="shared" si="4"/>
        <v>0</v>
      </c>
      <c r="T33" s="49">
        <v>0</v>
      </c>
      <c r="U33" s="49">
        <v>0</v>
      </c>
      <c r="V33" s="42">
        <f t="shared" si="5"/>
        <v>0</v>
      </c>
      <c r="W33" s="41">
        <f t="shared" si="6"/>
        <v>2486402308</v>
      </c>
      <c r="X33" s="41">
        <f t="shared" si="7"/>
        <v>1392930821</v>
      </c>
      <c r="Y33" s="42">
        <f t="shared" si="8"/>
        <v>1093471487</v>
      </c>
      <c r="Z33" s="52">
        <v>45597</v>
      </c>
      <c r="AA33" s="52">
        <v>46295</v>
      </c>
      <c r="AB33" s="53">
        <f t="shared" si="9"/>
        <v>22.97</v>
      </c>
      <c r="AC33" s="42" t="s">
        <v>672</v>
      </c>
      <c r="AD33" s="48"/>
      <c r="AE33" s="48"/>
      <c r="AG33" s="45"/>
    </row>
    <row r="34" spans="1:35" ht="14.25" customHeight="1">
      <c r="A34" s="36" t="s">
        <v>296</v>
      </c>
      <c r="B34" s="37">
        <v>45616.681283796293</v>
      </c>
      <c r="C34" s="35" t="s">
        <v>46</v>
      </c>
      <c r="D34" s="5" t="s">
        <v>299</v>
      </c>
      <c r="E34" s="49">
        <v>375620940</v>
      </c>
      <c r="F34" s="49">
        <v>219060050</v>
      </c>
      <c r="G34" s="42">
        <f t="shared" ref="G34:G65" si="10">E34-F34</f>
        <v>156560890</v>
      </c>
      <c r="H34" s="49">
        <v>0</v>
      </c>
      <c r="I34" s="49">
        <v>0</v>
      </c>
      <c r="J34" s="42">
        <f t="shared" ref="J34:J65" si="11">H34-I34</f>
        <v>0</v>
      </c>
      <c r="K34" s="49">
        <v>0</v>
      </c>
      <c r="L34" s="49">
        <v>0</v>
      </c>
      <c r="M34" s="42">
        <f t="shared" ref="M34:M65" si="12">K34-L34</f>
        <v>0</v>
      </c>
      <c r="N34" s="49">
        <v>0</v>
      </c>
      <c r="O34" s="49">
        <v>0</v>
      </c>
      <c r="P34" s="42">
        <f t="shared" ref="P34:P65" si="13">N34-O34</f>
        <v>0</v>
      </c>
      <c r="Q34" s="49">
        <v>0</v>
      </c>
      <c r="R34" s="49">
        <v>0</v>
      </c>
      <c r="S34" s="42">
        <f t="shared" ref="S34:S65" si="14">Q34-R34</f>
        <v>0</v>
      </c>
      <c r="T34" s="49">
        <v>0</v>
      </c>
      <c r="U34" s="49">
        <v>0</v>
      </c>
      <c r="V34" s="42">
        <f t="shared" ref="V34:V65" si="15">T34-U34</f>
        <v>0</v>
      </c>
      <c r="W34" s="41">
        <f t="shared" ref="W34:W65" si="16">E34+H34+K34+N34+Q34+T34</f>
        <v>375620940</v>
      </c>
      <c r="X34" s="41">
        <f t="shared" ref="X34:X65" si="17">F34+I34+L34+O34+R34+U34</f>
        <v>219060050</v>
      </c>
      <c r="Y34" s="42">
        <f t="shared" ref="Y34:Y65" si="18">W34-X34</f>
        <v>156560890</v>
      </c>
      <c r="Z34" s="52">
        <v>45597</v>
      </c>
      <c r="AA34" s="52">
        <v>45657</v>
      </c>
      <c r="AB34" s="53">
        <f t="shared" ref="AB34:AB65" si="19">ROUND(YEARFRAC(Z34,AA34)*12,2)</f>
        <v>2</v>
      </c>
      <c r="AC34" s="56" t="s">
        <v>673</v>
      </c>
      <c r="AD34" s="48"/>
      <c r="AE34" s="48"/>
      <c r="AF34" t="s">
        <v>674</v>
      </c>
      <c r="AG34" s="46"/>
    </row>
    <row r="35" spans="1:35" ht="14.25" customHeight="1">
      <c r="A35" s="33" t="s">
        <v>300</v>
      </c>
      <c r="B35" s="34">
        <v>45659.864735416668</v>
      </c>
      <c r="C35" s="35" t="s">
        <v>78</v>
      </c>
      <c r="D35" s="5" t="s">
        <v>303</v>
      </c>
      <c r="E35" s="49">
        <v>6218480</v>
      </c>
      <c r="F35" s="49">
        <v>4974784</v>
      </c>
      <c r="G35" s="42">
        <f t="shared" si="10"/>
        <v>1243696</v>
      </c>
      <c r="H35" s="49">
        <v>0</v>
      </c>
      <c r="I35" s="49">
        <v>0</v>
      </c>
      <c r="J35" s="42">
        <f t="shared" si="11"/>
        <v>0</v>
      </c>
      <c r="K35" s="49">
        <v>0</v>
      </c>
      <c r="L35" s="49">
        <v>0</v>
      </c>
      <c r="M35" s="42">
        <f t="shared" si="12"/>
        <v>0</v>
      </c>
      <c r="N35" s="49">
        <v>0</v>
      </c>
      <c r="O35" s="49">
        <v>0</v>
      </c>
      <c r="P35" s="42">
        <f t="shared" si="13"/>
        <v>0</v>
      </c>
      <c r="Q35" s="49">
        <v>0</v>
      </c>
      <c r="R35" s="49">
        <v>0</v>
      </c>
      <c r="S35" s="42">
        <f t="shared" si="14"/>
        <v>0</v>
      </c>
      <c r="T35" s="49">
        <v>0</v>
      </c>
      <c r="U35" s="49">
        <v>0</v>
      </c>
      <c r="V35" s="42">
        <f t="shared" si="15"/>
        <v>0</v>
      </c>
      <c r="W35" s="41">
        <f t="shared" si="16"/>
        <v>6218480</v>
      </c>
      <c r="X35" s="41">
        <f t="shared" si="17"/>
        <v>4974784</v>
      </c>
      <c r="Y35" s="42">
        <f t="shared" si="18"/>
        <v>1243696</v>
      </c>
      <c r="Z35" s="52">
        <v>45627</v>
      </c>
      <c r="AA35" s="52">
        <v>45657</v>
      </c>
      <c r="AB35" s="53">
        <f t="shared" si="19"/>
        <v>1</v>
      </c>
      <c r="AC35" s="42" t="s">
        <v>675</v>
      </c>
      <c r="AD35" s="48"/>
      <c r="AE35" s="48"/>
    </row>
    <row r="36" spans="1:35" ht="14.25" customHeight="1">
      <c r="A36" s="33" t="s">
        <v>304</v>
      </c>
      <c r="B36" s="34">
        <v>45644.888087002313</v>
      </c>
      <c r="C36" s="35" t="s">
        <v>79</v>
      </c>
      <c r="D36" s="5" t="s">
        <v>307</v>
      </c>
      <c r="E36" s="49">
        <v>68802798</v>
      </c>
      <c r="F36" s="49">
        <v>55501215</v>
      </c>
      <c r="G36" s="42">
        <f t="shared" si="10"/>
        <v>13301583</v>
      </c>
      <c r="H36" s="49">
        <v>0</v>
      </c>
      <c r="I36" s="49">
        <v>0</v>
      </c>
      <c r="J36" s="42">
        <f t="shared" si="11"/>
        <v>0</v>
      </c>
      <c r="K36" s="49">
        <v>0</v>
      </c>
      <c r="L36" s="49">
        <v>0</v>
      </c>
      <c r="M36" s="42">
        <f t="shared" si="12"/>
        <v>0</v>
      </c>
      <c r="N36" s="49">
        <v>0</v>
      </c>
      <c r="O36" s="49">
        <v>0</v>
      </c>
      <c r="P36" s="42">
        <f t="shared" si="13"/>
        <v>0</v>
      </c>
      <c r="Q36" s="49">
        <v>0</v>
      </c>
      <c r="R36" s="49">
        <v>0</v>
      </c>
      <c r="S36" s="42">
        <f t="shared" si="14"/>
        <v>0</v>
      </c>
      <c r="T36" s="49">
        <v>0</v>
      </c>
      <c r="U36" s="49">
        <v>0</v>
      </c>
      <c r="V36" s="42">
        <f t="shared" si="15"/>
        <v>0</v>
      </c>
      <c r="W36" s="41">
        <f t="shared" si="16"/>
        <v>68802798</v>
      </c>
      <c r="X36" s="41">
        <f t="shared" si="17"/>
        <v>55501215</v>
      </c>
      <c r="Y36" s="42">
        <f t="shared" si="18"/>
        <v>13301583</v>
      </c>
      <c r="Z36" s="52">
        <v>45642</v>
      </c>
      <c r="AA36" s="52">
        <v>45657</v>
      </c>
      <c r="AB36" s="53">
        <f t="shared" si="19"/>
        <v>0.5</v>
      </c>
      <c r="AC36" s="42" t="s">
        <v>676</v>
      </c>
      <c r="AD36" s="48"/>
      <c r="AE36" s="48"/>
      <c r="AF36" t="s">
        <v>674</v>
      </c>
    </row>
    <row r="37" spans="1:35" ht="14.25" customHeight="1">
      <c r="A37" s="36" t="s">
        <v>308</v>
      </c>
      <c r="B37" s="37">
        <v>45656.606922488427</v>
      </c>
      <c r="C37" s="35" t="s">
        <v>58</v>
      </c>
      <c r="D37" s="5" t="s">
        <v>312</v>
      </c>
      <c r="E37" s="49">
        <v>5609365200</v>
      </c>
      <c r="F37" s="49">
        <v>3399664692</v>
      </c>
      <c r="G37" s="42">
        <f t="shared" si="10"/>
        <v>2209700508</v>
      </c>
      <c r="H37" s="49">
        <v>0</v>
      </c>
      <c r="I37" s="49">
        <v>0</v>
      </c>
      <c r="J37" s="42">
        <f t="shared" si="11"/>
        <v>0</v>
      </c>
      <c r="K37" s="49">
        <v>0</v>
      </c>
      <c r="L37" s="49">
        <v>0</v>
      </c>
      <c r="M37" s="42">
        <f t="shared" si="12"/>
        <v>0</v>
      </c>
      <c r="N37" s="49">
        <v>0</v>
      </c>
      <c r="O37" s="49">
        <v>0</v>
      </c>
      <c r="P37" s="42">
        <f t="shared" si="13"/>
        <v>0</v>
      </c>
      <c r="Q37" s="49">
        <v>0</v>
      </c>
      <c r="R37" s="49">
        <v>0</v>
      </c>
      <c r="S37" s="42">
        <f t="shared" si="14"/>
        <v>0</v>
      </c>
      <c r="T37" s="49">
        <v>0</v>
      </c>
      <c r="U37" s="49">
        <v>0</v>
      </c>
      <c r="V37" s="42">
        <f t="shared" si="15"/>
        <v>0</v>
      </c>
      <c r="W37" s="41">
        <f t="shared" si="16"/>
        <v>5609365200</v>
      </c>
      <c r="X37" s="41">
        <f t="shared" si="17"/>
        <v>3399664692</v>
      </c>
      <c r="Y37" s="42">
        <f t="shared" si="18"/>
        <v>2209700508</v>
      </c>
      <c r="Z37" s="52">
        <v>45652</v>
      </c>
      <c r="AA37" s="52">
        <v>45925</v>
      </c>
      <c r="AB37" s="53">
        <f t="shared" si="19"/>
        <v>8.9700000000000006</v>
      </c>
      <c r="AC37" s="42" t="s">
        <v>677</v>
      </c>
      <c r="AD37" s="48"/>
      <c r="AE37" s="48"/>
    </row>
    <row r="38" spans="1:35" ht="14.25" customHeight="1">
      <c r="A38" s="36" t="s">
        <v>313</v>
      </c>
      <c r="B38" s="37">
        <v>45700.878398923611</v>
      </c>
      <c r="C38" s="35" t="s">
        <v>52</v>
      </c>
      <c r="D38" s="5" t="s">
        <v>316</v>
      </c>
      <c r="E38" s="49">
        <v>58566558</v>
      </c>
      <c r="F38" s="49">
        <v>40504918</v>
      </c>
      <c r="G38" s="42">
        <f t="shared" si="10"/>
        <v>18061640</v>
      </c>
      <c r="H38" s="49">
        <v>0</v>
      </c>
      <c r="I38" s="49">
        <v>0</v>
      </c>
      <c r="J38" s="42">
        <f t="shared" si="11"/>
        <v>0</v>
      </c>
      <c r="K38" s="49">
        <v>0</v>
      </c>
      <c r="L38" s="49">
        <v>0</v>
      </c>
      <c r="M38" s="42">
        <f t="shared" si="12"/>
        <v>0</v>
      </c>
      <c r="N38" s="49">
        <v>0</v>
      </c>
      <c r="O38" s="49">
        <v>0</v>
      </c>
      <c r="P38" s="42">
        <f t="shared" si="13"/>
        <v>0</v>
      </c>
      <c r="Q38" s="49">
        <v>0</v>
      </c>
      <c r="R38" s="49">
        <v>0</v>
      </c>
      <c r="S38" s="42">
        <f t="shared" si="14"/>
        <v>0</v>
      </c>
      <c r="T38" s="49">
        <v>0</v>
      </c>
      <c r="U38" s="49">
        <v>0</v>
      </c>
      <c r="V38" s="42">
        <f t="shared" si="15"/>
        <v>0</v>
      </c>
      <c r="W38" s="41">
        <f t="shared" si="16"/>
        <v>58566558</v>
      </c>
      <c r="X38" s="41">
        <f t="shared" si="17"/>
        <v>40504918</v>
      </c>
      <c r="Y38" s="42">
        <f t="shared" si="18"/>
        <v>18061640</v>
      </c>
      <c r="Z38" s="52">
        <v>45689</v>
      </c>
      <c r="AA38" s="52">
        <v>45716</v>
      </c>
      <c r="AB38" s="53">
        <f t="shared" si="19"/>
        <v>0.9</v>
      </c>
      <c r="AC38" s="42" t="s">
        <v>678</v>
      </c>
      <c r="AD38" s="48"/>
      <c r="AE38" s="48"/>
    </row>
    <row r="39" spans="1:35" ht="14.25" customHeight="1">
      <c r="A39" s="36" t="s">
        <v>317</v>
      </c>
      <c r="B39" s="37">
        <v>45691.638554201389</v>
      </c>
      <c r="C39" s="35" t="s">
        <v>45</v>
      </c>
      <c r="D39" s="5" t="s">
        <v>320</v>
      </c>
      <c r="E39" s="49">
        <v>766158600</v>
      </c>
      <c r="F39" s="49">
        <v>503460622</v>
      </c>
      <c r="G39" s="42">
        <f t="shared" si="10"/>
        <v>262697978</v>
      </c>
      <c r="H39" s="49">
        <v>0</v>
      </c>
      <c r="I39" s="49">
        <v>0</v>
      </c>
      <c r="J39" s="42">
        <f t="shared" si="11"/>
        <v>0</v>
      </c>
      <c r="K39" s="49">
        <v>0</v>
      </c>
      <c r="L39" s="49">
        <v>0</v>
      </c>
      <c r="M39" s="42">
        <f t="shared" si="12"/>
        <v>0</v>
      </c>
      <c r="N39" s="49">
        <v>0</v>
      </c>
      <c r="O39" s="49">
        <v>0</v>
      </c>
      <c r="P39" s="42">
        <f t="shared" si="13"/>
        <v>0</v>
      </c>
      <c r="Q39" s="49">
        <v>0</v>
      </c>
      <c r="R39" s="49">
        <v>0</v>
      </c>
      <c r="S39" s="42">
        <f t="shared" si="14"/>
        <v>0</v>
      </c>
      <c r="T39" s="49">
        <v>0</v>
      </c>
      <c r="U39" s="49">
        <v>0</v>
      </c>
      <c r="V39" s="42">
        <f t="shared" si="15"/>
        <v>0</v>
      </c>
      <c r="W39" s="41">
        <f t="shared" si="16"/>
        <v>766158600</v>
      </c>
      <c r="X39" s="41">
        <f t="shared" si="17"/>
        <v>503460622</v>
      </c>
      <c r="Y39" s="42">
        <f t="shared" si="18"/>
        <v>262697978</v>
      </c>
      <c r="Z39" s="52">
        <v>45689</v>
      </c>
      <c r="AA39" s="52">
        <v>45716</v>
      </c>
      <c r="AB39" s="53">
        <f t="shared" si="19"/>
        <v>0.9</v>
      </c>
      <c r="AC39" s="42" t="s">
        <v>679</v>
      </c>
      <c r="AD39" s="48"/>
      <c r="AE39" s="48"/>
    </row>
    <row r="40" spans="1:35" ht="14.25" customHeight="1">
      <c r="A40" s="33" t="s">
        <v>321</v>
      </c>
      <c r="B40" s="34">
        <v>45705.736462615743</v>
      </c>
      <c r="C40" s="35" t="s">
        <v>73</v>
      </c>
      <c r="D40" s="5" t="s">
        <v>324</v>
      </c>
      <c r="E40" s="49">
        <v>5857189345</v>
      </c>
      <c r="F40" s="49">
        <v>2873641115</v>
      </c>
      <c r="G40" s="42">
        <f t="shared" si="10"/>
        <v>2983548230</v>
      </c>
      <c r="H40" s="49">
        <v>0</v>
      </c>
      <c r="I40" s="49">
        <v>0</v>
      </c>
      <c r="J40" s="42">
        <f t="shared" si="11"/>
        <v>0</v>
      </c>
      <c r="K40" s="49">
        <v>0</v>
      </c>
      <c r="L40" s="49">
        <v>0</v>
      </c>
      <c r="M40" s="42">
        <f t="shared" si="12"/>
        <v>0</v>
      </c>
      <c r="N40" s="49">
        <v>0</v>
      </c>
      <c r="O40" s="49">
        <v>0</v>
      </c>
      <c r="P40" s="42">
        <f t="shared" si="13"/>
        <v>0</v>
      </c>
      <c r="Q40" s="49">
        <v>0</v>
      </c>
      <c r="R40" s="49">
        <v>0</v>
      </c>
      <c r="S40" s="42">
        <f t="shared" si="14"/>
        <v>0</v>
      </c>
      <c r="T40" s="49">
        <v>0</v>
      </c>
      <c r="U40" s="49">
        <v>0</v>
      </c>
      <c r="V40" s="42">
        <f t="shared" si="15"/>
        <v>0</v>
      </c>
      <c r="W40" s="41">
        <f t="shared" si="16"/>
        <v>5857189345</v>
      </c>
      <c r="X40" s="41">
        <f t="shared" si="17"/>
        <v>2873641115</v>
      </c>
      <c r="Y40" s="42">
        <f t="shared" si="18"/>
        <v>2983548230</v>
      </c>
      <c r="Z40" s="52">
        <v>45705</v>
      </c>
      <c r="AA40" s="52">
        <v>46129</v>
      </c>
      <c r="AB40" s="53">
        <f t="shared" si="19"/>
        <v>14</v>
      </c>
      <c r="AC40" s="42" t="s">
        <v>680</v>
      </c>
      <c r="AD40" s="48"/>
      <c r="AE40" s="48"/>
    </row>
    <row r="41" spans="1:35" ht="14.25" customHeight="1">
      <c r="A41" s="33" t="s">
        <v>325</v>
      </c>
      <c r="B41" s="34">
        <v>45726.538149618056</v>
      </c>
      <c r="C41" s="35" t="s">
        <v>48</v>
      </c>
      <c r="D41" s="5" t="s">
        <v>329</v>
      </c>
      <c r="E41" s="49">
        <v>9968658860</v>
      </c>
      <c r="F41" s="49">
        <v>7504175152</v>
      </c>
      <c r="G41" s="42">
        <f t="shared" si="10"/>
        <v>2464483708</v>
      </c>
      <c r="H41" s="32">
        <v>4575740748</v>
      </c>
      <c r="I41" s="32">
        <v>3358092384</v>
      </c>
      <c r="J41" s="42">
        <f t="shared" si="11"/>
        <v>1217648364</v>
      </c>
      <c r="K41" s="49">
        <v>0</v>
      </c>
      <c r="L41" s="49">
        <v>0</v>
      </c>
      <c r="M41" s="42">
        <f t="shared" si="12"/>
        <v>0</v>
      </c>
      <c r="N41" s="49">
        <v>0</v>
      </c>
      <c r="O41" s="49">
        <v>0</v>
      </c>
      <c r="P41" s="42">
        <f t="shared" si="13"/>
        <v>0</v>
      </c>
      <c r="Q41" s="49">
        <v>0</v>
      </c>
      <c r="R41" s="49">
        <v>0</v>
      </c>
      <c r="S41" s="42">
        <f t="shared" si="14"/>
        <v>0</v>
      </c>
      <c r="T41" s="49">
        <v>0</v>
      </c>
      <c r="U41" s="49">
        <v>0</v>
      </c>
      <c r="V41" s="42">
        <f t="shared" si="15"/>
        <v>0</v>
      </c>
      <c r="W41" s="41">
        <f t="shared" si="16"/>
        <v>14544399608</v>
      </c>
      <c r="X41" s="41">
        <f t="shared" si="17"/>
        <v>10862267536</v>
      </c>
      <c r="Y41" s="42">
        <f t="shared" si="18"/>
        <v>3682132072</v>
      </c>
      <c r="Z41" s="52">
        <v>45717</v>
      </c>
      <c r="AA41" s="52">
        <v>46203</v>
      </c>
      <c r="AB41" s="53">
        <f t="shared" si="19"/>
        <v>15.97</v>
      </c>
      <c r="AC41" s="42" t="s">
        <v>681</v>
      </c>
      <c r="AD41" s="48"/>
      <c r="AE41" s="48"/>
    </row>
    <row r="42" spans="1:35" ht="14.25" customHeight="1">
      <c r="A42" s="36" t="s">
        <v>330</v>
      </c>
      <c r="B42" s="37">
        <v>45747.049514548613</v>
      </c>
      <c r="C42" s="35" t="s">
        <v>51</v>
      </c>
      <c r="D42" s="5" t="s">
        <v>334</v>
      </c>
      <c r="E42" s="49">
        <v>4893260380</v>
      </c>
      <c r="F42" s="49">
        <v>2001374038</v>
      </c>
      <c r="G42" s="42">
        <f t="shared" si="10"/>
        <v>2891886342</v>
      </c>
      <c r="H42" s="32">
        <v>10016933149</v>
      </c>
      <c r="I42" s="32">
        <v>5576980107</v>
      </c>
      <c r="J42" s="42">
        <f t="shared" si="11"/>
        <v>4439953042</v>
      </c>
      <c r="K42" s="49">
        <v>0</v>
      </c>
      <c r="L42" s="49">
        <v>0</v>
      </c>
      <c r="M42" s="42">
        <f t="shared" si="12"/>
        <v>0</v>
      </c>
      <c r="N42" s="49">
        <v>0</v>
      </c>
      <c r="O42" s="49">
        <v>0</v>
      </c>
      <c r="P42" s="42">
        <f t="shared" si="13"/>
        <v>0</v>
      </c>
      <c r="Q42" s="49">
        <v>0</v>
      </c>
      <c r="R42" s="49">
        <v>0</v>
      </c>
      <c r="S42" s="42">
        <f t="shared" si="14"/>
        <v>0</v>
      </c>
      <c r="T42" s="49">
        <v>0</v>
      </c>
      <c r="U42" s="49">
        <v>0</v>
      </c>
      <c r="V42" s="42">
        <f t="shared" si="15"/>
        <v>0</v>
      </c>
      <c r="W42" s="41">
        <f t="shared" si="16"/>
        <v>14910193529</v>
      </c>
      <c r="X42" s="41">
        <f t="shared" si="17"/>
        <v>7578354145</v>
      </c>
      <c r="Y42" s="42">
        <f t="shared" si="18"/>
        <v>7331839384</v>
      </c>
      <c r="Z42" s="52">
        <v>45734</v>
      </c>
      <c r="AA42" s="52">
        <v>46234</v>
      </c>
      <c r="AB42" s="53">
        <f t="shared" si="19"/>
        <v>16.43</v>
      </c>
      <c r="AC42" s="56" t="s">
        <v>682</v>
      </c>
      <c r="AD42" s="48"/>
      <c r="AE42" s="48"/>
      <c r="AG42" s="31"/>
      <c r="AH42" s="31"/>
      <c r="AI42" s="31"/>
    </row>
    <row r="43" spans="1:35" ht="14.25" customHeight="1">
      <c r="A43" s="33" t="s">
        <v>335</v>
      </c>
      <c r="B43" s="34">
        <v>45806.582142789353</v>
      </c>
      <c r="C43" s="35" t="s">
        <v>80</v>
      </c>
      <c r="D43" s="5" t="s">
        <v>338</v>
      </c>
      <c r="E43" s="49">
        <v>496648753</v>
      </c>
      <c r="F43" s="49">
        <v>332116783</v>
      </c>
      <c r="G43" s="42">
        <f t="shared" si="10"/>
        <v>164531970</v>
      </c>
      <c r="H43" s="49">
        <v>0</v>
      </c>
      <c r="I43" s="49">
        <v>0</v>
      </c>
      <c r="J43" s="42">
        <f t="shared" si="11"/>
        <v>0</v>
      </c>
      <c r="K43" s="49">
        <v>0</v>
      </c>
      <c r="L43" s="49">
        <v>0</v>
      </c>
      <c r="M43" s="42">
        <f t="shared" si="12"/>
        <v>0</v>
      </c>
      <c r="N43" s="49">
        <v>0</v>
      </c>
      <c r="O43" s="49">
        <v>0</v>
      </c>
      <c r="P43" s="42">
        <f t="shared" si="13"/>
        <v>0</v>
      </c>
      <c r="Q43" s="49">
        <v>0</v>
      </c>
      <c r="R43" s="49">
        <v>0</v>
      </c>
      <c r="S43" s="42">
        <f t="shared" si="14"/>
        <v>0</v>
      </c>
      <c r="T43" s="49">
        <v>0</v>
      </c>
      <c r="U43" s="49">
        <v>0</v>
      </c>
      <c r="V43" s="42">
        <f t="shared" si="15"/>
        <v>0</v>
      </c>
      <c r="W43" s="41">
        <f t="shared" si="16"/>
        <v>496648753</v>
      </c>
      <c r="X43" s="41">
        <f t="shared" si="17"/>
        <v>332116783</v>
      </c>
      <c r="Y43" s="42">
        <f t="shared" si="18"/>
        <v>164531970</v>
      </c>
      <c r="Z43" s="52">
        <v>45778</v>
      </c>
      <c r="AA43" s="52">
        <v>46127</v>
      </c>
      <c r="AB43" s="53">
        <f t="shared" si="19"/>
        <v>11.47</v>
      </c>
      <c r="AC43" s="56" t="s">
        <v>683</v>
      </c>
      <c r="AD43" s="48"/>
      <c r="AE43" s="48"/>
    </row>
    <row r="44" spans="1:35" ht="14.25" customHeight="1">
      <c r="A44" s="33" t="s">
        <v>340</v>
      </c>
      <c r="B44" s="34">
        <v>45845.610437002317</v>
      </c>
      <c r="C44" s="35" t="s">
        <v>53</v>
      </c>
      <c r="D44" s="5" t="s">
        <v>343</v>
      </c>
      <c r="E44" s="49">
        <v>924343569</v>
      </c>
      <c r="F44" s="49">
        <v>589176956</v>
      </c>
      <c r="G44" s="42">
        <f t="shared" si="10"/>
        <v>335166613</v>
      </c>
      <c r="H44" s="32">
        <v>0</v>
      </c>
      <c r="I44" s="32">
        <v>0</v>
      </c>
      <c r="J44" s="42">
        <f t="shared" si="11"/>
        <v>0</v>
      </c>
      <c r="K44" s="49">
        <v>0</v>
      </c>
      <c r="L44" s="49">
        <v>0</v>
      </c>
      <c r="M44" s="42">
        <f t="shared" si="12"/>
        <v>0</v>
      </c>
      <c r="N44" s="49">
        <v>0</v>
      </c>
      <c r="O44" s="49">
        <v>0</v>
      </c>
      <c r="P44" s="42">
        <f t="shared" si="13"/>
        <v>0</v>
      </c>
      <c r="Q44" s="49">
        <v>0</v>
      </c>
      <c r="R44" s="49">
        <v>0</v>
      </c>
      <c r="S44" s="42">
        <f t="shared" si="14"/>
        <v>0</v>
      </c>
      <c r="T44" s="49">
        <v>0</v>
      </c>
      <c r="U44" s="49">
        <v>0</v>
      </c>
      <c r="V44" s="42">
        <f t="shared" si="15"/>
        <v>0</v>
      </c>
      <c r="W44" s="41">
        <f t="shared" si="16"/>
        <v>924343569</v>
      </c>
      <c r="X44" s="41">
        <f t="shared" si="17"/>
        <v>589176956</v>
      </c>
      <c r="Y44" s="42">
        <f t="shared" si="18"/>
        <v>335166613</v>
      </c>
      <c r="Z44" s="52">
        <v>45834</v>
      </c>
      <c r="AA44" s="52">
        <v>46006</v>
      </c>
      <c r="AB44" s="53">
        <f t="shared" si="19"/>
        <v>5.63</v>
      </c>
      <c r="AC44" s="56" t="s">
        <v>684</v>
      </c>
      <c r="AD44" s="48"/>
      <c r="AE44" s="48"/>
      <c r="AG44" s="31"/>
      <c r="AH44" s="31"/>
      <c r="AI44" s="31"/>
    </row>
    <row r="45" spans="1:35" ht="14.25" customHeight="1">
      <c r="A45" s="36" t="s">
        <v>344</v>
      </c>
      <c r="B45" s="37">
        <v>45845.584573807871</v>
      </c>
      <c r="C45" s="35" t="s">
        <v>62</v>
      </c>
      <c r="D45" s="5" t="s">
        <v>348</v>
      </c>
      <c r="E45" s="49">
        <v>6952863840</v>
      </c>
      <c r="F45" s="49">
        <v>3716553716</v>
      </c>
      <c r="G45" s="42">
        <f t="shared" si="10"/>
        <v>3236310124</v>
      </c>
      <c r="H45" s="32">
        <v>3397901871</v>
      </c>
      <c r="I45" s="32">
        <v>1438905347</v>
      </c>
      <c r="J45" s="42">
        <f t="shared" si="11"/>
        <v>1958996524</v>
      </c>
      <c r="K45" s="49">
        <v>0</v>
      </c>
      <c r="L45" s="49">
        <v>0</v>
      </c>
      <c r="M45" s="42">
        <f t="shared" si="12"/>
        <v>0</v>
      </c>
      <c r="N45" s="49">
        <v>0</v>
      </c>
      <c r="O45" s="49">
        <v>0</v>
      </c>
      <c r="P45" s="42">
        <f t="shared" si="13"/>
        <v>0</v>
      </c>
      <c r="Q45" s="49">
        <v>0</v>
      </c>
      <c r="R45" s="49">
        <v>0</v>
      </c>
      <c r="S45" s="42">
        <f t="shared" si="14"/>
        <v>0</v>
      </c>
      <c r="T45" s="49">
        <v>0</v>
      </c>
      <c r="U45" s="49">
        <v>0</v>
      </c>
      <c r="V45" s="42">
        <f t="shared" si="15"/>
        <v>0</v>
      </c>
      <c r="W45" s="41">
        <f t="shared" si="16"/>
        <v>10350765711</v>
      </c>
      <c r="X45" s="41">
        <f t="shared" si="17"/>
        <v>5155459063</v>
      </c>
      <c r="Y45" s="42">
        <f t="shared" si="18"/>
        <v>5195306648</v>
      </c>
      <c r="Z45" s="52">
        <v>45836</v>
      </c>
      <c r="AA45" s="52">
        <v>46112</v>
      </c>
      <c r="AB45" s="53">
        <f t="shared" si="19"/>
        <v>9.1</v>
      </c>
      <c r="AC45" s="42" t="s">
        <v>685</v>
      </c>
      <c r="AD45" s="48"/>
      <c r="AE45" s="48"/>
      <c r="AF45" t="s">
        <v>674</v>
      </c>
    </row>
    <row r="46" spans="1:35" ht="14.25" customHeight="1">
      <c r="A46" s="33" t="s">
        <v>349</v>
      </c>
      <c r="B46" s="34">
        <v>45901.854656446762</v>
      </c>
      <c r="C46" s="35" t="s">
        <v>54</v>
      </c>
      <c r="D46" s="5" t="s">
        <v>352</v>
      </c>
      <c r="E46" s="49">
        <v>12093288039</v>
      </c>
      <c r="F46" s="49">
        <v>5018888965</v>
      </c>
      <c r="G46" s="42">
        <f t="shared" si="10"/>
        <v>7074399074</v>
      </c>
      <c r="H46" s="32">
        <v>0</v>
      </c>
      <c r="I46" s="32">
        <v>0</v>
      </c>
      <c r="J46" s="42">
        <f t="shared" si="11"/>
        <v>0</v>
      </c>
      <c r="K46" s="49">
        <v>0</v>
      </c>
      <c r="L46" s="49">
        <v>0</v>
      </c>
      <c r="M46" s="42">
        <f t="shared" si="12"/>
        <v>0</v>
      </c>
      <c r="N46" s="49">
        <v>0</v>
      </c>
      <c r="O46" s="49">
        <v>0</v>
      </c>
      <c r="P46" s="42">
        <f t="shared" si="13"/>
        <v>0</v>
      </c>
      <c r="Q46" s="49">
        <v>0</v>
      </c>
      <c r="R46" s="49">
        <v>0</v>
      </c>
      <c r="S46" s="42">
        <f t="shared" si="14"/>
        <v>0</v>
      </c>
      <c r="T46" s="49">
        <v>0</v>
      </c>
      <c r="U46" s="49">
        <v>0</v>
      </c>
      <c r="V46" s="42">
        <f t="shared" si="15"/>
        <v>0</v>
      </c>
      <c r="W46" s="41">
        <f t="shared" si="16"/>
        <v>12093288039</v>
      </c>
      <c r="X46" s="41">
        <f t="shared" si="17"/>
        <v>5018888965</v>
      </c>
      <c r="Y46" s="42">
        <f t="shared" si="18"/>
        <v>7074399074</v>
      </c>
      <c r="Z46" s="52">
        <v>45870</v>
      </c>
      <c r="AA46" s="52">
        <v>46022</v>
      </c>
      <c r="AB46" s="53">
        <f t="shared" si="19"/>
        <v>5</v>
      </c>
      <c r="AC46" s="42" t="s">
        <v>686</v>
      </c>
      <c r="AD46" s="48"/>
      <c r="AE46" s="48"/>
      <c r="AF46" t="s">
        <v>674</v>
      </c>
    </row>
    <row r="47" spans="1:35" ht="14.25" customHeight="1">
      <c r="A47" s="33" t="s">
        <v>353</v>
      </c>
      <c r="B47" s="34">
        <v>45933.093777812501</v>
      </c>
      <c r="C47" s="35" t="s">
        <v>96</v>
      </c>
      <c r="D47" s="5" t="s">
        <v>356</v>
      </c>
      <c r="E47" s="49">
        <v>2434584789</v>
      </c>
      <c r="F47" s="49">
        <v>1456222952</v>
      </c>
      <c r="G47" s="42">
        <f t="shared" si="10"/>
        <v>978361837</v>
      </c>
      <c r="H47" s="49">
        <v>0</v>
      </c>
      <c r="I47" s="49">
        <v>0</v>
      </c>
      <c r="J47" s="42">
        <f t="shared" si="11"/>
        <v>0</v>
      </c>
      <c r="K47" s="49">
        <v>0</v>
      </c>
      <c r="L47" s="49">
        <v>0</v>
      </c>
      <c r="M47" s="42">
        <f t="shared" si="12"/>
        <v>0</v>
      </c>
      <c r="N47" s="49">
        <v>0</v>
      </c>
      <c r="O47" s="49">
        <v>0</v>
      </c>
      <c r="P47" s="42">
        <f t="shared" si="13"/>
        <v>0</v>
      </c>
      <c r="Q47" s="49">
        <v>0</v>
      </c>
      <c r="R47" s="49">
        <v>0</v>
      </c>
      <c r="S47" s="42">
        <f t="shared" si="14"/>
        <v>0</v>
      </c>
      <c r="T47" s="49">
        <v>0</v>
      </c>
      <c r="U47" s="49">
        <v>0</v>
      </c>
      <c r="V47" s="42">
        <f t="shared" si="15"/>
        <v>0</v>
      </c>
      <c r="W47" s="41">
        <f t="shared" si="16"/>
        <v>2434584789</v>
      </c>
      <c r="X47" s="41">
        <f t="shared" si="17"/>
        <v>1456222952</v>
      </c>
      <c r="Y47" s="42">
        <f t="shared" si="18"/>
        <v>978361837</v>
      </c>
      <c r="Z47" s="52">
        <v>45880</v>
      </c>
      <c r="AA47" s="52">
        <v>46662</v>
      </c>
      <c r="AB47" s="53">
        <f t="shared" si="19"/>
        <v>25.7</v>
      </c>
      <c r="AC47" s="42" t="s">
        <v>687</v>
      </c>
      <c r="AD47" s="48"/>
      <c r="AE47" s="48"/>
    </row>
    <row r="48" spans="1:35" ht="14.25" customHeight="1">
      <c r="A48" s="36" t="s">
        <v>357</v>
      </c>
      <c r="B48" s="37">
        <v>45889.883283877316</v>
      </c>
      <c r="C48" s="35" t="s">
        <v>42</v>
      </c>
      <c r="D48" s="35" t="s">
        <v>361</v>
      </c>
      <c r="E48" s="49">
        <v>14571231757</v>
      </c>
      <c r="F48" s="49">
        <v>6077313393</v>
      </c>
      <c r="G48" s="42">
        <f t="shared" si="10"/>
        <v>8493918364</v>
      </c>
      <c r="H48" s="32">
        <v>342000836</v>
      </c>
      <c r="I48" s="32">
        <v>311904762</v>
      </c>
      <c r="J48" s="42">
        <f t="shared" si="11"/>
        <v>30096074</v>
      </c>
      <c r="K48" s="32">
        <v>340944885</v>
      </c>
      <c r="L48" s="32">
        <v>38808258</v>
      </c>
      <c r="M48" s="32">
        <f t="shared" si="12"/>
        <v>302136627</v>
      </c>
      <c r="N48" s="32">
        <v>29327947</v>
      </c>
      <c r="O48" s="32">
        <v>2525053</v>
      </c>
      <c r="P48" s="32">
        <f t="shared" si="13"/>
        <v>26802894</v>
      </c>
      <c r="Q48" s="32">
        <v>38589404</v>
      </c>
      <c r="R48" s="32">
        <v>3006649</v>
      </c>
      <c r="S48" s="32">
        <f t="shared" si="14"/>
        <v>35582755</v>
      </c>
      <c r="T48" s="49">
        <v>0</v>
      </c>
      <c r="U48" s="49">
        <v>0</v>
      </c>
      <c r="V48" s="42">
        <f t="shared" si="15"/>
        <v>0</v>
      </c>
      <c r="W48" s="50">
        <f t="shared" si="16"/>
        <v>15322094829</v>
      </c>
      <c r="X48" s="50">
        <f t="shared" si="17"/>
        <v>6433558115</v>
      </c>
      <c r="Y48" s="42">
        <f t="shared" si="18"/>
        <v>8888536714</v>
      </c>
      <c r="Z48" s="52">
        <v>45880</v>
      </c>
      <c r="AA48" s="52">
        <v>46203</v>
      </c>
      <c r="AB48" s="53">
        <f t="shared" si="19"/>
        <v>10.63</v>
      </c>
      <c r="AC48" s="42" t="s">
        <v>688</v>
      </c>
      <c r="AD48" s="48"/>
      <c r="AE48" s="48"/>
    </row>
    <row r="49" spans="1:35" ht="14.25" customHeight="1">
      <c r="A49" s="36" t="s">
        <v>362</v>
      </c>
      <c r="B49" s="37">
        <v>45884.888543831017</v>
      </c>
      <c r="C49" s="35" t="s">
        <v>55</v>
      </c>
      <c r="D49" s="5" t="s">
        <v>365</v>
      </c>
      <c r="E49" s="49">
        <v>5132456876</v>
      </c>
      <c r="F49" s="49">
        <v>3728746353</v>
      </c>
      <c r="G49" s="42">
        <f t="shared" si="10"/>
        <v>1403710523</v>
      </c>
      <c r="H49" s="32">
        <v>646414317</v>
      </c>
      <c r="I49" s="32">
        <v>474328286</v>
      </c>
      <c r="J49" s="42">
        <f t="shared" si="11"/>
        <v>172086031</v>
      </c>
      <c r="K49" s="49">
        <v>0</v>
      </c>
      <c r="L49" s="49">
        <v>0</v>
      </c>
      <c r="M49" s="42">
        <f t="shared" si="12"/>
        <v>0</v>
      </c>
      <c r="N49" s="49">
        <v>0</v>
      </c>
      <c r="O49" s="49">
        <v>0</v>
      </c>
      <c r="P49" s="42">
        <f t="shared" si="13"/>
        <v>0</v>
      </c>
      <c r="Q49" s="49">
        <v>0</v>
      </c>
      <c r="R49" s="49">
        <v>0</v>
      </c>
      <c r="S49" s="42">
        <f t="shared" si="14"/>
        <v>0</v>
      </c>
      <c r="T49" s="49">
        <v>0</v>
      </c>
      <c r="U49" s="49">
        <v>0</v>
      </c>
      <c r="V49" s="42">
        <f t="shared" si="15"/>
        <v>0</v>
      </c>
      <c r="W49" s="41">
        <f t="shared" si="16"/>
        <v>5778871193</v>
      </c>
      <c r="X49" s="41">
        <f t="shared" si="17"/>
        <v>4203074639</v>
      </c>
      <c r="Y49" s="42">
        <f t="shared" si="18"/>
        <v>1575796554</v>
      </c>
      <c r="Z49" s="52">
        <v>45884</v>
      </c>
      <c r="AA49" s="52">
        <v>46037</v>
      </c>
      <c r="AB49" s="53">
        <f t="shared" si="19"/>
        <v>5</v>
      </c>
      <c r="AC49" s="56" t="s">
        <v>689</v>
      </c>
      <c r="AD49" s="48"/>
      <c r="AE49" s="48"/>
      <c r="AG49" s="31"/>
      <c r="AH49" s="31"/>
      <c r="AI49" s="31"/>
    </row>
    <row r="50" spans="1:35" ht="14.25" customHeight="1">
      <c r="A50" s="33" t="s">
        <v>366</v>
      </c>
      <c r="B50" s="34">
        <v>45902.665949571761</v>
      </c>
      <c r="C50" s="35" t="s">
        <v>50</v>
      </c>
      <c r="D50" s="5" t="s">
        <v>369</v>
      </c>
      <c r="E50" s="49">
        <v>1285798319</v>
      </c>
      <c r="F50" s="49">
        <v>683254187</v>
      </c>
      <c r="G50" s="42">
        <f t="shared" si="10"/>
        <v>602544132</v>
      </c>
      <c r="H50" s="49">
        <v>0</v>
      </c>
      <c r="I50" s="49">
        <v>0</v>
      </c>
      <c r="J50" s="42">
        <f t="shared" si="11"/>
        <v>0</v>
      </c>
      <c r="K50" s="49">
        <v>0</v>
      </c>
      <c r="L50" s="49">
        <v>0</v>
      </c>
      <c r="M50" s="42">
        <f t="shared" si="12"/>
        <v>0</v>
      </c>
      <c r="N50" s="49">
        <v>0</v>
      </c>
      <c r="O50" s="49">
        <v>0</v>
      </c>
      <c r="P50" s="42">
        <f t="shared" si="13"/>
        <v>0</v>
      </c>
      <c r="Q50" s="49">
        <v>0</v>
      </c>
      <c r="R50" s="49">
        <v>0</v>
      </c>
      <c r="S50" s="42">
        <f t="shared" si="14"/>
        <v>0</v>
      </c>
      <c r="T50" s="49">
        <v>0</v>
      </c>
      <c r="U50" s="49">
        <v>0</v>
      </c>
      <c r="V50" s="42">
        <f t="shared" si="15"/>
        <v>0</v>
      </c>
      <c r="W50" s="41">
        <f t="shared" si="16"/>
        <v>1285798319</v>
      </c>
      <c r="X50" s="41">
        <f t="shared" si="17"/>
        <v>683254187</v>
      </c>
      <c r="Y50" s="42">
        <f t="shared" si="18"/>
        <v>602544132</v>
      </c>
      <c r="Z50" s="52">
        <v>45901</v>
      </c>
      <c r="AA50" s="52">
        <v>46021</v>
      </c>
      <c r="AB50" s="53">
        <f t="shared" si="19"/>
        <v>3.97</v>
      </c>
      <c r="AC50" s="42" t="s">
        <v>690</v>
      </c>
      <c r="AD50" s="48"/>
      <c r="AE50" s="48"/>
      <c r="AG50" s="31"/>
      <c r="AH50" s="31"/>
      <c r="AI50" s="31"/>
    </row>
    <row r="51" spans="1:35" ht="14.25" customHeight="1">
      <c r="A51" s="36" t="s">
        <v>370</v>
      </c>
      <c r="B51" s="37">
        <v>45902.634798344909</v>
      </c>
      <c r="C51" s="35" t="s">
        <v>43</v>
      </c>
      <c r="D51" s="5" t="s">
        <v>373</v>
      </c>
      <c r="E51" s="49">
        <v>223370157</v>
      </c>
      <c r="F51" s="49">
        <v>162301726</v>
      </c>
      <c r="G51" s="42">
        <f t="shared" si="10"/>
        <v>61068431</v>
      </c>
      <c r="H51" s="49">
        <v>0</v>
      </c>
      <c r="I51" s="49">
        <v>0</v>
      </c>
      <c r="J51" s="42">
        <f t="shared" si="11"/>
        <v>0</v>
      </c>
      <c r="K51" s="49">
        <v>0</v>
      </c>
      <c r="L51" s="49">
        <v>0</v>
      </c>
      <c r="M51" s="42">
        <f t="shared" si="12"/>
        <v>0</v>
      </c>
      <c r="N51" s="49">
        <v>0</v>
      </c>
      <c r="O51" s="49">
        <v>0</v>
      </c>
      <c r="P51" s="42">
        <f t="shared" si="13"/>
        <v>0</v>
      </c>
      <c r="Q51" s="49">
        <v>0</v>
      </c>
      <c r="R51" s="49">
        <v>0</v>
      </c>
      <c r="S51" s="42">
        <f t="shared" si="14"/>
        <v>0</v>
      </c>
      <c r="T51" s="49">
        <v>0</v>
      </c>
      <c r="U51" s="49">
        <v>0</v>
      </c>
      <c r="V51" s="42">
        <f t="shared" si="15"/>
        <v>0</v>
      </c>
      <c r="W51" s="41">
        <f t="shared" si="16"/>
        <v>223370157</v>
      </c>
      <c r="X51" s="41">
        <f t="shared" si="17"/>
        <v>162301726</v>
      </c>
      <c r="Y51" s="42">
        <f t="shared" si="18"/>
        <v>61068431</v>
      </c>
      <c r="Z51" s="52">
        <v>45901</v>
      </c>
      <c r="AA51" s="52">
        <v>46022</v>
      </c>
      <c r="AB51" s="53">
        <f t="shared" si="19"/>
        <v>4</v>
      </c>
      <c r="AC51" s="42" t="s">
        <v>691</v>
      </c>
      <c r="AD51" s="48"/>
      <c r="AE51" s="48"/>
      <c r="AF51" t="s">
        <v>674</v>
      </c>
    </row>
    <row r="52" spans="1:35" ht="14.25" customHeight="1">
      <c r="A52" s="36" t="s">
        <v>374</v>
      </c>
      <c r="B52" s="37">
        <v>45889.901397719907</v>
      </c>
      <c r="C52" s="35" t="s">
        <v>44</v>
      </c>
      <c r="D52" s="5" t="s">
        <v>377</v>
      </c>
      <c r="E52" s="49">
        <v>8621752758</v>
      </c>
      <c r="F52" s="49">
        <v>4792442910</v>
      </c>
      <c r="G52" s="42">
        <f t="shared" si="10"/>
        <v>3829309848</v>
      </c>
      <c r="H52" s="32">
        <v>0</v>
      </c>
      <c r="I52" s="32">
        <v>0</v>
      </c>
      <c r="J52" s="42">
        <f t="shared" si="11"/>
        <v>0</v>
      </c>
      <c r="K52" s="49">
        <v>0</v>
      </c>
      <c r="L52" s="49">
        <v>0</v>
      </c>
      <c r="M52" s="42">
        <f t="shared" si="12"/>
        <v>0</v>
      </c>
      <c r="N52" s="49">
        <v>0</v>
      </c>
      <c r="O52" s="49">
        <v>0</v>
      </c>
      <c r="P52" s="42">
        <f t="shared" si="13"/>
        <v>0</v>
      </c>
      <c r="Q52" s="49">
        <v>0</v>
      </c>
      <c r="R52" s="49">
        <v>0</v>
      </c>
      <c r="S52" s="42">
        <f t="shared" si="14"/>
        <v>0</v>
      </c>
      <c r="T52" s="49">
        <v>0</v>
      </c>
      <c r="U52" s="49">
        <v>0</v>
      </c>
      <c r="V52" s="42">
        <f t="shared" si="15"/>
        <v>0</v>
      </c>
      <c r="W52" s="41">
        <f t="shared" si="16"/>
        <v>8621752758</v>
      </c>
      <c r="X52" s="41">
        <f t="shared" si="17"/>
        <v>4792442910</v>
      </c>
      <c r="Y52" s="42">
        <f t="shared" si="18"/>
        <v>3829309848</v>
      </c>
      <c r="Z52" s="52">
        <v>45901</v>
      </c>
      <c r="AA52" s="52">
        <v>46264</v>
      </c>
      <c r="AB52" s="53">
        <f t="shared" si="19"/>
        <v>11.97</v>
      </c>
      <c r="AC52" s="42" t="s">
        <v>692</v>
      </c>
      <c r="AD52" s="48"/>
      <c r="AE52" s="48"/>
    </row>
    <row r="53" spans="1:35" ht="14.25" customHeight="1">
      <c r="A53" s="33" t="s">
        <v>378</v>
      </c>
      <c r="B53" s="34">
        <v>45915.66671759259</v>
      </c>
      <c r="C53" s="35" t="s">
        <v>97</v>
      </c>
      <c r="D53" s="5" t="s">
        <v>382</v>
      </c>
      <c r="E53" s="49">
        <v>3992251908</v>
      </c>
      <c r="F53" s="49">
        <v>3691676726</v>
      </c>
      <c r="G53" s="42">
        <f t="shared" si="10"/>
        <v>300575182</v>
      </c>
      <c r="H53" s="49">
        <v>0</v>
      </c>
      <c r="I53" s="49">
        <v>0</v>
      </c>
      <c r="J53" s="42">
        <f t="shared" si="11"/>
        <v>0</v>
      </c>
      <c r="K53" s="49">
        <v>0</v>
      </c>
      <c r="L53" s="49">
        <v>0</v>
      </c>
      <c r="M53" s="42">
        <f t="shared" si="12"/>
        <v>0</v>
      </c>
      <c r="N53" s="49">
        <v>0</v>
      </c>
      <c r="O53" s="49">
        <v>0</v>
      </c>
      <c r="P53" s="42">
        <f t="shared" si="13"/>
        <v>0</v>
      </c>
      <c r="Q53" s="49">
        <v>0</v>
      </c>
      <c r="R53" s="49">
        <v>0</v>
      </c>
      <c r="S53" s="42">
        <f t="shared" si="14"/>
        <v>0</v>
      </c>
      <c r="T53" s="49">
        <v>0</v>
      </c>
      <c r="U53" s="49">
        <v>0</v>
      </c>
      <c r="V53" s="42">
        <f t="shared" si="15"/>
        <v>0</v>
      </c>
      <c r="W53" s="41">
        <f t="shared" si="16"/>
        <v>3992251908</v>
      </c>
      <c r="X53" s="41">
        <f t="shared" si="17"/>
        <v>3691676726</v>
      </c>
      <c r="Y53" s="42">
        <f t="shared" si="18"/>
        <v>300575182</v>
      </c>
      <c r="Z53" s="52">
        <v>45905</v>
      </c>
      <c r="AA53" s="52">
        <v>46757</v>
      </c>
      <c r="AB53" s="53">
        <f t="shared" si="19"/>
        <v>28</v>
      </c>
      <c r="AC53" s="42" t="s">
        <v>693</v>
      </c>
      <c r="AD53" s="48"/>
      <c r="AE53" s="48"/>
    </row>
    <row r="54" spans="1:35" ht="14.25" customHeight="1">
      <c r="A54" s="36" t="s">
        <v>383</v>
      </c>
      <c r="B54" s="37">
        <v>45936.739900381945</v>
      </c>
      <c r="C54" s="35" t="s">
        <v>59</v>
      </c>
      <c r="D54" s="5" t="s">
        <v>386</v>
      </c>
      <c r="E54" s="49">
        <v>2944285714</v>
      </c>
      <c r="F54" s="49">
        <v>1570080349</v>
      </c>
      <c r="G54" s="42">
        <f t="shared" si="10"/>
        <v>1374205365</v>
      </c>
      <c r="H54" s="49">
        <v>0</v>
      </c>
      <c r="I54" s="49">
        <v>0</v>
      </c>
      <c r="J54" s="42">
        <f t="shared" si="11"/>
        <v>0</v>
      </c>
      <c r="K54" s="49">
        <v>0</v>
      </c>
      <c r="L54" s="49">
        <v>0</v>
      </c>
      <c r="M54" s="42">
        <f t="shared" si="12"/>
        <v>0</v>
      </c>
      <c r="N54" s="49">
        <v>0</v>
      </c>
      <c r="O54" s="49">
        <v>0</v>
      </c>
      <c r="P54" s="42">
        <f t="shared" si="13"/>
        <v>0</v>
      </c>
      <c r="Q54" s="49">
        <v>0</v>
      </c>
      <c r="R54" s="49">
        <v>0</v>
      </c>
      <c r="S54" s="42">
        <f t="shared" si="14"/>
        <v>0</v>
      </c>
      <c r="T54" s="49">
        <v>0</v>
      </c>
      <c r="U54" s="49">
        <v>0</v>
      </c>
      <c r="V54" s="42">
        <f t="shared" si="15"/>
        <v>0</v>
      </c>
      <c r="W54" s="41">
        <f t="shared" si="16"/>
        <v>2944285714</v>
      </c>
      <c r="X54" s="41">
        <f t="shared" si="17"/>
        <v>1570080349</v>
      </c>
      <c r="Y54" s="42">
        <f t="shared" si="18"/>
        <v>1374205365</v>
      </c>
      <c r="Z54" s="52">
        <v>45915</v>
      </c>
      <c r="AA54" s="52">
        <v>46006</v>
      </c>
      <c r="AB54" s="53">
        <f t="shared" si="19"/>
        <v>3</v>
      </c>
      <c r="AC54" s="42" t="s">
        <v>694</v>
      </c>
      <c r="AD54" s="48"/>
      <c r="AE54" s="48"/>
      <c r="AF54" t="s">
        <v>674</v>
      </c>
    </row>
    <row r="55" spans="1:35" ht="14.25" customHeight="1">
      <c r="A55" s="33" t="s">
        <v>388</v>
      </c>
      <c r="B55" s="34">
        <v>45971.801761840281</v>
      </c>
      <c r="C55" s="35" t="s">
        <v>91</v>
      </c>
      <c r="D55" s="5" t="s">
        <v>392</v>
      </c>
      <c r="E55" s="49">
        <v>6371654115</v>
      </c>
      <c r="F55" s="49">
        <v>4420115772</v>
      </c>
      <c r="G55" s="42">
        <f t="shared" si="10"/>
        <v>1951538343</v>
      </c>
      <c r="H55" s="49">
        <v>0</v>
      </c>
      <c r="I55" s="49">
        <v>0</v>
      </c>
      <c r="J55" s="42">
        <f t="shared" si="11"/>
        <v>0</v>
      </c>
      <c r="K55" s="49">
        <v>0</v>
      </c>
      <c r="L55" s="49">
        <v>0</v>
      </c>
      <c r="M55" s="42">
        <f t="shared" si="12"/>
        <v>0</v>
      </c>
      <c r="N55" s="49">
        <v>0</v>
      </c>
      <c r="O55" s="49">
        <v>0</v>
      </c>
      <c r="P55" s="42">
        <f t="shared" si="13"/>
        <v>0</v>
      </c>
      <c r="Q55" s="49">
        <v>0</v>
      </c>
      <c r="R55" s="49">
        <v>0</v>
      </c>
      <c r="S55" s="42">
        <f t="shared" si="14"/>
        <v>0</v>
      </c>
      <c r="T55" s="49">
        <v>0</v>
      </c>
      <c r="U55" s="49">
        <v>0</v>
      </c>
      <c r="V55" s="42">
        <f t="shared" si="15"/>
        <v>0</v>
      </c>
      <c r="W55" s="41">
        <f t="shared" si="16"/>
        <v>6371654115</v>
      </c>
      <c r="X55" s="41">
        <f t="shared" si="17"/>
        <v>4420115772</v>
      </c>
      <c r="Y55" s="42">
        <f t="shared" si="18"/>
        <v>1951538343</v>
      </c>
      <c r="Z55" s="52">
        <v>45931</v>
      </c>
      <c r="AA55" s="52">
        <v>46172</v>
      </c>
      <c r="AB55" s="53">
        <f t="shared" si="19"/>
        <v>7.97</v>
      </c>
      <c r="AC55" s="42" t="s">
        <v>695</v>
      </c>
      <c r="AD55" s="48"/>
      <c r="AE55" s="48"/>
    </row>
    <row r="56" spans="1:35" ht="14.25" customHeight="1">
      <c r="A56" s="36" t="s">
        <v>393</v>
      </c>
      <c r="B56" s="37">
        <v>45932.853839039351</v>
      </c>
      <c r="C56" s="35" t="s">
        <v>101</v>
      </c>
      <c r="D56" s="5" t="s">
        <v>396</v>
      </c>
      <c r="E56" s="49">
        <v>226320422</v>
      </c>
      <c r="F56" s="49">
        <v>131114560</v>
      </c>
      <c r="G56" s="42">
        <f t="shared" si="10"/>
        <v>95205862</v>
      </c>
      <c r="H56" s="49">
        <v>0</v>
      </c>
      <c r="I56" s="49">
        <v>0</v>
      </c>
      <c r="J56" s="42">
        <f t="shared" si="11"/>
        <v>0</v>
      </c>
      <c r="K56" s="49">
        <v>0</v>
      </c>
      <c r="L56" s="49">
        <v>0</v>
      </c>
      <c r="M56" s="42">
        <f t="shared" si="12"/>
        <v>0</v>
      </c>
      <c r="N56" s="49">
        <v>0</v>
      </c>
      <c r="O56" s="49">
        <v>0</v>
      </c>
      <c r="P56" s="42">
        <f t="shared" si="13"/>
        <v>0</v>
      </c>
      <c r="Q56" s="49">
        <v>0</v>
      </c>
      <c r="R56" s="49">
        <v>0</v>
      </c>
      <c r="S56" s="42">
        <f t="shared" si="14"/>
        <v>0</v>
      </c>
      <c r="T56" s="49">
        <v>0</v>
      </c>
      <c r="U56" s="49">
        <v>0</v>
      </c>
      <c r="V56" s="42">
        <f t="shared" si="15"/>
        <v>0</v>
      </c>
      <c r="W56" s="41">
        <f t="shared" si="16"/>
        <v>226320422</v>
      </c>
      <c r="X56" s="41">
        <f t="shared" si="17"/>
        <v>131114560</v>
      </c>
      <c r="Y56" s="42">
        <f t="shared" si="18"/>
        <v>95205862</v>
      </c>
      <c r="Z56" s="52">
        <v>45931</v>
      </c>
      <c r="AA56" s="52">
        <v>47391</v>
      </c>
      <c r="AB56" s="53">
        <f t="shared" si="19"/>
        <v>47.97</v>
      </c>
      <c r="AC56" s="42" t="s">
        <v>696</v>
      </c>
      <c r="AD56" s="48"/>
      <c r="AE56" s="48"/>
    </row>
    <row r="57" spans="1:35" ht="14.25" customHeight="1">
      <c r="A57" s="33" t="s">
        <v>397</v>
      </c>
      <c r="B57" s="34">
        <v>45932.836031516206</v>
      </c>
      <c r="C57" s="35" t="s">
        <v>102</v>
      </c>
      <c r="D57" s="5" t="s">
        <v>400</v>
      </c>
      <c r="E57" s="49">
        <v>6937882353</v>
      </c>
      <c r="F57" s="49">
        <v>3810581437</v>
      </c>
      <c r="G57" s="42">
        <f t="shared" si="10"/>
        <v>3127300916</v>
      </c>
      <c r="H57" s="49">
        <v>0</v>
      </c>
      <c r="I57" s="49">
        <v>0</v>
      </c>
      <c r="J57" s="42">
        <f t="shared" si="11"/>
        <v>0</v>
      </c>
      <c r="K57" s="49">
        <v>0</v>
      </c>
      <c r="L57" s="49">
        <v>0</v>
      </c>
      <c r="M57" s="42">
        <f t="shared" si="12"/>
        <v>0</v>
      </c>
      <c r="N57" s="49">
        <v>0</v>
      </c>
      <c r="O57" s="49">
        <v>0</v>
      </c>
      <c r="P57" s="42">
        <f t="shared" si="13"/>
        <v>0</v>
      </c>
      <c r="Q57" s="49">
        <v>0</v>
      </c>
      <c r="R57" s="49">
        <v>0</v>
      </c>
      <c r="S57" s="42">
        <f t="shared" si="14"/>
        <v>0</v>
      </c>
      <c r="T57" s="49">
        <v>0</v>
      </c>
      <c r="U57" s="49">
        <v>0</v>
      </c>
      <c r="V57" s="42">
        <f t="shared" si="15"/>
        <v>0</v>
      </c>
      <c r="W57" s="41">
        <f t="shared" si="16"/>
        <v>6937882353</v>
      </c>
      <c r="X57" s="41">
        <f t="shared" si="17"/>
        <v>3810581437</v>
      </c>
      <c r="Y57" s="42">
        <f t="shared" si="18"/>
        <v>3127300916</v>
      </c>
      <c r="Z57" s="52">
        <v>45931</v>
      </c>
      <c r="AA57" s="52">
        <v>47483</v>
      </c>
      <c r="AB57" s="53">
        <f t="shared" si="19"/>
        <v>51</v>
      </c>
      <c r="AC57" s="42" t="s">
        <v>697</v>
      </c>
      <c r="AD57" s="48" t="s">
        <v>698</v>
      </c>
      <c r="AE57" s="48"/>
    </row>
    <row r="58" spans="1:35" ht="14.25" customHeight="1">
      <c r="A58" s="36" t="s">
        <v>401</v>
      </c>
      <c r="B58" s="37">
        <v>45768.647169212963</v>
      </c>
      <c r="C58" s="35" t="s">
        <v>104</v>
      </c>
      <c r="D58" s="5" t="s">
        <v>404</v>
      </c>
      <c r="E58" s="49">
        <v>162638242</v>
      </c>
      <c r="F58" s="49">
        <v>93771886</v>
      </c>
      <c r="G58" s="42">
        <f t="shared" si="10"/>
        <v>68866356</v>
      </c>
      <c r="H58" s="49">
        <v>0</v>
      </c>
      <c r="I58" s="49">
        <v>0</v>
      </c>
      <c r="J58" s="42">
        <f t="shared" si="11"/>
        <v>0</v>
      </c>
      <c r="K58" s="49">
        <v>0</v>
      </c>
      <c r="L58" s="49">
        <v>0</v>
      </c>
      <c r="M58" s="42">
        <f t="shared" si="12"/>
        <v>0</v>
      </c>
      <c r="N58" s="49">
        <v>0</v>
      </c>
      <c r="O58" s="49">
        <v>0</v>
      </c>
      <c r="P58" s="42">
        <f t="shared" si="13"/>
        <v>0</v>
      </c>
      <c r="Q58" s="49">
        <v>0</v>
      </c>
      <c r="R58" s="49">
        <v>0</v>
      </c>
      <c r="S58" s="42">
        <f t="shared" si="14"/>
        <v>0</v>
      </c>
      <c r="T58" s="49">
        <v>0</v>
      </c>
      <c r="U58" s="49">
        <v>0</v>
      </c>
      <c r="V58" s="42">
        <f t="shared" si="15"/>
        <v>0</v>
      </c>
      <c r="W58" s="41">
        <f t="shared" si="16"/>
        <v>162638242</v>
      </c>
      <c r="X58" s="41">
        <f t="shared" si="17"/>
        <v>93771886</v>
      </c>
      <c r="Y58" s="42">
        <f t="shared" si="18"/>
        <v>68866356</v>
      </c>
      <c r="Z58" s="52">
        <v>45931</v>
      </c>
      <c r="AA58" s="52">
        <v>47756</v>
      </c>
      <c r="AB58" s="53">
        <f t="shared" si="19"/>
        <v>59.97</v>
      </c>
      <c r="AC58" s="42" t="s">
        <v>696</v>
      </c>
      <c r="AD58" s="48"/>
      <c r="AE58" s="48"/>
    </row>
    <row r="59" spans="1:35" ht="14.25" customHeight="1">
      <c r="A59" s="36" t="s">
        <v>405</v>
      </c>
      <c r="B59" s="37">
        <v>45638.807590046294</v>
      </c>
      <c r="C59" s="35" t="s">
        <v>114</v>
      </c>
      <c r="D59" s="5" t="s">
        <v>408</v>
      </c>
      <c r="E59" s="49">
        <v>309945070</v>
      </c>
      <c r="F59" s="49">
        <v>198857341</v>
      </c>
      <c r="G59" s="42">
        <f t="shared" si="10"/>
        <v>111087729</v>
      </c>
      <c r="H59" s="49">
        <v>0</v>
      </c>
      <c r="I59" s="49">
        <v>0</v>
      </c>
      <c r="J59" s="42">
        <f t="shared" si="11"/>
        <v>0</v>
      </c>
      <c r="K59" s="49">
        <v>0</v>
      </c>
      <c r="L59" s="49">
        <v>0</v>
      </c>
      <c r="M59" s="42">
        <f t="shared" si="12"/>
        <v>0</v>
      </c>
      <c r="N59" s="49">
        <v>0</v>
      </c>
      <c r="O59" s="49">
        <v>0</v>
      </c>
      <c r="P59" s="42">
        <f t="shared" si="13"/>
        <v>0</v>
      </c>
      <c r="Q59" s="49">
        <v>0</v>
      </c>
      <c r="R59" s="49">
        <v>0</v>
      </c>
      <c r="S59" s="42">
        <f t="shared" si="14"/>
        <v>0</v>
      </c>
      <c r="T59" s="49">
        <v>0</v>
      </c>
      <c r="U59" s="49">
        <v>0</v>
      </c>
      <c r="V59" s="42">
        <f t="shared" si="15"/>
        <v>0</v>
      </c>
      <c r="W59" s="41">
        <f t="shared" si="16"/>
        <v>309945070</v>
      </c>
      <c r="X59" s="41">
        <f t="shared" si="17"/>
        <v>198857341</v>
      </c>
      <c r="Y59" s="42">
        <f t="shared" si="18"/>
        <v>111087729</v>
      </c>
      <c r="Z59" s="52">
        <v>45931</v>
      </c>
      <c r="AA59" s="52">
        <v>46022</v>
      </c>
      <c r="AB59" s="53">
        <f t="shared" si="19"/>
        <v>3</v>
      </c>
      <c r="AC59" s="56" t="s">
        <v>699</v>
      </c>
      <c r="AD59" s="48"/>
      <c r="AE59" s="48"/>
    </row>
    <row r="60" spans="1:35" ht="14.25" customHeight="1">
      <c r="A60" s="36" t="s">
        <v>409</v>
      </c>
      <c r="B60" s="37">
        <v>45987.540494826389</v>
      </c>
      <c r="C60" s="35" t="s">
        <v>115</v>
      </c>
      <c r="D60" s="5" t="s">
        <v>413</v>
      </c>
      <c r="E60" s="49">
        <v>4936770825</v>
      </c>
      <c r="F60" s="49">
        <v>2207086979</v>
      </c>
      <c r="G60" s="42">
        <f t="shared" si="10"/>
        <v>2729683846</v>
      </c>
      <c r="H60" s="49">
        <v>0</v>
      </c>
      <c r="I60" s="49">
        <v>0</v>
      </c>
      <c r="J60" s="42">
        <f t="shared" si="11"/>
        <v>0</v>
      </c>
      <c r="K60" s="49">
        <v>0</v>
      </c>
      <c r="L60" s="49">
        <v>0</v>
      </c>
      <c r="M60" s="42">
        <f t="shared" si="12"/>
        <v>0</v>
      </c>
      <c r="N60" s="49">
        <v>0</v>
      </c>
      <c r="O60" s="49">
        <v>0</v>
      </c>
      <c r="P60" s="42">
        <f t="shared" si="13"/>
        <v>0</v>
      </c>
      <c r="Q60" s="49">
        <v>0</v>
      </c>
      <c r="R60" s="49">
        <v>0</v>
      </c>
      <c r="S60" s="42">
        <f t="shared" si="14"/>
        <v>0</v>
      </c>
      <c r="T60" s="49">
        <v>0</v>
      </c>
      <c r="U60" s="49">
        <v>0</v>
      </c>
      <c r="V60" s="42">
        <f t="shared" si="15"/>
        <v>0</v>
      </c>
      <c r="W60" s="41">
        <f t="shared" si="16"/>
        <v>4936770825</v>
      </c>
      <c r="X60" s="41">
        <f t="shared" si="17"/>
        <v>2207086979</v>
      </c>
      <c r="Y60" s="42">
        <f t="shared" si="18"/>
        <v>2729683846</v>
      </c>
      <c r="Z60" s="52">
        <v>45940</v>
      </c>
      <c r="AA60" s="52">
        <v>46387</v>
      </c>
      <c r="AB60" s="53">
        <f t="shared" si="19"/>
        <v>14.7</v>
      </c>
      <c r="AC60" s="42"/>
      <c r="AD60" s="48"/>
      <c r="AE60" s="48"/>
    </row>
    <row r="61" spans="1:35" ht="14.25" customHeight="1">
      <c r="A61" s="33" t="s">
        <v>414</v>
      </c>
      <c r="B61" s="34">
        <v>45986.738573726849</v>
      </c>
      <c r="C61" s="35" t="s">
        <v>74</v>
      </c>
      <c r="D61" s="5" t="s">
        <v>417</v>
      </c>
      <c r="E61" s="49">
        <v>1680672269</v>
      </c>
      <c r="F61" s="49">
        <v>772840336</v>
      </c>
      <c r="G61" s="42">
        <f t="shared" si="10"/>
        <v>907831933</v>
      </c>
      <c r="H61" s="49">
        <v>0</v>
      </c>
      <c r="I61" s="49">
        <v>0</v>
      </c>
      <c r="J61" s="42">
        <f t="shared" si="11"/>
        <v>0</v>
      </c>
      <c r="K61" s="49">
        <v>0</v>
      </c>
      <c r="L61" s="49">
        <v>0</v>
      </c>
      <c r="M61" s="42">
        <f t="shared" si="12"/>
        <v>0</v>
      </c>
      <c r="N61" s="49">
        <v>0</v>
      </c>
      <c r="O61" s="49">
        <v>0</v>
      </c>
      <c r="P61" s="42">
        <f t="shared" si="13"/>
        <v>0</v>
      </c>
      <c r="Q61" s="49">
        <v>0</v>
      </c>
      <c r="R61" s="49">
        <v>0</v>
      </c>
      <c r="S61" s="42">
        <f t="shared" si="14"/>
        <v>0</v>
      </c>
      <c r="T61" s="49">
        <v>0</v>
      </c>
      <c r="U61" s="49">
        <v>0</v>
      </c>
      <c r="V61" s="42">
        <f t="shared" si="15"/>
        <v>0</v>
      </c>
      <c r="W61" s="41">
        <f t="shared" si="16"/>
        <v>1680672269</v>
      </c>
      <c r="X61" s="41">
        <f t="shared" si="17"/>
        <v>772840336</v>
      </c>
      <c r="Y61" s="42">
        <f t="shared" si="18"/>
        <v>907831933</v>
      </c>
      <c r="Z61" s="52">
        <v>45945</v>
      </c>
      <c r="AA61" s="52">
        <v>46022</v>
      </c>
      <c r="AB61" s="53">
        <f t="shared" si="19"/>
        <v>2.5299999999999998</v>
      </c>
      <c r="AC61" s="42" t="s">
        <v>700</v>
      </c>
      <c r="AD61" s="48"/>
      <c r="AE61" s="48"/>
    </row>
    <row r="62" spans="1:35" ht="14.25" customHeight="1">
      <c r="A62" s="33" t="s">
        <v>418</v>
      </c>
      <c r="B62" s="34">
        <v>45979.862053703706</v>
      </c>
      <c r="C62" s="35" t="s">
        <v>94</v>
      </c>
      <c r="D62" s="5" t="s">
        <v>422</v>
      </c>
      <c r="E62" s="49">
        <v>12603682885</v>
      </c>
      <c r="F62" s="49">
        <v>7123723941</v>
      </c>
      <c r="G62" s="42">
        <f t="shared" si="10"/>
        <v>5479958944</v>
      </c>
      <c r="H62" s="49">
        <v>0</v>
      </c>
      <c r="I62" s="49">
        <v>0</v>
      </c>
      <c r="J62" s="42">
        <f t="shared" si="11"/>
        <v>0</v>
      </c>
      <c r="K62" s="49">
        <v>0</v>
      </c>
      <c r="L62" s="49">
        <v>0</v>
      </c>
      <c r="M62" s="42">
        <f t="shared" si="12"/>
        <v>0</v>
      </c>
      <c r="N62" s="49">
        <v>0</v>
      </c>
      <c r="O62" s="49">
        <v>0</v>
      </c>
      <c r="P62" s="42">
        <f t="shared" si="13"/>
        <v>0</v>
      </c>
      <c r="Q62" s="49">
        <v>0</v>
      </c>
      <c r="R62" s="49">
        <v>0</v>
      </c>
      <c r="S62" s="42">
        <f t="shared" si="14"/>
        <v>0</v>
      </c>
      <c r="T62" s="49">
        <v>0</v>
      </c>
      <c r="U62" s="49">
        <v>0</v>
      </c>
      <c r="V62" s="42">
        <f t="shared" si="15"/>
        <v>0</v>
      </c>
      <c r="W62" s="41">
        <f t="shared" si="16"/>
        <v>12603682885</v>
      </c>
      <c r="X62" s="41">
        <f t="shared" si="17"/>
        <v>7123723941</v>
      </c>
      <c r="Y62" s="42">
        <f t="shared" si="18"/>
        <v>5479958944</v>
      </c>
      <c r="Z62" s="52">
        <v>45950</v>
      </c>
      <c r="AA62" s="52">
        <v>46387</v>
      </c>
      <c r="AB62" s="53">
        <f t="shared" si="19"/>
        <v>14.37</v>
      </c>
      <c r="AC62" s="42" t="s">
        <v>701</v>
      </c>
      <c r="AD62" s="48"/>
      <c r="AE62" s="48"/>
    </row>
    <row r="63" spans="1:35" ht="14.25" customHeight="1">
      <c r="A63" s="36" t="s">
        <v>423</v>
      </c>
      <c r="B63" s="37">
        <v>45986.680452627312</v>
      </c>
      <c r="C63" s="35" t="s">
        <v>111</v>
      </c>
      <c r="D63" s="5" t="s">
        <v>426</v>
      </c>
      <c r="E63" s="49">
        <v>1806200000</v>
      </c>
      <c r="F63" s="49">
        <v>1117759798</v>
      </c>
      <c r="G63" s="42">
        <f t="shared" si="10"/>
        <v>688440202</v>
      </c>
      <c r="H63" s="49">
        <v>0</v>
      </c>
      <c r="I63" s="49">
        <v>0</v>
      </c>
      <c r="J63" s="42">
        <f t="shared" si="11"/>
        <v>0</v>
      </c>
      <c r="K63" s="49">
        <v>0</v>
      </c>
      <c r="L63" s="49">
        <v>0</v>
      </c>
      <c r="M63" s="42">
        <f t="shared" si="12"/>
        <v>0</v>
      </c>
      <c r="N63" s="49">
        <v>0</v>
      </c>
      <c r="O63" s="49">
        <v>0</v>
      </c>
      <c r="P63" s="42">
        <f t="shared" si="13"/>
        <v>0</v>
      </c>
      <c r="Q63" s="49">
        <v>0</v>
      </c>
      <c r="R63" s="49">
        <v>0</v>
      </c>
      <c r="S63" s="42">
        <f t="shared" si="14"/>
        <v>0</v>
      </c>
      <c r="T63" s="49">
        <v>0</v>
      </c>
      <c r="U63" s="49">
        <v>0</v>
      </c>
      <c r="V63" s="42">
        <f t="shared" si="15"/>
        <v>0</v>
      </c>
      <c r="W63" s="41">
        <f t="shared" si="16"/>
        <v>1806200000</v>
      </c>
      <c r="X63" s="41">
        <f t="shared" si="17"/>
        <v>1117759798</v>
      </c>
      <c r="Y63" s="42">
        <f t="shared" si="18"/>
        <v>688440202</v>
      </c>
      <c r="Z63" s="52">
        <v>45962</v>
      </c>
      <c r="AA63" s="52">
        <v>46325</v>
      </c>
      <c r="AB63" s="53">
        <f t="shared" si="19"/>
        <v>11.97</v>
      </c>
      <c r="AC63" s="42"/>
      <c r="AD63" s="48"/>
      <c r="AE63" s="48"/>
    </row>
    <row r="64" spans="1:35" ht="14.25" customHeight="1">
      <c r="A64" s="33" t="s">
        <v>427</v>
      </c>
      <c r="B64" s="34">
        <v>45979.833136423615</v>
      </c>
      <c r="C64" s="35" t="s">
        <v>107</v>
      </c>
      <c r="D64" s="5" t="s">
        <v>431</v>
      </c>
      <c r="E64" s="49">
        <v>6500000000</v>
      </c>
      <c r="F64" s="49">
        <v>3898829550</v>
      </c>
      <c r="G64" s="42">
        <f t="shared" si="10"/>
        <v>2601170450</v>
      </c>
      <c r="H64" s="49">
        <v>0</v>
      </c>
      <c r="I64" s="49">
        <v>0</v>
      </c>
      <c r="J64" s="42">
        <f t="shared" si="11"/>
        <v>0</v>
      </c>
      <c r="K64" s="49">
        <v>0</v>
      </c>
      <c r="L64" s="49">
        <v>0</v>
      </c>
      <c r="M64" s="42">
        <f t="shared" si="12"/>
        <v>0</v>
      </c>
      <c r="N64" s="49">
        <v>0</v>
      </c>
      <c r="O64" s="49">
        <v>0</v>
      </c>
      <c r="P64" s="42">
        <f t="shared" si="13"/>
        <v>0</v>
      </c>
      <c r="Q64" s="49">
        <v>0</v>
      </c>
      <c r="R64" s="49">
        <v>0</v>
      </c>
      <c r="S64" s="42">
        <f t="shared" si="14"/>
        <v>0</v>
      </c>
      <c r="T64" s="49">
        <v>0</v>
      </c>
      <c r="U64" s="49">
        <v>0</v>
      </c>
      <c r="V64" s="42">
        <f t="shared" si="15"/>
        <v>0</v>
      </c>
      <c r="W64" s="41">
        <f t="shared" si="16"/>
        <v>6500000000</v>
      </c>
      <c r="X64" s="41">
        <f t="shared" si="17"/>
        <v>3898829550</v>
      </c>
      <c r="Y64" s="42">
        <f t="shared" si="18"/>
        <v>2601170450</v>
      </c>
      <c r="Z64" s="52">
        <v>45962</v>
      </c>
      <c r="AA64" s="52">
        <v>46264</v>
      </c>
      <c r="AB64" s="53">
        <f t="shared" si="19"/>
        <v>9.9700000000000006</v>
      </c>
      <c r="AC64" s="42" t="s">
        <v>702</v>
      </c>
      <c r="AD64" s="48"/>
      <c r="AE64" s="48"/>
    </row>
    <row r="65" spans="1:32" ht="14.25" customHeight="1">
      <c r="A65" s="36" t="s">
        <v>432</v>
      </c>
      <c r="B65" s="37">
        <v>45979.725087650462</v>
      </c>
      <c r="C65" s="35" t="s">
        <v>88</v>
      </c>
      <c r="D65" s="5" t="s">
        <v>436</v>
      </c>
      <c r="E65" s="49">
        <v>2898000000</v>
      </c>
      <c r="F65" s="49">
        <v>836827348</v>
      </c>
      <c r="G65" s="42">
        <f t="shared" si="10"/>
        <v>2061172652</v>
      </c>
      <c r="H65" s="49">
        <v>0</v>
      </c>
      <c r="I65" s="49">
        <v>0</v>
      </c>
      <c r="J65" s="42">
        <f t="shared" si="11"/>
        <v>0</v>
      </c>
      <c r="K65" s="49">
        <v>0</v>
      </c>
      <c r="L65" s="49">
        <v>0</v>
      </c>
      <c r="M65" s="42">
        <f t="shared" si="12"/>
        <v>0</v>
      </c>
      <c r="N65" s="49">
        <v>0</v>
      </c>
      <c r="O65" s="49">
        <v>0</v>
      </c>
      <c r="P65" s="42">
        <f t="shared" si="13"/>
        <v>0</v>
      </c>
      <c r="Q65" s="49">
        <v>0</v>
      </c>
      <c r="R65" s="49">
        <v>0</v>
      </c>
      <c r="S65" s="42">
        <f t="shared" si="14"/>
        <v>0</v>
      </c>
      <c r="T65" s="49">
        <v>0</v>
      </c>
      <c r="U65" s="49">
        <v>0</v>
      </c>
      <c r="V65" s="42">
        <f t="shared" si="15"/>
        <v>0</v>
      </c>
      <c r="W65" s="41">
        <f t="shared" si="16"/>
        <v>2898000000</v>
      </c>
      <c r="X65" s="41">
        <f t="shared" si="17"/>
        <v>836827348</v>
      </c>
      <c r="Y65" s="42">
        <f t="shared" si="18"/>
        <v>2061172652</v>
      </c>
      <c r="Z65" s="52">
        <v>45962</v>
      </c>
      <c r="AA65" s="52">
        <v>46111</v>
      </c>
      <c r="AB65" s="53">
        <f t="shared" si="19"/>
        <v>4.97</v>
      </c>
      <c r="AC65" s="42" t="s">
        <v>703</v>
      </c>
      <c r="AD65" s="48"/>
      <c r="AE65" s="48"/>
    </row>
    <row r="66" spans="1:32" ht="14.25" customHeight="1">
      <c r="A66" s="33" t="s">
        <v>437</v>
      </c>
      <c r="B66" s="34">
        <v>45971.923861539355</v>
      </c>
      <c r="C66" s="35" t="s">
        <v>47</v>
      </c>
      <c r="D66" s="5" t="s">
        <v>441</v>
      </c>
      <c r="E66" s="49">
        <v>274832284</v>
      </c>
      <c r="F66" s="49">
        <v>243037690</v>
      </c>
      <c r="G66" s="42">
        <f t="shared" ref="G66:G97" si="20">E66-F66</f>
        <v>31794594</v>
      </c>
      <c r="H66" s="49">
        <v>0</v>
      </c>
      <c r="I66" s="49">
        <v>0</v>
      </c>
      <c r="J66" s="42">
        <f t="shared" ref="J66:J97" si="21">H66-I66</f>
        <v>0</v>
      </c>
      <c r="K66" s="49">
        <v>0</v>
      </c>
      <c r="L66" s="49">
        <v>0</v>
      </c>
      <c r="M66" s="42">
        <f t="shared" ref="M66:M97" si="22">K66-L66</f>
        <v>0</v>
      </c>
      <c r="N66" s="49">
        <v>0</v>
      </c>
      <c r="O66" s="49">
        <v>0</v>
      </c>
      <c r="P66" s="42">
        <f t="shared" ref="P66:P97" si="23">N66-O66</f>
        <v>0</v>
      </c>
      <c r="Q66" s="49">
        <v>0</v>
      </c>
      <c r="R66" s="49">
        <v>0</v>
      </c>
      <c r="S66" s="42">
        <f t="shared" ref="S66:S97" si="24">Q66-R66</f>
        <v>0</v>
      </c>
      <c r="T66" s="49">
        <v>0</v>
      </c>
      <c r="U66" s="49">
        <v>0</v>
      </c>
      <c r="V66" s="42">
        <f t="shared" ref="V66:V97" si="25">T66-U66</f>
        <v>0</v>
      </c>
      <c r="W66" s="41">
        <f t="shared" ref="W66:W99" si="26">E66+H66+K66+N66+Q66+T66</f>
        <v>274832284</v>
      </c>
      <c r="X66" s="41">
        <f t="shared" ref="X66:X99" si="27">F66+I66+L66+O66+R66+U66</f>
        <v>243037690</v>
      </c>
      <c r="Y66" s="42">
        <f t="shared" ref="Y66:Y97" si="28">W66-X66</f>
        <v>31794594</v>
      </c>
      <c r="Z66" s="52">
        <v>45962</v>
      </c>
      <c r="AA66" s="52">
        <v>45991</v>
      </c>
      <c r="AB66" s="53">
        <f t="shared" ref="AB66:AB97" si="29">ROUND(YEARFRAC(Z66,AA66)*12,2)</f>
        <v>0.97</v>
      </c>
      <c r="AC66" s="42" t="s">
        <v>704</v>
      </c>
      <c r="AD66" s="48"/>
      <c r="AE66" s="48"/>
      <c r="AF66" t="s">
        <v>674</v>
      </c>
    </row>
    <row r="67" spans="1:32" ht="14.25" customHeight="1">
      <c r="A67" s="33" t="s">
        <v>442</v>
      </c>
      <c r="B67" s="34">
        <v>45971.819201238424</v>
      </c>
      <c r="C67" s="35" t="s">
        <v>105</v>
      </c>
      <c r="D67" s="5" t="s">
        <v>445</v>
      </c>
      <c r="E67" s="49">
        <v>40089730500</v>
      </c>
      <c r="F67" s="49">
        <v>28089671329</v>
      </c>
      <c r="G67" s="42">
        <f t="shared" si="20"/>
        <v>12000059171</v>
      </c>
      <c r="H67" s="49">
        <v>0</v>
      </c>
      <c r="I67" s="49">
        <v>0</v>
      </c>
      <c r="J67" s="42">
        <f t="shared" si="21"/>
        <v>0</v>
      </c>
      <c r="K67" s="49">
        <v>0</v>
      </c>
      <c r="L67" s="49">
        <v>0</v>
      </c>
      <c r="M67" s="42">
        <f t="shared" si="22"/>
        <v>0</v>
      </c>
      <c r="N67" s="49">
        <v>0</v>
      </c>
      <c r="O67" s="49">
        <v>0</v>
      </c>
      <c r="P67" s="42">
        <f t="shared" si="23"/>
        <v>0</v>
      </c>
      <c r="Q67" s="49">
        <v>0</v>
      </c>
      <c r="R67" s="49">
        <v>0</v>
      </c>
      <c r="S67" s="42">
        <f t="shared" si="24"/>
        <v>0</v>
      </c>
      <c r="T67" s="49">
        <v>0</v>
      </c>
      <c r="U67" s="49">
        <v>0</v>
      </c>
      <c r="V67" s="42">
        <f t="shared" si="25"/>
        <v>0</v>
      </c>
      <c r="W67" s="41">
        <f t="shared" si="26"/>
        <v>40089730500</v>
      </c>
      <c r="X67" s="41">
        <f t="shared" si="27"/>
        <v>28089671329</v>
      </c>
      <c r="Y67" s="42">
        <f t="shared" si="28"/>
        <v>12000059171</v>
      </c>
      <c r="Z67" s="52">
        <v>45962</v>
      </c>
      <c r="AA67" s="52">
        <v>47787</v>
      </c>
      <c r="AB67" s="53">
        <f t="shared" si="29"/>
        <v>60</v>
      </c>
      <c r="AC67" s="42" t="s">
        <v>705</v>
      </c>
      <c r="AD67" s="48"/>
      <c r="AE67" s="48"/>
    </row>
    <row r="68" spans="1:32" ht="14.25" customHeight="1">
      <c r="A68" s="36" t="s">
        <v>446</v>
      </c>
      <c r="B68" s="37">
        <v>45971.808570567133</v>
      </c>
      <c r="C68" s="35" t="s">
        <v>89</v>
      </c>
      <c r="D68" s="5" t="s">
        <v>449</v>
      </c>
      <c r="E68" s="49">
        <v>9361763265</v>
      </c>
      <c r="F68" s="49">
        <v>3323342988</v>
      </c>
      <c r="G68" s="42">
        <f t="shared" si="20"/>
        <v>6038420277</v>
      </c>
      <c r="H68" s="49">
        <v>0</v>
      </c>
      <c r="I68" s="49">
        <v>0</v>
      </c>
      <c r="J68" s="42">
        <f t="shared" si="21"/>
        <v>0</v>
      </c>
      <c r="K68" s="49">
        <v>0</v>
      </c>
      <c r="L68" s="49">
        <v>0</v>
      </c>
      <c r="M68" s="42">
        <f t="shared" si="22"/>
        <v>0</v>
      </c>
      <c r="N68" s="49">
        <v>0</v>
      </c>
      <c r="O68" s="49">
        <v>0</v>
      </c>
      <c r="P68" s="42">
        <f t="shared" si="23"/>
        <v>0</v>
      </c>
      <c r="Q68" s="49">
        <v>0</v>
      </c>
      <c r="R68" s="49">
        <v>0</v>
      </c>
      <c r="S68" s="42">
        <f t="shared" si="24"/>
        <v>0</v>
      </c>
      <c r="T68" s="49">
        <v>0</v>
      </c>
      <c r="U68" s="49">
        <v>0</v>
      </c>
      <c r="V68" s="42">
        <f t="shared" si="25"/>
        <v>0</v>
      </c>
      <c r="W68" s="41">
        <f t="shared" si="26"/>
        <v>9361763265</v>
      </c>
      <c r="X68" s="41">
        <f t="shared" si="27"/>
        <v>3323342988</v>
      </c>
      <c r="Y68" s="42">
        <f t="shared" si="28"/>
        <v>6038420277</v>
      </c>
      <c r="Z68" s="52">
        <v>45962</v>
      </c>
      <c r="AA68" s="52">
        <v>46021</v>
      </c>
      <c r="AB68" s="53">
        <f t="shared" si="29"/>
        <v>1.97</v>
      </c>
      <c r="AC68" s="42" t="s">
        <v>706</v>
      </c>
      <c r="AD68" s="48"/>
      <c r="AE68" s="48"/>
      <c r="AF68" t="s">
        <v>674</v>
      </c>
    </row>
    <row r="69" spans="1:32" ht="14.25" customHeight="1">
      <c r="A69" s="36" t="s">
        <v>450</v>
      </c>
      <c r="B69" s="37">
        <v>46020.703303703704</v>
      </c>
      <c r="C69" s="35" t="s">
        <v>100</v>
      </c>
      <c r="D69" s="5" t="s">
        <v>453</v>
      </c>
      <c r="E69" s="49">
        <v>680000000</v>
      </c>
      <c r="F69" s="49">
        <v>484465444</v>
      </c>
      <c r="G69" s="42">
        <f t="shared" si="20"/>
        <v>195534556</v>
      </c>
      <c r="H69" s="49">
        <v>0</v>
      </c>
      <c r="I69" s="49">
        <v>0</v>
      </c>
      <c r="J69" s="42">
        <f t="shared" si="21"/>
        <v>0</v>
      </c>
      <c r="K69" s="49">
        <v>0</v>
      </c>
      <c r="L69" s="49">
        <v>0</v>
      </c>
      <c r="M69" s="42">
        <f t="shared" si="22"/>
        <v>0</v>
      </c>
      <c r="N69" s="49">
        <v>0</v>
      </c>
      <c r="O69" s="49">
        <v>0</v>
      </c>
      <c r="P69" s="42">
        <f t="shared" si="23"/>
        <v>0</v>
      </c>
      <c r="Q69" s="49">
        <v>0</v>
      </c>
      <c r="R69" s="49">
        <v>0</v>
      </c>
      <c r="S69" s="42">
        <f t="shared" si="24"/>
        <v>0</v>
      </c>
      <c r="T69" s="49">
        <v>0</v>
      </c>
      <c r="U69" s="49">
        <v>0</v>
      </c>
      <c r="V69" s="42">
        <f t="shared" si="25"/>
        <v>0</v>
      </c>
      <c r="W69" s="41">
        <f t="shared" si="26"/>
        <v>680000000</v>
      </c>
      <c r="X69" s="41">
        <f t="shared" si="27"/>
        <v>484465444</v>
      </c>
      <c r="Y69" s="42">
        <f t="shared" si="28"/>
        <v>195534556</v>
      </c>
      <c r="Z69" s="52">
        <v>45965</v>
      </c>
      <c r="AA69" s="52">
        <v>46695</v>
      </c>
      <c r="AB69" s="53">
        <f t="shared" si="29"/>
        <v>24</v>
      </c>
      <c r="AC69" s="56" t="s">
        <v>707</v>
      </c>
      <c r="AD69" s="48"/>
      <c r="AE69" s="48"/>
    </row>
    <row r="70" spans="1:32" ht="14.25" customHeight="1">
      <c r="A70" s="36" t="s">
        <v>454</v>
      </c>
      <c r="B70" s="37">
        <v>46041.077208368057</v>
      </c>
      <c r="C70" s="35" t="s">
        <v>69</v>
      </c>
      <c r="D70" s="5" t="s">
        <v>457</v>
      </c>
      <c r="E70" s="49">
        <v>3540722356</v>
      </c>
      <c r="F70" s="49">
        <v>1965212706</v>
      </c>
      <c r="G70" s="42">
        <f t="shared" si="20"/>
        <v>1575509650</v>
      </c>
      <c r="H70" s="49">
        <v>0</v>
      </c>
      <c r="I70" s="49">
        <v>0</v>
      </c>
      <c r="J70" s="42">
        <f t="shared" si="21"/>
        <v>0</v>
      </c>
      <c r="K70" s="49">
        <v>0</v>
      </c>
      <c r="L70" s="49">
        <v>0</v>
      </c>
      <c r="M70" s="42">
        <f t="shared" si="22"/>
        <v>0</v>
      </c>
      <c r="N70" s="49">
        <v>0</v>
      </c>
      <c r="O70" s="49">
        <v>0</v>
      </c>
      <c r="P70" s="42">
        <f t="shared" si="23"/>
        <v>0</v>
      </c>
      <c r="Q70" s="49">
        <v>0</v>
      </c>
      <c r="R70" s="49">
        <v>0</v>
      </c>
      <c r="S70" s="42">
        <f t="shared" si="24"/>
        <v>0</v>
      </c>
      <c r="T70" s="49">
        <v>0</v>
      </c>
      <c r="U70" s="49">
        <v>0</v>
      </c>
      <c r="V70" s="42">
        <f t="shared" si="25"/>
        <v>0</v>
      </c>
      <c r="W70" s="41">
        <f t="shared" si="26"/>
        <v>3540722356</v>
      </c>
      <c r="X70" s="41">
        <f t="shared" si="27"/>
        <v>1965212706</v>
      </c>
      <c r="Y70" s="42">
        <f t="shared" si="28"/>
        <v>1575509650</v>
      </c>
      <c r="Z70" s="52">
        <v>45971</v>
      </c>
      <c r="AA70" s="52">
        <v>46022</v>
      </c>
      <c r="AB70" s="53">
        <f t="shared" si="29"/>
        <v>1.7</v>
      </c>
      <c r="AC70" s="42" t="s">
        <v>708</v>
      </c>
      <c r="AD70" s="48"/>
      <c r="AE70" s="48"/>
    </row>
    <row r="71" spans="1:32" ht="14.25" customHeight="1">
      <c r="A71" s="36" t="s">
        <v>458</v>
      </c>
      <c r="B71" s="37">
        <v>45979.850120914351</v>
      </c>
      <c r="C71" s="35" t="s">
        <v>90</v>
      </c>
      <c r="D71" s="5" t="s">
        <v>461</v>
      </c>
      <c r="E71" s="49">
        <v>7123723941</v>
      </c>
      <c r="F71" s="49">
        <v>4749361914</v>
      </c>
      <c r="G71" s="42">
        <f t="shared" si="20"/>
        <v>2374362027</v>
      </c>
      <c r="H71" s="49">
        <v>0</v>
      </c>
      <c r="I71" s="49">
        <v>0</v>
      </c>
      <c r="J71" s="42">
        <f t="shared" si="21"/>
        <v>0</v>
      </c>
      <c r="K71" s="49">
        <v>0</v>
      </c>
      <c r="L71" s="49">
        <v>0</v>
      </c>
      <c r="M71" s="42">
        <f t="shared" si="22"/>
        <v>0</v>
      </c>
      <c r="N71" s="49">
        <v>0</v>
      </c>
      <c r="O71" s="49">
        <v>0</v>
      </c>
      <c r="P71" s="42">
        <f t="shared" si="23"/>
        <v>0</v>
      </c>
      <c r="Q71" s="49">
        <v>0</v>
      </c>
      <c r="R71" s="49">
        <v>0</v>
      </c>
      <c r="S71" s="42">
        <f t="shared" si="24"/>
        <v>0</v>
      </c>
      <c r="T71" s="49">
        <v>0</v>
      </c>
      <c r="U71" s="49">
        <v>0</v>
      </c>
      <c r="V71" s="42">
        <f t="shared" si="25"/>
        <v>0</v>
      </c>
      <c r="W71" s="41">
        <f t="shared" si="26"/>
        <v>7123723941</v>
      </c>
      <c r="X71" s="41">
        <f t="shared" si="27"/>
        <v>4749361914</v>
      </c>
      <c r="Y71" s="42">
        <f t="shared" si="28"/>
        <v>2374362027</v>
      </c>
      <c r="Z71" s="52">
        <v>45976</v>
      </c>
      <c r="AA71" s="52">
        <v>46142</v>
      </c>
      <c r="AB71" s="53">
        <f t="shared" si="29"/>
        <v>5.5</v>
      </c>
      <c r="AC71" s="42" t="s">
        <v>709</v>
      </c>
      <c r="AD71" s="48"/>
      <c r="AE71" s="48"/>
    </row>
    <row r="72" spans="1:32" ht="14.25" customHeight="1">
      <c r="A72" s="33" t="s">
        <v>462</v>
      </c>
      <c r="B72" s="34">
        <v>45987.733444907404</v>
      </c>
      <c r="C72" s="35" t="s">
        <v>93</v>
      </c>
      <c r="D72" s="5" t="s">
        <v>465</v>
      </c>
      <c r="E72" s="49">
        <v>3311168919</v>
      </c>
      <c r="F72" s="49">
        <v>1597913499</v>
      </c>
      <c r="G72" s="42">
        <f t="shared" si="20"/>
        <v>1713255420</v>
      </c>
      <c r="H72" s="49">
        <v>0</v>
      </c>
      <c r="I72" s="49">
        <v>0</v>
      </c>
      <c r="J72" s="42">
        <f t="shared" si="21"/>
        <v>0</v>
      </c>
      <c r="K72" s="49">
        <v>0</v>
      </c>
      <c r="L72" s="49">
        <v>0</v>
      </c>
      <c r="M72" s="42">
        <f t="shared" si="22"/>
        <v>0</v>
      </c>
      <c r="N72" s="49">
        <v>0</v>
      </c>
      <c r="O72" s="49">
        <v>0</v>
      </c>
      <c r="P72" s="42">
        <f t="shared" si="23"/>
        <v>0</v>
      </c>
      <c r="Q72" s="49">
        <v>0</v>
      </c>
      <c r="R72" s="49">
        <v>0</v>
      </c>
      <c r="S72" s="42">
        <f t="shared" si="24"/>
        <v>0</v>
      </c>
      <c r="T72" s="49">
        <v>0</v>
      </c>
      <c r="U72" s="49">
        <v>0</v>
      </c>
      <c r="V72" s="42">
        <f t="shared" si="25"/>
        <v>0</v>
      </c>
      <c r="W72" s="41">
        <f t="shared" si="26"/>
        <v>3311168919</v>
      </c>
      <c r="X72" s="41">
        <f t="shared" si="27"/>
        <v>1597913499</v>
      </c>
      <c r="Y72" s="42">
        <f t="shared" si="28"/>
        <v>1713255420</v>
      </c>
      <c r="Z72" s="52">
        <v>45989</v>
      </c>
      <c r="AA72" s="52">
        <v>46293</v>
      </c>
      <c r="AB72" s="53">
        <f t="shared" si="29"/>
        <v>10</v>
      </c>
      <c r="AC72" s="42" t="s">
        <v>710</v>
      </c>
      <c r="AD72" s="48"/>
      <c r="AE72" s="48"/>
    </row>
    <row r="73" spans="1:32" ht="14.25" customHeight="1">
      <c r="A73" s="33" t="s">
        <v>466</v>
      </c>
      <c r="B73" s="34">
        <v>46048.831253240744</v>
      </c>
      <c r="C73" s="35" t="s">
        <v>95</v>
      </c>
      <c r="D73" s="5" t="s">
        <v>469</v>
      </c>
      <c r="E73" s="49">
        <v>235294118</v>
      </c>
      <c r="F73" s="49">
        <v>164669199</v>
      </c>
      <c r="G73" s="42">
        <f t="shared" si="20"/>
        <v>70624919</v>
      </c>
      <c r="H73" s="49">
        <v>0</v>
      </c>
      <c r="I73" s="49">
        <v>0</v>
      </c>
      <c r="J73" s="42">
        <f t="shared" si="21"/>
        <v>0</v>
      </c>
      <c r="K73" s="49">
        <v>0</v>
      </c>
      <c r="L73" s="49">
        <v>0</v>
      </c>
      <c r="M73" s="42">
        <f t="shared" si="22"/>
        <v>0</v>
      </c>
      <c r="N73" s="49">
        <v>0</v>
      </c>
      <c r="O73" s="49">
        <v>0</v>
      </c>
      <c r="P73" s="42">
        <f t="shared" si="23"/>
        <v>0</v>
      </c>
      <c r="Q73" s="49">
        <v>0</v>
      </c>
      <c r="R73" s="49">
        <v>0</v>
      </c>
      <c r="S73" s="42">
        <f t="shared" si="24"/>
        <v>0</v>
      </c>
      <c r="T73" s="49">
        <v>0</v>
      </c>
      <c r="U73" s="49">
        <v>0</v>
      </c>
      <c r="V73" s="42">
        <f t="shared" si="25"/>
        <v>0</v>
      </c>
      <c r="W73" s="41">
        <f t="shared" si="26"/>
        <v>235294118</v>
      </c>
      <c r="X73" s="41">
        <f t="shared" si="27"/>
        <v>164669199</v>
      </c>
      <c r="Y73" s="42">
        <f t="shared" si="28"/>
        <v>70624919</v>
      </c>
      <c r="Z73" s="52">
        <v>45992</v>
      </c>
      <c r="AA73" s="52">
        <v>46233</v>
      </c>
      <c r="AB73" s="53">
        <f t="shared" si="29"/>
        <v>7.97</v>
      </c>
      <c r="AC73" s="42" t="s">
        <v>711</v>
      </c>
      <c r="AD73" s="48"/>
      <c r="AE73" s="48"/>
    </row>
    <row r="74" spans="1:32" ht="14.25" customHeight="1">
      <c r="A74" s="33" t="s">
        <v>470</v>
      </c>
      <c r="B74" s="34">
        <v>45996.649671412037</v>
      </c>
      <c r="C74" s="35" t="s">
        <v>56</v>
      </c>
      <c r="D74" s="5" t="s">
        <v>473</v>
      </c>
      <c r="E74" s="49">
        <v>490045504</v>
      </c>
      <c r="F74" s="49">
        <v>247635015</v>
      </c>
      <c r="G74" s="42">
        <f t="shared" si="20"/>
        <v>242410489</v>
      </c>
      <c r="H74" s="49">
        <v>0</v>
      </c>
      <c r="I74" s="49">
        <v>0</v>
      </c>
      <c r="J74" s="42">
        <f t="shared" si="21"/>
        <v>0</v>
      </c>
      <c r="K74" s="49">
        <v>0</v>
      </c>
      <c r="L74" s="49">
        <v>0</v>
      </c>
      <c r="M74" s="42">
        <f t="shared" si="22"/>
        <v>0</v>
      </c>
      <c r="N74" s="49">
        <v>0</v>
      </c>
      <c r="O74" s="49">
        <v>0</v>
      </c>
      <c r="P74" s="42">
        <f t="shared" si="23"/>
        <v>0</v>
      </c>
      <c r="Q74" s="49">
        <v>0</v>
      </c>
      <c r="R74" s="49">
        <v>0</v>
      </c>
      <c r="S74" s="42">
        <f t="shared" si="24"/>
        <v>0</v>
      </c>
      <c r="T74" s="49">
        <v>0</v>
      </c>
      <c r="U74" s="49">
        <v>0</v>
      </c>
      <c r="V74" s="42">
        <f t="shared" si="25"/>
        <v>0</v>
      </c>
      <c r="W74" s="41">
        <f t="shared" si="26"/>
        <v>490045504</v>
      </c>
      <c r="X74" s="41">
        <f t="shared" si="27"/>
        <v>247635015</v>
      </c>
      <c r="Y74" s="42">
        <f t="shared" si="28"/>
        <v>242410489</v>
      </c>
      <c r="Z74" s="52">
        <v>45992</v>
      </c>
      <c r="AA74" s="52">
        <v>46022</v>
      </c>
      <c r="AB74" s="53">
        <f t="shared" si="29"/>
        <v>1</v>
      </c>
      <c r="AC74" s="42" t="s">
        <v>712</v>
      </c>
      <c r="AD74" s="48"/>
      <c r="AE74" s="48"/>
    </row>
    <row r="75" spans="1:32" ht="14.25" customHeight="1">
      <c r="A75" s="33" t="s">
        <v>474</v>
      </c>
      <c r="B75" s="34">
        <v>46021.841486574071</v>
      </c>
      <c r="C75" s="35" t="s">
        <v>110</v>
      </c>
      <c r="D75" s="5" t="s">
        <v>477</v>
      </c>
      <c r="E75" s="49">
        <v>3996613445</v>
      </c>
      <c r="F75" s="49">
        <v>3013668998</v>
      </c>
      <c r="G75" s="42">
        <f t="shared" si="20"/>
        <v>982944447</v>
      </c>
      <c r="H75" s="49">
        <v>0</v>
      </c>
      <c r="I75" s="49">
        <v>0</v>
      </c>
      <c r="J75" s="42">
        <f t="shared" si="21"/>
        <v>0</v>
      </c>
      <c r="K75" s="49">
        <v>0</v>
      </c>
      <c r="L75" s="49">
        <v>0</v>
      </c>
      <c r="M75" s="42">
        <f t="shared" si="22"/>
        <v>0</v>
      </c>
      <c r="N75" s="49">
        <v>0</v>
      </c>
      <c r="O75" s="49">
        <v>0</v>
      </c>
      <c r="P75" s="42">
        <f t="shared" si="23"/>
        <v>0</v>
      </c>
      <c r="Q75" s="49">
        <v>0</v>
      </c>
      <c r="R75" s="49">
        <v>0</v>
      </c>
      <c r="S75" s="42">
        <f t="shared" si="24"/>
        <v>0</v>
      </c>
      <c r="T75" s="49">
        <v>0</v>
      </c>
      <c r="U75" s="49">
        <v>0</v>
      </c>
      <c r="V75" s="42">
        <f t="shared" si="25"/>
        <v>0</v>
      </c>
      <c r="W75" s="41">
        <f t="shared" si="26"/>
        <v>3996613445</v>
      </c>
      <c r="X75" s="41">
        <f t="shared" si="27"/>
        <v>3013668998</v>
      </c>
      <c r="Y75" s="42">
        <f t="shared" si="28"/>
        <v>982944447</v>
      </c>
      <c r="Z75" s="52">
        <v>46006</v>
      </c>
      <c r="AA75" s="52">
        <v>46766</v>
      </c>
      <c r="AB75" s="53">
        <f t="shared" si="29"/>
        <v>24.97</v>
      </c>
      <c r="AC75" s="42" t="s">
        <v>711</v>
      </c>
      <c r="AD75" s="48"/>
      <c r="AE75" s="48"/>
    </row>
    <row r="76" spans="1:32" ht="14.25" customHeight="1">
      <c r="A76" s="36" t="s">
        <v>478</v>
      </c>
      <c r="B76" s="37">
        <v>46014.647200694446</v>
      </c>
      <c r="C76" s="35" t="s">
        <v>66</v>
      </c>
      <c r="D76" s="5" t="s">
        <v>477</v>
      </c>
      <c r="E76" s="49">
        <v>529831933</v>
      </c>
      <c r="F76" s="49">
        <v>232025819</v>
      </c>
      <c r="G76" s="42">
        <f t="shared" si="20"/>
        <v>297806114</v>
      </c>
      <c r="H76" s="49">
        <v>0</v>
      </c>
      <c r="I76" s="49">
        <v>0</v>
      </c>
      <c r="J76" s="42">
        <f t="shared" si="21"/>
        <v>0</v>
      </c>
      <c r="K76" s="49">
        <v>0</v>
      </c>
      <c r="L76" s="49">
        <v>0</v>
      </c>
      <c r="M76" s="42">
        <f t="shared" si="22"/>
        <v>0</v>
      </c>
      <c r="N76" s="49">
        <v>0</v>
      </c>
      <c r="O76" s="49">
        <v>0</v>
      </c>
      <c r="P76" s="42">
        <f t="shared" si="23"/>
        <v>0</v>
      </c>
      <c r="Q76" s="49">
        <v>0</v>
      </c>
      <c r="R76" s="49">
        <v>0</v>
      </c>
      <c r="S76" s="42">
        <f t="shared" si="24"/>
        <v>0</v>
      </c>
      <c r="T76" s="49">
        <v>0</v>
      </c>
      <c r="U76" s="49">
        <v>0</v>
      </c>
      <c r="V76" s="42">
        <f t="shared" si="25"/>
        <v>0</v>
      </c>
      <c r="W76" s="41">
        <f t="shared" si="26"/>
        <v>529831933</v>
      </c>
      <c r="X76" s="41">
        <f t="shared" si="27"/>
        <v>232025819</v>
      </c>
      <c r="Y76" s="42">
        <f t="shared" si="28"/>
        <v>297806114</v>
      </c>
      <c r="Z76" s="52">
        <v>46006</v>
      </c>
      <c r="AA76" s="52">
        <v>46022</v>
      </c>
      <c r="AB76" s="53">
        <f t="shared" si="29"/>
        <v>0.53</v>
      </c>
      <c r="AC76" s="42" t="s">
        <v>713</v>
      </c>
      <c r="AD76" s="48"/>
      <c r="AE76" s="48"/>
    </row>
    <row r="77" spans="1:32" ht="14.25" customHeight="1">
      <c r="A77" s="33" t="s">
        <v>481</v>
      </c>
      <c r="B77" s="34">
        <v>46014.698107638891</v>
      </c>
      <c r="C77" s="35" t="s">
        <v>99</v>
      </c>
      <c r="D77" s="5" t="s">
        <v>477</v>
      </c>
      <c r="E77" s="49">
        <v>470952249</v>
      </c>
      <c r="F77" s="49">
        <v>273950155</v>
      </c>
      <c r="G77" s="42">
        <f t="shared" si="20"/>
        <v>197002094</v>
      </c>
      <c r="H77" s="49">
        <v>0</v>
      </c>
      <c r="I77" s="49">
        <v>0</v>
      </c>
      <c r="J77" s="42">
        <f t="shared" si="21"/>
        <v>0</v>
      </c>
      <c r="K77" s="49">
        <v>0</v>
      </c>
      <c r="L77" s="49">
        <v>0</v>
      </c>
      <c r="M77" s="42">
        <f t="shared" si="22"/>
        <v>0</v>
      </c>
      <c r="N77" s="49">
        <v>0</v>
      </c>
      <c r="O77" s="49">
        <v>0</v>
      </c>
      <c r="P77" s="42">
        <f t="shared" si="23"/>
        <v>0</v>
      </c>
      <c r="Q77" s="49">
        <v>0</v>
      </c>
      <c r="R77" s="49">
        <v>0</v>
      </c>
      <c r="S77" s="42">
        <f t="shared" si="24"/>
        <v>0</v>
      </c>
      <c r="T77" s="49">
        <v>0</v>
      </c>
      <c r="U77" s="49">
        <v>0</v>
      </c>
      <c r="V77" s="42">
        <f t="shared" si="25"/>
        <v>0</v>
      </c>
      <c r="W77" s="41">
        <f t="shared" si="26"/>
        <v>470952249</v>
      </c>
      <c r="X77" s="41">
        <f t="shared" si="27"/>
        <v>273950155</v>
      </c>
      <c r="Y77" s="42">
        <f t="shared" si="28"/>
        <v>197002094</v>
      </c>
      <c r="Z77" s="52">
        <v>46023</v>
      </c>
      <c r="AA77" s="52">
        <v>46387</v>
      </c>
      <c r="AB77" s="53">
        <f t="shared" si="29"/>
        <v>12</v>
      </c>
      <c r="AC77" s="42" t="s">
        <v>714</v>
      </c>
      <c r="AD77" s="48"/>
      <c r="AE77" s="48"/>
    </row>
    <row r="78" spans="1:32" ht="14.25" customHeight="1">
      <c r="A78" s="36" t="s">
        <v>484</v>
      </c>
      <c r="B78" s="37">
        <v>45995.592523460647</v>
      </c>
      <c r="C78" s="35" t="s">
        <v>109</v>
      </c>
      <c r="D78" s="5" t="s">
        <v>477</v>
      </c>
      <c r="E78" s="49">
        <v>10004915054</v>
      </c>
      <c r="F78" s="49">
        <v>6633609996</v>
      </c>
      <c r="G78" s="42">
        <f t="shared" si="20"/>
        <v>3371305058</v>
      </c>
      <c r="H78" s="49">
        <v>0</v>
      </c>
      <c r="I78" s="49">
        <v>0</v>
      </c>
      <c r="J78" s="42">
        <f t="shared" si="21"/>
        <v>0</v>
      </c>
      <c r="K78" s="49">
        <v>0</v>
      </c>
      <c r="L78" s="49">
        <v>0</v>
      </c>
      <c r="M78" s="42">
        <f t="shared" si="22"/>
        <v>0</v>
      </c>
      <c r="N78" s="49">
        <v>0</v>
      </c>
      <c r="O78" s="49">
        <v>0</v>
      </c>
      <c r="P78" s="42">
        <f t="shared" si="23"/>
        <v>0</v>
      </c>
      <c r="Q78" s="49">
        <v>0</v>
      </c>
      <c r="R78" s="49">
        <v>0</v>
      </c>
      <c r="S78" s="42">
        <f t="shared" si="24"/>
        <v>0</v>
      </c>
      <c r="T78" s="49">
        <v>0</v>
      </c>
      <c r="U78" s="49">
        <v>0</v>
      </c>
      <c r="V78" s="42">
        <f t="shared" si="25"/>
        <v>0</v>
      </c>
      <c r="W78" s="41">
        <f t="shared" si="26"/>
        <v>10004915054</v>
      </c>
      <c r="X78" s="41">
        <f t="shared" si="27"/>
        <v>6633609996</v>
      </c>
      <c r="Y78" s="42">
        <f t="shared" si="28"/>
        <v>3371305058</v>
      </c>
      <c r="Z78" s="52">
        <v>46023</v>
      </c>
      <c r="AA78" s="52">
        <v>46387</v>
      </c>
      <c r="AB78" s="53">
        <f t="shared" si="29"/>
        <v>12</v>
      </c>
      <c r="AC78" s="42" t="s">
        <v>715</v>
      </c>
      <c r="AD78" s="48"/>
      <c r="AE78" s="48"/>
    </row>
    <row r="79" spans="1:32" ht="14.25" customHeight="1">
      <c r="A79" s="36" t="s">
        <v>488</v>
      </c>
      <c r="B79" s="37">
        <v>45971.887886886572</v>
      </c>
      <c r="C79" s="35" t="s">
        <v>98</v>
      </c>
      <c r="D79" s="5" t="s">
        <v>491</v>
      </c>
      <c r="E79" s="49">
        <v>8389307480</v>
      </c>
      <c r="F79" s="49">
        <v>4291127184</v>
      </c>
      <c r="G79" s="42">
        <f t="shared" si="20"/>
        <v>4098180296</v>
      </c>
      <c r="H79" s="32">
        <v>3061752760</v>
      </c>
      <c r="I79" s="32">
        <v>1832811027</v>
      </c>
      <c r="J79" s="42">
        <f t="shared" si="21"/>
        <v>1228941733</v>
      </c>
      <c r="K79" s="49">
        <v>0</v>
      </c>
      <c r="L79" s="49">
        <v>0</v>
      </c>
      <c r="M79" s="42">
        <f t="shared" si="22"/>
        <v>0</v>
      </c>
      <c r="N79" s="49">
        <v>0</v>
      </c>
      <c r="O79" s="49">
        <v>0</v>
      </c>
      <c r="P79" s="42">
        <f t="shared" si="23"/>
        <v>0</v>
      </c>
      <c r="Q79" s="49">
        <v>0</v>
      </c>
      <c r="R79" s="49">
        <v>0</v>
      </c>
      <c r="S79" s="42">
        <f t="shared" si="24"/>
        <v>0</v>
      </c>
      <c r="T79" s="49">
        <v>0</v>
      </c>
      <c r="U79" s="49">
        <v>0</v>
      </c>
      <c r="V79" s="42">
        <f t="shared" si="25"/>
        <v>0</v>
      </c>
      <c r="W79" s="41">
        <f t="shared" si="26"/>
        <v>11451060240</v>
      </c>
      <c r="X79" s="41">
        <f t="shared" si="27"/>
        <v>6123938211</v>
      </c>
      <c r="Y79" s="42">
        <f t="shared" si="28"/>
        <v>5327122029</v>
      </c>
      <c r="Z79" s="52">
        <v>46023</v>
      </c>
      <c r="AA79" s="52">
        <v>46113</v>
      </c>
      <c r="AB79" s="53">
        <f t="shared" si="29"/>
        <v>3</v>
      </c>
      <c r="AC79" s="42" t="s">
        <v>716</v>
      </c>
      <c r="AD79" s="48"/>
      <c r="AE79" s="48"/>
    </row>
    <row r="80" spans="1:32" ht="14.25" customHeight="1">
      <c r="A80" s="36" t="s">
        <v>492</v>
      </c>
      <c r="B80" s="37">
        <v>46051.084417627317</v>
      </c>
      <c r="C80" s="35" t="s">
        <v>103</v>
      </c>
      <c r="D80" s="5" t="s">
        <v>477</v>
      </c>
      <c r="E80" s="49">
        <v>1407563025</v>
      </c>
      <c r="F80" s="49">
        <v>950366338</v>
      </c>
      <c r="G80" s="42">
        <f t="shared" si="20"/>
        <v>457196687</v>
      </c>
      <c r="H80" s="49">
        <v>0</v>
      </c>
      <c r="I80" s="49">
        <v>0</v>
      </c>
      <c r="J80" s="42">
        <f t="shared" si="21"/>
        <v>0</v>
      </c>
      <c r="K80" s="49">
        <v>0</v>
      </c>
      <c r="L80" s="49">
        <v>0</v>
      </c>
      <c r="M80" s="42">
        <f t="shared" si="22"/>
        <v>0</v>
      </c>
      <c r="N80" s="49">
        <v>0</v>
      </c>
      <c r="O80" s="49">
        <v>0</v>
      </c>
      <c r="P80" s="42">
        <f t="shared" si="23"/>
        <v>0</v>
      </c>
      <c r="Q80" s="49">
        <v>0</v>
      </c>
      <c r="R80" s="49">
        <v>0</v>
      </c>
      <c r="S80" s="42">
        <f t="shared" si="24"/>
        <v>0</v>
      </c>
      <c r="T80" s="49">
        <v>0</v>
      </c>
      <c r="U80" s="49">
        <v>0</v>
      </c>
      <c r="V80" s="42">
        <f t="shared" si="25"/>
        <v>0</v>
      </c>
      <c r="W80" s="41">
        <f t="shared" si="26"/>
        <v>1407563025</v>
      </c>
      <c r="X80" s="41">
        <f t="shared" si="27"/>
        <v>950366338</v>
      </c>
      <c r="Y80" s="42">
        <f t="shared" si="28"/>
        <v>457196687</v>
      </c>
      <c r="Z80" s="52">
        <v>46045</v>
      </c>
      <c r="AA80" s="52">
        <v>46591</v>
      </c>
      <c r="AB80" s="53">
        <f t="shared" si="29"/>
        <v>18</v>
      </c>
      <c r="AC80" s="42" t="s">
        <v>717</v>
      </c>
      <c r="AD80" s="48"/>
      <c r="AE80" s="48"/>
    </row>
    <row r="81" spans="1:35" ht="14.25" customHeight="1">
      <c r="A81" s="33" t="s">
        <v>495</v>
      </c>
      <c r="B81" s="34">
        <v>46051.102793749997</v>
      </c>
      <c r="C81" s="35" t="s">
        <v>106</v>
      </c>
      <c r="D81" s="5" t="s">
        <v>498</v>
      </c>
      <c r="E81" s="49">
        <v>1277120000</v>
      </c>
      <c r="F81" s="49">
        <v>820808275</v>
      </c>
      <c r="G81" s="42">
        <f t="shared" si="20"/>
        <v>456311725</v>
      </c>
      <c r="H81" s="49">
        <v>0</v>
      </c>
      <c r="I81" s="49">
        <v>0</v>
      </c>
      <c r="J81" s="42">
        <f t="shared" si="21"/>
        <v>0</v>
      </c>
      <c r="K81" s="49">
        <v>0</v>
      </c>
      <c r="L81" s="49">
        <v>0</v>
      </c>
      <c r="M81" s="42">
        <f t="shared" si="22"/>
        <v>0</v>
      </c>
      <c r="N81" s="49">
        <v>0</v>
      </c>
      <c r="O81" s="49">
        <v>0</v>
      </c>
      <c r="P81" s="42">
        <f t="shared" si="23"/>
        <v>0</v>
      </c>
      <c r="Q81" s="49">
        <v>0</v>
      </c>
      <c r="R81" s="49">
        <v>0</v>
      </c>
      <c r="S81" s="42">
        <f t="shared" si="24"/>
        <v>0</v>
      </c>
      <c r="T81" s="49">
        <v>0</v>
      </c>
      <c r="U81" s="49">
        <v>0</v>
      </c>
      <c r="V81" s="42">
        <f t="shared" si="25"/>
        <v>0</v>
      </c>
      <c r="W81" s="41">
        <f t="shared" si="26"/>
        <v>1277120000</v>
      </c>
      <c r="X81" s="41">
        <f t="shared" si="27"/>
        <v>820808275</v>
      </c>
      <c r="Y81" s="42">
        <f t="shared" si="28"/>
        <v>456311725</v>
      </c>
      <c r="Z81" s="52">
        <v>46054</v>
      </c>
      <c r="AA81" s="52">
        <v>46843</v>
      </c>
      <c r="AB81" s="53">
        <f t="shared" si="29"/>
        <v>26</v>
      </c>
      <c r="AC81" s="56" t="s">
        <v>718</v>
      </c>
      <c r="AD81" s="48"/>
      <c r="AE81" s="48"/>
    </row>
    <row r="82" spans="1:35" ht="14.25" customHeight="1">
      <c r="A82" s="33" t="s">
        <v>499</v>
      </c>
      <c r="B82" s="34">
        <v>46048.919891203703</v>
      </c>
      <c r="C82" s="35" t="s">
        <v>112</v>
      </c>
      <c r="D82" s="5" t="s">
        <v>502</v>
      </c>
      <c r="E82" s="49">
        <v>747857140</v>
      </c>
      <c r="F82" s="49">
        <v>559316354</v>
      </c>
      <c r="G82" s="42">
        <f t="shared" si="20"/>
        <v>188540786</v>
      </c>
      <c r="H82" s="49">
        <v>0</v>
      </c>
      <c r="I82" s="49">
        <v>0</v>
      </c>
      <c r="J82" s="42">
        <f t="shared" si="21"/>
        <v>0</v>
      </c>
      <c r="K82" s="49">
        <v>0</v>
      </c>
      <c r="L82" s="49">
        <v>0</v>
      </c>
      <c r="M82" s="42">
        <f t="shared" si="22"/>
        <v>0</v>
      </c>
      <c r="N82" s="49">
        <v>0</v>
      </c>
      <c r="O82" s="49">
        <v>0</v>
      </c>
      <c r="P82" s="42">
        <f t="shared" si="23"/>
        <v>0</v>
      </c>
      <c r="Q82" s="49">
        <v>0</v>
      </c>
      <c r="R82" s="49">
        <v>0</v>
      </c>
      <c r="S82" s="42">
        <f t="shared" si="24"/>
        <v>0</v>
      </c>
      <c r="T82" s="49">
        <v>0</v>
      </c>
      <c r="U82" s="49">
        <v>0</v>
      </c>
      <c r="V82" s="42">
        <f t="shared" si="25"/>
        <v>0</v>
      </c>
      <c r="W82" s="41">
        <f t="shared" si="26"/>
        <v>747857140</v>
      </c>
      <c r="X82" s="41">
        <f t="shared" si="27"/>
        <v>559316354</v>
      </c>
      <c r="Y82" s="42">
        <f t="shared" si="28"/>
        <v>188540786</v>
      </c>
      <c r="Z82" s="52">
        <v>46054</v>
      </c>
      <c r="AA82" s="52">
        <v>46233</v>
      </c>
      <c r="AB82" s="53">
        <f t="shared" si="29"/>
        <v>5.97</v>
      </c>
      <c r="AC82" s="42" t="s">
        <v>719</v>
      </c>
      <c r="AD82" s="48"/>
      <c r="AE82" s="48"/>
    </row>
    <row r="83" spans="1:35" ht="14.25" customHeight="1">
      <c r="A83" s="36" t="s">
        <v>503</v>
      </c>
      <c r="B83" s="37">
        <v>46048.901636655093</v>
      </c>
      <c r="C83" s="35" t="s">
        <v>108</v>
      </c>
      <c r="D83" s="5" t="s">
        <v>506</v>
      </c>
      <c r="E83" s="49">
        <v>2117492209</v>
      </c>
      <c r="F83" s="49">
        <v>1203158624</v>
      </c>
      <c r="G83" s="42">
        <f t="shared" si="20"/>
        <v>914333585</v>
      </c>
      <c r="H83" s="49">
        <v>0</v>
      </c>
      <c r="I83" s="49">
        <v>0</v>
      </c>
      <c r="J83" s="42">
        <f t="shared" si="21"/>
        <v>0</v>
      </c>
      <c r="K83" s="49">
        <v>0</v>
      </c>
      <c r="L83" s="49">
        <v>0</v>
      </c>
      <c r="M83" s="42">
        <f t="shared" si="22"/>
        <v>0</v>
      </c>
      <c r="N83" s="49">
        <v>0</v>
      </c>
      <c r="O83" s="49">
        <v>0</v>
      </c>
      <c r="P83" s="42">
        <f t="shared" si="23"/>
        <v>0</v>
      </c>
      <c r="Q83" s="49">
        <v>0</v>
      </c>
      <c r="R83" s="49">
        <v>0</v>
      </c>
      <c r="S83" s="42">
        <f t="shared" si="24"/>
        <v>0</v>
      </c>
      <c r="T83" s="49">
        <v>0</v>
      </c>
      <c r="U83" s="49">
        <v>0</v>
      </c>
      <c r="V83" s="42">
        <f t="shared" si="25"/>
        <v>0</v>
      </c>
      <c r="W83" s="41">
        <f t="shared" si="26"/>
        <v>2117492209</v>
      </c>
      <c r="X83" s="41">
        <f t="shared" si="27"/>
        <v>1203158624</v>
      </c>
      <c r="Y83" s="42">
        <f t="shared" si="28"/>
        <v>914333585</v>
      </c>
      <c r="Z83" s="52">
        <v>46054</v>
      </c>
      <c r="AA83" s="52">
        <v>46112</v>
      </c>
      <c r="AB83" s="53">
        <f t="shared" si="29"/>
        <v>2</v>
      </c>
      <c r="AC83" s="56" t="s">
        <v>720</v>
      </c>
      <c r="AD83" s="48"/>
      <c r="AE83" s="48"/>
    </row>
    <row r="84" spans="1:35" ht="14.25" customHeight="1">
      <c r="A84" s="33" t="s">
        <v>528</v>
      </c>
      <c r="B84" s="34">
        <v>45747.902970868054</v>
      </c>
      <c r="C84" s="35" t="s">
        <v>529</v>
      </c>
      <c r="D84" s="5" t="s">
        <v>533</v>
      </c>
      <c r="E84" s="49">
        <v>5640168067</v>
      </c>
      <c r="F84" s="49">
        <v>3323223361</v>
      </c>
      <c r="G84" s="42">
        <f t="shared" si="20"/>
        <v>2316944706</v>
      </c>
      <c r="H84" s="49">
        <v>0</v>
      </c>
      <c r="I84" s="49">
        <v>0</v>
      </c>
      <c r="J84" s="42">
        <f t="shared" si="21"/>
        <v>0</v>
      </c>
      <c r="K84" s="49">
        <v>0</v>
      </c>
      <c r="L84" s="49">
        <v>0</v>
      </c>
      <c r="M84" s="42">
        <f t="shared" si="22"/>
        <v>0</v>
      </c>
      <c r="N84" s="49">
        <v>0</v>
      </c>
      <c r="O84" s="49">
        <v>0</v>
      </c>
      <c r="P84" s="42">
        <f t="shared" si="23"/>
        <v>0</v>
      </c>
      <c r="Q84" s="49">
        <v>0</v>
      </c>
      <c r="R84" s="49">
        <v>0</v>
      </c>
      <c r="S84" s="42">
        <f t="shared" si="24"/>
        <v>0</v>
      </c>
      <c r="T84" s="49">
        <v>0</v>
      </c>
      <c r="U84" s="49">
        <v>0</v>
      </c>
      <c r="V84" s="42">
        <f t="shared" si="25"/>
        <v>0</v>
      </c>
      <c r="W84" s="41">
        <f t="shared" si="26"/>
        <v>5640168067</v>
      </c>
      <c r="X84" s="41">
        <f t="shared" si="27"/>
        <v>3323223361</v>
      </c>
      <c r="Y84" s="42">
        <f t="shared" si="28"/>
        <v>2316944706</v>
      </c>
      <c r="Z84" s="52"/>
      <c r="AA84" s="52"/>
      <c r="AB84" s="53">
        <f t="shared" si="29"/>
        <v>0</v>
      </c>
      <c r="AC84" s="42"/>
      <c r="AD84" s="48"/>
      <c r="AE84" s="48"/>
    </row>
    <row r="85" spans="1:35" ht="14.25" customHeight="1">
      <c r="A85" s="36" t="s">
        <v>540</v>
      </c>
      <c r="B85" s="37">
        <v>46041.539982604168</v>
      </c>
      <c r="C85" s="35" t="s">
        <v>541</v>
      </c>
      <c r="D85" s="5" t="s">
        <v>544</v>
      </c>
      <c r="E85" s="49">
        <v>50780299</v>
      </c>
      <c r="F85" s="49">
        <v>29711952</v>
      </c>
      <c r="G85" s="42">
        <f t="shared" si="20"/>
        <v>21068347</v>
      </c>
      <c r="H85" s="49">
        <v>0</v>
      </c>
      <c r="I85" s="49">
        <v>0</v>
      </c>
      <c r="J85" s="42">
        <f t="shared" si="21"/>
        <v>0</v>
      </c>
      <c r="K85" s="49">
        <v>0</v>
      </c>
      <c r="L85" s="49">
        <v>0</v>
      </c>
      <c r="M85" s="42">
        <f t="shared" si="22"/>
        <v>0</v>
      </c>
      <c r="N85" s="49">
        <v>0</v>
      </c>
      <c r="O85" s="49">
        <v>0</v>
      </c>
      <c r="P85" s="42">
        <f t="shared" si="23"/>
        <v>0</v>
      </c>
      <c r="Q85" s="49">
        <v>0</v>
      </c>
      <c r="R85" s="49">
        <v>0</v>
      </c>
      <c r="S85" s="42">
        <f t="shared" si="24"/>
        <v>0</v>
      </c>
      <c r="T85" s="49">
        <v>0</v>
      </c>
      <c r="U85" s="49">
        <v>0</v>
      </c>
      <c r="V85" s="42">
        <f t="shared" si="25"/>
        <v>0</v>
      </c>
      <c r="W85" s="41">
        <f t="shared" si="26"/>
        <v>50780299</v>
      </c>
      <c r="X85" s="41">
        <f t="shared" si="27"/>
        <v>29711952</v>
      </c>
      <c r="Y85" s="42">
        <f t="shared" si="28"/>
        <v>21068347</v>
      </c>
      <c r="Z85" s="52"/>
      <c r="AA85" s="52"/>
      <c r="AB85" s="53">
        <f t="shared" si="29"/>
        <v>0</v>
      </c>
      <c r="AC85" s="42"/>
      <c r="AD85" s="48"/>
      <c r="AE85" s="48"/>
      <c r="AF85" t="s">
        <v>674</v>
      </c>
    </row>
    <row r="86" spans="1:35" ht="14.25" customHeight="1">
      <c r="A86" s="33" t="s">
        <v>545</v>
      </c>
      <c r="B86" s="34">
        <v>46041.516546261577</v>
      </c>
      <c r="C86" s="35" t="s">
        <v>546</v>
      </c>
      <c r="D86" s="5" t="s">
        <v>549</v>
      </c>
      <c r="E86" s="49">
        <v>692074655</v>
      </c>
      <c r="F86" s="49">
        <v>315533593</v>
      </c>
      <c r="G86" s="42">
        <f t="shared" si="20"/>
        <v>376541062</v>
      </c>
      <c r="H86" s="49">
        <v>0</v>
      </c>
      <c r="I86" s="49">
        <v>0</v>
      </c>
      <c r="J86" s="42">
        <f t="shared" si="21"/>
        <v>0</v>
      </c>
      <c r="K86" s="49">
        <v>0</v>
      </c>
      <c r="L86" s="49">
        <v>0</v>
      </c>
      <c r="M86" s="42">
        <f t="shared" si="22"/>
        <v>0</v>
      </c>
      <c r="N86" s="49">
        <v>0</v>
      </c>
      <c r="O86" s="49">
        <v>0</v>
      </c>
      <c r="P86" s="42">
        <f t="shared" si="23"/>
        <v>0</v>
      </c>
      <c r="Q86" s="49">
        <v>0</v>
      </c>
      <c r="R86" s="49">
        <v>0</v>
      </c>
      <c r="S86" s="42">
        <f t="shared" si="24"/>
        <v>0</v>
      </c>
      <c r="T86" s="49">
        <v>0</v>
      </c>
      <c r="U86" s="49">
        <v>0</v>
      </c>
      <c r="V86" s="42">
        <f t="shared" si="25"/>
        <v>0</v>
      </c>
      <c r="W86" s="41">
        <f t="shared" si="26"/>
        <v>692074655</v>
      </c>
      <c r="X86" s="41">
        <f t="shared" si="27"/>
        <v>315533593</v>
      </c>
      <c r="Y86" s="42">
        <f t="shared" si="28"/>
        <v>376541062</v>
      </c>
      <c r="Z86" s="52"/>
      <c r="AA86" s="52"/>
      <c r="AB86" s="53">
        <f t="shared" si="29"/>
        <v>0</v>
      </c>
      <c r="AC86" s="42"/>
      <c r="AD86" s="48"/>
      <c r="AE86" s="48"/>
    </row>
    <row r="87" spans="1:35" ht="14.25" customHeight="1">
      <c r="A87" s="36" t="s">
        <v>550</v>
      </c>
      <c r="B87" s="37">
        <v>45932.728403240741</v>
      </c>
      <c r="C87" s="35" t="s">
        <v>551</v>
      </c>
      <c r="D87" s="5" t="s">
        <v>533</v>
      </c>
      <c r="E87" s="49"/>
      <c r="F87" s="49"/>
      <c r="G87" s="42">
        <f t="shared" si="20"/>
        <v>0</v>
      </c>
      <c r="H87" s="49">
        <v>0</v>
      </c>
      <c r="I87" s="49">
        <v>0</v>
      </c>
      <c r="J87" s="42">
        <f t="shared" si="21"/>
        <v>0</v>
      </c>
      <c r="K87" s="49">
        <v>0</v>
      </c>
      <c r="L87" s="49">
        <v>0</v>
      </c>
      <c r="M87" s="42">
        <f t="shared" si="22"/>
        <v>0</v>
      </c>
      <c r="N87" s="49">
        <v>0</v>
      </c>
      <c r="O87" s="49">
        <v>0</v>
      </c>
      <c r="P87" s="42">
        <f t="shared" si="23"/>
        <v>0</v>
      </c>
      <c r="Q87" s="49">
        <v>0</v>
      </c>
      <c r="R87" s="49">
        <v>0</v>
      </c>
      <c r="S87" s="42">
        <f t="shared" si="24"/>
        <v>0</v>
      </c>
      <c r="T87" s="49">
        <v>0</v>
      </c>
      <c r="U87" s="49">
        <v>0</v>
      </c>
      <c r="V87" s="42">
        <f t="shared" si="25"/>
        <v>0</v>
      </c>
      <c r="W87" s="41">
        <f t="shared" si="26"/>
        <v>0</v>
      </c>
      <c r="X87" s="41">
        <f t="shared" si="27"/>
        <v>0</v>
      </c>
      <c r="Y87" s="42">
        <f t="shared" si="28"/>
        <v>0</v>
      </c>
      <c r="Z87" s="52"/>
      <c r="AA87" s="52"/>
      <c r="AB87" s="53">
        <f t="shared" si="29"/>
        <v>0</v>
      </c>
      <c r="AC87" s="42"/>
      <c r="AD87" s="48"/>
      <c r="AE87" s="48"/>
      <c r="AF87" t="s">
        <v>674</v>
      </c>
    </row>
    <row r="88" spans="1:35" ht="14.25" customHeight="1">
      <c r="A88" s="36" t="s">
        <v>554</v>
      </c>
      <c r="B88" s="37">
        <v>45904.844133680555</v>
      </c>
      <c r="C88" s="35" t="s">
        <v>555</v>
      </c>
      <c r="D88" s="5" t="s">
        <v>558</v>
      </c>
      <c r="E88" s="49"/>
      <c r="F88" s="49"/>
      <c r="G88" s="42">
        <f t="shared" si="20"/>
        <v>0</v>
      </c>
      <c r="H88" s="49">
        <v>0</v>
      </c>
      <c r="I88" s="49">
        <v>0</v>
      </c>
      <c r="J88" s="42">
        <f t="shared" si="21"/>
        <v>0</v>
      </c>
      <c r="K88" s="49">
        <v>0</v>
      </c>
      <c r="L88" s="49">
        <v>0</v>
      </c>
      <c r="M88" s="42">
        <f t="shared" si="22"/>
        <v>0</v>
      </c>
      <c r="N88" s="49">
        <v>0</v>
      </c>
      <c r="O88" s="49">
        <v>0</v>
      </c>
      <c r="P88" s="42">
        <f t="shared" si="23"/>
        <v>0</v>
      </c>
      <c r="Q88" s="49">
        <v>0</v>
      </c>
      <c r="R88" s="49">
        <v>0</v>
      </c>
      <c r="S88" s="42">
        <f t="shared" si="24"/>
        <v>0</v>
      </c>
      <c r="T88" s="49">
        <v>0</v>
      </c>
      <c r="U88" s="49">
        <v>0</v>
      </c>
      <c r="V88" s="42">
        <f t="shared" si="25"/>
        <v>0</v>
      </c>
      <c r="W88" s="41">
        <f t="shared" si="26"/>
        <v>0</v>
      </c>
      <c r="X88" s="41">
        <f t="shared" si="27"/>
        <v>0</v>
      </c>
      <c r="Y88" s="42">
        <f t="shared" si="28"/>
        <v>0</v>
      </c>
      <c r="Z88" s="52"/>
      <c r="AA88" s="52"/>
      <c r="AB88" s="53">
        <f t="shared" si="29"/>
        <v>0</v>
      </c>
      <c r="AC88" s="42"/>
      <c r="AD88" s="48"/>
      <c r="AE88" s="48"/>
    </row>
    <row r="89" spans="1:35" ht="14.25" customHeight="1">
      <c r="A89" s="33" t="s">
        <v>559</v>
      </c>
      <c r="B89" s="34">
        <v>45827.960147141202</v>
      </c>
      <c r="C89" s="35" t="s">
        <v>560</v>
      </c>
      <c r="D89" s="5" t="s">
        <v>533</v>
      </c>
      <c r="E89" s="49"/>
      <c r="F89" s="49"/>
      <c r="G89" s="42">
        <f t="shared" si="20"/>
        <v>0</v>
      </c>
      <c r="H89" s="32">
        <v>0</v>
      </c>
      <c r="I89" s="32">
        <v>0</v>
      </c>
      <c r="J89" s="42">
        <f t="shared" si="21"/>
        <v>0</v>
      </c>
      <c r="K89" s="49">
        <v>0</v>
      </c>
      <c r="L89" s="49">
        <v>0</v>
      </c>
      <c r="M89" s="42">
        <f t="shared" si="22"/>
        <v>0</v>
      </c>
      <c r="N89" s="49">
        <v>0</v>
      </c>
      <c r="O89" s="49">
        <v>0</v>
      </c>
      <c r="P89" s="42">
        <f t="shared" si="23"/>
        <v>0</v>
      </c>
      <c r="Q89" s="49">
        <v>0</v>
      </c>
      <c r="R89" s="49">
        <v>0</v>
      </c>
      <c r="S89" s="42">
        <f t="shared" si="24"/>
        <v>0</v>
      </c>
      <c r="T89" s="49">
        <v>0</v>
      </c>
      <c r="U89" s="49">
        <v>0</v>
      </c>
      <c r="V89" s="42">
        <f t="shared" si="25"/>
        <v>0</v>
      </c>
      <c r="W89" s="41">
        <f t="shared" si="26"/>
        <v>0</v>
      </c>
      <c r="X89" s="41">
        <f t="shared" si="27"/>
        <v>0</v>
      </c>
      <c r="Y89" s="42">
        <f t="shared" si="28"/>
        <v>0</v>
      </c>
      <c r="Z89" s="52"/>
      <c r="AA89" s="52"/>
      <c r="AB89" s="53">
        <f t="shared" si="29"/>
        <v>0</v>
      </c>
      <c r="AC89" s="42"/>
      <c r="AD89" s="48"/>
      <c r="AE89" s="48"/>
    </row>
    <row r="90" spans="1:35" ht="14.25" customHeight="1">
      <c r="A90" s="36" t="s">
        <v>563</v>
      </c>
      <c r="B90" s="37">
        <v>45827.94186929398</v>
      </c>
      <c r="C90" s="35" t="s">
        <v>564</v>
      </c>
      <c r="D90" s="5"/>
      <c r="E90" s="49"/>
      <c r="F90" s="49"/>
      <c r="G90" s="42">
        <f t="shared" si="20"/>
        <v>0</v>
      </c>
      <c r="H90" s="49">
        <v>0</v>
      </c>
      <c r="I90" s="49">
        <v>0</v>
      </c>
      <c r="J90" s="42">
        <f t="shared" si="21"/>
        <v>0</v>
      </c>
      <c r="K90" s="49">
        <v>0</v>
      </c>
      <c r="L90" s="49">
        <v>0</v>
      </c>
      <c r="M90" s="42">
        <f t="shared" si="22"/>
        <v>0</v>
      </c>
      <c r="N90" s="49">
        <v>0</v>
      </c>
      <c r="O90" s="49">
        <v>0</v>
      </c>
      <c r="P90" s="42">
        <f t="shared" si="23"/>
        <v>0</v>
      </c>
      <c r="Q90" s="49">
        <v>0</v>
      </c>
      <c r="R90" s="49">
        <v>0</v>
      </c>
      <c r="S90" s="42">
        <f t="shared" si="24"/>
        <v>0</v>
      </c>
      <c r="T90" s="49">
        <v>0</v>
      </c>
      <c r="U90" s="49">
        <v>0</v>
      </c>
      <c r="V90" s="42">
        <f t="shared" si="25"/>
        <v>0</v>
      </c>
      <c r="W90" s="41">
        <f t="shared" si="26"/>
        <v>0</v>
      </c>
      <c r="X90" s="41">
        <f t="shared" si="27"/>
        <v>0</v>
      </c>
      <c r="Y90" s="42">
        <f t="shared" si="28"/>
        <v>0</v>
      </c>
      <c r="Z90" s="52"/>
      <c r="AA90" s="52"/>
      <c r="AB90" s="53">
        <f t="shared" si="29"/>
        <v>0</v>
      </c>
      <c r="AC90" s="42"/>
      <c r="AD90" s="48"/>
      <c r="AE90" s="48"/>
    </row>
    <row r="91" spans="1:35" ht="14.25" customHeight="1">
      <c r="A91" s="36" t="s">
        <v>567</v>
      </c>
      <c r="B91" s="37">
        <v>45720.964197256944</v>
      </c>
      <c r="C91" s="35" t="s">
        <v>568</v>
      </c>
      <c r="D91" s="5" t="s">
        <v>533</v>
      </c>
      <c r="E91" s="49"/>
      <c r="F91" s="49"/>
      <c r="G91" s="42">
        <f t="shared" si="20"/>
        <v>0</v>
      </c>
      <c r="H91" s="49">
        <v>0</v>
      </c>
      <c r="I91" s="49">
        <v>0</v>
      </c>
      <c r="J91" s="42">
        <f t="shared" si="21"/>
        <v>0</v>
      </c>
      <c r="K91" s="49">
        <v>0</v>
      </c>
      <c r="L91" s="49">
        <v>0</v>
      </c>
      <c r="M91" s="42">
        <f t="shared" si="22"/>
        <v>0</v>
      </c>
      <c r="N91" s="49">
        <v>0</v>
      </c>
      <c r="O91" s="49">
        <v>0</v>
      </c>
      <c r="P91" s="42">
        <f t="shared" si="23"/>
        <v>0</v>
      </c>
      <c r="Q91" s="49">
        <v>0</v>
      </c>
      <c r="R91" s="49">
        <v>0</v>
      </c>
      <c r="S91" s="42">
        <f t="shared" si="24"/>
        <v>0</v>
      </c>
      <c r="T91" s="49">
        <v>0</v>
      </c>
      <c r="U91" s="49">
        <v>0</v>
      </c>
      <c r="V91" s="42">
        <f t="shared" si="25"/>
        <v>0</v>
      </c>
      <c r="W91" s="41">
        <f t="shared" si="26"/>
        <v>0</v>
      </c>
      <c r="X91" s="41">
        <f t="shared" si="27"/>
        <v>0</v>
      </c>
      <c r="Y91" s="42">
        <f t="shared" si="28"/>
        <v>0</v>
      </c>
      <c r="Z91" s="52"/>
      <c r="AA91" s="52"/>
      <c r="AB91" s="53">
        <f t="shared" si="29"/>
        <v>0</v>
      </c>
      <c r="AC91" s="42"/>
      <c r="AD91" s="48"/>
      <c r="AE91" s="48"/>
      <c r="AF91" t="s">
        <v>674</v>
      </c>
    </row>
    <row r="92" spans="1:35" ht="14.25" customHeight="1">
      <c r="A92" s="33" t="s">
        <v>576</v>
      </c>
      <c r="B92" s="34">
        <v>45589.607612071763</v>
      </c>
      <c r="C92" s="35" t="s">
        <v>577</v>
      </c>
      <c r="D92" s="5" t="s">
        <v>580</v>
      </c>
      <c r="E92" s="49"/>
      <c r="F92" s="49"/>
      <c r="G92" s="42">
        <f t="shared" si="20"/>
        <v>0</v>
      </c>
      <c r="H92" s="49">
        <v>0</v>
      </c>
      <c r="I92" s="49">
        <v>0</v>
      </c>
      <c r="J92" s="42">
        <f t="shared" si="21"/>
        <v>0</v>
      </c>
      <c r="K92" s="49">
        <v>0</v>
      </c>
      <c r="L92" s="49">
        <v>0</v>
      </c>
      <c r="M92" s="42">
        <f t="shared" si="22"/>
        <v>0</v>
      </c>
      <c r="N92" s="49">
        <v>0</v>
      </c>
      <c r="O92" s="49">
        <v>0</v>
      </c>
      <c r="P92" s="42">
        <f t="shared" si="23"/>
        <v>0</v>
      </c>
      <c r="Q92" s="49">
        <v>0</v>
      </c>
      <c r="R92" s="49">
        <v>0</v>
      </c>
      <c r="S92" s="42">
        <f t="shared" si="24"/>
        <v>0</v>
      </c>
      <c r="T92" s="49">
        <v>0</v>
      </c>
      <c r="U92" s="49">
        <v>0</v>
      </c>
      <c r="V92" s="42">
        <f t="shared" si="25"/>
        <v>0</v>
      </c>
      <c r="W92" s="41">
        <f t="shared" si="26"/>
        <v>0</v>
      </c>
      <c r="X92" s="41">
        <f t="shared" si="27"/>
        <v>0</v>
      </c>
      <c r="Y92" s="42">
        <f t="shared" si="28"/>
        <v>0</v>
      </c>
      <c r="Z92" s="52"/>
      <c r="AA92" s="52"/>
      <c r="AB92" s="53">
        <f t="shared" si="29"/>
        <v>0</v>
      </c>
      <c r="AC92" s="42"/>
      <c r="AD92" s="48"/>
      <c r="AE92" s="48"/>
    </row>
    <row r="93" spans="1:35" ht="14.25" customHeight="1">
      <c r="A93" s="36" t="s">
        <v>581</v>
      </c>
      <c r="B93" s="37">
        <v>45589.586044791664</v>
      </c>
      <c r="C93" s="35" t="s">
        <v>582</v>
      </c>
      <c r="D93" s="5" t="s">
        <v>585</v>
      </c>
      <c r="E93" s="49">
        <v>305817000</v>
      </c>
      <c r="F93" s="49">
        <v>183312819</v>
      </c>
      <c r="G93" s="42">
        <f t="shared" si="20"/>
        <v>122504181</v>
      </c>
      <c r="H93" s="49">
        <v>0</v>
      </c>
      <c r="I93" s="49">
        <v>0</v>
      </c>
      <c r="J93" s="42">
        <f t="shared" si="21"/>
        <v>0</v>
      </c>
      <c r="K93" s="49">
        <v>0</v>
      </c>
      <c r="L93" s="49">
        <v>0</v>
      </c>
      <c r="M93" s="42">
        <f t="shared" si="22"/>
        <v>0</v>
      </c>
      <c r="N93" s="49">
        <v>0</v>
      </c>
      <c r="O93" s="49">
        <v>0</v>
      </c>
      <c r="P93" s="42">
        <f t="shared" si="23"/>
        <v>0</v>
      </c>
      <c r="Q93" s="49">
        <v>0</v>
      </c>
      <c r="R93" s="49">
        <v>0</v>
      </c>
      <c r="S93" s="42">
        <f t="shared" si="24"/>
        <v>0</v>
      </c>
      <c r="T93" s="49">
        <v>0</v>
      </c>
      <c r="U93" s="49">
        <v>0</v>
      </c>
      <c r="V93" s="42">
        <f t="shared" si="25"/>
        <v>0</v>
      </c>
      <c r="W93" s="41">
        <f t="shared" si="26"/>
        <v>305817000</v>
      </c>
      <c r="X93" s="41">
        <f t="shared" si="27"/>
        <v>183312819</v>
      </c>
      <c r="Y93" s="42">
        <f t="shared" si="28"/>
        <v>122504181</v>
      </c>
      <c r="Z93" s="52"/>
      <c r="AA93" s="52"/>
      <c r="AB93" s="53">
        <f t="shared" si="29"/>
        <v>0</v>
      </c>
      <c r="AC93" s="42"/>
      <c r="AD93" s="48"/>
      <c r="AE93" s="48"/>
      <c r="AG93" s="31"/>
      <c r="AH93" s="31"/>
      <c r="AI93" s="31"/>
    </row>
    <row r="94" spans="1:35" ht="14.25" customHeight="1">
      <c r="A94" s="33" t="s">
        <v>586</v>
      </c>
      <c r="B94" s="34">
        <v>45583.902996874996</v>
      </c>
      <c r="C94" s="35" t="s">
        <v>587</v>
      </c>
      <c r="D94" s="5" t="s">
        <v>591</v>
      </c>
      <c r="E94" s="49"/>
      <c r="F94" s="49"/>
      <c r="G94" s="42">
        <f t="shared" si="20"/>
        <v>0</v>
      </c>
      <c r="H94" s="49">
        <v>0</v>
      </c>
      <c r="I94" s="49">
        <v>0</v>
      </c>
      <c r="J94" s="42">
        <f t="shared" si="21"/>
        <v>0</v>
      </c>
      <c r="K94" s="49">
        <v>0</v>
      </c>
      <c r="L94" s="49">
        <v>0</v>
      </c>
      <c r="M94" s="42">
        <f t="shared" si="22"/>
        <v>0</v>
      </c>
      <c r="N94" s="49">
        <v>0</v>
      </c>
      <c r="O94" s="49">
        <v>0</v>
      </c>
      <c r="P94" s="42">
        <f t="shared" si="23"/>
        <v>0</v>
      </c>
      <c r="Q94" s="49">
        <v>0</v>
      </c>
      <c r="R94" s="49">
        <v>0</v>
      </c>
      <c r="S94" s="42">
        <f t="shared" si="24"/>
        <v>0</v>
      </c>
      <c r="T94" s="49">
        <v>0</v>
      </c>
      <c r="U94" s="49">
        <v>0</v>
      </c>
      <c r="V94" s="42">
        <f t="shared" si="25"/>
        <v>0</v>
      </c>
      <c r="W94" s="41">
        <f t="shared" si="26"/>
        <v>0</v>
      </c>
      <c r="X94" s="41">
        <f t="shared" si="27"/>
        <v>0</v>
      </c>
      <c r="Y94" s="42">
        <f t="shared" si="28"/>
        <v>0</v>
      </c>
      <c r="Z94" s="52"/>
      <c r="AA94" s="52"/>
      <c r="AB94" s="53">
        <f t="shared" si="29"/>
        <v>0</v>
      </c>
      <c r="AC94" s="42"/>
      <c r="AD94" s="48"/>
      <c r="AE94" s="48"/>
    </row>
    <row r="95" spans="1:35" ht="14.25" customHeight="1">
      <c r="A95" s="36" t="s">
        <v>592</v>
      </c>
      <c r="B95" s="37">
        <v>45422.862878009262</v>
      </c>
      <c r="C95" s="35" t="s">
        <v>593</v>
      </c>
      <c r="D95" s="5"/>
      <c r="E95" s="49"/>
      <c r="F95" s="49"/>
      <c r="G95" s="42">
        <f t="shared" si="20"/>
        <v>0</v>
      </c>
      <c r="H95" s="49">
        <v>0</v>
      </c>
      <c r="I95" s="49">
        <v>0</v>
      </c>
      <c r="J95" s="42">
        <f t="shared" si="21"/>
        <v>0</v>
      </c>
      <c r="K95" s="49">
        <v>0</v>
      </c>
      <c r="L95" s="49">
        <v>0</v>
      </c>
      <c r="M95" s="42">
        <f t="shared" si="22"/>
        <v>0</v>
      </c>
      <c r="N95" s="49">
        <v>0</v>
      </c>
      <c r="O95" s="49">
        <v>0</v>
      </c>
      <c r="P95" s="42">
        <f t="shared" si="23"/>
        <v>0</v>
      </c>
      <c r="Q95" s="49">
        <v>0</v>
      </c>
      <c r="R95" s="49">
        <v>0</v>
      </c>
      <c r="S95" s="42">
        <f t="shared" si="24"/>
        <v>0</v>
      </c>
      <c r="T95" s="49">
        <v>0</v>
      </c>
      <c r="U95" s="49">
        <v>0</v>
      </c>
      <c r="V95" s="42">
        <f t="shared" si="25"/>
        <v>0</v>
      </c>
      <c r="W95" s="41">
        <f t="shared" si="26"/>
        <v>0</v>
      </c>
      <c r="X95" s="41">
        <f t="shared" si="27"/>
        <v>0</v>
      </c>
      <c r="Y95" s="42">
        <f t="shared" si="28"/>
        <v>0</v>
      </c>
      <c r="Z95" s="52"/>
      <c r="AA95" s="52"/>
      <c r="AB95" s="53">
        <f t="shared" si="29"/>
        <v>0</v>
      </c>
      <c r="AC95" s="42"/>
      <c r="AD95" s="48"/>
      <c r="AE95" s="48"/>
    </row>
    <row r="96" spans="1:35" ht="14.25" customHeight="1">
      <c r="A96" s="36" t="s">
        <v>596</v>
      </c>
      <c r="B96" s="37">
        <v>45406.929531712965</v>
      </c>
      <c r="C96" s="35" t="s">
        <v>597</v>
      </c>
      <c r="D96" s="5" t="s">
        <v>600</v>
      </c>
      <c r="E96" s="49"/>
      <c r="F96" s="49"/>
      <c r="G96" s="42">
        <f t="shared" si="20"/>
        <v>0</v>
      </c>
      <c r="H96" s="49">
        <v>0</v>
      </c>
      <c r="I96" s="49">
        <v>0</v>
      </c>
      <c r="J96" s="42">
        <f t="shared" si="21"/>
        <v>0</v>
      </c>
      <c r="K96" s="49">
        <v>0</v>
      </c>
      <c r="L96" s="49">
        <v>0</v>
      </c>
      <c r="M96" s="42">
        <f t="shared" si="22"/>
        <v>0</v>
      </c>
      <c r="N96" s="49">
        <v>0</v>
      </c>
      <c r="O96" s="49">
        <v>0</v>
      </c>
      <c r="P96" s="42">
        <f t="shared" si="23"/>
        <v>0</v>
      </c>
      <c r="Q96" s="49">
        <v>0</v>
      </c>
      <c r="R96" s="49">
        <v>0</v>
      </c>
      <c r="S96" s="42">
        <f t="shared" si="24"/>
        <v>0</v>
      </c>
      <c r="T96" s="49">
        <v>0</v>
      </c>
      <c r="U96" s="49">
        <v>0</v>
      </c>
      <c r="V96" s="42">
        <f t="shared" si="25"/>
        <v>0</v>
      </c>
      <c r="W96" s="41">
        <f t="shared" si="26"/>
        <v>0</v>
      </c>
      <c r="X96" s="41">
        <f t="shared" si="27"/>
        <v>0</v>
      </c>
      <c r="Y96" s="42">
        <f t="shared" si="28"/>
        <v>0</v>
      </c>
      <c r="Z96" s="52"/>
      <c r="AA96" s="52"/>
      <c r="AB96" s="53">
        <f t="shared" si="29"/>
        <v>0</v>
      </c>
      <c r="AC96" s="42"/>
      <c r="AD96" s="48"/>
      <c r="AE96" s="48"/>
    </row>
    <row r="97" spans="1:33" ht="14.25" customHeight="1">
      <c r="A97" s="36" t="s">
        <v>601</v>
      </c>
      <c r="B97" s="37">
        <v>45362.86274837963</v>
      </c>
      <c r="C97" s="35" t="s">
        <v>602</v>
      </c>
      <c r="D97" s="5" t="s">
        <v>605</v>
      </c>
      <c r="E97" s="49">
        <v>0</v>
      </c>
      <c r="F97" s="49">
        <v>0</v>
      </c>
      <c r="G97" s="42">
        <f t="shared" si="20"/>
        <v>0</v>
      </c>
      <c r="H97" s="49">
        <v>0</v>
      </c>
      <c r="I97" s="49">
        <v>0</v>
      </c>
      <c r="J97" s="42">
        <f t="shared" si="21"/>
        <v>0</v>
      </c>
      <c r="K97" s="49">
        <v>0</v>
      </c>
      <c r="L97" s="49">
        <v>0</v>
      </c>
      <c r="M97" s="42">
        <f t="shared" si="22"/>
        <v>0</v>
      </c>
      <c r="N97" s="49">
        <v>0</v>
      </c>
      <c r="O97" s="49">
        <v>0</v>
      </c>
      <c r="P97" s="42">
        <f t="shared" si="23"/>
        <v>0</v>
      </c>
      <c r="Q97" s="49">
        <v>0</v>
      </c>
      <c r="R97" s="49">
        <v>0</v>
      </c>
      <c r="S97" s="42">
        <f t="shared" si="24"/>
        <v>0</v>
      </c>
      <c r="T97" s="49">
        <v>0</v>
      </c>
      <c r="U97" s="49">
        <v>0</v>
      </c>
      <c r="V97" s="42">
        <f t="shared" si="25"/>
        <v>0</v>
      </c>
      <c r="W97" s="41">
        <f t="shared" si="26"/>
        <v>0</v>
      </c>
      <c r="X97" s="41">
        <f t="shared" si="27"/>
        <v>0</v>
      </c>
      <c r="Y97" s="42">
        <f t="shared" si="28"/>
        <v>0</v>
      </c>
      <c r="Z97" s="52"/>
      <c r="AA97" s="52"/>
      <c r="AB97" s="53">
        <f t="shared" si="29"/>
        <v>0</v>
      </c>
      <c r="AC97" s="42"/>
      <c r="AD97" s="48"/>
      <c r="AE97" s="48"/>
    </row>
    <row r="98" spans="1:33" ht="14.25" customHeight="1">
      <c r="A98" s="38" t="s">
        <v>606</v>
      </c>
      <c r="B98" s="39">
        <v>45316.530267708331</v>
      </c>
      <c r="C98" s="35" t="s">
        <v>607</v>
      </c>
      <c r="D98" s="5" t="s">
        <v>610</v>
      </c>
      <c r="E98" s="49">
        <v>3431039559</v>
      </c>
      <c r="F98" s="49">
        <v>131281507</v>
      </c>
      <c r="G98" s="42">
        <f t="shared" ref="G98:G99" si="30">E98-F98</f>
        <v>3299758052</v>
      </c>
      <c r="H98" s="49">
        <v>0</v>
      </c>
      <c r="I98" s="49">
        <v>0</v>
      </c>
      <c r="J98" s="42">
        <f t="shared" ref="J98:J99" si="31">H98-I98</f>
        <v>0</v>
      </c>
      <c r="K98" s="49">
        <v>0</v>
      </c>
      <c r="L98" s="49">
        <v>0</v>
      </c>
      <c r="M98" s="42">
        <f t="shared" ref="M98:M99" si="32">K98-L98</f>
        <v>0</v>
      </c>
      <c r="N98" s="49">
        <v>0</v>
      </c>
      <c r="O98" s="49">
        <v>0</v>
      </c>
      <c r="P98" s="42">
        <f t="shared" ref="P98:P99" si="33">N98-O98</f>
        <v>0</v>
      </c>
      <c r="Q98" s="49">
        <v>0</v>
      </c>
      <c r="R98" s="49">
        <v>0</v>
      </c>
      <c r="S98" s="42">
        <f t="shared" ref="S98:S99" si="34">Q98-R98</f>
        <v>0</v>
      </c>
      <c r="T98" s="49">
        <v>0</v>
      </c>
      <c r="U98" s="49">
        <v>0</v>
      </c>
      <c r="V98" s="42">
        <f t="shared" ref="V98:V99" si="35">T98-U98</f>
        <v>0</v>
      </c>
      <c r="W98" s="41">
        <f t="shared" si="26"/>
        <v>3431039559</v>
      </c>
      <c r="X98" s="41">
        <f t="shared" si="27"/>
        <v>131281507</v>
      </c>
      <c r="Y98" s="42">
        <f t="shared" ref="Y98:Y99" si="36">W98-X98</f>
        <v>3299758052</v>
      </c>
      <c r="Z98" s="52"/>
      <c r="AA98" s="52"/>
      <c r="AB98" s="53">
        <f t="shared" ref="AB98:AB99" si="37">ROUND(YEARFRAC(Z98,AA98)*12,2)</f>
        <v>0</v>
      </c>
      <c r="AC98" s="42"/>
      <c r="AD98" s="48"/>
      <c r="AE98" s="48"/>
    </row>
    <row r="99" spans="1:33" ht="14.25" customHeight="1">
      <c r="A99" s="33" t="s">
        <v>611</v>
      </c>
      <c r="B99" s="34">
        <v>45316.514073460647</v>
      </c>
      <c r="C99" s="35" t="s">
        <v>612</v>
      </c>
      <c r="D99" s="5" t="s">
        <v>615</v>
      </c>
      <c r="E99" s="49"/>
      <c r="F99" s="49"/>
      <c r="G99" s="42">
        <f t="shared" si="30"/>
        <v>0</v>
      </c>
      <c r="H99" s="49">
        <v>0</v>
      </c>
      <c r="I99" s="49">
        <v>0</v>
      </c>
      <c r="J99" s="42">
        <f t="shared" si="31"/>
        <v>0</v>
      </c>
      <c r="K99" s="49">
        <v>0</v>
      </c>
      <c r="L99" s="49">
        <v>0</v>
      </c>
      <c r="M99" s="42">
        <f t="shared" si="32"/>
        <v>0</v>
      </c>
      <c r="N99" s="49">
        <v>0</v>
      </c>
      <c r="O99" s="49">
        <v>0</v>
      </c>
      <c r="P99" s="42">
        <f t="shared" si="33"/>
        <v>0</v>
      </c>
      <c r="Q99" s="49">
        <v>0</v>
      </c>
      <c r="R99" s="49">
        <v>0</v>
      </c>
      <c r="S99" s="42">
        <f t="shared" si="34"/>
        <v>0</v>
      </c>
      <c r="T99" s="49">
        <v>0</v>
      </c>
      <c r="U99" s="49">
        <v>0</v>
      </c>
      <c r="V99" s="42">
        <f t="shared" si="35"/>
        <v>0</v>
      </c>
      <c r="W99" s="41">
        <f t="shared" si="26"/>
        <v>0</v>
      </c>
      <c r="X99" s="41">
        <f t="shared" si="27"/>
        <v>0</v>
      </c>
      <c r="Y99" s="42">
        <f t="shared" si="36"/>
        <v>0</v>
      </c>
      <c r="Z99" s="52"/>
      <c r="AA99" s="52"/>
      <c r="AB99" s="53">
        <f t="shared" si="37"/>
        <v>0</v>
      </c>
      <c r="AC99" s="42"/>
      <c r="AD99" s="48"/>
      <c r="AE99" s="48"/>
    </row>
    <row r="100" spans="1:33" ht="14.25" customHeight="1">
      <c r="A100" s="116" t="s">
        <v>721</v>
      </c>
      <c r="B100" s="117">
        <v>46083.549100729164</v>
      </c>
      <c r="C100" s="118" t="s">
        <v>508</v>
      </c>
      <c r="D100" s="1">
        <v>403</v>
      </c>
      <c r="E100" s="49"/>
      <c r="F100" s="49"/>
      <c r="G100" s="42">
        <f t="shared" ref="G100" si="38">E100-F100</f>
        <v>0</v>
      </c>
      <c r="H100" s="49">
        <v>0</v>
      </c>
      <c r="I100" s="49">
        <v>0</v>
      </c>
      <c r="J100" s="42">
        <f t="shared" ref="J100" si="39">H100-I100</f>
        <v>0</v>
      </c>
      <c r="K100" s="49">
        <v>0</v>
      </c>
      <c r="L100" s="49">
        <v>0</v>
      </c>
      <c r="M100" s="42">
        <f t="shared" ref="M100" si="40">K100-L100</f>
        <v>0</v>
      </c>
      <c r="N100" s="49">
        <v>0</v>
      </c>
      <c r="O100" s="49">
        <v>0</v>
      </c>
      <c r="P100" s="42">
        <f t="shared" ref="P100" si="41">N100-O100</f>
        <v>0</v>
      </c>
      <c r="Q100" s="49">
        <v>0</v>
      </c>
      <c r="R100" s="49">
        <v>0</v>
      </c>
      <c r="S100" s="42">
        <f t="shared" ref="S100" si="42">Q100-R100</f>
        <v>0</v>
      </c>
      <c r="T100" s="49">
        <v>0</v>
      </c>
      <c r="U100" s="49">
        <v>0</v>
      </c>
      <c r="V100" s="42">
        <f t="shared" ref="V100" si="43">T100-U100</f>
        <v>0</v>
      </c>
      <c r="W100" s="41">
        <v>369748235</v>
      </c>
      <c r="X100" s="41">
        <v>233040579</v>
      </c>
      <c r="Y100" s="42">
        <f t="shared" ref="Y100" si="44">W100-X100</f>
        <v>136707656</v>
      </c>
      <c r="Z100" s="52">
        <v>46054</v>
      </c>
      <c r="AA100" s="52">
        <v>46387</v>
      </c>
      <c r="AB100" s="53">
        <f t="shared" ref="AB100" si="45">ROUND(YEARFRAC(Z100,AA100)*12,2)</f>
        <v>11</v>
      </c>
      <c r="AC100" s="118" t="s">
        <v>509</v>
      </c>
    </row>
    <row r="112" spans="1:33" ht="14.25" customHeight="1">
      <c r="AG112" t="s">
        <v>722</v>
      </c>
    </row>
    <row r="113" spans="33:33" ht="14.25" customHeight="1">
      <c r="AG113" t="s">
        <v>723</v>
      </c>
    </row>
    <row r="114" spans="33:33" ht="14.25" customHeight="1">
      <c r="AG114" s="47" t="s">
        <v>724</v>
      </c>
    </row>
    <row r="115" spans="33:33" ht="14.25" customHeight="1">
      <c r="AG115" t="s">
        <v>725</v>
      </c>
    </row>
    <row r="116" spans="33:33" ht="14.25" customHeight="1">
      <c r="AG116" t="s">
        <v>726</v>
      </c>
    </row>
    <row r="117" spans="33:33" ht="14.25" customHeight="1">
      <c r="AG117" t="s">
        <v>727</v>
      </c>
    </row>
    <row r="118" spans="33:33" ht="14.25" customHeight="1">
      <c r="AG118" t="s">
        <v>728</v>
      </c>
    </row>
    <row r="119" spans="33:33" ht="14.25" customHeight="1">
      <c r="AG119" s="43" t="s">
        <v>729</v>
      </c>
    </row>
    <row r="120" spans="33:33" ht="14.25" customHeight="1">
      <c r="AG120" s="44" t="s">
        <v>730</v>
      </c>
    </row>
    <row r="121" spans="33:33" ht="14.25" customHeight="1">
      <c r="AG121" s="44" t="s">
        <v>731</v>
      </c>
    </row>
    <row r="122" spans="33:33" ht="14.25" customHeight="1">
      <c r="AG122" t="s">
        <v>732</v>
      </c>
    </row>
  </sheetData>
  <conditionalFormatting sqref="C2:C40 C1:V1 C42:C99 C41:D41 Y1:AC1">
    <cfRule type="duplicateValues" dxfId="6" priority="16"/>
  </conditionalFormatting>
  <conditionalFormatting sqref="C2:C40 C1:V1 C42:C99 C41:D41">
    <cfRule type="duplicateValues" dxfId="5" priority="3"/>
  </conditionalFormatting>
  <conditionalFormatting sqref="D2:D40 D42:D99">
    <cfRule type="duplicateValues" dxfId="4" priority="1"/>
    <cfRule type="duplicateValues" dxfId="3" priority="2"/>
  </conditionalFormatting>
  <hyperlinks>
    <hyperlink ref="AC81" r:id="rId1" xr:uid="{E122974A-2F01-4FDD-953C-8A2777A10946}"/>
    <hyperlink ref="AC83" r:id="rId2" xr:uid="{49AFC1E9-BA64-4297-B5A1-5D8251823696}"/>
    <hyperlink ref="AC69" r:id="rId3" display="https://growdatasas.sharepoint.com/:x:/r/sites/Gestiondocumental/Administrativa/GD/Financiera/_layouts/15/Doc.aspx?sourcedoc=%7BD3D1C463-BD96-490E-8523-005453EFE334%7D&amp;file=20251301%20MODELO%20FINANCIERO%20REFERENCIA%20V7.4_CONTINUAR_SAAS_RAMA.xlsm&amp;action=default&amp;mobileredirect=true" xr:uid="{981BB300-48AD-4850-B15D-B10DEF4A0B20}"/>
    <hyperlink ref="AC42" r:id="rId4" display="https://growdatasas.sharepoint.com/:x:/r/sites/Gestiondocumental/Administrativa/GD/Financiera/_layouts/15/Doc.aspx?sourcedoc=%7B167860CE-829B-40EE-8C4A-E18B97AD9067%7D&amp;file=20251301%20ANT%20MODELO%20FINANCIERO%20REFERENCIA%20V7.4%20INFRAESTRUCTURA%20DC%20-%20SOC%209%20mes%2013%20dias%20-AJUSTADO%20CON%20EXA%2020251231.xlsm&amp;action=default&amp;mobileredirect=true" xr:uid="{4FD01D4A-29CA-42D7-9FBF-953BF22CA73E}"/>
    <hyperlink ref="AC49" r:id="rId5" display="https://growdatasas.sharepoint.com/:x:/r/sites/Gestiondocumental/Administrativa/GD/Financiera/_layouts/15/Doc.aspx?sourcedoc=%7B7342DE4F-42D6-43D5-B227-6B91A3A42F97%7D&amp;file=MODELO%20FINANCIERO%20ANT%20DESARROLLO%2BARQ%2BIA%2022.08.25%20V4.xlsm&amp;action=default&amp;mobileredirect=true" xr:uid="{31CC62EF-6C53-42B1-8772-C205F6153541}"/>
    <hyperlink ref="AC44" r:id="rId6" display="https://growdatasas.sharepoint.com/:x:/r/sites/Gestiondocumental/Administrativa/GD/Financiera/_layouts/15/Doc.aspx?sourcedoc=%7B9C76270D-595C-496E-97BB-8004054AF14A%7D&amp;file=20251301%20MODELO%20FINANCIERO%20REFERENCIA%20V7.4_ADRES_2A%C3%91OS_VF.xlsm&amp;action=default&amp;mobileredirect=true" xr:uid="{5758AAFB-DD05-4DE2-8A65-257B30CB3E39}"/>
    <hyperlink ref="AC43" r:id="rId7" display="https://growdatasas.sharepoint.com/:x:/r/sites/Gestiondocumental/Administrativa/GD/Financiera/_layouts/15/Doc.aspx?sourcedoc=%7B992F7B45-9CC9-43D2-9E9D-0F8A68C8C555%7D&amp;file=22052025%20MODELO%20FINANCIERO%20REFERENCIA%20V7.4_ANSV_V1.0.xlsm&amp;action=default&amp;mobileredirect=true" xr:uid="{4C8C5AD9-A52D-4194-A57E-4045C455AFEB}"/>
    <hyperlink ref="AC30" r:id="rId8" xr:uid="{23F5199F-1910-4028-AA31-1BE77CEB7DC8}"/>
    <hyperlink ref="AC59" r:id="rId9" display="https://growdatasas.sharepoint.com/:x:/r/sites/Gestiondocumental/Administrativa/GD/Financiera/_layouts/15/Doc.aspx?sourcedoc=%7B1DBFC819-A96C-4AF2-9C53-2D70E3ED9365%7D&amp;file=Modelo%20de%20negocio%20-%20Uniempresarial%20-%2020241127.xlsm&amp;action=default&amp;mobileredirect=true" xr:uid="{A0578484-868F-43CB-8F1C-50F7C25EBB52}"/>
    <hyperlink ref="AC24" r:id="rId10" display="https://growdatasas.sharepoint.com/:x:/r/sites/Gestiondocumental/Administrativa/GD/Financiera/_layouts/15/Doc.aspx?sourcedoc=%7B825EA9F7-C4AC-4367-8925-5CE1786AE91A%7D&amp;file=20241118%20MODELO%20FINANCIERO%20REFERENCIA%20V7.1_%20PERPETUIDAD_TOTAL.xlsm&amp;action=default&amp;mobileredirect=true" xr:uid="{F5F3691D-4235-4432-83FF-0B786014D7CA}"/>
    <hyperlink ref="AC25" r:id="rId11" display="https://growdatasas.sharepoint.com/:x:/r/sites/Gestiondocumental/Administrativa/GD/Financiera/_layouts/15/Doc.aspx?sourcedoc=%7BFBEECA15-7AD7-44CB-BB15-659366F92F74%7D&amp;file=20241115%20MODELO%20FINANCIERO%20REFERENCIA%20V7.1_RUNT_MIGRACION.xlsm&amp;action=default&amp;mobileredirect=true" xr:uid="{A15DEE50-2394-49B1-9764-D0554747C9BB}"/>
    <hyperlink ref="AC34" r:id="rId12" display="https://growdatasas.sharepoint.com/:x:/r/sites/Gestiondocumental/Administrativa/GD/Financiera/_layouts/15/Doc.aspx?sourcedoc=%7BD278ABBE-F1D6-4C56-888E-6E01CED7BFDD%7D&amp;file=SNR%20MIGRACION%203%20CIUDADES%20V6%20FINAL.xlsm&amp;action=default&amp;mobileredirect=true" xr:uid="{20A34134-C8BF-4A47-8742-2F9293DA2B21}"/>
    <hyperlink ref="AC2" r:id="rId13" display="https://growdatasas.sharepoint.com/:x:/r/sites/Gestiondocumental/Administrativa/GD/Financiera/_layouts/15/Doc.aspx?sourcedoc=%7BEA2AC996-D46C-4123-8126-7F0BE9537AF4%7D&amp;file=20241108%20MODELO%20FINANCIERO%20REFERENCIA%20V7.2%20APROBADO.xlsm&amp;action=default&amp;mobileredirect=true" xr:uid="{9CDAD407-085E-456F-BA54-EE0D2D07BD84}"/>
    <hyperlink ref="AC31" r:id="rId14" xr:uid="{8FA5B78A-DC89-462A-93B4-B1E3090915F2}"/>
    <hyperlink ref="AC32" r:id="rId15" display="https://growdatasas.sharepoint.com/:x:/r/sites/Gestiondocumental/Administrativa/GD/Financiera/_layouts/15/Doc.aspx?sourcedoc=%7BBEB26481-98E1-4A71-BC98-FA27225C2807%7D&amp;file=TELEFONICA%20ELECCIONES%20MODELO%20FINANCIERO%20V7.2%20MESA%20DE%20SERVICIO%2017102024.xlsm&amp;action=default&amp;mobileredirect=true" xr:uid="{D11EE100-E405-4980-9E16-81BACAF05A34}"/>
    <hyperlink ref="AC21" r:id="rId16" display="https://growdatasas.sharepoint.com/:x:/r/sites/Gestiondocumental/Administrativa/GD/Financiera/_layouts/15/Doc.aspx?sourcedoc=%7B8B953C7E-D0F5-422E-BC36-C51DAEC457DB%7D&amp;file=28082024%20MODELO%20FINANCIERO%20V7.1_DEFENSORIA_RENOVACION.xlsm&amp;action=default&amp;mobileredirect=true" xr:uid="{A5C09E16-7150-4952-9B8D-B2C38E4B6E9D}"/>
    <hyperlink ref="AC28" r:id="rId17" display="https://growdatasas.sharepoint.com/:x:/r/sites/Gestiondocumental/Administrativa/GD/Financiera/_layouts/15/Doc.aspx?sourcedoc=%7B7847B3E7-120E-4453-ABEB-FCCD451C6101%7D&amp;file=MODELO%20FINANCIERO%20REFERENCIA%20V7.2_Aprobado_Mintransporte_23092024%20V1.xlsm&amp;action=default&amp;mobileredirect=true" xr:uid="{78538EF8-0DC9-4110-B49E-20FBF762405A}"/>
    <hyperlink ref="AC23" r:id="rId18" xr:uid="{DBA94FE3-9F7C-43FE-8394-194E140F439B}"/>
    <hyperlink ref="AC20" r:id="rId19" xr:uid="{F447A10E-C947-4848-92D0-9221A6BF4B31}"/>
    <hyperlink ref="AC19" r:id="rId20" xr:uid="{DFB320B7-DEE2-451A-B2D6-6027AA42814E}"/>
    <hyperlink ref="AC17" r:id="rId21" display="https://growdatasas.sharepoint.com/:x:/r/sites/Gestiondocumental/Administrativa/GD/Financiera/_layouts/15/Doc.aspx?sourcedoc=%7B7CA5727E-8CD9-4225-BEF4-3B8118646894%7D&amp;file=20240530%20MODELO%20FINANCIERO%20REFERENCIA%20V7_472.xlsm&amp;action=default&amp;mobileredirect=true" xr:uid="{9CCCA8D8-7B28-4484-B325-064AE5023ABB}"/>
    <hyperlink ref="AC14" r:id="rId22" display="https://growdatasas.sharepoint.com/sites/Gestiondocumental/Administrativa/GD/Financiera/Documentos%20compartidos/Forms/AllItems.aspx?id=%2Fsites%2FGestiondocumental%2FAdministrativa%2FGD%2FFinanciera%2FDocumentos%20compartidos%2FAN%C3%81LISIS%20FINANCIERO%2FPMO%20SEGUIMIENTO%20A%20PROYECTOS%2F328%2E%20INFOTIC%20%2D%20ICFES%20%2D%20PRUEBAS%20CSJ&amp;viewid=8ba7db0b%2Dbb48%2D40cc%2Da532%2D9b5bc18760d5" xr:uid="{5CFB00B2-BF5C-471B-AAA9-67EE2069DF7B}"/>
    <hyperlink ref="AC4" r:id="rId23" xr:uid="{315B80F4-D3F7-4E76-A6FD-E11BFC4C47D0}"/>
    <hyperlink ref="AC5" r:id="rId24" xr:uid="{DB928E58-718B-4338-879E-34EBC050CE9D}"/>
  </hyperlinks>
  <pageMargins left="0.7" right="0.7" top="0.75" bottom="0.75" header="0.3" footer="0.3"/>
  <ignoredErrors>
    <ignoredError sqref="D1 D101:D1048576" numberStoredAsText="1"/>
  </ignoredErrors>
  <legacyDrawing r:id="rId2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2606-5286-4D3D-BC62-D296D14D21E4}">
  <sheetPr filterMode="1"/>
  <dimension ref="A1:J99"/>
  <sheetViews>
    <sheetView workbookViewId="0"/>
  </sheetViews>
  <sheetFormatPr defaultColWidth="11.42578125" defaultRowHeight="15"/>
  <cols>
    <col min="1" max="1" width="48.140625" style="1" bestFit="1" customWidth="1"/>
    <col min="2" max="3" width="18.28515625" hidden="1" customWidth="1"/>
    <col min="4" max="4" width="18.28515625" customWidth="1"/>
    <col min="5" max="5" width="7.28515625" customWidth="1"/>
    <col min="6" max="6" width="8" customWidth="1"/>
  </cols>
  <sheetData>
    <row r="1" spans="1:9">
      <c r="A1" s="51" t="s">
        <v>0</v>
      </c>
      <c r="B1" s="51" t="s">
        <v>127</v>
      </c>
      <c r="C1" s="51" t="s">
        <v>128</v>
      </c>
      <c r="D1" s="51" t="s">
        <v>129</v>
      </c>
      <c r="E1" s="2" t="s">
        <v>733</v>
      </c>
      <c r="F1" s="2" t="s">
        <v>734</v>
      </c>
      <c r="G1" s="2" t="s">
        <v>735</v>
      </c>
      <c r="H1" s="2" t="s">
        <v>736</v>
      </c>
      <c r="I1" s="2" t="s">
        <v>737</v>
      </c>
    </row>
    <row r="2" spans="1:9" hidden="1">
      <c r="A2" s="35" t="s">
        <v>60</v>
      </c>
      <c r="B2" s="52">
        <v>45292</v>
      </c>
      <c r="C2" s="52">
        <v>45321</v>
      </c>
      <c r="D2" s="53">
        <f t="shared" ref="D2:D33" si="0">ROUND(YEARFRAC(B2,C2)*12,2)</f>
        <v>0.97</v>
      </c>
      <c r="E2" s="2">
        <f t="shared" ref="E2:E33" si="1">YEAR(B2)</f>
        <v>2024</v>
      </c>
      <c r="F2" s="2">
        <f t="shared" ref="F2:F33" si="2">YEAR(C2)</f>
        <v>2024</v>
      </c>
      <c r="G2" s="2" t="str">
        <f t="shared" ref="G2:G33" si="3">TEXT(B2,"mmmm")</f>
        <v>enero</v>
      </c>
      <c r="H2" s="2" t="str">
        <f t="shared" ref="H2:H33" si="4">TEXT(C2,"mmmm")</f>
        <v>enero</v>
      </c>
      <c r="I2" s="2" t="s">
        <v>738</v>
      </c>
    </row>
    <row r="3" spans="1:9" hidden="1">
      <c r="A3" s="35" t="s">
        <v>68</v>
      </c>
      <c r="B3" s="52">
        <v>45292</v>
      </c>
      <c r="C3" s="52">
        <v>45381</v>
      </c>
      <c r="D3" s="53">
        <f t="shared" si="0"/>
        <v>2.97</v>
      </c>
      <c r="E3" s="2">
        <f t="shared" si="1"/>
        <v>2024</v>
      </c>
      <c r="F3" s="2">
        <f t="shared" si="2"/>
        <v>2024</v>
      </c>
      <c r="G3" s="2" t="str">
        <f t="shared" si="3"/>
        <v>enero</v>
      </c>
      <c r="H3" s="2" t="str">
        <f t="shared" si="4"/>
        <v>marzo</v>
      </c>
      <c r="I3" s="2" t="s">
        <v>738</v>
      </c>
    </row>
    <row r="4" spans="1:9">
      <c r="A4" s="35" t="s">
        <v>65</v>
      </c>
      <c r="B4" s="52">
        <v>45292</v>
      </c>
      <c r="C4" s="52">
        <v>45534</v>
      </c>
      <c r="D4" s="53">
        <f t="shared" si="0"/>
        <v>7.97</v>
      </c>
      <c r="E4" s="2">
        <f t="shared" si="1"/>
        <v>2024</v>
      </c>
      <c r="F4" s="2">
        <f t="shared" si="2"/>
        <v>2024</v>
      </c>
      <c r="G4" s="2" t="str">
        <f t="shared" si="3"/>
        <v>enero</v>
      </c>
      <c r="H4" s="2" t="str">
        <f t="shared" si="4"/>
        <v>agosto</v>
      </c>
      <c r="I4" s="2" t="s">
        <v>738</v>
      </c>
    </row>
    <row r="5" spans="1:9">
      <c r="A5" s="35" t="s">
        <v>76</v>
      </c>
      <c r="B5" s="52">
        <v>45300</v>
      </c>
      <c r="C5" s="52">
        <v>45473</v>
      </c>
      <c r="D5" s="53">
        <f t="shared" si="0"/>
        <v>5.7</v>
      </c>
      <c r="E5" s="2">
        <f t="shared" si="1"/>
        <v>2024</v>
      </c>
      <c r="F5" s="2">
        <f t="shared" si="2"/>
        <v>2024</v>
      </c>
      <c r="G5" s="2" t="str">
        <f t="shared" si="3"/>
        <v>enero</v>
      </c>
      <c r="H5" s="2" t="str">
        <f t="shared" si="4"/>
        <v>junio</v>
      </c>
      <c r="I5" s="2" t="s">
        <v>738</v>
      </c>
    </row>
    <row r="6" spans="1:9">
      <c r="A6" s="35" t="s">
        <v>85</v>
      </c>
      <c r="B6" s="52">
        <v>45300</v>
      </c>
      <c r="C6" s="52">
        <v>45473</v>
      </c>
      <c r="D6" s="53">
        <f t="shared" si="0"/>
        <v>5.7</v>
      </c>
      <c r="E6" s="2">
        <f t="shared" si="1"/>
        <v>2024</v>
      </c>
      <c r="F6" s="2">
        <f t="shared" si="2"/>
        <v>2024</v>
      </c>
      <c r="G6" s="2" t="str">
        <f t="shared" si="3"/>
        <v>enero</v>
      </c>
      <c r="H6" s="2" t="str">
        <f t="shared" si="4"/>
        <v>junio</v>
      </c>
      <c r="I6" s="2" t="s">
        <v>738</v>
      </c>
    </row>
    <row r="7" spans="1:9">
      <c r="A7" s="35" t="s">
        <v>77</v>
      </c>
      <c r="B7" s="52">
        <v>45306</v>
      </c>
      <c r="C7" s="52">
        <v>45412</v>
      </c>
      <c r="D7" s="53">
        <f t="shared" si="0"/>
        <v>3.5</v>
      </c>
      <c r="E7" s="2">
        <f t="shared" si="1"/>
        <v>2024</v>
      </c>
      <c r="F7" s="2">
        <f t="shared" si="2"/>
        <v>2024</v>
      </c>
      <c r="G7" s="2" t="str">
        <f t="shared" si="3"/>
        <v>enero</v>
      </c>
      <c r="H7" s="2" t="str">
        <f t="shared" si="4"/>
        <v>abril</v>
      </c>
      <c r="I7" s="2" t="s">
        <v>738</v>
      </c>
    </row>
    <row r="8" spans="1:9">
      <c r="A8" s="35" t="s">
        <v>39</v>
      </c>
      <c r="B8" s="52">
        <v>45345</v>
      </c>
      <c r="C8" s="52">
        <v>45587</v>
      </c>
      <c r="D8" s="53">
        <f t="shared" si="0"/>
        <v>7.97</v>
      </c>
      <c r="E8" s="2">
        <f t="shared" si="1"/>
        <v>2024</v>
      </c>
      <c r="F8" s="2">
        <f t="shared" si="2"/>
        <v>2024</v>
      </c>
      <c r="G8" s="2" t="str">
        <f t="shared" si="3"/>
        <v>febrero</v>
      </c>
      <c r="H8" s="2" t="str">
        <f t="shared" si="4"/>
        <v>octubre</v>
      </c>
      <c r="I8" s="2" t="s">
        <v>738</v>
      </c>
    </row>
    <row r="9" spans="1:9">
      <c r="A9" s="35" t="s">
        <v>75</v>
      </c>
      <c r="B9" s="52">
        <v>45352</v>
      </c>
      <c r="C9" s="52">
        <v>45534</v>
      </c>
      <c r="D9" s="53">
        <f t="shared" si="0"/>
        <v>5.97</v>
      </c>
      <c r="E9" s="2">
        <f t="shared" si="1"/>
        <v>2024</v>
      </c>
      <c r="F9" s="2">
        <f t="shared" si="2"/>
        <v>2024</v>
      </c>
      <c r="G9" s="2" t="str">
        <f t="shared" si="3"/>
        <v>marzo</v>
      </c>
      <c r="H9" s="2" t="str">
        <f t="shared" si="4"/>
        <v>agosto</v>
      </c>
      <c r="I9" s="2" t="s">
        <v>738</v>
      </c>
    </row>
    <row r="10" spans="1:9">
      <c r="A10" s="35" t="s">
        <v>64</v>
      </c>
      <c r="B10" s="52">
        <v>45369</v>
      </c>
      <c r="C10" s="52">
        <v>45552</v>
      </c>
      <c r="D10" s="53">
        <f t="shared" si="0"/>
        <v>5.97</v>
      </c>
      <c r="E10" s="2">
        <f t="shared" si="1"/>
        <v>2024</v>
      </c>
      <c r="F10" s="2">
        <f t="shared" si="2"/>
        <v>2024</v>
      </c>
      <c r="G10" s="2" t="str">
        <f t="shared" si="3"/>
        <v>marzo</v>
      </c>
      <c r="H10" s="2" t="str">
        <f t="shared" si="4"/>
        <v>septiembre</v>
      </c>
      <c r="I10" s="2" t="s">
        <v>738</v>
      </c>
    </row>
    <row r="11" spans="1:9">
      <c r="A11" s="35" t="s">
        <v>61</v>
      </c>
      <c r="B11" s="52">
        <v>45383</v>
      </c>
      <c r="C11" s="52">
        <v>45412</v>
      </c>
      <c r="D11" s="53">
        <f t="shared" si="0"/>
        <v>0.97</v>
      </c>
      <c r="E11" s="2">
        <f t="shared" si="1"/>
        <v>2024</v>
      </c>
      <c r="F11" s="2">
        <f t="shared" si="2"/>
        <v>2024</v>
      </c>
      <c r="G11" s="2" t="str">
        <f t="shared" si="3"/>
        <v>abril</v>
      </c>
      <c r="H11" s="2" t="str">
        <f t="shared" si="4"/>
        <v>abril</v>
      </c>
      <c r="I11" s="2" t="s">
        <v>738</v>
      </c>
    </row>
    <row r="12" spans="1:9">
      <c r="A12" s="35" t="s">
        <v>38</v>
      </c>
      <c r="B12" s="52">
        <v>45402</v>
      </c>
      <c r="C12" s="52">
        <v>45656</v>
      </c>
      <c r="D12" s="53">
        <f t="shared" si="0"/>
        <v>8.33</v>
      </c>
      <c r="E12" s="2">
        <f t="shared" si="1"/>
        <v>2024</v>
      </c>
      <c r="F12" s="2">
        <f t="shared" si="2"/>
        <v>2024</v>
      </c>
      <c r="G12" s="2" t="str">
        <f t="shared" si="3"/>
        <v>abril</v>
      </c>
      <c r="H12" s="2" t="str">
        <f t="shared" si="4"/>
        <v>diciembre</v>
      </c>
      <c r="I12" s="2" t="s">
        <v>738</v>
      </c>
    </row>
    <row r="13" spans="1:9">
      <c r="A13" s="35" t="s">
        <v>70</v>
      </c>
      <c r="B13" s="52">
        <v>45413</v>
      </c>
      <c r="C13" s="52">
        <v>45534</v>
      </c>
      <c r="D13" s="53">
        <f t="shared" si="0"/>
        <v>3.97</v>
      </c>
      <c r="E13" s="2">
        <f t="shared" si="1"/>
        <v>2024</v>
      </c>
      <c r="F13" s="2">
        <f t="shared" si="2"/>
        <v>2024</v>
      </c>
      <c r="G13" s="2" t="str">
        <f t="shared" si="3"/>
        <v>mayo</v>
      </c>
      <c r="H13" s="2" t="str">
        <f t="shared" si="4"/>
        <v>agosto</v>
      </c>
      <c r="I13" s="2" t="s">
        <v>738</v>
      </c>
    </row>
    <row r="14" spans="1:9">
      <c r="A14" s="35" t="s">
        <v>71</v>
      </c>
      <c r="B14" s="52">
        <v>45414</v>
      </c>
      <c r="C14" s="52">
        <v>45596</v>
      </c>
      <c r="D14" s="53">
        <f t="shared" si="0"/>
        <v>5.97</v>
      </c>
      <c r="E14" s="2">
        <f t="shared" si="1"/>
        <v>2024</v>
      </c>
      <c r="F14" s="2">
        <f t="shared" si="2"/>
        <v>2024</v>
      </c>
      <c r="G14" s="2" t="str">
        <f t="shared" si="3"/>
        <v>mayo</v>
      </c>
      <c r="H14" s="2" t="str">
        <f t="shared" si="4"/>
        <v>octubre</v>
      </c>
      <c r="I14" s="2" t="s">
        <v>738</v>
      </c>
    </row>
    <row r="15" spans="1:9">
      <c r="A15" s="35" t="s">
        <v>1</v>
      </c>
      <c r="B15" s="52">
        <v>45439</v>
      </c>
      <c r="C15" s="52">
        <v>46533</v>
      </c>
      <c r="D15" s="53">
        <f t="shared" si="0"/>
        <v>35.97</v>
      </c>
      <c r="E15" s="2">
        <f t="shared" si="1"/>
        <v>2024</v>
      </c>
      <c r="F15" s="2">
        <f t="shared" si="2"/>
        <v>2027</v>
      </c>
      <c r="G15" s="2" t="str">
        <f t="shared" si="3"/>
        <v>mayo</v>
      </c>
      <c r="H15" s="2" t="str">
        <f t="shared" si="4"/>
        <v>mayo</v>
      </c>
      <c r="I15" s="2" t="s">
        <v>738</v>
      </c>
    </row>
    <row r="16" spans="1:9">
      <c r="A16" s="35" t="s">
        <v>72</v>
      </c>
      <c r="B16" s="52">
        <v>45444</v>
      </c>
      <c r="C16" s="52">
        <v>45595</v>
      </c>
      <c r="D16" s="53">
        <f t="shared" si="0"/>
        <v>4.97</v>
      </c>
      <c r="E16" s="2">
        <f t="shared" si="1"/>
        <v>2024</v>
      </c>
      <c r="F16" s="2">
        <f t="shared" si="2"/>
        <v>2024</v>
      </c>
      <c r="G16" s="2" t="str">
        <f t="shared" si="3"/>
        <v>junio</v>
      </c>
      <c r="H16" s="2" t="str">
        <f t="shared" si="4"/>
        <v>octubre</v>
      </c>
      <c r="I16" s="2" t="s">
        <v>738</v>
      </c>
    </row>
    <row r="17" spans="1:9">
      <c r="A17" s="35" t="s">
        <v>63</v>
      </c>
      <c r="B17" s="52">
        <v>45444</v>
      </c>
      <c r="C17" s="52">
        <v>45503</v>
      </c>
      <c r="D17" s="53">
        <f t="shared" si="0"/>
        <v>1.97</v>
      </c>
      <c r="E17" s="2">
        <f t="shared" si="1"/>
        <v>2024</v>
      </c>
      <c r="F17" s="2">
        <f t="shared" si="2"/>
        <v>2024</v>
      </c>
      <c r="G17" s="2" t="str">
        <f t="shared" si="3"/>
        <v>junio</v>
      </c>
      <c r="H17" s="2" t="str">
        <f t="shared" si="4"/>
        <v>julio</v>
      </c>
      <c r="I17" s="2" t="s">
        <v>738</v>
      </c>
    </row>
    <row r="18" spans="1:9">
      <c r="A18" s="35" t="s">
        <v>36</v>
      </c>
      <c r="B18" s="52">
        <v>45450</v>
      </c>
      <c r="C18" s="52">
        <v>45510</v>
      </c>
      <c r="D18" s="53">
        <f t="shared" si="0"/>
        <v>1.97</v>
      </c>
      <c r="E18" s="2">
        <f t="shared" si="1"/>
        <v>2024</v>
      </c>
      <c r="F18" s="2">
        <f t="shared" si="2"/>
        <v>2024</v>
      </c>
      <c r="G18" s="2" t="str">
        <f t="shared" si="3"/>
        <v>junio</v>
      </c>
      <c r="H18" s="2" t="str">
        <f t="shared" si="4"/>
        <v>agosto</v>
      </c>
      <c r="I18" s="2" t="s">
        <v>738</v>
      </c>
    </row>
    <row r="19" spans="1:9">
      <c r="A19" s="35" t="s">
        <v>84</v>
      </c>
      <c r="B19" s="52">
        <v>45456</v>
      </c>
      <c r="C19" s="52">
        <v>45503</v>
      </c>
      <c r="D19" s="53">
        <f t="shared" si="0"/>
        <v>1.57</v>
      </c>
      <c r="E19" s="2">
        <f t="shared" si="1"/>
        <v>2024</v>
      </c>
      <c r="F19" s="2">
        <f t="shared" si="2"/>
        <v>2024</v>
      </c>
      <c r="G19" s="2" t="str">
        <f t="shared" si="3"/>
        <v>junio</v>
      </c>
      <c r="H19" s="2" t="str">
        <f t="shared" si="4"/>
        <v>julio</v>
      </c>
      <c r="I19" s="2" t="s">
        <v>738</v>
      </c>
    </row>
    <row r="20" spans="1:9">
      <c r="A20" s="35" t="s">
        <v>40</v>
      </c>
      <c r="B20" s="52">
        <v>45473</v>
      </c>
      <c r="C20" s="52">
        <v>45655</v>
      </c>
      <c r="D20" s="53">
        <f t="shared" si="0"/>
        <v>5.97</v>
      </c>
      <c r="E20" s="2">
        <f t="shared" si="1"/>
        <v>2024</v>
      </c>
      <c r="F20" s="2">
        <f t="shared" si="2"/>
        <v>2024</v>
      </c>
      <c r="G20" s="2" t="str">
        <f t="shared" si="3"/>
        <v>junio</v>
      </c>
      <c r="H20" s="2" t="str">
        <f t="shared" si="4"/>
        <v>diciembre</v>
      </c>
      <c r="I20" s="2" t="s">
        <v>738</v>
      </c>
    </row>
    <row r="21" spans="1:9">
      <c r="A21" s="35" t="s">
        <v>41</v>
      </c>
      <c r="B21" s="52">
        <v>45505</v>
      </c>
      <c r="C21" s="52">
        <v>45536</v>
      </c>
      <c r="D21" s="53">
        <f t="shared" si="0"/>
        <v>1</v>
      </c>
      <c r="E21" s="2">
        <f t="shared" si="1"/>
        <v>2024</v>
      </c>
      <c r="F21" s="2">
        <f t="shared" si="2"/>
        <v>2024</v>
      </c>
      <c r="G21" s="2" t="str">
        <f t="shared" si="3"/>
        <v>agosto</v>
      </c>
      <c r="H21" s="2" t="str">
        <f t="shared" si="4"/>
        <v>septiembre</v>
      </c>
      <c r="I21" s="2" t="s">
        <v>738</v>
      </c>
    </row>
    <row r="22" spans="1:9">
      <c r="A22" s="35" t="s">
        <v>67</v>
      </c>
      <c r="B22" s="52">
        <v>45505</v>
      </c>
      <c r="C22" s="52">
        <v>45807</v>
      </c>
      <c r="D22" s="53">
        <f t="shared" si="0"/>
        <v>9.9700000000000006</v>
      </c>
      <c r="E22" s="2">
        <f t="shared" si="1"/>
        <v>2024</v>
      </c>
      <c r="F22" s="2">
        <f t="shared" si="2"/>
        <v>2025</v>
      </c>
      <c r="G22" s="2" t="str">
        <f t="shared" si="3"/>
        <v>agosto</v>
      </c>
      <c r="H22" s="2" t="str">
        <f t="shared" si="4"/>
        <v>mayo</v>
      </c>
      <c r="I22" s="2" t="s">
        <v>738</v>
      </c>
    </row>
    <row r="23" spans="1:9">
      <c r="A23" s="35" t="s">
        <v>83</v>
      </c>
      <c r="B23" s="52">
        <v>45516</v>
      </c>
      <c r="C23" s="52">
        <v>45595</v>
      </c>
      <c r="D23" s="53">
        <f t="shared" si="0"/>
        <v>2.6</v>
      </c>
      <c r="E23" s="2">
        <f t="shared" si="1"/>
        <v>2024</v>
      </c>
      <c r="F23" s="2">
        <f t="shared" si="2"/>
        <v>2024</v>
      </c>
      <c r="G23" s="2" t="str">
        <f t="shared" si="3"/>
        <v>agosto</v>
      </c>
      <c r="H23" s="2" t="str">
        <f t="shared" si="4"/>
        <v>octubre</v>
      </c>
      <c r="I23" s="2" t="s">
        <v>738</v>
      </c>
    </row>
    <row r="24" spans="1:9">
      <c r="A24" s="35" t="s">
        <v>49</v>
      </c>
      <c r="B24" s="52">
        <v>45536</v>
      </c>
      <c r="C24" s="52">
        <v>45597</v>
      </c>
      <c r="D24" s="53">
        <f t="shared" si="0"/>
        <v>2</v>
      </c>
      <c r="E24" s="2">
        <f t="shared" si="1"/>
        <v>2024</v>
      </c>
      <c r="F24" s="2">
        <f t="shared" si="2"/>
        <v>2024</v>
      </c>
      <c r="G24" s="2" t="str">
        <f t="shared" si="3"/>
        <v>septiembre</v>
      </c>
      <c r="H24" s="2" t="str">
        <f t="shared" si="4"/>
        <v>noviembre</v>
      </c>
      <c r="I24" s="2" t="s">
        <v>738</v>
      </c>
    </row>
    <row r="25" spans="1:9">
      <c r="A25" s="35" t="s">
        <v>87</v>
      </c>
      <c r="B25" s="52">
        <v>45536</v>
      </c>
      <c r="C25" s="52">
        <v>45565</v>
      </c>
      <c r="D25" s="53">
        <f t="shared" si="0"/>
        <v>0.97</v>
      </c>
      <c r="E25" s="2">
        <f t="shared" si="1"/>
        <v>2024</v>
      </c>
      <c r="F25" s="2">
        <f t="shared" si="2"/>
        <v>2024</v>
      </c>
      <c r="G25" s="2" t="str">
        <f t="shared" si="3"/>
        <v>septiembre</v>
      </c>
      <c r="H25" s="2" t="str">
        <f t="shared" si="4"/>
        <v>septiembre</v>
      </c>
      <c r="I25" s="2" t="s">
        <v>738</v>
      </c>
    </row>
    <row r="26" spans="1:9">
      <c r="A26" s="35" t="s">
        <v>86</v>
      </c>
      <c r="B26" s="52">
        <v>45536</v>
      </c>
      <c r="C26" s="52">
        <v>45596</v>
      </c>
      <c r="D26" s="53">
        <f t="shared" si="0"/>
        <v>2</v>
      </c>
      <c r="E26" s="2">
        <f t="shared" si="1"/>
        <v>2024</v>
      </c>
      <c r="F26" s="2">
        <f t="shared" si="2"/>
        <v>2024</v>
      </c>
      <c r="G26" s="2" t="str">
        <f t="shared" si="3"/>
        <v>septiembre</v>
      </c>
      <c r="H26" s="2" t="str">
        <f t="shared" si="4"/>
        <v>octubre</v>
      </c>
      <c r="I26" s="2" t="s">
        <v>738</v>
      </c>
    </row>
    <row r="27" spans="1:9">
      <c r="A27" s="35" t="s">
        <v>57</v>
      </c>
      <c r="B27" s="52">
        <v>45537</v>
      </c>
      <c r="C27" s="52">
        <v>45838</v>
      </c>
      <c r="D27" s="53">
        <f t="shared" si="0"/>
        <v>9.93</v>
      </c>
      <c r="E27" s="2">
        <f t="shared" si="1"/>
        <v>2024</v>
      </c>
      <c r="F27" s="2">
        <f t="shared" si="2"/>
        <v>2025</v>
      </c>
      <c r="G27" s="2" t="str">
        <f t="shared" si="3"/>
        <v>septiembre</v>
      </c>
      <c r="H27" s="2" t="str">
        <f t="shared" si="4"/>
        <v>junio</v>
      </c>
      <c r="I27" s="2" t="s">
        <v>738</v>
      </c>
    </row>
    <row r="28" spans="1:9">
      <c r="A28" s="35" t="s">
        <v>37</v>
      </c>
      <c r="B28" s="52">
        <v>45559</v>
      </c>
      <c r="C28" s="52">
        <v>45626</v>
      </c>
      <c r="D28" s="53">
        <f t="shared" si="0"/>
        <v>2.2000000000000002</v>
      </c>
      <c r="E28" s="2">
        <f t="shared" si="1"/>
        <v>2024</v>
      </c>
      <c r="F28" s="2">
        <f t="shared" si="2"/>
        <v>2024</v>
      </c>
      <c r="G28" s="2" t="str">
        <f t="shared" si="3"/>
        <v>septiembre</v>
      </c>
      <c r="H28" s="2" t="str">
        <f t="shared" si="4"/>
        <v>noviembre</v>
      </c>
      <c r="I28" s="2" t="s">
        <v>738</v>
      </c>
    </row>
    <row r="29" spans="1:9">
      <c r="A29" s="35" t="s">
        <v>82</v>
      </c>
      <c r="B29" s="52">
        <v>45566</v>
      </c>
      <c r="C29" s="52">
        <v>45641</v>
      </c>
      <c r="D29" s="53">
        <f t="shared" si="0"/>
        <v>2.4700000000000002</v>
      </c>
      <c r="E29" s="2">
        <f t="shared" si="1"/>
        <v>2024</v>
      </c>
      <c r="F29" s="2">
        <f t="shared" si="2"/>
        <v>2024</v>
      </c>
      <c r="G29" s="2" t="str">
        <f t="shared" si="3"/>
        <v>octubre</v>
      </c>
      <c r="H29" s="2" t="str">
        <f t="shared" si="4"/>
        <v>diciembre</v>
      </c>
      <c r="I29" s="2" t="s">
        <v>738</v>
      </c>
    </row>
    <row r="30" spans="1:9">
      <c r="A30" s="35" t="s">
        <v>113</v>
      </c>
      <c r="B30" s="52">
        <v>45568</v>
      </c>
      <c r="C30" s="52">
        <v>46356</v>
      </c>
      <c r="D30" s="53">
        <f t="shared" si="0"/>
        <v>25.9</v>
      </c>
      <c r="E30" s="2">
        <f t="shared" si="1"/>
        <v>2024</v>
      </c>
      <c r="F30" s="2">
        <f t="shared" si="2"/>
        <v>2026</v>
      </c>
      <c r="G30" s="2" t="str">
        <f t="shared" si="3"/>
        <v>octubre</v>
      </c>
      <c r="H30" s="2" t="str">
        <f t="shared" si="4"/>
        <v>noviembre</v>
      </c>
      <c r="I30" s="2" t="s">
        <v>738</v>
      </c>
    </row>
    <row r="31" spans="1:9">
      <c r="A31" s="54" t="s">
        <v>572</v>
      </c>
      <c r="B31" s="52">
        <v>45581</v>
      </c>
      <c r="C31" s="52">
        <v>45672</v>
      </c>
      <c r="D31" s="53">
        <f t="shared" si="0"/>
        <v>2.97</v>
      </c>
      <c r="E31" s="2">
        <f t="shared" si="1"/>
        <v>2024</v>
      </c>
      <c r="F31" s="2">
        <f t="shared" si="2"/>
        <v>2025</v>
      </c>
      <c r="G31" s="2" t="str">
        <f t="shared" si="3"/>
        <v>octubre</v>
      </c>
      <c r="H31" s="2" t="str">
        <f t="shared" si="4"/>
        <v>enero</v>
      </c>
      <c r="I31" s="2" t="s">
        <v>739</v>
      </c>
    </row>
    <row r="32" spans="1:9">
      <c r="A32" s="35" t="s">
        <v>81</v>
      </c>
      <c r="B32" s="52">
        <v>45581</v>
      </c>
      <c r="C32" s="52">
        <v>45626</v>
      </c>
      <c r="D32" s="53">
        <f t="shared" si="0"/>
        <v>1.47</v>
      </c>
      <c r="E32" s="2">
        <f t="shared" si="1"/>
        <v>2024</v>
      </c>
      <c r="F32" s="2">
        <f t="shared" si="2"/>
        <v>2024</v>
      </c>
      <c r="G32" s="2" t="str">
        <f t="shared" si="3"/>
        <v>octubre</v>
      </c>
      <c r="H32" s="2" t="str">
        <f t="shared" si="4"/>
        <v>noviembre</v>
      </c>
      <c r="I32" s="2" t="s">
        <v>738</v>
      </c>
    </row>
    <row r="33" spans="1:9">
      <c r="A33" s="35" t="s">
        <v>92</v>
      </c>
      <c r="B33" s="52">
        <v>45597</v>
      </c>
      <c r="C33" s="52">
        <v>46295</v>
      </c>
      <c r="D33" s="53">
        <f t="shared" si="0"/>
        <v>22.97</v>
      </c>
      <c r="E33" s="2">
        <f t="shared" si="1"/>
        <v>2024</v>
      </c>
      <c r="F33" s="2">
        <f t="shared" si="2"/>
        <v>2026</v>
      </c>
      <c r="G33" s="2" t="str">
        <f t="shared" si="3"/>
        <v>noviembre</v>
      </c>
      <c r="H33" s="2" t="str">
        <f t="shared" si="4"/>
        <v>septiembre</v>
      </c>
      <c r="I33" s="2" t="s">
        <v>738</v>
      </c>
    </row>
    <row r="34" spans="1:9">
      <c r="A34" s="35" t="s">
        <v>46</v>
      </c>
      <c r="B34" s="52">
        <v>45597</v>
      </c>
      <c r="C34" s="52">
        <v>45657</v>
      </c>
      <c r="D34" s="53">
        <f t="shared" ref="D34:D65" si="5">ROUND(YEARFRAC(B34,C34)*12,2)</f>
        <v>2</v>
      </c>
      <c r="E34" s="2">
        <f t="shared" ref="E34:E65" si="6">YEAR(B34)</f>
        <v>2024</v>
      </c>
      <c r="F34" s="2">
        <f t="shared" ref="F34:F65" si="7">YEAR(C34)</f>
        <v>2024</v>
      </c>
      <c r="G34" s="2" t="str">
        <f t="shared" ref="G34:G65" si="8">TEXT(B34,"mmmm")</f>
        <v>noviembre</v>
      </c>
      <c r="H34" s="2" t="str">
        <f t="shared" ref="H34:H65" si="9">TEXT(C34,"mmmm")</f>
        <v>diciembre</v>
      </c>
      <c r="I34" s="2" t="s">
        <v>738</v>
      </c>
    </row>
    <row r="35" spans="1:9">
      <c r="A35" s="35" t="s">
        <v>78</v>
      </c>
      <c r="B35" s="52">
        <v>45627</v>
      </c>
      <c r="C35" s="52">
        <v>45657</v>
      </c>
      <c r="D35" s="53">
        <f t="shared" si="5"/>
        <v>1</v>
      </c>
      <c r="E35" s="2">
        <f t="shared" si="6"/>
        <v>2024</v>
      </c>
      <c r="F35" s="2">
        <f t="shared" si="7"/>
        <v>2024</v>
      </c>
      <c r="G35" s="2" t="str">
        <f t="shared" si="8"/>
        <v>diciembre</v>
      </c>
      <c r="H35" s="2" t="str">
        <f t="shared" si="9"/>
        <v>diciembre</v>
      </c>
      <c r="I35" s="2" t="s">
        <v>738</v>
      </c>
    </row>
    <row r="36" spans="1:9">
      <c r="A36" s="35" t="s">
        <v>79</v>
      </c>
      <c r="B36" s="52">
        <v>45642</v>
      </c>
      <c r="C36" s="52">
        <v>45657</v>
      </c>
      <c r="D36" s="53">
        <f t="shared" si="5"/>
        <v>0.5</v>
      </c>
      <c r="E36" s="2">
        <f t="shared" si="6"/>
        <v>2024</v>
      </c>
      <c r="F36" s="2">
        <f t="shared" si="7"/>
        <v>2024</v>
      </c>
      <c r="G36" s="2" t="str">
        <f t="shared" si="8"/>
        <v>diciembre</v>
      </c>
      <c r="H36" s="2" t="str">
        <f t="shared" si="9"/>
        <v>diciembre</v>
      </c>
      <c r="I36" s="2" t="s">
        <v>738</v>
      </c>
    </row>
    <row r="37" spans="1:9">
      <c r="A37" s="35" t="s">
        <v>58</v>
      </c>
      <c r="B37" s="52">
        <v>45652</v>
      </c>
      <c r="C37" s="52">
        <v>45925</v>
      </c>
      <c r="D37" s="53">
        <f t="shared" si="5"/>
        <v>8.9700000000000006</v>
      </c>
      <c r="E37" s="2">
        <f t="shared" si="6"/>
        <v>2024</v>
      </c>
      <c r="F37" s="2">
        <f t="shared" si="7"/>
        <v>2025</v>
      </c>
      <c r="G37" s="2" t="str">
        <f t="shared" si="8"/>
        <v>diciembre</v>
      </c>
      <c r="H37" s="2" t="str">
        <f t="shared" si="9"/>
        <v>septiembre</v>
      </c>
      <c r="I37" s="2" t="s">
        <v>738</v>
      </c>
    </row>
    <row r="38" spans="1:9">
      <c r="A38" s="35" t="s">
        <v>52</v>
      </c>
      <c r="B38" s="52">
        <v>45689</v>
      </c>
      <c r="C38" s="52">
        <v>45716</v>
      </c>
      <c r="D38" s="53">
        <f t="shared" si="5"/>
        <v>0.9</v>
      </c>
      <c r="E38" s="2">
        <f t="shared" si="6"/>
        <v>2025</v>
      </c>
      <c r="F38" s="2">
        <f t="shared" si="7"/>
        <v>2025</v>
      </c>
      <c r="G38" s="2" t="str">
        <f t="shared" si="8"/>
        <v>febrero</v>
      </c>
      <c r="H38" s="2" t="str">
        <f t="shared" si="9"/>
        <v>febrero</v>
      </c>
      <c r="I38" s="2" t="s">
        <v>738</v>
      </c>
    </row>
    <row r="39" spans="1:9">
      <c r="A39" s="35" t="s">
        <v>45</v>
      </c>
      <c r="B39" s="52">
        <v>45689</v>
      </c>
      <c r="C39" s="52">
        <v>45716</v>
      </c>
      <c r="D39" s="53">
        <f t="shared" si="5"/>
        <v>0.9</v>
      </c>
      <c r="E39" s="2">
        <f t="shared" si="6"/>
        <v>2025</v>
      </c>
      <c r="F39" s="2">
        <f t="shared" si="7"/>
        <v>2025</v>
      </c>
      <c r="G39" s="2" t="str">
        <f t="shared" si="8"/>
        <v>febrero</v>
      </c>
      <c r="H39" s="2" t="str">
        <f t="shared" si="9"/>
        <v>febrero</v>
      </c>
      <c r="I39" s="2" t="s">
        <v>738</v>
      </c>
    </row>
    <row r="40" spans="1:9">
      <c r="A40" s="35" t="s">
        <v>73</v>
      </c>
      <c r="B40" s="52">
        <v>45705</v>
      </c>
      <c r="C40" s="52">
        <v>46129</v>
      </c>
      <c r="D40" s="53">
        <f t="shared" si="5"/>
        <v>14</v>
      </c>
      <c r="E40" s="2">
        <f t="shared" si="6"/>
        <v>2025</v>
      </c>
      <c r="F40" s="2">
        <f t="shared" si="7"/>
        <v>2026</v>
      </c>
      <c r="G40" s="2" t="str">
        <f t="shared" si="8"/>
        <v>febrero</v>
      </c>
      <c r="H40" s="2" t="str">
        <f t="shared" si="9"/>
        <v>abril</v>
      </c>
      <c r="I40" s="2" t="s">
        <v>738</v>
      </c>
    </row>
    <row r="41" spans="1:9">
      <c r="A41" s="35" t="s">
        <v>48</v>
      </c>
      <c r="B41" s="52">
        <v>45717</v>
      </c>
      <c r="C41" s="52">
        <v>46203</v>
      </c>
      <c r="D41" s="53">
        <f t="shared" si="5"/>
        <v>15.97</v>
      </c>
      <c r="E41" s="2">
        <f t="shared" si="6"/>
        <v>2025</v>
      </c>
      <c r="F41" s="2">
        <f t="shared" si="7"/>
        <v>2026</v>
      </c>
      <c r="G41" s="2" t="str">
        <f t="shared" si="8"/>
        <v>marzo</v>
      </c>
      <c r="H41" s="2" t="str">
        <f t="shared" si="9"/>
        <v>junio</v>
      </c>
      <c r="I41" s="2" t="s">
        <v>738</v>
      </c>
    </row>
    <row r="42" spans="1:9">
      <c r="A42" s="35" t="s">
        <v>51</v>
      </c>
      <c r="B42" s="52">
        <v>45734</v>
      </c>
      <c r="C42" s="52">
        <v>46234</v>
      </c>
      <c r="D42" s="53">
        <f t="shared" si="5"/>
        <v>16.43</v>
      </c>
      <c r="E42" s="2">
        <f t="shared" si="6"/>
        <v>2025</v>
      </c>
      <c r="F42" s="2">
        <f t="shared" si="7"/>
        <v>2026</v>
      </c>
      <c r="G42" s="2" t="str">
        <f t="shared" si="8"/>
        <v>marzo</v>
      </c>
      <c r="H42" s="2" t="str">
        <f t="shared" si="9"/>
        <v>julio</v>
      </c>
      <c r="I42" s="2" t="s">
        <v>738</v>
      </c>
    </row>
    <row r="43" spans="1:9">
      <c r="A43" s="35" t="s">
        <v>80</v>
      </c>
      <c r="B43" s="52">
        <v>45778</v>
      </c>
      <c r="C43" s="52">
        <v>46127</v>
      </c>
      <c r="D43" s="53">
        <f t="shared" si="5"/>
        <v>11.47</v>
      </c>
      <c r="E43" s="2">
        <f t="shared" si="6"/>
        <v>2025</v>
      </c>
      <c r="F43" s="2">
        <f t="shared" si="7"/>
        <v>2026</v>
      </c>
      <c r="G43" s="2" t="str">
        <f t="shared" si="8"/>
        <v>mayo</v>
      </c>
      <c r="H43" s="2" t="str">
        <f t="shared" si="9"/>
        <v>abril</v>
      </c>
      <c r="I43" s="2" t="s">
        <v>738</v>
      </c>
    </row>
    <row r="44" spans="1:9">
      <c r="A44" s="35" t="s">
        <v>53</v>
      </c>
      <c r="B44" s="52">
        <v>45834</v>
      </c>
      <c r="C44" s="52">
        <v>46006</v>
      </c>
      <c r="D44" s="53">
        <f t="shared" si="5"/>
        <v>5.63</v>
      </c>
      <c r="E44" s="2">
        <f t="shared" si="6"/>
        <v>2025</v>
      </c>
      <c r="F44" s="2">
        <f t="shared" si="7"/>
        <v>2025</v>
      </c>
      <c r="G44" s="2" t="str">
        <f t="shared" si="8"/>
        <v>junio</v>
      </c>
      <c r="H44" s="2" t="str">
        <f t="shared" si="9"/>
        <v>diciembre</v>
      </c>
      <c r="I44" s="2" t="s">
        <v>738</v>
      </c>
    </row>
    <row r="45" spans="1:9">
      <c r="A45" s="35" t="s">
        <v>62</v>
      </c>
      <c r="B45" s="52">
        <v>45836</v>
      </c>
      <c r="C45" s="52">
        <v>46112</v>
      </c>
      <c r="D45" s="53">
        <f t="shared" si="5"/>
        <v>9.1</v>
      </c>
      <c r="E45" s="2">
        <f t="shared" si="6"/>
        <v>2025</v>
      </c>
      <c r="F45" s="2">
        <f t="shared" si="7"/>
        <v>2026</v>
      </c>
      <c r="G45" s="2" t="str">
        <f t="shared" si="8"/>
        <v>junio</v>
      </c>
      <c r="H45" s="2" t="str">
        <f t="shared" si="9"/>
        <v>marzo</v>
      </c>
      <c r="I45" s="2" t="s">
        <v>738</v>
      </c>
    </row>
    <row r="46" spans="1:9">
      <c r="A46" s="35" t="s">
        <v>54</v>
      </c>
      <c r="B46" s="52">
        <v>45870</v>
      </c>
      <c r="C46" s="52">
        <v>46022</v>
      </c>
      <c r="D46" s="53">
        <f t="shared" si="5"/>
        <v>5</v>
      </c>
      <c r="E46" s="2">
        <f t="shared" si="6"/>
        <v>2025</v>
      </c>
      <c r="F46" s="2">
        <f t="shared" si="7"/>
        <v>2025</v>
      </c>
      <c r="G46" s="2" t="str">
        <f t="shared" si="8"/>
        <v>agosto</v>
      </c>
      <c r="H46" s="2" t="str">
        <f t="shared" si="9"/>
        <v>diciembre</v>
      </c>
      <c r="I46" s="2" t="s">
        <v>738</v>
      </c>
    </row>
    <row r="47" spans="1:9">
      <c r="A47" s="35" t="s">
        <v>96</v>
      </c>
      <c r="B47" s="52">
        <v>45880</v>
      </c>
      <c r="C47" s="52">
        <v>46662</v>
      </c>
      <c r="D47" s="53">
        <f t="shared" si="5"/>
        <v>25.7</v>
      </c>
      <c r="E47" s="2">
        <f t="shared" si="6"/>
        <v>2025</v>
      </c>
      <c r="F47" s="2">
        <f t="shared" si="7"/>
        <v>2027</v>
      </c>
      <c r="G47" s="2" t="str">
        <f t="shared" si="8"/>
        <v>agosto</v>
      </c>
      <c r="H47" s="2" t="str">
        <f t="shared" si="9"/>
        <v>octubre</v>
      </c>
      <c r="I47" s="2" t="s">
        <v>738</v>
      </c>
    </row>
    <row r="48" spans="1:9">
      <c r="A48" s="35" t="s">
        <v>42</v>
      </c>
      <c r="B48" s="52">
        <v>45880</v>
      </c>
      <c r="C48" s="52">
        <v>46203</v>
      </c>
      <c r="D48" s="53">
        <f t="shared" si="5"/>
        <v>10.63</v>
      </c>
      <c r="E48" s="2">
        <f t="shared" si="6"/>
        <v>2025</v>
      </c>
      <c r="F48" s="2">
        <f t="shared" si="7"/>
        <v>2026</v>
      </c>
      <c r="G48" s="2" t="str">
        <f t="shared" si="8"/>
        <v>agosto</v>
      </c>
      <c r="H48" s="2" t="str">
        <f t="shared" si="9"/>
        <v>junio</v>
      </c>
      <c r="I48" s="2" t="s">
        <v>738</v>
      </c>
    </row>
    <row r="49" spans="1:10">
      <c r="A49" s="35" t="s">
        <v>55</v>
      </c>
      <c r="B49" s="52">
        <v>45884</v>
      </c>
      <c r="C49" s="52">
        <v>46037</v>
      </c>
      <c r="D49" s="53">
        <f t="shared" si="5"/>
        <v>5</v>
      </c>
      <c r="E49" s="2">
        <f t="shared" si="6"/>
        <v>2025</v>
      </c>
      <c r="F49" s="2">
        <f t="shared" si="7"/>
        <v>2026</v>
      </c>
      <c r="G49" s="2" t="str">
        <f t="shared" si="8"/>
        <v>agosto</v>
      </c>
      <c r="H49" s="2" t="str">
        <f t="shared" si="9"/>
        <v>enero</v>
      </c>
      <c r="I49" s="2" t="s">
        <v>738</v>
      </c>
      <c r="J49" t="s">
        <v>740</v>
      </c>
    </row>
    <row r="50" spans="1:10">
      <c r="A50" s="35" t="s">
        <v>50</v>
      </c>
      <c r="B50" s="52">
        <v>45901</v>
      </c>
      <c r="C50" s="52">
        <v>46021</v>
      </c>
      <c r="D50" s="53">
        <f t="shared" si="5"/>
        <v>3.97</v>
      </c>
      <c r="E50" s="2">
        <f t="shared" si="6"/>
        <v>2025</v>
      </c>
      <c r="F50" s="2">
        <f t="shared" si="7"/>
        <v>2025</v>
      </c>
      <c r="G50" s="2" t="str">
        <f t="shared" si="8"/>
        <v>septiembre</v>
      </c>
      <c r="H50" s="2" t="str">
        <f t="shared" si="9"/>
        <v>diciembre</v>
      </c>
      <c r="I50" s="2" t="s">
        <v>738</v>
      </c>
    </row>
    <row r="51" spans="1:10">
      <c r="A51" s="35" t="s">
        <v>43</v>
      </c>
      <c r="B51" s="52">
        <v>45901</v>
      </c>
      <c r="C51" s="52">
        <v>46022</v>
      </c>
      <c r="D51" s="53">
        <f t="shared" si="5"/>
        <v>4</v>
      </c>
      <c r="E51" s="2">
        <f t="shared" si="6"/>
        <v>2025</v>
      </c>
      <c r="F51" s="2">
        <f t="shared" si="7"/>
        <v>2025</v>
      </c>
      <c r="G51" s="2" t="str">
        <f t="shared" si="8"/>
        <v>septiembre</v>
      </c>
      <c r="H51" s="2" t="str">
        <f t="shared" si="9"/>
        <v>diciembre</v>
      </c>
      <c r="I51" s="2" t="s">
        <v>738</v>
      </c>
    </row>
    <row r="52" spans="1:10">
      <c r="A52" s="35" t="s">
        <v>44</v>
      </c>
      <c r="B52" s="52">
        <v>45901</v>
      </c>
      <c r="C52" s="52">
        <v>46264</v>
      </c>
      <c r="D52" s="53">
        <f t="shared" si="5"/>
        <v>11.97</v>
      </c>
      <c r="E52" s="2">
        <f t="shared" si="6"/>
        <v>2025</v>
      </c>
      <c r="F52" s="2">
        <f t="shared" si="7"/>
        <v>2026</v>
      </c>
      <c r="G52" s="2" t="str">
        <f t="shared" si="8"/>
        <v>septiembre</v>
      </c>
      <c r="H52" s="2" t="str">
        <f t="shared" si="9"/>
        <v>agosto</v>
      </c>
      <c r="I52" s="2" t="s">
        <v>738</v>
      </c>
    </row>
    <row r="53" spans="1:10">
      <c r="A53" s="35" t="s">
        <v>97</v>
      </c>
      <c r="B53" s="52">
        <v>45905</v>
      </c>
      <c r="C53" s="52">
        <v>46757</v>
      </c>
      <c r="D53" s="53">
        <f t="shared" si="5"/>
        <v>28</v>
      </c>
      <c r="E53" s="2">
        <f t="shared" si="6"/>
        <v>2025</v>
      </c>
      <c r="F53" s="2">
        <f t="shared" si="7"/>
        <v>2028</v>
      </c>
      <c r="G53" s="2" t="str">
        <f t="shared" si="8"/>
        <v>septiembre</v>
      </c>
      <c r="H53" s="2" t="str">
        <f t="shared" si="9"/>
        <v>enero</v>
      </c>
      <c r="I53" s="2" t="s">
        <v>738</v>
      </c>
    </row>
    <row r="54" spans="1:10">
      <c r="A54" s="35" t="s">
        <v>59</v>
      </c>
      <c r="B54" s="52">
        <v>45915</v>
      </c>
      <c r="C54" s="52">
        <v>46006</v>
      </c>
      <c r="D54" s="53">
        <f t="shared" si="5"/>
        <v>3</v>
      </c>
      <c r="E54" s="2">
        <f t="shared" si="6"/>
        <v>2025</v>
      </c>
      <c r="F54" s="2">
        <f t="shared" si="7"/>
        <v>2025</v>
      </c>
      <c r="G54" s="2" t="str">
        <f t="shared" si="8"/>
        <v>septiembre</v>
      </c>
      <c r="H54" s="2" t="str">
        <f t="shared" si="9"/>
        <v>diciembre</v>
      </c>
      <c r="I54" s="2" t="s">
        <v>738</v>
      </c>
    </row>
    <row r="55" spans="1:10">
      <c r="A55" s="35" t="s">
        <v>91</v>
      </c>
      <c r="B55" s="52">
        <v>45931</v>
      </c>
      <c r="C55" s="52">
        <v>46172</v>
      </c>
      <c r="D55" s="53">
        <f t="shared" si="5"/>
        <v>7.97</v>
      </c>
      <c r="E55" s="2">
        <f t="shared" si="6"/>
        <v>2025</v>
      </c>
      <c r="F55" s="2">
        <f t="shared" si="7"/>
        <v>2026</v>
      </c>
      <c r="G55" s="2" t="str">
        <f t="shared" si="8"/>
        <v>octubre</v>
      </c>
      <c r="H55" s="2" t="str">
        <f t="shared" si="9"/>
        <v>mayo</v>
      </c>
      <c r="I55" s="2" t="s">
        <v>738</v>
      </c>
    </row>
    <row r="56" spans="1:10">
      <c r="A56" s="35" t="s">
        <v>101</v>
      </c>
      <c r="B56" s="52">
        <v>45931</v>
      </c>
      <c r="C56" s="52">
        <v>47391</v>
      </c>
      <c r="D56" s="53">
        <f t="shared" si="5"/>
        <v>47.97</v>
      </c>
      <c r="E56" s="2">
        <f t="shared" si="6"/>
        <v>2025</v>
      </c>
      <c r="F56" s="2">
        <f t="shared" si="7"/>
        <v>2029</v>
      </c>
      <c r="G56" s="2" t="str">
        <f t="shared" si="8"/>
        <v>octubre</v>
      </c>
      <c r="H56" s="2" t="str">
        <f t="shared" si="9"/>
        <v>septiembre</v>
      </c>
      <c r="I56" s="2" t="s">
        <v>738</v>
      </c>
    </row>
    <row r="57" spans="1:10">
      <c r="A57" s="35" t="s">
        <v>102</v>
      </c>
      <c r="B57" s="52">
        <v>45931</v>
      </c>
      <c r="C57" s="52">
        <v>47483</v>
      </c>
      <c r="D57" s="53">
        <f t="shared" si="5"/>
        <v>51</v>
      </c>
      <c r="E57" s="2">
        <f t="shared" si="6"/>
        <v>2025</v>
      </c>
      <c r="F57" s="2">
        <f t="shared" si="7"/>
        <v>2029</v>
      </c>
      <c r="G57" s="2" t="str">
        <f t="shared" si="8"/>
        <v>octubre</v>
      </c>
      <c r="H57" s="2" t="str">
        <f t="shared" si="9"/>
        <v>diciembre</v>
      </c>
      <c r="I57" s="2" t="s">
        <v>738</v>
      </c>
    </row>
    <row r="58" spans="1:10">
      <c r="A58" s="35" t="s">
        <v>104</v>
      </c>
      <c r="B58" s="52">
        <v>45931</v>
      </c>
      <c r="C58" s="52">
        <v>47756</v>
      </c>
      <c r="D58" s="53">
        <f t="shared" si="5"/>
        <v>59.97</v>
      </c>
      <c r="E58" s="2">
        <f t="shared" si="6"/>
        <v>2025</v>
      </c>
      <c r="F58" s="2">
        <f t="shared" si="7"/>
        <v>2030</v>
      </c>
      <c r="G58" s="2" t="str">
        <f t="shared" si="8"/>
        <v>octubre</v>
      </c>
      <c r="H58" s="2" t="str">
        <f t="shared" si="9"/>
        <v>septiembre</v>
      </c>
      <c r="I58" s="2" t="s">
        <v>738</v>
      </c>
    </row>
    <row r="59" spans="1:10">
      <c r="A59" s="35" t="s">
        <v>114</v>
      </c>
      <c r="B59" s="52">
        <v>45931</v>
      </c>
      <c r="C59" s="52">
        <v>46022</v>
      </c>
      <c r="D59" s="53">
        <f t="shared" si="5"/>
        <v>3</v>
      </c>
      <c r="E59" s="2">
        <f t="shared" si="6"/>
        <v>2025</v>
      </c>
      <c r="F59" s="2">
        <f t="shared" si="7"/>
        <v>2025</v>
      </c>
      <c r="G59" s="2" t="str">
        <f t="shared" si="8"/>
        <v>octubre</v>
      </c>
      <c r="H59" s="2" t="str">
        <f t="shared" si="9"/>
        <v>diciembre</v>
      </c>
      <c r="I59" s="2" t="s">
        <v>738</v>
      </c>
    </row>
    <row r="60" spans="1:10">
      <c r="A60" s="35" t="s">
        <v>115</v>
      </c>
      <c r="B60" s="52">
        <v>45940</v>
      </c>
      <c r="C60" s="52">
        <v>46387</v>
      </c>
      <c r="D60" s="53">
        <f t="shared" si="5"/>
        <v>14.7</v>
      </c>
      <c r="E60" s="2">
        <f t="shared" si="6"/>
        <v>2025</v>
      </c>
      <c r="F60" s="2">
        <f t="shared" si="7"/>
        <v>2026</v>
      </c>
      <c r="G60" s="2" t="str">
        <f t="shared" si="8"/>
        <v>octubre</v>
      </c>
      <c r="H60" s="2" t="str">
        <f t="shared" si="9"/>
        <v>diciembre</v>
      </c>
      <c r="I60" s="2" t="s">
        <v>738</v>
      </c>
    </row>
    <row r="61" spans="1:10">
      <c r="A61" s="35" t="s">
        <v>74</v>
      </c>
      <c r="B61" s="52">
        <v>45945</v>
      </c>
      <c r="C61" s="52">
        <v>46022</v>
      </c>
      <c r="D61" s="53">
        <f t="shared" si="5"/>
        <v>2.5299999999999998</v>
      </c>
      <c r="E61" s="2">
        <f t="shared" si="6"/>
        <v>2025</v>
      </c>
      <c r="F61" s="2">
        <f t="shared" si="7"/>
        <v>2025</v>
      </c>
      <c r="G61" s="2" t="str">
        <f t="shared" si="8"/>
        <v>octubre</v>
      </c>
      <c r="H61" s="2" t="str">
        <f t="shared" si="9"/>
        <v>diciembre</v>
      </c>
      <c r="I61" s="2" t="s">
        <v>738</v>
      </c>
    </row>
    <row r="62" spans="1:10">
      <c r="A62" s="35" t="s">
        <v>94</v>
      </c>
      <c r="B62" s="52">
        <v>45950</v>
      </c>
      <c r="C62" s="52">
        <v>46387</v>
      </c>
      <c r="D62" s="53">
        <f t="shared" si="5"/>
        <v>14.37</v>
      </c>
      <c r="E62" s="2">
        <f t="shared" si="6"/>
        <v>2025</v>
      </c>
      <c r="F62" s="2">
        <f t="shared" si="7"/>
        <v>2026</v>
      </c>
      <c r="G62" s="2" t="str">
        <f t="shared" si="8"/>
        <v>octubre</v>
      </c>
      <c r="H62" s="2" t="str">
        <f t="shared" si="9"/>
        <v>diciembre</v>
      </c>
      <c r="I62" s="2" t="s">
        <v>738</v>
      </c>
    </row>
    <row r="63" spans="1:10">
      <c r="A63" s="35" t="s">
        <v>111</v>
      </c>
      <c r="B63" s="52">
        <v>45962</v>
      </c>
      <c r="C63" s="52">
        <v>46325</v>
      </c>
      <c r="D63" s="53">
        <f t="shared" si="5"/>
        <v>11.97</v>
      </c>
      <c r="E63" s="2">
        <f t="shared" si="6"/>
        <v>2025</v>
      </c>
      <c r="F63" s="2">
        <f t="shared" si="7"/>
        <v>2026</v>
      </c>
      <c r="G63" s="2" t="str">
        <f t="shared" si="8"/>
        <v>noviembre</v>
      </c>
      <c r="H63" s="2" t="str">
        <f t="shared" si="9"/>
        <v>octubre</v>
      </c>
      <c r="I63" s="2" t="s">
        <v>738</v>
      </c>
    </row>
    <row r="64" spans="1:10">
      <c r="A64" s="35" t="s">
        <v>107</v>
      </c>
      <c r="B64" s="52">
        <v>45962</v>
      </c>
      <c r="C64" s="52">
        <v>46264</v>
      </c>
      <c r="D64" s="53">
        <f t="shared" si="5"/>
        <v>9.9700000000000006</v>
      </c>
      <c r="E64" s="2">
        <f t="shared" si="6"/>
        <v>2025</v>
      </c>
      <c r="F64" s="2">
        <f t="shared" si="7"/>
        <v>2026</v>
      </c>
      <c r="G64" s="2" t="str">
        <f t="shared" si="8"/>
        <v>noviembre</v>
      </c>
      <c r="H64" s="2" t="str">
        <f t="shared" si="9"/>
        <v>agosto</v>
      </c>
      <c r="I64" s="2" t="s">
        <v>738</v>
      </c>
    </row>
    <row r="65" spans="1:9">
      <c r="A65" s="35" t="s">
        <v>88</v>
      </c>
      <c r="B65" s="52">
        <v>45962</v>
      </c>
      <c r="C65" s="52">
        <v>46111</v>
      </c>
      <c r="D65" s="53">
        <f t="shared" si="5"/>
        <v>4.97</v>
      </c>
      <c r="E65" s="2">
        <f t="shared" si="6"/>
        <v>2025</v>
      </c>
      <c r="F65" s="2">
        <f t="shared" si="7"/>
        <v>2026</v>
      </c>
      <c r="G65" s="2" t="str">
        <f t="shared" si="8"/>
        <v>noviembre</v>
      </c>
      <c r="H65" s="2" t="str">
        <f t="shared" si="9"/>
        <v>marzo</v>
      </c>
      <c r="I65" s="2" t="s">
        <v>738</v>
      </c>
    </row>
    <row r="66" spans="1:9">
      <c r="A66" s="35" t="s">
        <v>47</v>
      </c>
      <c r="B66" s="52">
        <v>45962</v>
      </c>
      <c r="C66" s="52">
        <v>45991</v>
      </c>
      <c r="D66" s="53">
        <f t="shared" ref="D66:D97" si="10">ROUND(YEARFRAC(B66,C66)*12,2)</f>
        <v>0.97</v>
      </c>
      <c r="E66" s="2">
        <f t="shared" ref="E66:E99" si="11">YEAR(B66)</f>
        <v>2025</v>
      </c>
      <c r="F66" s="2">
        <f t="shared" ref="F66:F99" si="12">YEAR(C66)</f>
        <v>2025</v>
      </c>
      <c r="G66" s="2" t="str">
        <f t="shared" ref="G66:G99" si="13">TEXT(B66,"mmmm")</f>
        <v>noviembre</v>
      </c>
      <c r="H66" s="2" t="str">
        <f t="shared" ref="H66:H99" si="14">TEXT(C66,"mmmm")</f>
        <v>noviembre</v>
      </c>
      <c r="I66" s="2" t="s">
        <v>738</v>
      </c>
    </row>
    <row r="67" spans="1:9">
      <c r="A67" s="35" t="s">
        <v>105</v>
      </c>
      <c r="B67" s="52">
        <v>45962</v>
      </c>
      <c r="C67" s="52">
        <v>47787</v>
      </c>
      <c r="D67" s="53">
        <f t="shared" si="10"/>
        <v>60</v>
      </c>
      <c r="E67" s="2">
        <f t="shared" si="11"/>
        <v>2025</v>
      </c>
      <c r="F67" s="2">
        <f t="shared" si="12"/>
        <v>2030</v>
      </c>
      <c r="G67" s="2" t="str">
        <f t="shared" si="13"/>
        <v>noviembre</v>
      </c>
      <c r="H67" s="2" t="str">
        <f t="shared" si="14"/>
        <v>octubre</v>
      </c>
      <c r="I67" s="2" t="s">
        <v>738</v>
      </c>
    </row>
    <row r="68" spans="1:9">
      <c r="A68" s="35" t="s">
        <v>89</v>
      </c>
      <c r="B68" s="52">
        <v>45962</v>
      </c>
      <c r="C68" s="52">
        <v>46021</v>
      </c>
      <c r="D68" s="53">
        <f t="shared" si="10"/>
        <v>1.97</v>
      </c>
      <c r="E68" s="2">
        <f t="shared" si="11"/>
        <v>2025</v>
      </c>
      <c r="F68" s="2">
        <f t="shared" si="12"/>
        <v>2025</v>
      </c>
      <c r="G68" s="2" t="str">
        <f t="shared" si="13"/>
        <v>noviembre</v>
      </c>
      <c r="H68" s="2" t="str">
        <f t="shared" si="14"/>
        <v>diciembre</v>
      </c>
      <c r="I68" s="2" t="s">
        <v>738</v>
      </c>
    </row>
    <row r="69" spans="1:9">
      <c r="A69" s="35" t="s">
        <v>100</v>
      </c>
      <c r="B69" s="52">
        <v>45965</v>
      </c>
      <c r="C69" s="52">
        <v>46695</v>
      </c>
      <c r="D69" s="53">
        <f t="shared" si="10"/>
        <v>24</v>
      </c>
      <c r="E69" s="2">
        <f t="shared" si="11"/>
        <v>2025</v>
      </c>
      <c r="F69" s="2">
        <f t="shared" si="12"/>
        <v>2027</v>
      </c>
      <c r="G69" s="2" t="str">
        <f t="shared" si="13"/>
        <v>noviembre</v>
      </c>
      <c r="H69" s="2" t="str">
        <f t="shared" si="14"/>
        <v>noviembre</v>
      </c>
      <c r="I69" s="2" t="s">
        <v>738</v>
      </c>
    </row>
    <row r="70" spans="1:9">
      <c r="A70" s="35" t="s">
        <v>69</v>
      </c>
      <c r="B70" s="52">
        <v>45971</v>
      </c>
      <c r="C70" s="52">
        <v>46022</v>
      </c>
      <c r="D70" s="53">
        <f t="shared" si="10"/>
        <v>1.7</v>
      </c>
      <c r="E70" s="2">
        <f t="shared" si="11"/>
        <v>2025</v>
      </c>
      <c r="F70" s="2">
        <f t="shared" si="12"/>
        <v>2025</v>
      </c>
      <c r="G70" s="2" t="str">
        <f t="shared" si="13"/>
        <v>noviembre</v>
      </c>
      <c r="H70" s="2" t="str">
        <f t="shared" si="14"/>
        <v>diciembre</v>
      </c>
      <c r="I70" s="2" t="s">
        <v>738</v>
      </c>
    </row>
    <row r="71" spans="1:9">
      <c r="A71" s="35" t="s">
        <v>90</v>
      </c>
      <c r="B71" s="52">
        <v>45976</v>
      </c>
      <c r="C71" s="52">
        <v>46142</v>
      </c>
      <c r="D71" s="53">
        <f t="shared" si="10"/>
        <v>5.5</v>
      </c>
      <c r="E71" s="2">
        <f t="shared" si="11"/>
        <v>2025</v>
      </c>
      <c r="F71" s="2">
        <f t="shared" si="12"/>
        <v>2026</v>
      </c>
      <c r="G71" s="2" t="str">
        <f t="shared" si="13"/>
        <v>noviembre</v>
      </c>
      <c r="H71" s="2" t="str">
        <f t="shared" si="14"/>
        <v>abril</v>
      </c>
      <c r="I71" s="2" t="s">
        <v>738</v>
      </c>
    </row>
    <row r="72" spans="1:9">
      <c r="A72" s="35" t="s">
        <v>93</v>
      </c>
      <c r="B72" s="52">
        <v>45989</v>
      </c>
      <c r="C72" s="52">
        <v>46293</v>
      </c>
      <c r="D72" s="53">
        <f t="shared" si="10"/>
        <v>10</v>
      </c>
      <c r="E72" s="2">
        <f t="shared" si="11"/>
        <v>2025</v>
      </c>
      <c r="F72" s="2">
        <f t="shared" si="12"/>
        <v>2026</v>
      </c>
      <c r="G72" s="2" t="str">
        <f t="shared" si="13"/>
        <v>noviembre</v>
      </c>
      <c r="H72" s="2" t="str">
        <f t="shared" si="14"/>
        <v>septiembre</v>
      </c>
      <c r="I72" s="2" t="s">
        <v>738</v>
      </c>
    </row>
    <row r="73" spans="1:9">
      <c r="A73" s="35" t="s">
        <v>95</v>
      </c>
      <c r="B73" s="52">
        <v>45992</v>
      </c>
      <c r="C73" s="52">
        <v>46233</v>
      </c>
      <c r="D73" s="53">
        <f t="shared" si="10"/>
        <v>7.97</v>
      </c>
      <c r="E73" s="2">
        <f t="shared" si="11"/>
        <v>2025</v>
      </c>
      <c r="F73" s="2">
        <f t="shared" si="12"/>
        <v>2026</v>
      </c>
      <c r="G73" s="2" t="str">
        <f t="shared" si="13"/>
        <v>diciembre</v>
      </c>
      <c r="H73" s="2" t="str">
        <f t="shared" si="14"/>
        <v>julio</v>
      </c>
      <c r="I73" s="2" t="s">
        <v>738</v>
      </c>
    </row>
    <row r="74" spans="1:9">
      <c r="A74" s="35" t="s">
        <v>56</v>
      </c>
      <c r="B74" s="52">
        <v>45992</v>
      </c>
      <c r="C74" s="52">
        <v>46022</v>
      </c>
      <c r="D74" s="53">
        <f t="shared" si="10"/>
        <v>1</v>
      </c>
      <c r="E74" s="2">
        <f t="shared" si="11"/>
        <v>2025</v>
      </c>
      <c r="F74" s="2">
        <f t="shared" si="12"/>
        <v>2025</v>
      </c>
      <c r="G74" s="2" t="str">
        <f t="shared" si="13"/>
        <v>diciembre</v>
      </c>
      <c r="H74" s="2" t="str">
        <f t="shared" si="14"/>
        <v>diciembre</v>
      </c>
      <c r="I74" s="2" t="s">
        <v>738</v>
      </c>
    </row>
    <row r="75" spans="1:9">
      <c r="A75" s="35" t="s">
        <v>110</v>
      </c>
      <c r="B75" s="52">
        <v>46006</v>
      </c>
      <c r="C75" s="52">
        <v>46766</v>
      </c>
      <c r="D75" s="53">
        <f t="shared" si="10"/>
        <v>24.97</v>
      </c>
      <c r="E75" s="2">
        <f t="shared" si="11"/>
        <v>2025</v>
      </c>
      <c r="F75" s="2">
        <f t="shared" si="12"/>
        <v>2028</v>
      </c>
      <c r="G75" s="2" t="str">
        <f t="shared" si="13"/>
        <v>diciembre</v>
      </c>
      <c r="H75" s="2" t="str">
        <f t="shared" si="14"/>
        <v>enero</v>
      </c>
      <c r="I75" s="2" t="s">
        <v>738</v>
      </c>
    </row>
    <row r="76" spans="1:9">
      <c r="A76" s="35" t="s">
        <v>66</v>
      </c>
      <c r="B76" s="52">
        <v>46006</v>
      </c>
      <c r="C76" s="52">
        <v>46022</v>
      </c>
      <c r="D76" s="53">
        <f t="shared" si="10"/>
        <v>0.53</v>
      </c>
      <c r="E76" s="2">
        <f t="shared" si="11"/>
        <v>2025</v>
      </c>
      <c r="F76" s="2">
        <f t="shared" si="12"/>
        <v>2025</v>
      </c>
      <c r="G76" s="2" t="str">
        <f t="shared" si="13"/>
        <v>diciembre</v>
      </c>
      <c r="H76" s="2" t="str">
        <f t="shared" si="14"/>
        <v>diciembre</v>
      </c>
      <c r="I76" s="2" t="s">
        <v>738</v>
      </c>
    </row>
    <row r="77" spans="1:9">
      <c r="A77" s="35" t="s">
        <v>99</v>
      </c>
      <c r="B77" s="52">
        <v>46023</v>
      </c>
      <c r="C77" s="52">
        <v>46387</v>
      </c>
      <c r="D77" s="53">
        <f t="shared" si="10"/>
        <v>12</v>
      </c>
      <c r="E77" s="2">
        <f t="shared" si="11"/>
        <v>2026</v>
      </c>
      <c r="F77" s="2">
        <f t="shared" si="12"/>
        <v>2026</v>
      </c>
      <c r="G77" s="2" t="str">
        <f t="shared" si="13"/>
        <v>enero</v>
      </c>
      <c r="H77" s="2" t="str">
        <f t="shared" si="14"/>
        <v>diciembre</v>
      </c>
      <c r="I77" s="2" t="s">
        <v>738</v>
      </c>
    </row>
    <row r="78" spans="1:9">
      <c r="A78" s="35" t="s">
        <v>109</v>
      </c>
      <c r="B78" s="52">
        <v>46023</v>
      </c>
      <c r="C78" s="52">
        <v>46387</v>
      </c>
      <c r="D78" s="53">
        <f t="shared" si="10"/>
        <v>12</v>
      </c>
      <c r="E78" s="2">
        <f t="shared" si="11"/>
        <v>2026</v>
      </c>
      <c r="F78" s="2">
        <f t="shared" si="12"/>
        <v>2026</v>
      </c>
      <c r="G78" s="2" t="str">
        <f t="shared" si="13"/>
        <v>enero</v>
      </c>
      <c r="H78" s="2" t="str">
        <f t="shared" si="14"/>
        <v>diciembre</v>
      </c>
      <c r="I78" s="2" t="s">
        <v>741</v>
      </c>
    </row>
    <row r="79" spans="1:9">
      <c r="A79" s="35" t="s">
        <v>98</v>
      </c>
      <c r="B79" s="52">
        <v>46023</v>
      </c>
      <c r="C79" s="52">
        <v>46113</v>
      </c>
      <c r="D79" s="53">
        <f t="shared" si="10"/>
        <v>3</v>
      </c>
      <c r="E79" s="2">
        <f t="shared" si="11"/>
        <v>2026</v>
      </c>
      <c r="F79" s="2">
        <f t="shared" si="12"/>
        <v>2026</v>
      </c>
      <c r="G79" s="2" t="str">
        <f t="shared" si="13"/>
        <v>enero</v>
      </c>
      <c r="H79" s="2" t="str">
        <f t="shared" si="14"/>
        <v>abril</v>
      </c>
      <c r="I79" s="2" t="s">
        <v>741</v>
      </c>
    </row>
    <row r="80" spans="1:9">
      <c r="A80" s="35" t="s">
        <v>103</v>
      </c>
      <c r="B80" s="52">
        <v>46045</v>
      </c>
      <c r="C80" s="52">
        <v>46591</v>
      </c>
      <c r="D80" s="53">
        <f t="shared" si="10"/>
        <v>18</v>
      </c>
      <c r="E80" s="2">
        <f t="shared" si="11"/>
        <v>2026</v>
      </c>
      <c r="F80" s="2">
        <f t="shared" si="12"/>
        <v>2027</v>
      </c>
      <c r="G80" s="2" t="str">
        <f t="shared" si="13"/>
        <v>enero</v>
      </c>
      <c r="H80" s="2" t="str">
        <f t="shared" si="14"/>
        <v>julio</v>
      </c>
      <c r="I80" s="2" t="s">
        <v>741</v>
      </c>
    </row>
    <row r="81" spans="1:9">
      <c r="A81" s="35" t="s">
        <v>106</v>
      </c>
      <c r="B81" s="52">
        <v>46054</v>
      </c>
      <c r="C81" s="52">
        <v>46843</v>
      </c>
      <c r="D81" s="53">
        <f t="shared" si="10"/>
        <v>26</v>
      </c>
      <c r="E81" s="2">
        <f t="shared" si="11"/>
        <v>2026</v>
      </c>
      <c r="F81" s="2">
        <f t="shared" si="12"/>
        <v>2028</v>
      </c>
      <c r="G81" s="2" t="str">
        <f t="shared" si="13"/>
        <v>febrero</v>
      </c>
      <c r="H81" s="2" t="str">
        <f t="shared" si="14"/>
        <v>marzo</v>
      </c>
      <c r="I81" s="2" t="s">
        <v>738</v>
      </c>
    </row>
    <row r="82" spans="1:9">
      <c r="A82" s="35" t="s">
        <v>112</v>
      </c>
      <c r="B82" s="52">
        <v>46054</v>
      </c>
      <c r="C82" s="52">
        <v>46233</v>
      </c>
      <c r="D82" s="53">
        <f t="shared" si="10"/>
        <v>5.97</v>
      </c>
      <c r="E82" s="2">
        <f t="shared" si="11"/>
        <v>2026</v>
      </c>
      <c r="F82" s="2">
        <f t="shared" si="12"/>
        <v>2026</v>
      </c>
      <c r="G82" s="2" t="str">
        <f t="shared" si="13"/>
        <v>febrero</v>
      </c>
      <c r="H82" s="2" t="str">
        <f t="shared" si="14"/>
        <v>julio</v>
      </c>
      <c r="I82" s="2" t="s">
        <v>738</v>
      </c>
    </row>
    <row r="83" spans="1:9">
      <c r="A83" s="35" t="s">
        <v>108</v>
      </c>
      <c r="B83" s="52">
        <v>46054</v>
      </c>
      <c r="C83" s="52">
        <v>46112</v>
      </c>
      <c r="D83" s="53">
        <f t="shared" si="10"/>
        <v>2</v>
      </c>
      <c r="E83" s="2">
        <f t="shared" si="11"/>
        <v>2026</v>
      </c>
      <c r="F83" s="2">
        <f t="shared" si="12"/>
        <v>2026</v>
      </c>
      <c r="G83" s="2" t="str">
        <f t="shared" si="13"/>
        <v>febrero</v>
      </c>
      <c r="H83" s="2" t="str">
        <f t="shared" si="14"/>
        <v>marzo</v>
      </c>
      <c r="I83" s="2" t="s">
        <v>738</v>
      </c>
    </row>
    <row r="84" spans="1:9">
      <c r="A84" s="35" t="s">
        <v>529</v>
      </c>
      <c r="B84" s="52"/>
      <c r="C84" s="52"/>
      <c r="D84" s="53">
        <f t="shared" si="10"/>
        <v>0</v>
      </c>
      <c r="E84" s="2">
        <f t="shared" si="11"/>
        <v>1900</v>
      </c>
      <c r="F84" s="2">
        <f t="shared" si="12"/>
        <v>1900</v>
      </c>
      <c r="G84" s="2" t="str">
        <f t="shared" si="13"/>
        <v>enero</v>
      </c>
      <c r="H84" s="2" t="str">
        <f t="shared" si="14"/>
        <v>enero</v>
      </c>
      <c r="I84" s="2"/>
    </row>
    <row r="85" spans="1:9">
      <c r="A85" s="35" t="s">
        <v>541</v>
      </c>
      <c r="B85" s="52"/>
      <c r="C85" s="52"/>
      <c r="D85" s="53">
        <f t="shared" si="10"/>
        <v>0</v>
      </c>
      <c r="E85" s="2">
        <f t="shared" si="11"/>
        <v>1900</v>
      </c>
      <c r="F85" s="2">
        <f t="shared" si="12"/>
        <v>1900</v>
      </c>
      <c r="G85" s="2" t="str">
        <f t="shared" si="13"/>
        <v>enero</v>
      </c>
      <c r="H85" s="2" t="str">
        <f t="shared" si="14"/>
        <v>enero</v>
      </c>
      <c r="I85" s="2"/>
    </row>
    <row r="86" spans="1:9">
      <c r="A86" s="35" t="s">
        <v>546</v>
      </c>
      <c r="B86" s="52"/>
      <c r="C86" s="52"/>
      <c r="D86" s="53">
        <f t="shared" si="10"/>
        <v>0</v>
      </c>
      <c r="E86" s="2">
        <f t="shared" si="11"/>
        <v>1900</v>
      </c>
      <c r="F86" s="2">
        <f t="shared" si="12"/>
        <v>1900</v>
      </c>
      <c r="G86" s="2" t="str">
        <f t="shared" si="13"/>
        <v>enero</v>
      </c>
      <c r="H86" s="2" t="str">
        <f t="shared" si="14"/>
        <v>enero</v>
      </c>
      <c r="I86" s="2"/>
    </row>
    <row r="87" spans="1:9">
      <c r="A87" s="35" t="s">
        <v>551</v>
      </c>
      <c r="B87" s="52"/>
      <c r="C87" s="52"/>
      <c r="D87" s="53">
        <f t="shared" si="10"/>
        <v>0</v>
      </c>
      <c r="E87" s="2">
        <f t="shared" si="11"/>
        <v>1900</v>
      </c>
      <c r="F87" s="2">
        <f t="shared" si="12"/>
        <v>1900</v>
      </c>
      <c r="G87" s="2" t="str">
        <f t="shared" si="13"/>
        <v>enero</v>
      </c>
      <c r="H87" s="2" t="str">
        <f t="shared" si="14"/>
        <v>enero</v>
      </c>
      <c r="I87" s="2"/>
    </row>
    <row r="88" spans="1:9">
      <c r="A88" s="35" t="s">
        <v>555</v>
      </c>
      <c r="B88" s="52"/>
      <c r="C88" s="52"/>
      <c r="D88" s="53">
        <f t="shared" si="10"/>
        <v>0</v>
      </c>
      <c r="E88" s="2">
        <f t="shared" si="11"/>
        <v>1900</v>
      </c>
      <c r="F88" s="2">
        <f t="shared" si="12"/>
        <v>1900</v>
      </c>
      <c r="G88" s="2" t="str">
        <f t="shared" si="13"/>
        <v>enero</v>
      </c>
      <c r="H88" s="2" t="str">
        <f t="shared" si="14"/>
        <v>enero</v>
      </c>
      <c r="I88" s="2"/>
    </row>
    <row r="89" spans="1:9">
      <c r="A89" s="35" t="s">
        <v>560</v>
      </c>
      <c r="B89" s="52"/>
      <c r="C89" s="52"/>
      <c r="D89" s="53">
        <f t="shared" si="10"/>
        <v>0</v>
      </c>
      <c r="E89" s="2">
        <f t="shared" si="11"/>
        <v>1900</v>
      </c>
      <c r="F89" s="2">
        <f t="shared" si="12"/>
        <v>1900</v>
      </c>
      <c r="G89" s="2" t="str">
        <f t="shared" si="13"/>
        <v>enero</v>
      </c>
      <c r="H89" s="2" t="str">
        <f t="shared" si="14"/>
        <v>enero</v>
      </c>
      <c r="I89" s="2"/>
    </row>
    <row r="90" spans="1:9">
      <c r="A90" s="35" t="s">
        <v>564</v>
      </c>
      <c r="B90" s="52"/>
      <c r="C90" s="52"/>
      <c r="D90" s="53">
        <f t="shared" si="10"/>
        <v>0</v>
      </c>
      <c r="E90" s="2">
        <f t="shared" si="11"/>
        <v>1900</v>
      </c>
      <c r="F90" s="2">
        <f t="shared" si="12"/>
        <v>1900</v>
      </c>
      <c r="G90" s="2" t="str">
        <f t="shared" si="13"/>
        <v>enero</v>
      </c>
      <c r="H90" s="2" t="str">
        <f t="shared" si="14"/>
        <v>enero</v>
      </c>
      <c r="I90" s="2"/>
    </row>
    <row r="91" spans="1:9">
      <c r="A91" s="35" t="s">
        <v>568</v>
      </c>
      <c r="B91" s="52"/>
      <c r="C91" s="52"/>
      <c r="D91" s="53">
        <f t="shared" si="10"/>
        <v>0</v>
      </c>
      <c r="E91" s="2">
        <f t="shared" si="11"/>
        <v>1900</v>
      </c>
      <c r="F91" s="2">
        <f t="shared" si="12"/>
        <v>1900</v>
      </c>
      <c r="G91" s="2" t="str">
        <f t="shared" si="13"/>
        <v>enero</v>
      </c>
      <c r="H91" s="2" t="str">
        <f t="shared" si="14"/>
        <v>enero</v>
      </c>
      <c r="I91" s="2"/>
    </row>
    <row r="92" spans="1:9">
      <c r="A92" s="35" t="s">
        <v>577</v>
      </c>
      <c r="B92" s="52"/>
      <c r="C92" s="52"/>
      <c r="D92" s="53">
        <f t="shared" si="10"/>
        <v>0</v>
      </c>
      <c r="E92" s="2">
        <f t="shared" si="11"/>
        <v>1900</v>
      </c>
      <c r="F92" s="2">
        <f t="shared" si="12"/>
        <v>1900</v>
      </c>
      <c r="G92" s="2" t="str">
        <f t="shared" si="13"/>
        <v>enero</v>
      </c>
      <c r="H92" s="2" t="str">
        <f t="shared" si="14"/>
        <v>enero</v>
      </c>
      <c r="I92" s="2"/>
    </row>
    <row r="93" spans="1:9">
      <c r="A93" s="35" t="s">
        <v>582</v>
      </c>
      <c r="B93" s="52"/>
      <c r="C93" s="52"/>
      <c r="D93" s="53">
        <f t="shared" si="10"/>
        <v>0</v>
      </c>
      <c r="E93" s="2">
        <f t="shared" si="11"/>
        <v>1900</v>
      </c>
      <c r="F93" s="2">
        <f t="shared" si="12"/>
        <v>1900</v>
      </c>
      <c r="G93" s="2" t="str">
        <f t="shared" si="13"/>
        <v>enero</v>
      </c>
      <c r="H93" s="2" t="str">
        <f t="shared" si="14"/>
        <v>enero</v>
      </c>
      <c r="I93" s="2"/>
    </row>
    <row r="94" spans="1:9">
      <c r="A94" s="35" t="s">
        <v>587</v>
      </c>
      <c r="B94" s="52"/>
      <c r="C94" s="52"/>
      <c r="D94" s="53">
        <f t="shared" si="10"/>
        <v>0</v>
      </c>
      <c r="E94" s="2">
        <f t="shared" si="11"/>
        <v>1900</v>
      </c>
      <c r="F94" s="2">
        <f t="shared" si="12"/>
        <v>1900</v>
      </c>
      <c r="G94" s="2" t="str">
        <f t="shared" si="13"/>
        <v>enero</v>
      </c>
      <c r="H94" s="2" t="str">
        <f t="shared" si="14"/>
        <v>enero</v>
      </c>
      <c r="I94" s="2"/>
    </row>
    <row r="95" spans="1:9">
      <c r="A95" s="35" t="s">
        <v>593</v>
      </c>
      <c r="B95" s="52"/>
      <c r="C95" s="52"/>
      <c r="D95" s="53">
        <f t="shared" si="10"/>
        <v>0</v>
      </c>
      <c r="E95" s="2">
        <f t="shared" si="11"/>
        <v>1900</v>
      </c>
      <c r="F95" s="2">
        <f t="shared" si="12"/>
        <v>1900</v>
      </c>
      <c r="G95" s="2" t="str">
        <f t="shared" si="13"/>
        <v>enero</v>
      </c>
      <c r="H95" s="2" t="str">
        <f t="shared" si="14"/>
        <v>enero</v>
      </c>
      <c r="I95" s="2"/>
    </row>
    <row r="96" spans="1:9">
      <c r="A96" s="35" t="s">
        <v>597</v>
      </c>
      <c r="B96" s="52"/>
      <c r="C96" s="52"/>
      <c r="D96" s="53">
        <f t="shared" si="10"/>
        <v>0</v>
      </c>
      <c r="E96" s="2">
        <f t="shared" si="11"/>
        <v>1900</v>
      </c>
      <c r="F96" s="2">
        <f t="shared" si="12"/>
        <v>1900</v>
      </c>
      <c r="G96" s="2" t="str">
        <f t="shared" si="13"/>
        <v>enero</v>
      </c>
      <c r="H96" s="2" t="str">
        <f t="shared" si="14"/>
        <v>enero</v>
      </c>
      <c r="I96" s="2"/>
    </row>
    <row r="97" spans="1:9">
      <c r="A97" s="35" t="s">
        <v>602</v>
      </c>
      <c r="B97" s="52"/>
      <c r="C97" s="52"/>
      <c r="D97" s="53">
        <f t="shared" si="10"/>
        <v>0</v>
      </c>
      <c r="E97" s="2">
        <f t="shared" si="11"/>
        <v>1900</v>
      </c>
      <c r="F97" s="2">
        <f t="shared" si="12"/>
        <v>1900</v>
      </c>
      <c r="G97" s="2" t="str">
        <f t="shared" si="13"/>
        <v>enero</v>
      </c>
      <c r="H97" s="2" t="str">
        <f t="shared" si="14"/>
        <v>enero</v>
      </c>
      <c r="I97" s="2"/>
    </row>
    <row r="98" spans="1:9">
      <c r="A98" s="35" t="s">
        <v>607</v>
      </c>
      <c r="B98" s="52"/>
      <c r="C98" s="52"/>
      <c r="D98" s="53">
        <f t="shared" ref="D98:D99" si="15">ROUND(YEARFRAC(B98,C98)*12,2)</f>
        <v>0</v>
      </c>
      <c r="E98" s="2">
        <f t="shared" si="11"/>
        <v>1900</v>
      </c>
      <c r="F98" s="2">
        <f t="shared" si="12"/>
        <v>1900</v>
      </c>
      <c r="G98" s="2" t="str">
        <f t="shared" si="13"/>
        <v>enero</v>
      </c>
      <c r="H98" s="2" t="str">
        <f t="shared" si="14"/>
        <v>enero</v>
      </c>
      <c r="I98" s="2"/>
    </row>
    <row r="99" spans="1:9">
      <c r="A99" s="35" t="s">
        <v>612</v>
      </c>
      <c r="B99" s="52"/>
      <c r="C99" s="52"/>
      <c r="D99" s="53">
        <f t="shared" si="15"/>
        <v>0</v>
      </c>
      <c r="E99" s="2">
        <f t="shared" si="11"/>
        <v>1900</v>
      </c>
      <c r="F99" s="2">
        <f t="shared" si="12"/>
        <v>1900</v>
      </c>
      <c r="G99" s="2" t="str">
        <f t="shared" si="13"/>
        <v>enero</v>
      </c>
      <c r="H99" s="2" t="str">
        <f t="shared" si="14"/>
        <v>enero</v>
      </c>
      <c r="I99" s="2"/>
    </row>
  </sheetData>
  <autoFilter ref="A1:I99" xr:uid="{124A2606-5286-4D3D-BC62-D296D14D21E4}">
    <filterColumn colId="8">
      <filters blank="1"/>
    </filterColumn>
  </autoFilter>
  <conditionalFormatting sqref="A1:A99">
    <cfRule type="duplicateValues" dxfId="2" priority="2"/>
  </conditionalFormatting>
  <conditionalFormatting sqref="B1:C1 A1:A99">
    <cfRule type="duplicateValues" dxfId="1" priority="3"/>
  </conditionalFormatting>
  <conditionalFormatting sqref="D1">
    <cfRule type="duplicateValues" dxfId="0" priority="1"/>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08A24D0BAE390449DE4165CC310D4DD" ma:contentTypeVersion="16" ma:contentTypeDescription="Crear nuevo documento." ma:contentTypeScope="" ma:versionID="24ffdbc9e3fc006f74178519edcdfa11">
  <xsd:schema xmlns:xsd="http://www.w3.org/2001/XMLSchema" xmlns:xs="http://www.w3.org/2001/XMLSchema" xmlns:p="http://schemas.microsoft.com/office/2006/metadata/properties" xmlns:ns2="77e9f0fe-612b-4b51-b983-7361200c714b" xmlns:ns3="66e76e38-08f7-4b27-98df-c05e3c67935e" targetNamespace="http://schemas.microsoft.com/office/2006/metadata/properties" ma:root="true" ma:fieldsID="05b552f0f29ec66684ff89d34e337a76" ns2:_="" ns3:_="">
    <xsd:import namespace="77e9f0fe-612b-4b51-b983-7361200c714b"/>
    <xsd:import namespace="66e76e38-08f7-4b27-98df-c05e3c67935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e9f0fe-612b-4b51-b983-7361200c71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2693bb8-02b1-4da4-a796-6d5ad87b3c4d"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6e76e38-08f7-4b27-98df-c05e3c67935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56ead3be-bdb9-4023-9b0f-1676dc98e4ab}" ma:internalName="TaxCatchAll" ma:showField="CatchAllData" ma:web="66e76e38-08f7-4b27-98df-c05e3c6793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7e9f0fe-612b-4b51-b983-7361200c714b">
      <Terms xmlns="http://schemas.microsoft.com/office/infopath/2007/PartnerControls"/>
    </lcf76f155ced4ddcb4097134ff3c332f>
    <TaxCatchAll xmlns="66e76e38-08f7-4b27-98df-c05e3c67935e" xsi:nil="true"/>
  </documentManagement>
</p:properties>
</file>

<file path=customXml/itemProps1.xml><?xml version="1.0" encoding="utf-8"?>
<ds:datastoreItem xmlns:ds="http://schemas.openxmlformats.org/officeDocument/2006/customXml" ds:itemID="{F4462D52-B88A-4B02-86F5-88D620B8E5E2}"/>
</file>

<file path=customXml/itemProps2.xml><?xml version="1.0" encoding="utf-8"?>
<ds:datastoreItem xmlns:ds="http://schemas.openxmlformats.org/officeDocument/2006/customXml" ds:itemID="{5D7AECFE-5D1E-4543-8693-9E7275807586}"/>
</file>

<file path=customXml/itemProps3.xml><?xml version="1.0" encoding="utf-8"?>
<ds:datastoreItem xmlns:ds="http://schemas.openxmlformats.org/officeDocument/2006/customXml" ds:itemID="{A2C0B7B5-5336-4DD4-A474-F0DD80F565F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Ramirez Nuñez</dc:creator>
  <cp:keywords/>
  <dc:description/>
  <cp:lastModifiedBy>Freddy Jose Orozco Rico</cp:lastModifiedBy>
  <cp:revision/>
  <dcterms:created xsi:type="dcterms:W3CDTF">2015-06-05T18:19:34Z</dcterms:created>
  <dcterms:modified xsi:type="dcterms:W3CDTF">2026-07-17T16:59:47Z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0x010100908A24D0BAE390449DE4165CC310D4DD</vt:lpwstr>
  </property>
  <property fmtid="{D5CDD505-2E9C-101B-9397-08002B2CF9AE}" pid="3" name="MediaServiceImageTags">
    <vt:lpwstr/>
  </property>
</Properties>
</file>